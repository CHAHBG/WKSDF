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89A8476E-2CB1-483A-8394-365EB8F81F22}" xr6:coauthVersionLast="43" xr6:coauthVersionMax="43" xr10:uidLastSave="{00000000-0000-0000-0000-000000000000}"/>
  <bookViews>
    <workbookView xWindow="-120" yWindow="-120" windowWidth="25440" windowHeight="15540" tabRatio="528" firstSheet="5" activeTab="6" xr2:uid="{00000000-000D-0000-FFFF-FFFF00000000}"/>
  </bookViews>
  <sheets>
    <sheet name="Feuil3" sheetId="2" state="hidden" r:id="rId1"/>
    <sheet name="Feuil7" sheetId="9" state="hidden" r:id="rId2"/>
    <sheet name="Feuil6" sheetId="8" state="hidden" r:id="rId3"/>
    <sheet name="Feuil4" sheetId="6" state="hidden" r:id="rId4"/>
    <sheet name="Feuil1" sheetId="4" state="hidden" r:id="rId5"/>
    <sheet name="RAPPORTS" sheetId="1" r:id="rId6"/>
    <sheet name="TRANSACTIONS" sheetId="3" r:id="rId7"/>
    <sheet name="Feuil2" sheetId="5" r:id="rId8"/>
    <sheet name="Feuil5" sheetId="7" state="hidden" r:id="rId9"/>
  </sheets>
  <definedNames>
    <definedName name="_xlnm._FilterDatabase" localSheetId="6" hidden="1">TRANSACTIONS!$A$2:$J$851</definedName>
    <definedName name="FRAIS_D_ENVOI">Feuil3!$A$2:$C$27</definedName>
    <definedName name="solver_adj" localSheetId="6" hidden="1">Feuil3!#REF!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Feuil3!#REF!</definedName>
    <definedName name="solver_lhs2" localSheetId="6" hidden="1">Feuil3!#REF!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Feuil3!#REF!</definedName>
    <definedName name="solver_pre" localSheetId="6" hidden="1">0.000001</definedName>
    <definedName name="solver_rbv" localSheetId="6" hidden="1">1</definedName>
    <definedName name="solver_rel1" localSheetId="6" hidden="1">2</definedName>
    <definedName name="solver_rel2" localSheetId="6" hidden="1">2</definedName>
    <definedName name="solver_rhs1" localSheetId="6" hidden="1">0</definedName>
    <definedName name="solver_rhs2" localSheetId="6" hidden="1">0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3</definedName>
    <definedName name="solver_val" localSheetId="6" hidden="1">0</definedName>
    <definedName name="solver_ver" localSheetId="6" hidden="1">3</definedName>
    <definedName name="Z_A1A8A1DE_D657_4788_8CB1_6D107BB1DEC3_.wvu.FilterData" localSheetId="6" hidden="1">TRANSACTIONS!$A$2:$J$851</definedName>
    <definedName name="Z_A1A8A1DE_D657_4788_8CB1_6D107BB1DEC3_.wvu.Rows" localSheetId="6" hidden="1">TRANSACTIONS!$1499:$1500,TRANSACTIONS!$2198:$2198,TRANSACTIONS!$4963:$4963</definedName>
    <definedName name="Z_BCC8C31E_1C8F_4ACF_A3F3_919D68FF9211_.wvu.FilterData" localSheetId="6" hidden="1">TRANSACTIONS!$A$2:$J$851</definedName>
    <definedName name="Z_BCC8C31E_1C8F_4ACF_A3F3_919D68FF9211_.wvu.Rows" localSheetId="6" hidden="1">TRANSACTIONS!$1499:$1500,TRANSACTIONS!$2198:$2198,TRANSACTIONS!$4963:$4963</definedName>
  </definedNames>
  <calcPr calcId="191029"/>
  <customWorkbookViews>
    <customWorkbookView name="user - Affichage personnalisé" guid="{BCC8C31E-1C8F-4ACF-A3F3-919D68FF9211}" mergeInterval="0" personalView="1" maximized="1" xWindow="-8" yWindow="-8" windowWidth="1382" windowHeight="744" tabRatio="528" activeSheetId="3"/>
    <customWorkbookView name="pc - Affichage personnalisé" guid="{A1A8A1DE-D657-4788-8CB1-6D107BB1DEC3}" mergeInterval="0" personalView="1" maximized="1" xWindow="-8" yWindow="-8" windowWidth="1696" windowHeight="1036" tabRatio="52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5" i="1" l="1"/>
  <c r="L21" i="1" l="1"/>
  <c r="L20" i="1" l="1"/>
  <c r="L18" i="1" l="1"/>
  <c r="B2605" i="3" l="1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H2624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H2745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H2760" i="3"/>
  <c r="H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H2853" i="3"/>
  <c r="H2901" i="3"/>
  <c r="H2902" i="3"/>
  <c r="H2904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H3047" i="3"/>
  <c r="H3048" i="3"/>
  <c r="H3086" i="3"/>
  <c r="H3140" i="3"/>
  <c r="H3152" i="3"/>
  <c r="H3157" i="3"/>
  <c r="H3162" i="3"/>
  <c r="H3345" i="3"/>
  <c r="H3394" i="3"/>
  <c r="H3400" i="3"/>
  <c r="H340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H2759" i="3"/>
  <c r="H2854" i="3"/>
  <c r="H2858" i="3"/>
  <c r="H2900" i="3"/>
  <c r="H2903" i="3"/>
  <c r="H2905" i="3"/>
  <c r="H2906" i="3"/>
  <c r="H3075" i="3"/>
  <c r="H3077" i="3"/>
  <c r="H2669" i="3"/>
  <c r="H2758" i="3"/>
  <c r="H2791" i="3"/>
  <c r="H2909" i="3"/>
  <c r="H2895" i="3"/>
  <c r="H2896" i="3"/>
  <c r="H2897" i="3"/>
  <c r="H3005" i="3"/>
  <c r="H3252" i="3"/>
  <c r="H3331" i="3"/>
  <c r="H3392" i="3"/>
  <c r="H2668" i="3"/>
  <c r="H2790" i="3"/>
  <c r="H2908" i="3"/>
  <c r="H3079" i="3"/>
  <c r="H2869" i="3"/>
  <c r="H3176" i="3"/>
  <c r="H2855" i="3"/>
  <c r="H2873" i="3"/>
  <c r="H2907" i="3"/>
  <c r="H3333" i="3"/>
  <c r="H2857" i="3"/>
  <c r="L22" i="1"/>
  <c r="L19" i="1"/>
  <c r="L12" i="1"/>
  <c r="L13" i="1"/>
  <c r="L16" i="1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H2595" i="3"/>
  <c r="L17" i="1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H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9" i="3"/>
  <c r="B2200" i="3"/>
  <c r="B2201" i="3"/>
  <c r="B2177" i="3"/>
  <c r="B2178" i="3"/>
  <c r="B2179" i="3"/>
  <c r="B2180" i="3"/>
  <c r="B218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H2389" i="3"/>
  <c r="H2472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H2553" i="3"/>
  <c r="H2555" i="3"/>
  <c r="B2584" i="3"/>
  <c r="B2585" i="3"/>
  <c r="B2586" i="3"/>
  <c r="B2587" i="3"/>
  <c r="B2588" i="3"/>
  <c r="B2746" i="3"/>
  <c r="H2584" i="3"/>
  <c r="H2068" i="3"/>
  <c r="H2137" i="3"/>
  <c r="H2210" i="3"/>
  <c r="H2207" i="3"/>
  <c r="H2263" i="3"/>
  <c r="H2390" i="3"/>
  <c r="H2442" i="3"/>
  <c r="H2067" i="3"/>
  <c r="H2070" i="3"/>
  <c r="H2118" i="3"/>
  <c r="H2119" i="3"/>
  <c r="H2139" i="3"/>
  <c r="H2271" i="3"/>
  <c r="H2272" i="3"/>
  <c r="H2270" i="3"/>
  <c r="H2308" i="3"/>
  <c r="H2440" i="3"/>
  <c r="H2441" i="3"/>
  <c r="H2540" i="3"/>
  <c r="H2486" i="3"/>
  <c r="H2487" i="3"/>
  <c r="H2412" i="3"/>
  <c r="H2552" i="3"/>
  <c r="H3451" i="3"/>
  <c r="H3545" i="3"/>
  <c r="H3554" i="3"/>
  <c r="H3555" i="3"/>
  <c r="H3559" i="3"/>
  <c r="H3560" i="3"/>
  <c r="H3565" i="3"/>
  <c r="H3564" i="3"/>
  <c r="H3566" i="3"/>
  <c r="H3570" i="3"/>
  <c r="H3582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H3661" i="3"/>
  <c r="H3662" i="3"/>
  <c r="H3665" i="3"/>
  <c r="H3675" i="3"/>
  <c r="H3693" i="3"/>
  <c r="H3695" i="3"/>
  <c r="H3738" i="3"/>
  <c r="H3802" i="3"/>
  <c r="H3848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41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H4016" i="3"/>
  <c r="H4053" i="3"/>
  <c r="H4157" i="3"/>
  <c r="H4297" i="3"/>
  <c r="H4299" i="3"/>
  <c r="H4448" i="3"/>
  <c r="H4460" i="3"/>
  <c r="H4527" i="3"/>
  <c r="H4535" i="3"/>
  <c r="H4542" i="3"/>
  <c r="H4559" i="3"/>
  <c r="H4670" i="3"/>
  <c r="H4800" i="3"/>
  <c r="H4803" i="3"/>
  <c r="H4918" i="3"/>
  <c r="H5122" i="3"/>
  <c r="H5216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9" i="3"/>
  <c r="B5448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H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H5519" i="3"/>
  <c r="H5536" i="3"/>
  <c r="H5556" i="3"/>
  <c r="H5565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3" i="3"/>
  <c r="B4" i="3"/>
  <c r="B5" i="3"/>
  <c r="B6" i="3"/>
  <c r="B12" i="3"/>
  <c r="B13" i="3"/>
  <c r="B14" i="3"/>
  <c r="B15" i="3"/>
  <c r="B16" i="3"/>
  <c r="B17" i="3"/>
  <c r="B18" i="3"/>
  <c r="B19" i="3"/>
  <c r="B20" i="3"/>
  <c r="B21" i="3"/>
  <c r="B30" i="3"/>
  <c r="B31" i="3"/>
  <c r="B34" i="3"/>
  <c r="B36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H1492" i="3"/>
  <c r="H1497" i="3"/>
  <c r="H1563" i="3"/>
  <c r="H1582" i="3"/>
  <c r="H1625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H1733" i="3"/>
  <c r="H1735" i="3"/>
  <c r="H1740" i="3"/>
  <c r="H1741" i="3"/>
  <c r="H1744" i="3"/>
  <c r="H1759" i="3"/>
  <c r="H1763" i="3"/>
  <c r="H1764" i="3"/>
  <c r="H1787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1" i="3"/>
  <c r="B1862" i="3"/>
  <c r="B1860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2" i="3"/>
  <c r="B1883" i="3"/>
  <c r="B1884" i="3"/>
  <c r="B1881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H3224" i="3"/>
  <c r="H3232" i="3"/>
  <c r="H3338" i="3"/>
  <c r="H3455" i="3"/>
  <c r="H3546" i="3"/>
  <c r="H3552" i="3"/>
  <c r="H3553" i="3"/>
  <c r="H3556" i="3"/>
  <c r="H3557" i="3"/>
  <c r="H3558" i="3"/>
  <c r="H3563" i="3"/>
  <c r="H3567" i="3"/>
  <c r="H3568" i="3"/>
  <c r="H3569" i="3"/>
  <c r="H3667" i="3"/>
  <c r="H3663" i="3"/>
  <c r="H3664" i="3"/>
  <c r="H3666" i="3"/>
  <c r="H3668" i="3"/>
  <c r="H3669" i="3"/>
  <c r="H3674" i="3"/>
  <c r="H3659" i="3"/>
  <c r="H3694" i="3"/>
  <c r="H3716" i="3"/>
  <c r="H4027" i="3"/>
  <c r="H4123" i="3"/>
  <c r="H4295" i="3"/>
  <c r="H4303" i="3"/>
  <c r="H4305" i="3"/>
  <c r="H4307" i="3"/>
  <c r="H4385" i="3"/>
  <c r="H4387" i="3"/>
  <c r="H4488" i="3"/>
  <c r="H4546" i="3"/>
  <c r="H4549" i="3"/>
  <c r="H4557" i="3"/>
  <c r="H4561" i="3"/>
  <c r="H4563" i="3"/>
  <c r="H4578" i="3"/>
  <c r="H4643" i="3"/>
  <c r="H4848" i="3"/>
  <c r="H5054" i="3"/>
  <c r="H5480" i="3"/>
  <c r="H5520" i="3"/>
  <c r="H5537" i="3"/>
  <c r="H5538" i="3"/>
  <c r="H5539" i="3"/>
  <c r="H5542" i="3"/>
  <c r="H5545" i="3"/>
  <c r="H5566" i="3"/>
  <c r="H5550" i="3"/>
  <c r="H5553" i="3"/>
  <c r="H1491" i="3"/>
  <c r="H1493" i="3"/>
  <c r="H1558" i="3"/>
  <c r="H1734" i="3"/>
  <c r="H1736" i="3"/>
  <c r="H1737" i="3"/>
  <c r="H1738" i="3"/>
  <c r="H1739" i="3"/>
  <c r="H1742" i="3"/>
  <c r="H1743" i="3"/>
  <c r="H1760" i="3"/>
  <c r="H1761" i="3"/>
  <c r="H1762" i="3"/>
  <c r="H1775" i="3"/>
  <c r="H1800" i="3"/>
  <c r="H1894" i="3"/>
  <c r="H1996" i="3"/>
  <c r="H1998" i="3"/>
  <c r="H2000" i="3"/>
  <c r="H2042" i="3"/>
  <c r="H3364" i="3"/>
  <c r="H3462" i="3"/>
  <c r="H3561" i="3"/>
  <c r="H3670" i="3"/>
  <c r="H3672" i="3"/>
  <c r="H4117" i="3"/>
  <c r="H4141" i="3"/>
  <c r="H4202" i="3"/>
  <c r="H4611" i="3"/>
  <c r="H4615" i="3"/>
  <c r="H4953" i="3"/>
  <c r="H5191" i="3"/>
  <c r="H5527" i="3"/>
  <c r="H5529" i="3"/>
  <c r="H5558" i="3"/>
  <c r="H5559" i="3"/>
  <c r="H5560" i="3"/>
  <c r="H5561" i="3"/>
  <c r="H5562" i="3"/>
  <c r="H5564" i="3"/>
  <c r="H923" i="3"/>
  <c r="H1367" i="3"/>
  <c r="H1501" i="3"/>
  <c r="H1674" i="3"/>
  <c r="H1709" i="3"/>
  <c r="H1747" i="3"/>
  <c r="H1748" i="3"/>
  <c r="H1749" i="3"/>
  <c r="H1750" i="3"/>
  <c r="H1745" i="3"/>
  <c r="H1746" i="3"/>
  <c r="H1751" i="3"/>
  <c r="H1752" i="3"/>
  <c r="H1753" i="3"/>
  <c r="H1754" i="3"/>
  <c r="H1755" i="3"/>
  <c r="H1757" i="3"/>
  <c r="H1901" i="3"/>
  <c r="H3562" i="3"/>
  <c r="H3671" i="3"/>
  <c r="H3673" i="3"/>
  <c r="H3691" i="3"/>
  <c r="H3762" i="3"/>
  <c r="H3789" i="3"/>
  <c r="H3844" i="3"/>
  <c r="H4280" i="3"/>
  <c r="H4283" i="3"/>
  <c r="H4961" i="3"/>
  <c r="H5528" i="3"/>
  <c r="H5540" i="3"/>
  <c r="H5555" i="3"/>
  <c r="H5557" i="3"/>
  <c r="H5563" i="3"/>
  <c r="H1547" i="3"/>
  <c r="H1756" i="3"/>
  <c r="H1758" i="3"/>
  <c r="H4738" i="3"/>
  <c r="H4739" i="3"/>
  <c r="H4749" i="3"/>
  <c r="H4770" i="3"/>
  <c r="H4772" i="3"/>
  <c r="H5031" i="3"/>
  <c r="H1855" i="3"/>
  <c r="H4538" i="3"/>
  <c r="H4485" i="3"/>
  <c r="H3836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H3" i="3"/>
  <c r="H14" i="3"/>
  <c r="H16" i="3"/>
  <c r="H20" i="3"/>
  <c r="H855" i="3"/>
  <c r="H928" i="3"/>
  <c r="H934" i="3"/>
  <c r="H1092" i="3"/>
  <c r="H1103" i="3"/>
  <c r="H1171" i="3"/>
  <c r="H1179" i="3"/>
  <c r="H1168" i="3"/>
  <c r="H1170" i="3"/>
  <c r="H1174" i="3"/>
  <c r="H1177" i="3"/>
  <c r="H1178" i="3"/>
  <c r="H1181" i="3"/>
  <c r="H1182" i="3"/>
  <c r="H1273" i="3"/>
  <c r="H1418" i="3"/>
  <c r="H1422" i="3"/>
  <c r="H1437" i="3"/>
  <c r="H1514" i="3"/>
  <c r="H1518" i="3"/>
  <c r="H2044" i="3"/>
  <c r="H2078" i="3"/>
  <c r="H2112" i="3"/>
  <c r="H2428" i="3"/>
  <c r="H2430" i="3"/>
  <c r="H2432" i="3"/>
  <c r="H2434" i="3"/>
  <c r="H2438" i="3"/>
  <c r="H2747" i="3"/>
  <c r="H2748" i="3"/>
  <c r="H2746" i="3"/>
  <c r="H2751" i="3"/>
  <c r="H2947" i="3"/>
  <c r="H2948" i="3"/>
  <c r="H3105" i="3"/>
  <c r="H3187" i="3"/>
  <c r="H3188" i="3"/>
  <c r="H3264" i="3"/>
  <c r="H3397" i="3"/>
  <c r="H3532" i="3"/>
  <c r="H4192" i="3"/>
  <c r="H4398" i="3"/>
  <c r="H4400" i="3"/>
  <c r="H4404" i="3"/>
  <c r="H4411" i="3"/>
  <c r="H4466" i="3"/>
  <c r="H4558" i="3"/>
  <c r="H4562" i="3"/>
  <c r="B4711" i="3"/>
  <c r="B5032" i="3"/>
  <c r="H4710" i="3"/>
  <c r="H4723" i="3"/>
  <c r="H4722" i="3"/>
  <c r="H4724" i="3"/>
  <c r="H5117" i="3"/>
  <c r="H5155" i="3"/>
  <c r="H5157" i="3"/>
  <c r="H5164" i="3"/>
  <c r="H5166" i="3"/>
  <c r="H5167" i="3"/>
  <c r="H5168" i="3"/>
  <c r="H5172" i="3"/>
  <c r="H5174" i="3"/>
  <c r="H5175" i="3"/>
  <c r="H5176" i="3"/>
  <c r="H5177" i="3"/>
  <c r="H5179" i="3"/>
  <c r="H5187" i="3"/>
  <c r="H5188" i="3"/>
  <c r="H5189" i="3"/>
  <c r="H5192" i="3"/>
  <c r="H5193" i="3"/>
  <c r="H5194" i="3"/>
  <c r="H5200" i="3"/>
  <c r="H5203" i="3"/>
  <c r="H5206" i="3"/>
  <c r="H5207" i="3"/>
  <c r="H5208" i="3"/>
  <c r="H5210" i="3"/>
  <c r="H5212" i="3"/>
  <c r="H5213" i="3"/>
  <c r="H5214" i="3"/>
  <c r="H5215" i="3"/>
  <c r="H5277" i="3"/>
  <c r="H5278" i="3"/>
  <c r="H5287" i="3"/>
  <c r="H4" i="3"/>
  <c r="H12" i="3"/>
  <c r="H13" i="3"/>
  <c r="H30" i="3"/>
  <c r="H31" i="3"/>
  <c r="H34" i="3"/>
  <c r="H36" i="3"/>
  <c r="H854" i="3"/>
  <c r="H856" i="3"/>
  <c r="H857" i="3"/>
  <c r="H858" i="3"/>
  <c r="H862" i="3"/>
  <c r="H864" i="3"/>
  <c r="H865" i="3"/>
  <c r="H866" i="3"/>
  <c r="H867" i="3"/>
  <c r="H870" i="3"/>
  <c r="H874" i="3"/>
  <c r="H875" i="3"/>
  <c r="H877" i="3"/>
  <c r="H878" i="3"/>
  <c r="H879" i="3"/>
  <c r="H881" i="3"/>
  <c r="H882" i="3"/>
  <c r="H886" i="3"/>
  <c r="H889" i="3"/>
  <c r="H890" i="3"/>
  <c r="H891" i="3"/>
  <c r="H893" i="3"/>
  <c r="H894" i="3"/>
  <c r="H895" i="3"/>
  <c r="H896" i="3"/>
  <c r="H898" i="3"/>
  <c r="H932" i="3"/>
  <c r="H933" i="3"/>
  <c r="H935" i="3"/>
  <c r="H936" i="3"/>
  <c r="H946" i="3"/>
  <c r="H947" i="3"/>
  <c r="H1534" i="3"/>
  <c r="H1555" i="3"/>
  <c r="H1557" i="3"/>
  <c r="H1727" i="3"/>
  <c r="H1799" i="3"/>
  <c r="H2009" i="3"/>
  <c r="H2011" i="3"/>
  <c r="H2012" i="3"/>
  <c r="H2443" i="3"/>
  <c r="H2541" i="3"/>
  <c r="H2542" i="3"/>
  <c r="H2544" i="3"/>
  <c r="H2764" i="3"/>
  <c r="H2769" i="3"/>
  <c r="H2772" i="3"/>
  <c r="H2775" i="3"/>
  <c r="H2781" i="3"/>
  <c r="H2782" i="3"/>
  <c r="H2800" i="3"/>
  <c r="H2801" i="3"/>
  <c r="H2802" i="3"/>
  <c r="H2804" i="3"/>
  <c r="H2805" i="3"/>
  <c r="H2940" i="3"/>
  <c r="H2997" i="3"/>
  <c r="H1175" i="3"/>
  <c r="H1180" i="3"/>
  <c r="H1517" i="3"/>
  <c r="H1942" i="3"/>
  <c r="H2046" i="3"/>
  <c r="H3447" i="3"/>
  <c r="H4465" i="3"/>
  <c r="H4702" i="3"/>
  <c r="H4712" i="3"/>
  <c r="H4998" i="3"/>
  <c r="H5142" i="3"/>
  <c r="H5158" i="3"/>
  <c r="H5159" i="3"/>
  <c r="H5161" i="3"/>
  <c r="H5171" i="3"/>
  <c r="H5181" i="3"/>
  <c r="H5190" i="3"/>
  <c r="H5198" i="3"/>
  <c r="H5201" i="3"/>
  <c r="H6" i="3"/>
  <c r="H871" i="3"/>
  <c r="H880" i="3"/>
  <c r="H884" i="3"/>
  <c r="H897" i="3"/>
  <c r="H937" i="3"/>
  <c r="H938" i="3"/>
  <c r="H939" i="3"/>
  <c r="H941" i="3"/>
  <c r="H944" i="3"/>
  <c r="H952" i="3"/>
  <c r="H954" i="3"/>
  <c r="H955" i="3"/>
  <c r="H958" i="3"/>
  <c r="H959" i="3"/>
  <c r="H961" i="3"/>
  <c r="H1589" i="3"/>
  <c r="H1793" i="3"/>
  <c r="H1796" i="3"/>
  <c r="H2050" i="3"/>
  <c r="H2714" i="3"/>
  <c r="H2767" i="3"/>
  <c r="H2778" i="3"/>
  <c r="H2793" i="3"/>
  <c r="H2794" i="3"/>
  <c r="H2795" i="3"/>
  <c r="H2807" i="3"/>
  <c r="H2809" i="3"/>
  <c r="H2813" i="3"/>
  <c r="H2942" i="3"/>
  <c r="H2945" i="3"/>
  <c r="H4191" i="3"/>
  <c r="H1176" i="3"/>
  <c r="H5" i="3"/>
  <c r="H18" i="3"/>
  <c r="H918" i="3"/>
  <c r="H1106" i="3"/>
  <c r="H1107" i="3"/>
  <c r="H1108" i="3"/>
  <c r="H1109" i="3"/>
  <c r="H1110" i="3"/>
  <c r="H1172" i="3"/>
  <c r="H1167" i="3"/>
  <c r="H1169" i="3"/>
  <c r="H1173" i="3"/>
  <c r="H1166" i="3"/>
  <c r="H2075" i="3"/>
  <c r="H2426" i="3"/>
  <c r="H2436" i="3"/>
  <c r="H2753" i="3"/>
  <c r="H2946" i="3"/>
  <c r="H3189" i="3"/>
  <c r="H3398" i="3"/>
  <c r="H3460" i="3"/>
  <c r="H4261" i="3"/>
  <c r="H4396" i="3"/>
  <c r="H4402" i="3"/>
  <c r="H4606" i="3"/>
  <c r="H4707" i="3"/>
  <c r="H5107" i="3"/>
  <c r="H5109" i="3"/>
  <c r="H5156" i="3"/>
  <c r="H5160" i="3"/>
  <c r="H5154" i="3"/>
  <c r="H5163" i="3"/>
  <c r="H5162" i="3"/>
  <c r="H5170" i="3"/>
  <c r="H5178" i="3"/>
  <c r="H5180" i="3"/>
  <c r="H5183" i="3"/>
  <c r="H5185" i="3"/>
  <c r="H5186" i="3"/>
  <c r="H5195" i="3"/>
  <c r="H5196" i="3"/>
  <c r="H5202" i="3"/>
  <c r="H5204" i="3"/>
  <c r="H5205" i="3"/>
  <c r="H5209" i="3"/>
  <c r="H5211" i="3"/>
  <c r="H5280" i="3"/>
  <c r="H5281" i="3"/>
  <c r="H5282" i="3"/>
  <c r="H5283" i="3"/>
  <c r="H5284" i="3"/>
  <c r="H5285" i="3"/>
  <c r="H5286" i="3"/>
  <c r="H17" i="3"/>
  <c r="H19" i="3"/>
  <c r="H21" i="3"/>
  <c r="H852" i="3"/>
  <c r="H853" i="3"/>
  <c r="H859" i="3"/>
  <c r="H860" i="3"/>
  <c r="H861" i="3"/>
  <c r="H868" i="3"/>
  <c r="H869" i="3"/>
  <c r="H872" i="3"/>
  <c r="H873" i="3"/>
  <c r="H885" i="3"/>
  <c r="H887" i="3"/>
  <c r="H888" i="3"/>
  <c r="H892" i="3"/>
  <c r="H945" i="3"/>
  <c r="H951" i="3"/>
  <c r="H1556" i="3"/>
  <c r="H1772" i="3"/>
  <c r="H1798" i="3"/>
  <c r="H2010" i="3"/>
  <c r="H2107" i="3"/>
  <c r="H2344" i="3"/>
  <c r="H2383" i="3"/>
  <c r="H2543" i="3"/>
  <c r="H2554" i="3"/>
  <c r="H2763" i="3"/>
  <c r="H2765" i="3"/>
  <c r="H2766" i="3"/>
  <c r="H2768" i="3"/>
  <c r="H2770" i="3"/>
  <c r="H2771" i="3"/>
  <c r="H2773" i="3"/>
  <c r="H2774" i="3"/>
  <c r="H2776" i="3"/>
  <c r="H2777" i="3"/>
  <c r="H2783" i="3"/>
  <c r="H2798" i="3"/>
  <c r="H2803" i="3"/>
  <c r="H2806" i="3"/>
  <c r="H2815" i="3"/>
  <c r="H2952" i="3"/>
  <c r="H3011" i="3"/>
  <c r="H3181" i="3"/>
  <c r="H1091" i="3"/>
  <c r="H2043" i="3"/>
  <c r="H4383" i="3"/>
  <c r="H5199" i="3"/>
  <c r="H876" i="3"/>
  <c r="H5302" i="3"/>
  <c r="H5384" i="3"/>
  <c r="H5388" i="3"/>
  <c r="H5307" i="3"/>
  <c r="H5447" i="3"/>
  <c r="H5432" i="3"/>
  <c r="H960" i="3"/>
  <c r="H2013" i="3"/>
  <c r="H2014" i="3"/>
  <c r="H2361" i="3"/>
  <c r="H2498" i="3"/>
  <c r="H2691" i="3"/>
  <c r="H2750" i="3"/>
  <c r="H2749" i="3"/>
  <c r="H3212" i="3"/>
  <c r="H3463" i="3"/>
  <c r="H3681" i="3"/>
  <c r="H4090" i="3"/>
  <c r="H5165" i="3"/>
  <c r="H5169" i="3"/>
  <c r="H5173" i="3"/>
  <c r="H5182" i="3"/>
  <c r="H5184" i="3"/>
  <c r="H5197" i="3"/>
  <c r="H15" i="3"/>
  <c r="H863" i="3"/>
  <c r="H883" i="3"/>
  <c r="H940" i="3"/>
  <c r="H948" i="3"/>
  <c r="H949" i="3"/>
  <c r="H950" i="3"/>
  <c r="H953" i="3"/>
  <c r="H956" i="3"/>
  <c r="H957" i="3"/>
  <c r="H1728" i="3"/>
  <c r="H1792" i="3"/>
  <c r="H1794" i="3"/>
  <c r="H1795" i="3"/>
  <c r="H1797" i="3"/>
  <c r="H2051" i="3"/>
  <c r="H2530" i="3"/>
  <c r="H2779" i="3"/>
  <c r="H2780" i="3"/>
  <c r="H2792" i="3"/>
  <c r="H2808" i="3"/>
  <c r="H2810" i="3"/>
  <c r="H2811" i="3"/>
  <c r="H2812" i="3"/>
  <c r="H2814" i="3"/>
  <c r="H5389" i="3"/>
  <c r="H2796" i="3"/>
  <c r="H1090" i="3"/>
  <c r="H2073" i="3"/>
  <c r="H5019" i="3"/>
  <c r="H5145" i="3"/>
  <c r="H2939" i="3"/>
  <c r="L11" i="1"/>
  <c r="H5581" i="3"/>
  <c r="H5580" i="3"/>
  <c r="H5579" i="3"/>
  <c r="H5578" i="3"/>
  <c r="H5577" i="3"/>
  <c r="H5576" i="3"/>
  <c r="H5575" i="3"/>
  <c r="H5574" i="3"/>
  <c r="H5573" i="3"/>
  <c r="H5572" i="3"/>
  <c r="H5571" i="3"/>
  <c r="H5570" i="3"/>
  <c r="H5569" i="3"/>
  <c r="H5568" i="3"/>
  <c r="H5567" i="3"/>
  <c r="H5554" i="3"/>
  <c r="H5552" i="3"/>
  <c r="H5551" i="3"/>
  <c r="H5549" i="3"/>
  <c r="H5548" i="3"/>
  <c r="H5547" i="3"/>
  <c r="H5546" i="3"/>
  <c r="H5544" i="3"/>
  <c r="H5543" i="3"/>
  <c r="H5541" i="3"/>
  <c r="H5535" i="3"/>
  <c r="H5534" i="3"/>
  <c r="H5533" i="3"/>
  <c r="H5532" i="3"/>
  <c r="H5531" i="3"/>
  <c r="H5530" i="3"/>
  <c r="H5526" i="3"/>
  <c r="H5525" i="3"/>
  <c r="H5524" i="3"/>
  <c r="H5523" i="3"/>
  <c r="H5522" i="3"/>
  <c r="H5521" i="3"/>
  <c r="H5518" i="3"/>
  <c r="H5517" i="3"/>
  <c r="H5516" i="3"/>
  <c r="H5515" i="3"/>
  <c r="H5514" i="3"/>
  <c r="H5513" i="3"/>
  <c r="H5512" i="3"/>
  <c r="H5511" i="3"/>
  <c r="H5510" i="3"/>
  <c r="H5509" i="3"/>
  <c r="H5508" i="3"/>
  <c r="H5507" i="3"/>
  <c r="H5506" i="3"/>
  <c r="H5505" i="3"/>
  <c r="H5504" i="3"/>
  <c r="H5503" i="3"/>
  <c r="H5502" i="3"/>
  <c r="H5501" i="3"/>
  <c r="H5500" i="3"/>
  <c r="H5499" i="3"/>
  <c r="H5498" i="3"/>
  <c r="H5497" i="3"/>
  <c r="H5496" i="3"/>
  <c r="H5495" i="3"/>
  <c r="H5494" i="3"/>
  <c r="H5493" i="3"/>
  <c r="H5492" i="3"/>
  <c r="H5491" i="3"/>
  <c r="H5490" i="3"/>
  <c r="H5489" i="3"/>
  <c r="H5488" i="3"/>
  <c r="H5487" i="3"/>
  <c r="H5486" i="3"/>
  <c r="H5485" i="3"/>
  <c r="H5484" i="3"/>
  <c r="H5483" i="3"/>
  <c r="H5482" i="3"/>
  <c r="H5481" i="3"/>
  <c r="H5479" i="3"/>
  <c r="H5478" i="3"/>
  <c r="H5477" i="3"/>
  <c r="H5476" i="3"/>
  <c r="H5475" i="3"/>
  <c r="H5474" i="3"/>
  <c r="H5473" i="3"/>
  <c r="H5471" i="3"/>
  <c r="H5470" i="3"/>
  <c r="H5469" i="3"/>
  <c r="H5468" i="3"/>
  <c r="H5467" i="3"/>
  <c r="H5466" i="3"/>
  <c r="H5465" i="3"/>
  <c r="H5464" i="3"/>
  <c r="H5463" i="3"/>
  <c r="H5462" i="3"/>
  <c r="H5461" i="3"/>
  <c r="H5460" i="3"/>
  <c r="H5459" i="3"/>
  <c r="H5458" i="3"/>
  <c r="H5457" i="3"/>
  <c r="H5456" i="3"/>
  <c r="H5455" i="3"/>
  <c r="H5454" i="3"/>
  <c r="H5453" i="3"/>
  <c r="H5452" i="3"/>
  <c r="H5451" i="3"/>
  <c r="H5450" i="3"/>
  <c r="H5449" i="3"/>
  <c r="H5448" i="3"/>
  <c r="H5446" i="3"/>
  <c r="H5445" i="3"/>
  <c r="H5444" i="3"/>
  <c r="H5443" i="3"/>
  <c r="H5442" i="3"/>
  <c r="H5441" i="3"/>
  <c r="H5440" i="3"/>
  <c r="H5439" i="3"/>
  <c r="H5438" i="3"/>
  <c r="H5437" i="3"/>
  <c r="H5436" i="3"/>
  <c r="H5435" i="3"/>
  <c r="H5434" i="3"/>
  <c r="H5433" i="3"/>
  <c r="H5431" i="3"/>
  <c r="H5430" i="3"/>
  <c r="H5429" i="3"/>
  <c r="H5428" i="3"/>
  <c r="H5427" i="3"/>
  <c r="H5426" i="3"/>
  <c r="H5425" i="3"/>
  <c r="H5424" i="3"/>
  <c r="H5423" i="3"/>
  <c r="H5422" i="3"/>
  <c r="H5421" i="3"/>
  <c r="H5420" i="3"/>
  <c r="H5419" i="3"/>
  <c r="H5418" i="3"/>
  <c r="H5417" i="3"/>
  <c r="H5416" i="3"/>
  <c r="H5415" i="3"/>
  <c r="H5414" i="3"/>
  <c r="H5413" i="3"/>
  <c r="H5412" i="3"/>
  <c r="H5411" i="3"/>
  <c r="H5410" i="3"/>
  <c r="H5409" i="3"/>
  <c r="H5408" i="3"/>
  <c r="H5407" i="3"/>
  <c r="H5406" i="3"/>
  <c r="H5405" i="3"/>
  <c r="H5404" i="3"/>
  <c r="H5403" i="3"/>
  <c r="H5402" i="3"/>
  <c r="H5401" i="3"/>
  <c r="H5400" i="3"/>
  <c r="H5399" i="3"/>
  <c r="H5398" i="3"/>
  <c r="H5397" i="3"/>
  <c r="H5396" i="3"/>
  <c r="H5395" i="3"/>
  <c r="H5394" i="3"/>
  <c r="H5393" i="3"/>
  <c r="H5392" i="3"/>
  <c r="H5391" i="3"/>
  <c r="H5390" i="3"/>
  <c r="H5387" i="3"/>
  <c r="H5386" i="3"/>
  <c r="H5385" i="3"/>
  <c r="H5383" i="3"/>
  <c r="H5382" i="3"/>
  <c r="H5381" i="3"/>
  <c r="H5380" i="3"/>
  <c r="H5379" i="3"/>
  <c r="H5378" i="3"/>
  <c r="H5377" i="3"/>
  <c r="H5376" i="3"/>
  <c r="H5375" i="3"/>
  <c r="H5374" i="3"/>
  <c r="H5373" i="3"/>
  <c r="H5372" i="3"/>
  <c r="H5371" i="3"/>
  <c r="H5370" i="3"/>
  <c r="H5369" i="3"/>
  <c r="H5368" i="3"/>
  <c r="H5367" i="3"/>
  <c r="H5366" i="3"/>
  <c r="H5365" i="3"/>
  <c r="H5364" i="3"/>
  <c r="H5363" i="3"/>
  <c r="H5362" i="3"/>
  <c r="H5361" i="3"/>
  <c r="H5360" i="3"/>
  <c r="H5359" i="3"/>
  <c r="H5358" i="3"/>
  <c r="H5357" i="3"/>
  <c r="H5356" i="3"/>
  <c r="H5355" i="3"/>
  <c r="H5354" i="3"/>
  <c r="H5353" i="3"/>
  <c r="H5352" i="3"/>
  <c r="H5351" i="3"/>
  <c r="H5350" i="3"/>
  <c r="H5349" i="3"/>
  <c r="H5348" i="3"/>
  <c r="H5347" i="3"/>
  <c r="H5346" i="3"/>
  <c r="H5345" i="3"/>
  <c r="H5344" i="3"/>
  <c r="H5343" i="3"/>
  <c r="H5342" i="3"/>
  <c r="H5341" i="3"/>
  <c r="H5340" i="3"/>
  <c r="H5339" i="3"/>
  <c r="H5338" i="3"/>
  <c r="H5337" i="3"/>
  <c r="H5336" i="3"/>
  <c r="H5335" i="3"/>
  <c r="H5334" i="3"/>
  <c r="H5333" i="3"/>
  <c r="H5332" i="3"/>
  <c r="H5331" i="3"/>
  <c r="H5330" i="3"/>
  <c r="H5329" i="3"/>
  <c r="H5328" i="3"/>
  <c r="H5327" i="3"/>
  <c r="H5326" i="3"/>
  <c r="H5325" i="3"/>
  <c r="H5324" i="3"/>
  <c r="H5323" i="3"/>
  <c r="H5322" i="3"/>
  <c r="H5321" i="3"/>
  <c r="H5320" i="3"/>
  <c r="H5319" i="3"/>
  <c r="H5318" i="3"/>
  <c r="H5317" i="3"/>
  <c r="H5316" i="3"/>
  <c r="H5315" i="3"/>
  <c r="H5314" i="3"/>
  <c r="H5313" i="3"/>
  <c r="H5312" i="3"/>
  <c r="H5311" i="3"/>
  <c r="H5310" i="3"/>
  <c r="H5309" i="3"/>
  <c r="H5308" i="3"/>
  <c r="H5306" i="3"/>
  <c r="H5305" i="3"/>
  <c r="H5304" i="3"/>
  <c r="H5303" i="3"/>
  <c r="H5301" i="3"/>
  <c r="H5300" i="3"/>
  <c r="H5299" i="3"/>
  <c r="H5298" i="3"/>
  <c r="H5297" i="3"/>
  <c r="H5296" i="3"/>
  <c r="H5295" i="3"/>
  <c r="H5294" i="3"/>
  <c r="H5293" i="3"/>
  <c r="H5292" i="3"/>
  <c r="H5291" i="3"/>
  <c r="H5290" i="3"/>
  <c r="H5289" i="3"/>
  <c r="H5288" i="3"/>
  <c r="H5279" i="3"/>
  <c r="H5276" i="3"/>
  <c r="H5275" i="3"/>
  <c r="H5274" i="3"/>
  <c r="H5273" i="3"/>
  <c r="H5272" i="3"/>
  <c r="H5271" i="3"/>
  <c r="H5270" i="3"/>
  <c r="H5269" i="3"/>
  <c r="H5268" i="3"/>
  <c r="H5267" i="3"/>
  <c r="H5266" i="3"/>
  <c r="H5265" i="3"/>
  <c r="H5264" i="3"/>
  <c r="H5263" i="3"/>
  <c r="H5262" i="3"/>
  <c r="H5261" i="3"/>
  <c r="H5260" i="3"/>
  <c r="H5259" i="3"/>
  <c r="H5258" i="3"/>
  <c r="H5257" i="3"/>
  <c r="H5256" i="3"/>
  <c r="H5255" i="3"/>
  <c r="H5254" i="3"/>
  <c r="H5253" i="3"/>
  <c r="H5252" i="3"/>
  <c r="H5251" i="3"/>
  <c r="H5250" i="3"/>
  <c r="H5249" i="3"/>
  <c r="H5248" i="3"/>
  <c r="H5247" i="3"/>
  <c r="H5246" i="3"/>
  <c r="H5245" i="3"/>
  <c r="H5244" i="3"/>
  <c r="H5243" i="3"/>
  <c r="H5242" i="3"/>
  <c r="H5241" i="3"/>
  <c r="H5240" i="3"/>
  <c r="H5239" i="3"/>
  <c r="H5238" i="3"/>
  <c r="H5237" i="3"/>
  <c r="H5236" i="3"/>
  <c r="H5235" i="3"/>
  <c r="H5234" i="3"/>
  <c r="H5233" i="3"/>
  <c r="H5232" i="3"/>
  <c r="H5231" i="3"/>
  <c r="H5230" i="3"/>
  <c r="H5229" i="3"/>
  <c r="H5228" i="3"/>
  <c r="H5227" i="3"/>
  <c r="H5226" i="3"/>
  <c r="H5225" i="3"/>
  <c r="H5224" i="3"/>
  <c r="H5223" i="3"/>
  <c r="H5222" i="3"/>
  <c r="H5221" i="3"/>
  <c r="H5220" i="3"/>
  <c r="H5219" i="3"/>
  <c r="H5218" i="3"/>
  <c r="H5217" i="3"/>
  <c r="H5153" i="3"/>
  <c r="H5152" i="3"/>
  <c r="H5151" i="3"/>
  <c r="H5150" i="3"/>
  <c r="H5149" i="3"/>
  <c r="H5148" i="3"/>
  <c r="H5147" i="3"/>
  <c r="H5146" i="3"/>
  <c r="H5144" i="3"/>
  <c r="H5143" i="3"/>
  <c r="H5141" i="3"/>
  <c r="H5140" i="3"/>
  <c r="H5139" i="3"/>
  <c r="H5138" i="3"/>
  <c r="H5137" i="3"/>
  <c r="H5136" i="3"/>
  <c r="H5135" i="3"/>
  <c r="H5134" i="3"/>
  <c r="H5133" i="3"/>
  <c r="H5132" i="3"/>
  <c r="H5131" i="3"/>
  <c r="H5130" i="3"/>
  <c r="H5129" i="3"/>
  <c r="H5128" i="3"/>
  <c r="H5127" i="3"/>
  <c r="H5126" i="3"/>
  <c r="H5125" i="3"/>
  <c r="H5124" i="3"/>
  <c r="H5123" i="3"/>
  <c r="H5121" i="3"/>
  <c r="H5120" i="3"/>
  <c r="H5119" i="3"/>
  <c r="H5118" i="3"/>
  <c r="H5116" i="3"/>
  <c r="H5115" i="3"/>
  <c r="H5114" i="3"/>
  <c r="H5113" i="3"/>
  <c r="H5112" i="3"/>
  <c r="H5111" i="3"/>
  <c r="H5110" i="3"/>
  <c r="H5108" i="3"/>
  <c r="H5106" i="3"/>
  <c r="H5105" i="3"/>
  <c r="H5104" i="3"/>
  <c r="H5103" i="3"/>
  <c r="H5102" i="3"/>
  <c r="H5101" i="3"/>
  <c r="H5100" i="3"/>
  <c r="H5099" i="3"/>
  <c r="H5098" i="3"/>
  <c r="H5097" i="3"/>
  <c r="H5096" i="3"/>
  <c r="H5095" i="3"/>
  <c r="H5094" i="3"/>
  <c r="H5093" i="3"/>
  <c r="H5092" i="3"/>
  <c r="H5091" i="3"/>
  <c r="H5090" i="3"/>
  <c r="H5089" i="3"/>
  <c r="H5088" i="3"/>
  <c r="H5087" i="3"/>
  <c r="H5086" i="3"/>
  <c r="H5085" i="3"/>
  <c r="H5084" i="3"/>
  <c r="H5083" i="3"/>
  <c r="H5082" i="3"/>
  <c r="H5081" i="3"/>
  <c r="H5080" i="3"/>
  <c r="H5079" i="3"/>
  <c r="H5078" i="3"/>
  <c r="H5077" i="3"/>
  <c r="H5076" i="3"/>
  <c r="H5075" i="3"/>
  <c r="H5074" i="3"/>
  <c r="H5073" i="3"/>
  <c r="H5072" i="3"/>
  <c r="H5071" i="3"/>
  <c r="H5070" i="3"/>
  <c r="H5069" i="3"/>
  <c r="H5068" i="3"/>
  <c r="H5067" i="3"/>
  <c r="H5066" i="3"/>
  <c r="H5065" i="3"/>
  <c r="H5064" i="3"/>
  <c r="H5063" i="3"/>
  <c r="H5062" i="3"/>
  <c r="H5061" i="3"/>
  <c r="H5060" i="3"/>
  <c r="H5059" i="3"/>
  <c r="H5058" i="3"/>
  <c r="H5057" i="3"/>
  <c r="H5056" i="3"/>
  <c r="H5055" i="3"/>
  <c r="H5053" i="3"/>
  <c r="H5052" i="3"/>
  <c r="H5051" i="3"/>
  <c r="H5050" i="3"/>
  <c r="H5049" i="3"/>
  <c r="H5048" i="3"/>
  <c r="H5047" i="3"/>
  <c r="H5046" i="3"/>
  <c r="H5045" i="3"/>
  <c r="H5044" i="3"/>
  <c r="H5043" i="3"/>
  <c r="H5042" i="3"/>
  <c r="H5041" i="3"/>
  <c r="H5040" i="3"/>
  <c r="H5039" i="3"/>
  <c r="H5038" i="3"/>
  <c r="H5037" i="3"/>
  <c r="H5036" i="3"/>
  <c r="H5035" i="3"/>
  <c r="H5034" i="3"/>
  <c r="H5033" i="3"/>
  <c r="H5032" i="3"/>
  <c r="H5030" i="3"/>
  <c r="H5029" i="3"/>
  <c r="H5028" i="3"/>
  <c r="H5027" i="3"/>
  <c r="H5026" i="3"/>
  <c r="H5025" i="3"/>
  <c r="H5024" i="3"/>
  <c r="H5023" i="3"/>
  <c r="H5022" i="3"/>
  <c r="H5021" i="3"/>
  <c r="H5020" i="3"/>
  <c r="H5018" i="3"/>
  <c r="H5017" i="3"/>
  <c r="H5016" i="3"/>
  <c r="H5015" i="3"/>
  <c r="H5014" i="3"/>
  <c r="H5013" i="3"/>
  <c r="H5012" i="3"/>
  <c r="H5011" i="3"/>
  <c r="H5010" i="3"/>
  <c r="H5009" i="3"/>
  <c r="H5008" i="3"/>
  <c r="H5007" i="3"/>
  <c r="H5006" i="3"/>
  <c r="H5005" i="3"/>
  <c r="H5004" i="3"/>
  <c r="H5003" i="3"/>
  <c r="H5002" i="3"/>
  <c r="H5001" i="3"/>
  <c r="H5000" i="3"/>
  <c r="H4999" i="3"/>
  <c r="H4997" i="3"/>
  <c r="H4996" i="3"/>
  <c r="H4995" i="3"/>
  <c r="H4994" i="3"/>
  <c r="H4993" i="3"/>
  <c r="H4992" i="3"/>
  <c r="H4991" i="3"/>
  <c r="H4990" i="3"/>
  <c r="H4989" i="3"/>
  <c r="H4988" i="3"/>
  <c r="H4987" i="3"/>
  <c r="H4986" i="3"/>
  <c r="H4985" i="3"/>
  <c r="H4984" i="3"/>
  <c r="H4983" i="3"/>
  <c r="H4982" i="3"/>
  <c r="H4981" i="3"/>
  <c r="H4980" i="3"/>
  <c r="H4979" i="3"/>
  <c r="H4978" i="3"/>
  <c r="H4977" i="3"/>
  <c r="H4976" i="3"/>
  <c r="H4975" i="3"/>
  <c r="H4974" i="3"/>
  <c r="H4973" i="3"/>
  <c r="H4972" i="3"/>
  <c r="H4971" i="3"/>
  <c r="H4970" i="3"/>
  <c r="H4969" i="3"/>
  <c r="H4968" i="3"/>
  <c r="H4967" i="3"/>
  <c r="H4966" i="3"/>
  <c r="H4965" i="3"/>
  <c r="H4964" i="3"/>
  <c r="H4963" i="3"/>
  <c r="H4962" i="3"/>
  <c r="H4960" i="3"/>
  <c r="H4959" i="3"/>
  <c r="H4958" i="3"/>
  <c r="H4957" i="3"/>
  <c r="H4956" i="3"/>
  <c r="H4955" i="3"/>
  <c r="H4954" i="3"/>
  <c r="H4952" i="3"/>
  <c r="H4951" i="3"/>
  <c r="H4950" i="3"/>
  <c r="H4949" i="3"/>
  <c r="H4948" i="3"/>
  <c r="H4947" i="3"/>
  <c r="H4946" i="3"/>
  <c r="H4945" i="3"/>
  <c r="H4944" i="3"/>
  <c r="H4943" i="3"/>
  <c r="H4942" i="3"/>
  <c r="H4941" i="3"/>
  <c r="H4940" i="3"/>
  <c r="H4939" i="3"/>
  <c r="H4938" i="3"/>
  <c r="H4937" i="3"/>
  <c r="H4936" i="3"/>
  <c r="H4935" i="3"/>
  <c r="H4934" i="3"/>
  <c r="H4933" i="3"/>
  <c r="H4932" i="3"/>
  <c r="H4931" i="3"/>
  <c r="H4930" i="3"/>
  <c r="H4929" i="3"/>
  <c r="H4928" i="3"/>
  <c r="H4927" i="3"/>
  <c r="H4926" i="3"/>
  <c r="H4925" i="3"/>
  <c r="H4924" i="3"/>
  <c r="H4923" i="3"/>
  <c r="H4922" i="3"/>
  <c r="H4921" i="3"/>
  <c r="H4920" i="3"/>
  <c r="H4919" i="3"/>
  <c r="H4917" i="3"/>
  <c r="H4916" i="3"/>
  <c r="H4915" i="3"/>
  <c r="H4914" i="3"/>
  <c r="H4913" i="3"/>
  <c r="H4912" i="3"/>
  <c r="H4911" i="3"/>
  <c r="H4910" i="3"/>
  <c r="H4909" i="3"/>
  <c r="H4908" i="3"/>
  <c r="H4907" i="3"/>
  <c r="H4906" i="3"/>
  <c r="H4905" i="3"/>
  <c r="H4904" i="3"/>
  <c r="H4903" i="3"/>
  <c r="H4902" i="3"/>
  <c r="H4901" i="3"/>
  <c r="H4900" i="3"/>
  <c r="H4899" i="3"/>
  <c r="H4898" i="3"/>
  <c r="H4897" i="3"/>
  <c r="H4896" i="3"/>
  <c r="H4895" i="3"/>
  <c r="H4894" i="3"/>
  <c r="H4893" i="3"/>
  <c r="H4892" i="3"/>
  <c r="H4891" i="3"/>
  <c r="H4890" i="3"/>
  <c r="H4889" i="3"/>
  <c r="H4888" i="3"/>
  <c r="H4887" i="3"/>
  <c r="H4886" i="3"/>
  <c r="H4885" i="3"/>
  <c r="H4884" i="3"/>
  <c r="H4883" i="3"/>
  <c r="H4882" i="3"/>
  <c r="H4881" i="3"/>
  <c r="H4880" i="3"/>
  <c r="H4879" i="3"/>
  <c r="H4878" i="3"/>
  <c r="H4877" i="3"/>
  <c r="H4876" i="3"/>
  <c r="H4875" i="3"/>
  <c r="H4874" i="3"/>
  <c r="H4873" i="3"/>
  <c r="H4872" i="3"/>
  <c r="H4871" i="3"/>
  <c r="H4870" i="3"/>
  <c r="H4869" i="3"/>
  <c r="H4868" i="3"/>
  <c r="H4867" i="3"/>
  <c r="H4866" i="3"/>
  <c r="H4865" i="3"/>
  <c r="H4864" i="3"/>
  <c r="H4863" i="3"/>
  <c r="H4862" i="3"/>
  <c r="H4861" i="3"/>
  <c r="H4860" i="3"/>
  <c r="H4859" i="3"/>
  <c r="H4858" i="3"/>
  <c r="H4857" i="3"/>
  <c r="H4856" i="3"/>
  <c r="H4855" i="3"/>
  <c r="H4854" i="3"/>
  <c r="H4853" i="3"/>
  <c r="H4852" i="3"/>
  <c r="H4851" i="3"/>
  <c r="H4850" i="3"/>
  <c r="H4849" i="3"/>
  <c r="H4847" i="3"/>
  <c r="H4846" i="3"/>
  <c r="H4845" i="3"/>
  <c r="H4844" i="3"/>
  <c r="H4843" i="3"/>
  <c r="H4842" i="3"/>
  <c r="H4841" i="3"/>
  <c r="H4840" i="3"/>
  <c r="H4839" i="3"/>
  <c r="H4838" i="3"/>
  <c r="H4837" i="3"/>
  <c r="H4836" i="3"/>
  <c r="H4835" i="3"/>
  <c r="H4834" i="3"/>
  <c r="H4833" i="3"/>
  <c r="H4832" i="3"/>
  <c r="H4831" i="3"/>
  <c r="H4830" i="3"/>
  <c r="H4829" i="3"/>
  <c r="H4828" i="3"/>
  <c r="H4827" i="3"/>
  <c r="H4826" i="3"/>
  <c r="H4825" i="3"/>
  <c r="H4824" i="3"/>
  <c r="H4823" i="3"/>
  <c r="H4822" i="3"/>
  <c r="H4821" i="3"/>
  <c r="H4820" i="3"/>
  <c r="H4819" i="3"/>
  <c r="H4818" i="3"/>
  <c r="H4817" i="3"/>
  <c r="H4816" i="3"/>
  <c r="H4815" i="3"/>
  <c r="H4814" i="3"/>
  <c r="H4813" i="3"/>
  <c r="H4812" i="3"/>
  <c r="H4811" i="3"/>
  <c r="H4810" i="3"/>
  <c r="H4809" i="3"/>
  <c r="H4808" i="3"/>
  <c r="H4807" i="3"/>
  <c r="H4806" i="3"/>
  <c r="H4805" i="3"/>
  <c r="H4804" i="3"/>
  <c r="H4802" i="3"/>
  <c r="H4801" i="3"/>
  <c r="H4799" i="3"/>
  <c r="H4798" i="3"/>
  <c r="H4797" i="3"/>
  <c r="H4796" i="3"/>
  <c r="H4795" i="3"/>
  <c r="H4794" i="3"/>
  <c r="H4793" i="3"/>
  <c r="H4792" i="3"/>
  <c r="H4791" i="3"/>
  <c r="H4790" i="3"/>
  <c r="H4789" i="3"/>
  <c r="H4788" i="3"/>
  <c r="H4787" i="3"/>
  <c r="H4786" i="3"/>
  <c r="H4785" i="3"/>
  <c r="H4784" i="3"/>
  <c r="H4783" i="3"/>
  <c r="H4782" i="3"/>
  <c r="H4781" i="3"/>
  <c r="H4780" i="3"/>
  <c r="H4779" i="3"/>
  <c r="H4778" i="3"/>
  <c r="H4777" i="3"/>
  <c r="H4776" i="3"/>
  <c r="H4775" i="3"/>
  <c r="H4774" i="3"/>
  <c r="H4773" i="3"/>
  <c r="H4771" i="3"/>
  <c r="H4769" i="3"/>
  <c r="H4768" i="3"/>
  <c r="H4767" i="3"/>
  <c r="H4766" i="3"/>
  <c r="H4765" i="3"/>
  <c r="H4764" i="3"/>
  <c r="H4763" i="3"/>
  <c r="H4762" i="3"/>
  <c r="H4761" i="3"/>
  <c r="H4760" i="3"/>
  <c r="H4759" i="3"/>
  <c r="H4758" i="3"/>
  <c r="H4757" i="3"/>
  <c r="H4756" i="3"/>
  <c r="H4755" i="3"/>
  <c r="H4754" i="3"/>
  <c r="H4753" i="3"/>
  <c r="H4752" i="3"/>
  <c r="H4751" i="3"/>
  <c r="H4750" i="3"/>
  <c r="H4748" i="3"/>
  <c r="H4747" i="3"/>
  <c r="H4746" i="3"/>
  <c r="H4745" i="3"/>
  <c r="H4744" i="3"/>
  <c r="H4743" i="3"/>
  <c r="H4742" i="3"/>
  <c r="H4741" i="3"/>
  <c r="H4740" i="3"/>
  <c r="H4737" i="3"/>
  <c r="H4736" i="3"/>
  <c r="H4735" i="3"/>
  <c r="H4734" i="3"/>
  <c r="H4733" i="3"/>
  <c r="H4732" i="3"/>
  <c r="H4731" i="3"/>
  <c r="H4730" i="3"/>
  <c r="H4729" i="3"/>
  <c r="H4728" i="3"/>
  <c r="H4727" i="3"/>
  <c r="H4726" i="3"/>
  <c r="H4725" i="3"/>
  <c r="H4721" i="3"/>
  <c r="H4720" i="3"/>
  <c r="H4719" i="3"/>
  <c r="H4718" i="3"/>
  <c r="H4717" i="3"/>
  <c r="H4716" i="3"/>
  <c r="H4715" i="3"/>
  <c r="H4714" i="3"/>
  <c r="H4713" i="3"/>
  <c r="H4711" i="3"/>
  <c r="H4709" i="3"/>
  <c r="H4708" i="3"/>
  <c r="H4706" i="3"/>
  <c r="H4705" i="3"/>
  <c r="H4704" i="3"/>
  <c r="H4703" i="3"/>
  <c r="H4701" i="3"/>
  <c r="H4700" i="3"/>
  <c r="H4699" i="3"/>
  <c r="H4698" i="3"/>
  <c r="H4697" i="3"/>
  <c r="H4696" i="3"/>
  <c r="H4695" i="3"/>
  <c r="H4694" i="3"/>
  <c r="H4693" i="3"/>
  <c r="H4692" i="3"/>
  <c r="H4691" i="3"/>
  <c r="H4690" i="3"/>
  <c r="H4689" i="3"/>
  <c r="H4688" i="3"/>
  <c r="H4687" i="3"/>
  <c r="H4686" i="3"/>
  <c r="H4685" i="3"/>
  <c r="H4684" i="3"/>
  <c r="H4683" i="3"/>
  <c r="H4682" i="3"/>
  <c r="H4681" i="3"/>
  <c r="H4680" i="3"/>
  <c r="H4679" i="3"/>
  <c r="H4678" i="3"/>
  <c r="H4677" i="3"/>
  <c r="H4676" i="3"/>
  <c r="H4675" i="3"/>
  <c r="H4674" i="3"/>
  <c r="H4673" i="3"/>
  <c r="H4672" i="3"/>
  <c r="H4671" i="3"/>
  <c r="H4669" i="3"/>
  <c r="H4668" i="3"/>
  <c r="H4667" i="3"/>
  <c r="H4666" i="3"/>
  <c r="H4665" i="3"/>
  <c r="H4664" i="3"/>
  <c r="H4663" i="3"/>
  <c r="H4662" i="3"/>
  <c r="H4661" i="3"/>
  <c r="H4660" i="3"/>
  <c r="H4659" i="3"/>
  <c r="H4658" i="3"/>
  <c r="H4657" i="3"/>
  <c r="H4656" i="3"/>
  <c r="H4655" i="3"/>
  <c r="H4654" i="3"/>
  <c r="H4653" i="3"/>
  <c r="H4652" i="3"/>
  <c r="H4651" i="3"/>
  <c r="H4650" i="3"/>
  <c r="H4649" i="3"/>
  <c r="H4648" i="3"/>
  <c r="H4647" i="3"/>
  <c r="H4646" i="3"/>
  <c r="H4645" i="3"/>
  <c r="H4644" i="3"/>
  <c r="H4642" i="3"/>
  <c r="H4641" i="3"/>
  <c r="H4640" i="3"/>
  <c r="H4639" i="3"/>
  <c r="H4638" i="3"/>
  <c r="H4637" i="3"/>
  <c r="H4636" i="3"/>
  <c r="H4635" i="3"/>
  <c r="H4634" i="3"/>
  <c r="H4633" i="3"/>
  <c r="H4632" i="3"/>
  <c r="H4631" i="3"/>
  <c r="H4630" i="3"/>
  <c r="H4629" i="3"/>
  <c r="H4628" i="3"/>
  <c r="H4627" i="3"/>
  <c r="H4626" i="3"/>
  <c r="H4625" i="3"/>
  <c r="H4624" i="3"/>
  <c r="H4623" i="3"/>
  <c r="H4622" i="3"/>
  <c r="H4621" i="3"/>
  <c r="H4620" i="3"/>
  <c r="H4619" i="3"/>
  <c r="H4618" i="3"/>
  <c r="H4617" i="3"/>
  <c r="H4616" i="3"/>
  <c r="H4614" i="3"/>
  <c r="H4613" i="3"/>
  <c r="H4612" i="3"/>
  <c r="H4610" i="3"/>
  <c r="H4609" i="3"/>
  <c r="H4608" i="3"/>
  <c r="H4607" i="3"/>
  <c r="H4605" i="3"/>
  <c r="H4604" i="3"/>
  <c r="H4603" i="3"/>
  <c r="H4602" i="3"/>
  <c r="H4601" i="3"/>
  <c r="H4600" i="3"/>
  <c r="H4599" i="3"/>
  <c r="H4598" i="3"/>
  <c r="H4597" i="3"/>
  <c r="H4596" i="3"/>
  <c r="H4595" i="3"/>
  <c r="H4594" i="3"/>
  <c r="H4593" i="3"/>
  <c r="H4592" i="3"/>
  <c r="H4591" i="3"/>
  <c r="H4590" i="3"/>
  <c r="H4589" i="3"/>
  <c r="H4588" i="3"/>
  <c r="H4587" i="3"/>
  <c r="H4586" i="3"/>
  <c r="H4585" i="3"/>
  <c r="H4584" i="3"/>
  <c r="H4583" i="3"/>
  <c r="H4582" i="3"/>
  <c r="H4581" i="3"/>
  <c r="H4580" i="3"/>
  <c r="H4579" i="3"/>
  <c r="H4577" i="3"/>
  <c r="H4576" i="3"/>
  <c r="H4575" i="3"/>
  <c r="H4574" i="3"/>
  <c r="H4573" i="3"/>
  <c r="H4572" i="3"/>
  <c r="H4571" i="3"/>
  <c r="H4570" i="3"/>
  <c r="H4569" i="3"/>
  <c r="H4568" i="3"/>
  <c r="H4567" i="3"/>
  <c r="H4566" i="3"/>
  <c r="H4565" i="3"/>
  <c r="H4564" i="3"/>
  <c r="H4560" i="3"/>
  <c r="H4556" i="3"/>
  <c r="H4555" i="3"/>
  <c r="H4554" i="3"/>
  <c r="H4553" i="3"/>
  <c r="H4552" i="3"/>
  <c r="H4551" i="3"/>
  <c r="H4550" i="3"/>
  <c r="H4548" i="3"/>
  <c r="H4547" i="3"/>
  <c r="H4545" i="3"/>
  <c r="H4544" i="3"/>
  <c r="H4543" i="3"/>
  <c r="H4541" i="3"/>
  <c r="H4540" i="3"/>
  <c r="H4539" i="3"/>
  <c r="H4537" i="3"/>
  <c r="H4536" i="3"/>
  <c r="H4534" i="3"/>
  <c r="H4533" i="3"/>
  <c r="H4532" i="3"/>
  <c r="H4531" i="3"/>
  <c r="H4530" i="3"/>
  <c r="H4529" i="3"/>
  <c r="H4528" i="3"/>
  <c r="H4526" i="3"/>
  <c r="H4525" i="3"/>
  <c r="H4524" i="3"/>
  <c r="H4523" i="3"/>
  <c r="H4522" i="3"/>
  <c r="H4521" i="3"/>
  <c r="H4520" i="3"/>
  <c r="H4519" i="3"/>
  <c r="H4518" i="3"/>
  <c r="H4517" i="3"/>
  <c r="H4516" i="3"/>
  <c r="H4515" i="3"/>
  <c r="H4514" i="3"/>
  <c r="H4513" i="3"/>
  <c r="H4512" i="3"/>
  <c r="H4511" i="3"/>
  <c r="H4510" i="3"/>
  <c r="H4509" i="3"/>
  <c r="H4508" i="3"/>
  <c r="H4507" i="3"/>
  <c r="H4506" i="3"/>
  <c r="H4505" i="3"/>
  <c r="H4504" i="3"/>
  <c r="H4503" i="3"/>
  <c r="H4502" i="3"/>
  <c r="H4501" i="3"/>
  <c r="H4500" i="3"/>
  <c r="H4499" i="3"/>
  <c r="H4498" i="3"/>
  <c r="H4497" i="3"/>
  <c r="H4496" i="3"/>
  <c r="H4495" i="3"/>
  <c r="H4494" i="3"/>
  <c r="H4493" i="3"/>
  <c r="H4492" i="3"/>
  <c r="H4491" i="3"/>
  <c r="H4490" i="3"/>
  <c r="H4489" i="3"/>
  <c r="H4487" i="3"/>
  <c r="H4486" i="3"/>
  <c r="H4484" i="3"/>
  <c r="H4483" i="3"/>
  <c r="H4482" i="3"/>
  <c r="H4481" i="3"/>
  <c r="H4480" i="3"/>
  <c r="H4479" i="3"/>
  <c r="H4478" i="3"/>
  <c r="H4477" i="3"/>
  <c r="H4476" i="3"/>
  <c r="H4475" i="3"/>
  <c r="H4474" i="3"/>
  <c r="H4473" i="3"/>
  <c r="H4472" i="3"/>
  <c r="H4471" i="3"/>
  <c r="H4470" i="3"/>
  <c r="H4469" i="3"/>
  <c r="H4468" i="3"/>
  <c r="H4467" i="3"/>
  <c r="H4464" i="3"/>
  <c r="H4463" i="3"/>
  <c r="H4462" i="3"/>
  <c r="H4461" i="3"/>
  <c r="H4459" i="3"/>
  <c r="H4458" i="3"/>
  <c r="H4457" i="3"/>
  <c r="H4456" i="3"/>
  <c r="H4455" i="3"/>
  <c r="H4454" i="3"/>
  <c r="H4453" i="3"/>
  <c r="H4452" i="3"/>
  <c r="H4451" i="3"/>
  <c r="H4450" i="3"/>
  <c r="H4449" i="3"/>
  <c r="H4447" i="3"/>
  <c r="H4446" i="3"/>
  <c r="H4445" i="3"/>
  <c r="H4444" i="3"/>
  <c r="H4443" i="3"/>
  <c r="H4442" i="3"/>
  <c r="H4441" i="3"/>
  <c r="H4440" i="3"/>
  <c r="H4439" i="3"/>
  <c r="H4438" i="3"/>
  <c r="H4437" i="3"/>
  <c r="H4436" i="3"/>
  <c r="H4435" i="3"/>
  <c r="H4434" i="3"/>
  <c r="H4433" i="3"/>
  <c r="H4432" i="3"/>
  <c r="H4431" i="3"/>
  <c r="H4430" i="3"/>
  <c r="H4429" i="3"/>
  <c r="H4428" i="3"/>
  <c r="H4427" i="3"/>
  <c r="H4426" i="3"/>
  <c r="H4425" i="3"/>
  <c r="H4424" i="3"/>
  <c r="H4423" i="3"/>
  <c r="H4422" i="3"/>
  <c r="H4421" i="3"/>
  <c r="H4420" i="3"/>
  <c r="H4419" i="3"/>
  <c r="H4418" i="3"/>
  <c r="H4417" i="3"/>
  <c r="H4416" i="3"/>
  <c r="H4415" i="3"/>
  <c r="H4414" i="3"/>
  <c r="H4413" i="3"/>
  <c r="H4412" i="3"/>
  <c r="H4410" i="3"/>
  <c r="H4409" i="3"/>
  <c r="H4408" i="3"/>
  <c r="H4407" i="3"/>
  <c r="H4406" i="3"/>
  <c r="H4405" i="3"/>
  <c r="H4403" i="3"/>
  <c r="H4401" i="3"/>
  <c r="H4399" i="3"/>
  <c r="H4397" i="3"/>
  <c r="H4395" i="3"/>
  <c r="H4394" i="3"/>
  <c r="H4393" i="3"/>
  <c r="H4392" i="3"/>
  <c r="H4391" i="3"/>
  <c r="H4390" i="3"/>
  <c r="H4389" i="3"/>
  <c r="H4388" i="3"/>
  <c r="H4386" i="3"/>
  <c r="H4384" i="3"/>
  <c r="H4382" i="3"/>
  <c r="H4381" i="3"/>
  <c r="H4380" i="3"/>
  <c r="H4379" i="3"/>
  <c r="H4378" i="3"/>
  <c r="H4377" i="3"/>
  <c r="H4376" i="3"/>
  <c r="H4375" i="3"/>
  <c r="H4374" i="3"/>
  <c r="H4373" i="3"/>
  <c r="H4372" i="3"/>
  <c r="H4371" i="3"/>
  <c r="H4370" i="3"/>
  <c r="H4369" i="3"/>
  <c r="H4368" i="3"/>
  <c r="H4367" i="3"/>
  <c r="H4366" i="3"/>
  <c r="H4365" i="3"/>
  <c r="H4364" i="3"/>
  <c r="H4363" i="3"/>
  <c r="H4362" i="3"/>
  <c r="H4361" i="3"/>
  <c r="H4360" i="3"/>
  <c r="H4359" i="3"/>
  <c r="H4358" i="3"/>
  <c r="H4357" i="3"/>
  <c r="H4356" i="3"/>
  <c r="H4355" i="3"/>
  <c r="H4354" i="3"/>
  <c r="H4353" i="3"/>
  <c r="H4352" i="3"/>
  <c r="H4351" i="3"/>
  <c r="H4350" i="3"/>
  <c r="H4349" i="3"/>
  <c r="H4348" i="3"/>
  <c r="H4347" i="3"/>
  <c r="H4346" i="3"/>
  <c r="H4345" i="3"/>
  <c r="H4344" i="3"/>
  <c r="H4343" i="3"/>
  <c r="H4342" i="3"/>
  <c r="H4341" i="3"/>
  <c r="H4340" i="3"/>
  <c r="H4339" i="3"/>
  <c r="H4338" i="3"/>
  <c r="H4337" i="3"/>
  <c r="H4336" i="3"/>
  <c r="H4335" i="3"/>
  <c r="H4334" i="3"/>
  <c r="H4333" i="3"/>
  <c r="H4332" i="3"/>
  <c r="H4331" i="3"/>
  <c r="H4330" i="3"/>
  <c r="H4329" i="3"/>
  <c r="H4328" i="3"/>
  <c r="H4327" i="3"/>
  <c r="H4326" i="3"/>
  <c r="H4325" i="3"/>
  <c r="H4324" i="3"/>
  <c r="H4323" i="3"/>
  <c r="H4322" i="3"/>
  <c r="H4321" i="3"/>
  <c r="H4320" i="3"/>
  <c r="H4319" i="3"/>
  <c r="H4318" i="3"/>
  <c r="H4317" i="3"/>
  <c r="H4316" i="3"/>
  <c r="H4315" i="3"/>
  <c r="H4314" i="3"/>
  <c r="H4313" i="3"/>
  <c r="H4312" i="3"/>
  <c r="H4311" i="3"/>
  <c r="H4310" i="3"/>
  <c r="H4309" i="3"/>
  <c r="H4308" i="3"/>
  <c r="H4306" i="3"/>
  <c r="H4304" i="3"/>
  <c r="H4302" i="3"/>
  <c r="H4301" i="3"/>
  <c r="H4300" i="3"/>
  <c r="H4298" i="3"/>
  <c r="H4296" i="3"/>
  <c r="H4294" i="3"/>
  <c r="H4293" i="3"/>
  <c r="H4292" i="3"/>
  <c r="H4291" i="3"/>
  <c r="H4290" i="3"/>
  <c r="H4289" i="3"/>
  <c r="H4288" i="3"/>
  <c r="H4287" i="3"/>
  <c r="H4286" i="3"/>
  <c r="H4285" i="3"/>
  <c r="H4284" i="3"/>
  <c r="H4282" i="3"/>
  <c r="H4281" i="3"/>
  <c r="H4279" i="3"/>
  <c r="H4278" i="3"/>
  <c r="H4277" i="3"/>
  <c r="H4276" i="3"/>
  <c r="H4275" i="3"/>
  <c r="H4274" i="3"/>
  <c r="H4273" i="3"/>
  <c r="H4272" i="3"/>
  <c r="H4271" i="3"/>
  <c r="H4270" i="3"/>
  <c r="H4269" i="3"/>
  <c r="H4268" i="3"/>
  <c r="H4267" i="3"/>
  <c r="H4266" i="3"/>
  <c r="H4265" i="3"/>
  <c r="H4264" i="3"/>
  <c r="H4263" i="3"/>
  <c r="H4262" i="3"/>
  <c r="H4260" i="3"/>
  <c r="H4259" i="3"/>
  <c r="H4258" i="3"/>
  <c r="H4257" i="3"/>
  <c r="H4256" i="3"/>
  <c r="H4255" i="3"/>
  <c r="H4254" i="3"/>
  <c r="H4253" i="3"/>
  <c r="H4252" i="3"/>
  <c r="H4251" i="3"/>
  <c r="H4250" i="3"/>
  <c r="H4249" i="3"/>
  <c r="H4248" i="3"/>
  <c r="H4247" i="3"/>
  <c r="H4246" i="3"/>
  <c r="H4245" i="3"/>
  <c r="H4244" i="3"/>
  <c r="H4243" i="3"/>
  <c r="H4242" i="3"/>
  <c r="H4241" i="3"/>
  <c r="H4240" i="3"/>
  <c r="H4239" i="3"/>
  <c r="H4238" i="3"/>
  <c r="H4237" i="3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1" i="3"/>
  <c r="H4200" i="3"/>
  <c r="H4199" i="3"/>
  <c r="H4198" i="3"/>
  <c r="H4197" i="3"/>
  <c r="H4196" i="3"/>
  <c r="H4195" i="3"/>
  <c r="H4194" i="3"/>
  <c r="H4193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6" i="3"/>
  <c r="H4155" i="3"/>
  <c r="H4154" i="3"/>
  <c r="H4153" i="3"/>
  <c r="H4152" i="3"/>
  <c r="H4151" i="3"/>
  <c r="H4150" i="3"/>
  <c r="H4149" i="3"/>
  <c r="H4148" i="3"/>
  <c r="H4147" i="3"/>
  <c r="H4146" i="3"/>
  <c r="H4145" i="3"/>
  <c r="H4144" i="3"/>
  <c r="H4143" i="3"/>
  <c r="H4142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2" i="3"/>
  <c r="H4121" i="3"/>
  <c r="H4120" i="3"/>
  <c r="H4119" i="3"/>
  <c r="H4118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6" i="3"/>
  <c r="H4025" i="3"/>
  <c r="H4024" i="3"/>
  <c r="H4023" i="3"/>
  <c r="H4022" i="3"/>
  <c r="H4021" i="3"/>
  <c r="H4020" i="3"/>
  <c r="H4019" i="3"/>
  <c r="H4018" i="3"/>
  <c r="H4017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7" i="3"/>
  <c r="H3846" i="3"/>
  <c r="H3845" i="3"/>
  <c r="H3843" i="3"/>
  <c r="H3842" i="3"/>
  <c r="H3841" i="3"/>
  <c r="H3840" i="3"/>
  <c r="H3839" i="3"/>
  <c r="H3838" i="3"/>
  <c r="H3837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2" i="3"/>
  <c r="H3690" i="3"/>
  <c r="H3689" i="3"/>
  <c r="H3688" i="3"/>
  <c r="H3687" i="3"/>
  <c r="H3686" i="3"/>
  <c r="H3685" i="3"/>
  <c r="H3684" i="3"/>
  <c r="H3683" i="3"/>
  <c r="H3682" i="3"/>
  <c r="H3680" i="3"/>
  <c r="H3679" i="3"/>
  <c r="H3678" i="3"/>
  <c r="H3677" i="3"/>
  <c r="H3676" i="3"/>
  <c r="H3660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1" i="3"/>
  <c r="H3580" i="3"/>
  <c r="H3579" i="3"/>
  <c r="H3578" i="3"/>
  <c r="H3577" i="3"/>
  <c r="H3576" i="3"/>
  <c r="H3575" i="3"/>
  <c r="H3574" i="3"/>
  <c r="H3573" i="3"/>
  <c r="H3572" i="3"/>
  <c r="H3571" i="3"/>
  <c r="H3551" i="3"/>
  <c r="H3550" i="3"/>
  <c r="H3549" i="3"/>
  <c r="H3548" i="3"/>
  <c r="H3547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1" i="3"/>
  <c r="H3459" i="3"/>
  <c r="H3458" i="3"/>
  <c r="H3457" i="3"/>
  <c r="H3456" i="3"/>
  <c r="H3454" i="3"/>
  <c r="H3453" i="3"/>
  <c r="H3452" i="3"/>
  <c r="H3450" i="3"/>
  <c r="H3449" i="3"/>
  <c r="H3448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399" i="3"/>
  <c r="H3396" i="3"/>
  <c r="H3395" i="3"/>
  <c r="H3393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4" i="3"/>
  <c r="H3343" i="3"/>
  <c r="H3342" i="3"/>
  <c r="H3341" i="3"/>
  <c r="H3340" i="3"/>
  <c r="H3339" i="3"/>
  <c r="H3337" i="3"/>
  <c r="H3336" i="3"/>
  <c r="H3335" i="3"/>
  <c r="H3334" i="3"/>
  <c r="H3332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3" i="3"/>
  <c r="H3262" i="3"/>
  <c r="H3261" i="3"/>
  <c r="H3260" i="3"/>
  <c r="H3259" i="3"/>
  <c r="H3258" i="3"/>
  <c r="H3257" i="3"/>
  <c r="H3256" i="3"/>
  <c r="H3255" i="3"/>
  <c r="H3254" i="3"/>
  <c r="H3253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1" i="3"/>
  <c r="H3230" i="3"/>
  <c r="H3229" i="3"/>
  <c r="H3228" i="3"/>
  <c r="H3227" i="3"/>
  <c r="H3226" i="3"/>
  <c r="H3225" i="3"/>
  <c r="H3223" i="3"/>
  <c r="H3222" i="3"/>
  <c r="H3221" i="3"/>
  <c r="H3220" i="3"/>
  <c r="H3219" i="3"/>
  <c r="H3218" i="3"/>
  <c r="H3217" i="3"/>
  <c r="H3216" i="3"/>
  <c r="H3215" i="3"/>
  <c r="H3214" i="3"/>
  <c r="H3213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6" i="3"/>
  <c r="H3185" i="3"/>
  <c r="H3184" i="3"/>
  <c r="H3183" i="3"/>
  <c r="H3182" i="3"/>
  <c r="H3180" i="3"/>
  <c r="H3179" i="3"/>
  <c r="H3178" i="3"/>
  <c r="H3177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1" i="3"/>
  <c r="H3160" i="3"/>
  <c r="H3159" i="3"/>
  <c r="H3158" i="3"/>
  <c r="H3156" i="3"/>
  <c r="H3155" i="3"/>
  <c r="H3154" i="3"/>
  <c r="H3153" i="3"/>
  <c r="H3151" i="3"/>
  <c r="H3150" i="3"/>
  <c r="H3149" i="3"/>
  <c r="H3148" i="3"/>
  <c r="H3147" i="3"/>
  <c r="H3146" i="3"/>
  <c r="H3145" i="3"/>
  <c r="H3144" i="3"/>
  <c r="H3143" i="3"/>
  <c r="H3142" i="3"/>
  <c r="H3141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5" i="3"/>
  <c r="H3084" i="3"/>
  <c r="H3083" i="3"/>
  <c r="H3082" i="3"/>
  <c r="H3081" i="3"/>
  <c r="H3080" i="3"/>
  <c r="H3078" i="3"/>
  <c r="H3076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0" i="3"/>
  <c r="H3009" i="3"/>
  <c r="H3008" i="3"/>
  <c r="H3007" i="3"/>
  <c r="H3006" i="3"/>
  <c r="H3004" i="3"/>
  <c r="H3003" i="3"/>
  <c r="H3002" i="3"/>
  <c r="H3001" i="3"/>
  <c r="H3000" i="3"/>
  <c r="H2999" i="3"/>
  <c r="H2998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1" i="3"/>
  <c r="H2950" i="3"/>
  <c r="H2949" i="3"/>
  <c r="H2944" i="3"/>
  <c r="H2943" i="3"/>
  <c r="H2941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899" i="3"/>
  <c r="H2898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2" i="3"/>
  <c r="H2871" i="3"/>
  <c r="H2870" i="3"/>
  <c r="H2868" i="3"/>
  <c r="H2867" i="3"/>
  <c r="H2866" i="3"/>
  <c r="H2865" i="3"/>
  <c r="H2864" i="3"/>
  <c r="H2863" i="3"/>
  <c r="H2862" i="3"/>
  <c r="H2861" i="3"/>
  <c r="H2860" i="3"/>
  <c r="H2859" i="3"/>
  <c r="H2856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799" i="3"/>
  <c r="H2797" i="3"/>
  <c r="H2789" i="3"/>
  <c r="H2788" i="3"/>
  <c r="H2787" i="3"/>
  <c r="H2786" i="3"/>
  <c r="H2785" i="3"/>
  <c r="H2784" i="3"/>
  <c r="H2762" i="3"/>
  <c r="H2757" i="3"/>
  <c r="H2756" i="3"/>
  <c r="H2755" i="3"/>
  <c r="H2754" i="3"/>
  <c r="H2752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4" i="3"/>
  <c r="H2593" i="3"/>
  <c r="H2592" i="3"/>
  <c r="H2591" i="3"/>
  <c r="H2590" i="3"/>
  <c r="H2589" i="3"/>
  <c r="H2588" i="3"/>
  <c r="H2587" i="3"/>
  <c r="H2586" i="3"/>
  <c r="H2585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1" i="3"/>
  <c r="H2550" i="3"/>
  <c r="H2549" i="3"/>
  <c r="H2548" i="3"/>
  <c r="H2547" i="3"/>
  <c r="H2546" i="3"/>
  <c r="H2545" i="3"/>
  <c r="H2539" i="3"/>
  <c r="H2538" i="3"/>
  <c r="H2537" i="3"/>
  <c r="H2536" i="3"/>
  <c r="H2535" i="3"/>
  <c r="H2534" i="3"/>
  <c r="H2533" i="3"/>
  <c r="H2532" i="3"/>
  <c r="H2531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7" i="3"/>
  <c r="H2496" i="3"/>
  <c r="H2495" i="3"/>
  <c r="H2494" i="3"/>
  <c r="H2493" i="3"/>
  <c r="H2492" i="3"/>
  <c r="H2491" i="3"/>
  <c r="H2490" i="3"/>
  <c r="H2489" i="3"/>
  <c r="H2488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39" i="3"/>
  <c r="H2437" i="3"/>
  <c r="H2435" i="3"/>
  <c r="H2433" i="3"/>
  <c r="H2431" i="3"/>
  <c r="H2429" i="3"/>
  <c r="H2427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88" i="3"/>
  <c r="H2387" i="3"/>
  <c r="H2386" i="3"/>
  <c r="H2385" i="3"/>
  <c r="H2384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69" i="3"/>
  <c r="H2268" i="3"/>
  <c r="H2267" i="3"/>
  <c r="H2266" i="3"/>
  <c r="H2265" i="3"/>
  <c r="H2264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09" i="3"/>
  <c r="H2208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8" i="3"/>
  <c r="H2136" i="3"/>
  <c r="H2135" i="3"/>
  <c r="H2134" i="3"/>
  <c r="H2133" i="3"/>
  <c r="H2132" i="3"/>
  <c r="H2131" i="3"/>
  <c r="H2130" i="3"/>
  <c r="H2129" i="3"/>
  <c r="H2128" i="3"/>
  <c r="H2126" i="3"/>
  <c r="H2125" i="3"/>
  <c r="H2124" i="3"/>
  <c r="H2123" i="3"/>
  <c r="H2122" i="3"/>
  <c r="H2121" i="3"/>
  <c r="H2120" i="3"/>
  <c r="H2117" i="3"/>
  <c r="H2116" i="3"/>
  <c r="H2115" i="3"/>
  <c r="H2114" i="3"/>
  <c r="H2113" i="3"/>
  <c r="H2111" i="3"/>
  <c r="H2110" i="3"/>
  <c r="H2109" i="3"/>
  <c r="H2108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7" i="3"/>
  <c r="H2076" i="3"/>
  <c r="H2074" i="3"/>
  <c r="H2072" i="3"/>
  <c r="H2071" i="3"/>
  <c r="H2069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49" i="3"/>
  <c r="H2048" i="3"/>
  <c r="H2047" i="3"/>
  <c r="H2045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08" i="3"/>
  <c r="H2007" i="3"/>
  <c r="H2006" i="3"/>
  <c r="H2005" i="3"/>
  <c r="H2004" i="3"/>
  <c r="H2003" i="3"/>
  <c r="H2002" i="3"/>
  <c r="H2001" i="3"/>
  <c r="H1999" i="3"/>
  <c r="H1997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0" i="3"/>
  <c r="H1899" i="3"/>
  <c r="H1898" i="3"/>
  <c r="H1897" i="3"/>
  <c r="H1896" i="3"/>
  <c r="H1895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791" i="3"/>
  <c r="H1790" i="3"/>
  <c r="H1789" i="3"/>
  <c r="H1788" i="3"/>
  <c r="H1786" i="3"/>
  <c r="H1785" i="3"/>
  <c r="H1784" i="3"/>
  <c r="H1783" i="3"/>
  <c r="H1782" i="3"/>
  <c r="H1781" i="3"/>
  <c r="H1780" i="3"/>
  <c r="H1779" i="3"/>
  <c r="H1778" i="3"/>
  <c r="H1777" i="3"/>
  <c r="H1776" i="3"/>
  <c r="H1774" i="3"/>
  <c r="H1773" i="3"/>
  <c r="H1771" i="3"/>
  <c r="H1770" i="3"/>
  <c r="H1769" i="3"/>
  <c r="H1768" i="3"/>
  <c r="H1767" i="3"/>
  <c r="H1766" i="3"/>
  <c r="H1765" i="3"/>
  <c r="H1732" i="3"/>
  <c r="H1731" i="3"/>
  <c r="H1730" i="3"/>
  <c r="H1729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8" i="3"/>
  <c r="H1587" i="3"/>
  <c r="H1586" i="3"/>
  <c r="H1585" i="3"/>
  <c r="H1584" i="3"/>
  <c r="H1583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2" i="3"/>
  <c r="H1561" i="3"/>
  <c r="H1560" i="3"/>
  <c r="H1559" i="3"/>
  <c r="H1554" i="3"/>
  <c r="H1553" i="3"/>
  <c r="H1552" i="3"/>
  <c r="H1551" i="3"/>
  <c r="H1550" i="3"/>
  <c r="H1549" i="3"/>
  <c r="H1548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6" i="3"/>
  <c r="H1515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0" i="3"/>
  <c r="H1499" i="3"/>
  <c r="H1498" i="3"/>
  <c r="H1496" i="3"/>
  <c r="H1495" i="3"/>
  <c r="H1494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1" i="3"/>
  <c r="H1420" i="3"/>
  <c r="H1419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05" i="3"/>
  <c r="H1104" i="3"/>
  <c r="H1102" i="3"/>
  <c r="H1101" i="3"/>
  <c r="H1100" i="3"/>
  <c r="H1099" i="3"/>
  <c r="H1098" i="3"/>
  <c r="H1097" i="3"/>
  <c r="H1096" i="3"/>
  <c r="H1095" i="3"/>
  <c r="H1094" i="3"/>
  <c r="H1093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43" i="3"/>
  <c r="H942" i="3"/>
  <c r="H931" i="3"/>
  <c r="H930" i="3"/>
  <c r="H929" i="3"/>
  <c r="H927" i="3"/>
  <c r="H926" i="3"/>
  <c r="H925" i="3"/>
  <c r="H924" i="3"/>
  <c r="H922" i="3"/>
  <c r="H921" i="3"/>
  <c r="H920" i="3"/>
  <c r="H919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C5411" i="3"/>
  <c r="C5410" i="3"/>
  <c r="C5409" i="3"/>
  <c r="C5408" i="3"/>
  <c r="C5407" i="3"/>
  <c r="C5406" i="3"/>
  <c r="C5405" i="3"/>
  <c r="C5404" i="3"/>
  <c r="C5403" i="3"/>
  <c r="C5402" i="3"/>
  <c r="C5401" i="3"/>
  <c r="C5400" i="3"/>
  <c r="C5399" i="3"/>
  <c r="C5398" i="3"/>
  <c r="C5397" i="3"/>
  <c r="C5396" i="3"/>
  <c r="C5395" i="3"/>
  <c r="C5394" i="3"/>
  <c r="C5393" i="3"/>
  <c r="C5392" i="3"/>
  <c r="C5391" i="3"/>
  <c r="C5390" i="3"/>
  <c r="C5389" i="3"/>
  <c r="C5388" i="3"/>
  <c r="C5387" i="3"/>
  <c r="C5386" i="3"/>
  <c r="C5385" i="3"/>
  <c r="C5384" i="3"/>
  <c r="C5383" i="3"/>
  <c r="C5382" i="3"/>
  <c r="C5381" i="3"/>
  <c r="C5380" i="3"/>
  <c r="C5379" i="3"/>
  <c r="C5378" i="3"/>
  <c r="C5377" i="3"/>
  <c r="C5376" i="3"/>
  <c r="C5375" i="3"/>
  <c r="C5374" i="3"/>
  <c r="C5373" i="3"/>
  <c r="C5372" i="3"/>
  <c r="C5371" i="3"/>
  <c r="C5370" i="3"/>
  <c r="C5369" i="3"/>
  <c r="C5368" i="3"/>
  <c r="C5367" i="3"/>
  <c r="C5366" i="3"/>
  <c r="C5365" i="3"/>
  <c r="C5364" i="3"/>
  <c r="C5363" i="3"/>
  <c r="C5362" i="3"/>
  <c r="C5361" i="3"/>
  <c r="C5360" i="3"/>
  <c r="C5359" i="3"/>
  <c r="C5358" i="3"/>
  <c r="C5357" i="3"/>
  <c r="C5356" i="3"/>
  <c r="C5355" i="3"/>
  <c r="C5354" i="3"/>
  <c r="C5353" i="3"/>
  <c r="C5352" i="3"/>
  <c r="C5351" i="3"/>
  <c r="C5350" i="3"/>
  <c r="C5349" i="3"/>
  <c r="C5348" i="3"/>
  <c r="C5347" i="3"/>
  <c r="C5346" i="3"/>
  <c r="C5345" i="3"/>
  <c r="C5344" i="3"/>
  <c r="C5343" i="3"/>
  <c r="C5342" i="3"/>
  <c r="C5341" i="3"/>
  <c r="C5340" i="3"/>
  <c r="C5339" i="3"/>
  <c r="C5338" i="3"/>
  <c r="C5337" i="3"/>
  <c r="C5336" i="3"/>
  <c r="C5335" i="3"/>
  <c r="C5334" i="3"/>
  <c r="C5333" i="3"/>
  <c r="C5332" i="3"/>
  <c r="C5331" i="3"/>
  <c r="C5330" i="3"/>
  <c r="C5329" i="3"/>
  <c r="C5328" i="3"/>
  <c r="C5327" i="3"/>
  <c r="C5326" i="3"/>
  <c r="C5325" i="3"/>
  <c r="C5324" i="3"/>
  <c r="C5323" i="3"/>
  <c r="C5322" i="3"/>
  <c r="C5321" i="3"/>
  <c r="C5320" i="3"/>
  <c r="C5319" i="3"/>
  <c r="C5318" i="3"/>
  <c r="C5317" i="3"/>
  <c r="C5316" i="3"/>
  <c r="C5315" i="3"/>
  <c r="C5314" i="3"/>
  <c r="C5313" i="3"/>
  <c r="C5312" i="3"/>
  <c r="C5311" i="3"/>
  <c r="C5310" i="3"/>
  <c r="C5309" i="3"/>
  <c r="C5308" i="3"/>
  <c r="C5307" i="3"/>
  <c r="C5306" i="3"/>
  <c r="C5305" i="3"/>
  <c r="C5304" i="3"/>
  <c r="C5303" i="3"/>
  <c r="C5302" i="3"/>
  <c r="C5301" i="3"/>
  <c r="C5300" i="3"/>
  <c r="C5299" i="3"/>
  <c r="C5298" i="3"/>
  <c r="C5297" i="3"/>
  <c r="C5296" i="3"/>
  <c r="C5295" i="3"/>
  <c r="C5294" i="3"/>
  <c r="C5293" i="3"/>
  <c r="C5292" i="3"/>
  <c r="C5291" i="3"/>
  <c r="C5290" i="3"/>
  <c r="C5289" i="3"/>
  <c r="C5288" i="3"/>
  <c r="C5287" i="3"/>
  <c r="C5286" i="3"/>
  <c r="C5285" i="3"/>
  <c r="C5284" i="3"/>
  <c r="C5283" i="3"/>
  <c r="C5282" i="3"/>
  <c r="C5281" i="3"/>
  <c r="C5280" i="3"/>
  <c r="C5279" i="3"/>
  <c r="C5278" i="3"/>
  <c r="C5277" i="3"/>
  <c r="C5276" i="3"/>
  <c r="C5275" i="3"/>
  <c r="C5274" i="3"/>
  <c r="C5273" i="3"/>
  <c r="C5272" i="3"/>
  <c r="C5271" i="3"/>
  <c r="C5270" i="3"/>
  <c r="C5269" i="3"/>
  <c r="C5268" i="3"/>
  <c r="C5267" i="3"/>
  <c r="C5266" i="3"/>
  <c r="C5265" i="3"/>
  <c r="C5264" i="3"/>
  <c r="C5263" i="3"/>
  <c r="C5262" i="3"/>
  <c r="C5261" i="3"/>
  <c r="C5260" i="3"/>
  <c r="C5259" i="3"/>
  <c r="C5258" i="3"/>
  <c r="C5257" i="3"/>
  <c r="C5256" i="3"/>
  <c r="C5255" i="3"/>
  <c r="C5254" i="3"/>
  <c r="C5253" i="3"/>
  <c r="C5252" i="3"/>
  <c r="C5251" i="3"/>
  <c r="C5250" i="3"/>
  <c r="C5249" i="3"/>
  <c r="C5248" i="3"/>
  <c r="C5247" i="3"/>
  <c r="C5246" i="3"/>
  <c r="C5245" i="3"/>
  <c r="C5244" i="3"/>
  <c r="C5243" i="3"/>
  <c r="C5242" i="3"/>
  <c r="C5241" i="3"/>
  <c r="C5240" i="3"/>
  <c r="C5239" i="3"/>
  <c r="C5238" i="3"/>
  <c r="C5237" i="3"/>
  <c r="C5236" i="3"/>
  <c r="C5235" i="3"/>
  <c r="C5234" i="3"/>
  <c r="C5233" i="3"/>
  <c r="C5232" i="3"/>
  <c r="C5231" i="3"/>
  <c r="C5230" i="3"/>
  <c r="C5229" i="3"/>
  <c r="C5228" i="3"/>
  <c r="C5227" i="3"/>
  <c r="C5226" i="3"/>
  <c r="C5225" i="3"/>
  <c r="C5224" i="3"/>
  <c r="C5223" i="3"/>
  <c r="C5222" i="3"/>
  <c r="C5221" i="3"/>
  <c r="C5220" i="3"/>
  <c r="C5219" i="3"/>
  <c r="C5218" i="3"/>
  <c r="C5217" i="3"/>
  <c r="C5216" i="3"/>
  <c r="C5215" i="3"/>
  <c r="C5214" i="3"/>
  <c r="C5213" i="3"/>
  <c r="C5212" i="3"/>
  <c r="C5211" i="3"/>
  <c r="C5210" i="3"/>
  <c r="C5209" i="3"/>
  <c r="C5208" i="3"/>
  <c r="C5207" i="3"/>
  <c r="C5206" i="3"/>
  <c r="C5205" i="3"/>
  <c r="C5204" i="3"/>
  <c r="C5203" i="3"/>
  <c r="C5202" i="3"/>
  <c r="C5201" i="3"/>
  <c r="C5200" i="3"/>
  <c r="C5199" i="3"/>
  <c r="C5198" i="3"/>
  <c r="C5197" i="3"/>
  <c r="C5196" i="3"/>
  <c r="C5195" i="3"/>
  <c r="C5194" i="3"/>
  <c r="C5193" i="3"/>
  <c r="C5192" i="3"/>
  <c r="C5191" i="3"/>
  <c r="C5190" i="3"/>
  <c r="C5189" i="3"/>
  <c r="C5188" i="3"/>
  <c r="C5187" i="3"/>
  <c r="C5186" i="3"/>
  <c r="C5185" i="3"/>
  <c r="C5184" i="3"/>
  <c r="C5183" i="3"/>
  <c r="C5182" i="3"/>
  <c r="C5181" i="3"/>
  <c r="C5180" i="3"/>
  <c r="C5179" i="3"/>
  <c r="C5178" i="3"/>
  <c r="C5177" i="3"/>
  <c r="C5176" i="3"/>
  <c r="C5175" i="3"/>
  <c r="C5174" i="3"/>
  <c r="C5173" i="3"/>
  <c r="C5172" i="3"/>
  <c r="C5171" i="3"/>
  <c r="C5170" i="3"/>
  <c r="C5169" i="3"/>
  <c r="C5168" i="3"/>
  <c r="C5167" i="3"/>
  <c r="C5166" i="3"/>
  <c r="C5165" i="3"/>
  <c r="C5164" i="3"/>
  <c r="C5163" i="3"/>
  <c r="C5162" i="3"/>
  <c r="C5161" i="3"/>
  <c r="C5160" i="3"/>
  <c r="C5159" i="3"/>
  <c r="C5158" i="3"/>
  <c r="C5157" i="3"/>
  <c r="C5156" i="3"/>
  <c r="C5155" i="3"/>
  <c r="C5154" i="3"/>
  <c r="C5153" i="3"/>
  <c r="C5152" i="3"/>
  <c r="C5151" i="3"/>
  <c r="C5150" i="3"/>
  <c r="C5149" i="3"/>
  <c r="C5148" i="3"/>
  <c r="C5147" i="3"/>
  <c r="C5146" i="3"/>
  <c r="C5145" i="3"/>
  <c r="C5144" i="3"/>
  <c r="C5143" i="3"/>
  <c r="C5142" i="3"/>
  <c r="C5141" i="3"/>
  <c r="C5140" i="3"/>
  <c r="C5139" i="3"/>
  <c r="C5138" i="3"/>
  <c r="C5137" i="3"/>
  <c r="C5136" i="3"/>
  <c r="C5135" i="3"/>
  <c r="C5134" i="3"/>
  <c r="C5133" i="3"/>
  <c r="C5132" i="3"/>
  <c r="C5131" i="3"/>
  <c r="C5130" i="3"/>
  <c r="C5129" i="3"/>
  <c r="C5128" i="3"/>
  <c r="C5127" i="3"/>
  <c r="C5126" i="3"/>
  <c r="C5125" i="3"/>
  <c r="C5124" i="3"/>
  <c r="C5123" i="3"/>
  <c r="C5122" i="3"/>
  <c r="C5121" i="3"/>
  <c r="C5120" i="3"/>
  <c r="C5119" i="3"/>
  <c r="C5118" i="3"/>
  <c r="C5117" i="3"/>
  <c r="C5116" i="3"/>
  <c r="C5115" i="3"/>
  <c r="C5114" i="3"/>
  <c r="C5113" i="3"/>
  <c r="C5112" i="3"/>
  <c r="C5111" i="3"/>
  <c r="C5110" i="3"/>
  <c r="C5109" i="3"/>
  <c r="C5108" i="3"/>
  <c r="C5107" i="3"/>
  <c r="C5106" i="3"/>
  <c r="C5105" i="3"/>
  <c r="C5104" i="3"/>
  <c r="C5103" i="3"/>
  <c r="C5102" i="3"/>
  <c r="C5101" i="3"/>
  <c r="C5100" i="3"/>
  <c r="C5099" i="3"/>
  <c r="C5098" i="3"/>
  <c r="C5097" i="3"/>
  <c r="C5096" i="3"/>
  <c r="C5095" i="3"/>
  <c r="C5094" i="3"/>
  <c r="C5093" i="3"/>
  <c r="C5092" i="3"/>
  <c r="C5091" i="3"/>
  <c r="C5090" i="3"/>
  <c r="C5089" i="3"/>
  <c r="C5088" i="3"/>
  <c r="C5087" i="3"/>
  <c r="C5086" i="3"/>
  <c r="C5085" i="3"/>
  <c r="C5084" i="3"/>
  <c r="C5083" i="3"/>
  <c r="C5082" i="3"/>
  <c r="C5081" i="3"/>
  <c r="C5080" i="3"/>
  <c r="C5079" i="3"/>
  <c r="C5078" i="3"/>
  <c r="C5077" i="3"/>
  <c r="C5076" i="3"/>
  <c r="C5075" i="3"/>
  <c r="C5074" i="3"/>
  <c r="C5073" i="3"/>
  <c r="C5072" i="3"/>
  <c r="C5071" i="3"/>
  <c r="C5070" i="3"/>
  <c r="C5069" i="3"/>
  <c r="C5068" i="3"/>
  <c r="C5067" i="3"/>
  <c r="C5066" i="3"/>
  <c r="C5065" i="3"/>
  <c r="C5064" i="3"/>
  <c r="C5063" i="3"/>
  <c r="C5062" i="3"/>
  <c r="C5061" i="3"/>
  <c r="C5060" i="3"/>
  <c r="C5059" i="3"/>
  <c r="C5058" i="3"/>
  <c r="C5057" i="3"/>
  <c r="C5056" i="3"/>
  <c r="C5055" i="3"/>
  <c r="C5054" i="3"/>
  <c r="C5053" i="3"/>
  <c r="C5052" i="3"/>
  <c r="C5051" i="3"/>
  <c r="C5050" i="3"/>
  <c r="C5049" i="3"/>
  <c r="C5048" i="3"/>
  <c r="C5047" i="3"/>
  <c r="C5046" i="3"/>
  <c r="C5045" i="3"/>
  <c r="C5044" i="3"/>
  <c r="C5043" i="3"/>
  <c r="C5042" i="3"/>
  <c r="C5041" i="3"/>
  <c r="C5040" i="3"/>
  <c r="C5039" i="3"/>
  <c r="C5038" i="3"/>
  <c r="C5037" i="3"/>
  <c r="C5036" i="3"/>
  <c r="C5035" i="3"/>
  <c r="C5034" i="3"/>
  <c r="C5033" i="3"/>
  <c r="C5032" i="3"/>
  <c r="C5031" i="3"/>
  <c r="C5030" i="3"/>
  <c r="C5029" i="3"/>
  <c r="C5028" i="3"/>
  <c r="C5027" i="3"/>
  <c r="C5026" i="3"/>
  <c r="C5025" i="3"/>
  <c r="C5024" i="3"/>
  <c r="C5023" i="3"/>
  <c r="C5022" i="3"/>
  <c r="C5021" i="3"/>
  <c r="C5020" i="3"/>
  <c r="C5019" i="3"/>
  <c r="C5018" i="3"/>
  <c r="C5017" i="3"/>
  <c r="C5016" i="3"/>
  <c r="C5015" i="3"/>
  <c r="C5014" i="3"/>
  <c r="C5013" i="3"/>
  <c r="C5012" i="3"/>
  <c r="C5011" i="3"/>
  <c r="C5010" i="3"/>
  <c r="C5009" i="3"/>
  <c r="C5008" i="3"/>
  <c r="C5007" i="3"/>
  <c r="C5006" i="3"/>
  <c r="C5005" i="3"/>
  <c r="C5004" i="3"/>
  <c r="C5003" i="3"/>
  <c r="C5002" i="3"/>
  <c r="C5001" i="3"/>
  <c r="C5000" i="3"/>
  <c r="C4999" i="3"/>
  <c r="C4998" i="3"/>
  <c r="C4997" i="3"/>
  <c r="C4996" i="3"/>
  <c r="C4995" i="3"/>
  <c r="C4994" i="3"/>
  <c r="C4993" i="3"/>
  <c r="C4992" i="3"/>
  <c r="C4991" i="3"/>
  <c r="C4990" i="3"/>
  <c r="C4989" i="3"/>
  <c r="C4988" i="3"/>
  <c r="C4987" i="3"/>
  <c r="C4986" i="3"/>
  <c r="C4985" i="3"/>
  <c r="C4984" i="3"/>
  <c r="C4983" i="3"/>
  <c r="C4982" i="3"/>
  <c r="C4981" i="3"/>
  <c r="C4980" i="3"/>
  <c r="C4979" i="3"/>
  <c r="C4978" i="3"/>
  <c r="C4977" i="3"/>
  <c r="C4976" i="3"/>
  <c r="C4975" i="3"/>
  <c r="C4974" i="3"/>
  <c r="C4973" i="3"/>
  <c r="C4972" i="3"/>
  <c r="C4971" i="3"/>
  <c r="C4970" i="3"/>
  <c r="C4969" i="3"/>
  <c r="C4968" i="3"/>
  <c r="C4967" i="3"/>
  <c r="C4966" i="3"/>
  <c r="C4965" i="3"/>
  <c r="C4964" i="3"/>
  <c r="C4963" i="3"/>
  <c r="C4962" i="3"/>
  <c r="C4961" i="3"/>
  <c r="C4960" i="3"/>
  <c r="C4959" i="3"/>
  <c r="C4958" i="3"/>
  <c r="C4957" i="3"/>
  <c r="C4956" i="3"/>
  <c r="C4955" i="3"/>
  <c r="C4954" i="3"/>
  <c r="C4953" i="3"/>
  <c r="C4952" i="3"/>
  <c r="C4951" i="3"/>
  <c r="C4950" i="3"/>
  <c r="C4949" i="3"/>
  <c r="C4948" i="3"/>
  <c r="C4947" i="3"/>
  <c r="C4946" i="3"/>
  <c r="C4945" i="3"/>
  <c r="C4944" i="3"/>
  <c r="C4943" i="3"/>
  <c r="C4942" i="3"/>
  <c r="C4941" i="3"/>
  <c r="C4940" i="3"/>
  <c r="C4939" i="3"/>
  <c r="C4938" i="3"/>
  <c r="C4937" i="3"/>
  <c r="C4936" i="3"/>
  <c r="C4935" i="3"/>
  <c r="C4934" i="3"/>
  <c r="C4933" i="3"/>
  <c r="C4932" i="3"/>
  <c r="C4931" i="3"/>
  <c r="C4930" i="3"/>
  <c r="C4929" i="3"/>
  <c r="C4928" i="3"/>
  <c r="C4927" i="3"/>
  <c r="C4926" i="3"/>
  <c r="C4925" i="3"/>
  <c r="C4924" i="3"/>
  <c r="C4923" i="3"/>
  <c r="C4922" i="3"/>
  <c r="C4921" i="3"/>
  <c r="C4920" i="3"/>
  <c r="C4919" i="3"/>
  <c r="C4918" i="3"/>
  <c r="C4917" i="3"/>
  <c r="C4916" i="3"/>
  <c r="C4915" i="3"/>
  <c r="C4914" i="3"/>
  <c r="C4913" i="3"/>
  <c r="C4912" i="3"/>
  <c r="C4911" i="3"/>
  <c r="C4910" i="3"/>
  <c r="C4909" i="3"/>
  <c r="C4908" i="3"/>
  <c r="C4907" i="3"/>
  <c r="C4906" i="3"/>
  <c r="C4905" i="3"/>
  <c r="C4904" i="3"/>
  <c r="C4903" i="3"/>
  <c r="C4902" i="3"/>
  <c r="C4901" i="3"/>
  <c r="C4900" i="3"/>
  <c r="C4899" i="3"/>
  <c r="C4898" i="3"/>
  <c r="C4897" i="3"/>
  <c r="C4896" i="3"/>
  <c r="C4895" i="3"/>
  <c r="C4894" i="3"/>
  <c r="C4893" i="3"/>
  <c r="C4892" i="3"/>
  <c r="C4891" i="3"/>
  <c r="C4890" i="3"/>
  <c r="C4889" i="3"/>
  <c r="C4888" i="3"/>
  <c r="C4887" i="3"/>
  <c r="C4886" i="3"/>
  <c r="C4885" i="3"/>
  <c r="C4884" i="3"/>
  <c r="C4883" i="3"/>
  <c r="C4882" i="3"/>
  <c r="C4881" i="3"/>
  <c r="C4880" i="3"/>
  <c r="C4879" i="3"/>
  <c r="C4878" i="3"/>
  <c r="C4877" i="3"/>
  <c r="C4876" i="3"/>
  <c r="C4875" i="3"/>
  <c r="C4874" i="3"/>
  <c r="C4873" i="3"/>
  <c r="C4872" i="3"/>
  <c r="C4871" i="3"/>
  <c r="C4870" i="3"/>
  <c r="C4869" i="3"/>
  <c r="C4868" i="3"/>
  <c r="C4867" i="3"/>
  <c r="C4866" i="3"/>
  <c r="C4865" i="3"/>
  <c r="C4864" i="3"/>
  <c r="C4863" i="3"/>
  <c r="C4862" i="3"/>
  <c r="C4861" i="3"/>
  <c r="C4860" i="3"/>
  <c r="C4859" i="3"/>
  <c r="C4858" i="3"/>
  <c r="C4857" i="3"/>
  <c r="C4856" i="3"/>
  <c r="C4855" i="3"/>
  <c r="C4854" i="3"/>
  <c r="C4853" i="3"/>
  <c r="C4852" i="3"/>
  <c r="C4851" i="3"/>
  <c r="C4850" i="3"/>
  <c r="C4849" i="3"/>
  <c r="C4848" i="3"/>
  <c r="C4847" i="3"/>
  <c r="C4846" i="3"/>
  <c r="C4845" i="3"/>
  <c r="C4844" i="3"/>
  <c r="C4843" i="3"/>
  <c r="C4842" i="3"/>
  <c r="C4841" i="3"/>
  <c r="C4840" i="3"/>
  <c r="C4839" i="3"/>
  <c r="C4838" i="3"/>
  <c r="C4837" i="3"/>
  <c r="C4836" i="3"/>
  <c r="C4835" i="3"/>
  <c r="C4834" i="3"/>
  <c r="C4833" i="3"/>
  <c r="C4832" i="3"/>
  <c r="C4831" i="3"/>
  <c r="C4830" i="3"/>
  <c r="C4829" i="3"/>
  <c r="C4828" i="3"/>
  <c r="C4827" i="3"/>
  <c r="C4826" i="3"/>
  <c r="C4825" i="3"/>
  <c r="C4824" i="3"/>
  <c r="C4823" i="3"/>
  <c r="C4822" i="3"/>
  <c r="C4821" i="3"/>
  <c r="C4820" i="3"/>
  <c r="C4819" i="3"/>
  <c r="C4818" i="3"/>
  <c r="C4817" i="3"/>
  <c r="C4816" i="3"/>
  <c r="C4815" i="3"/>
  <c r="C4814" i="3"/>
  <c r="C4813" i="3"/>
  <c r="C4812" i="3"/>
  <c r="C4811" i="3"/>
  <c r="C4810" i="3"/>
  <c r="C4809" i="3"/>
  <c r="C4808" i="3"/>
  <c r="C4807" i="3"/>
  <c r="C4806" i="3"/>
  <c r="C4805" i="3"/>
  <c r="C4804" i="3"/>
  <c r="C4803" i="3"/>
  <c r="C4802" i="3"/>
  <c r="C4801" i="3"/>
  <c r="C4800" i="3"/>
  <c r="C4799" i="3"/>
  <c r="C4798" i="3"/>
  <c r="C4797" i="3"/>
  <c r="C4796" i="3"/>
  <c r="C4795" i="3"/>
  <c r="C4794" i="3"/>
  <c r="C4793" i="3"/>
  <c r="C4792" i="3"/>
  <c r="C4791" i="3"/>
  <c r="C4790" i="3"/>
  <c r="C4789" i="3"/>
  <c r="C4788" i="3"/>
  <c r="C4787" i="3"/>
  <c r="C4786" i="3"/>
  <c r="C4785" i="3"/>
  <c r="C4784" i="3"/>
  <c r="C4783" i="3"/>
  <c r="C4782" i="3"/>
  <c r="C4781" i="3"/>
  <c r="C4780" i="3"/>
  <c r="C4779" i="3"/>
  <c r="C4778" i="3"/>
  <c r="C4777" i="3"/>
  <c r="C4776" i="3"/>
  <c r="C4775" i="3"/>
  <c r="C4774" i="3"/>
  <c r="C4773" i="3"/>
  <c r="C4772" i="3"/>
  <c r="C4771" i="3"/>
  <c r="C4770" i="3"/>
  <c r="C4769" i="3"/>
  <c r="C4768" i="3"/>
  <c r="C4767" i="3"/>
  <c r="C4766" i="3"/>
  <c r="C4765" i="3"/>
  <c r="C4764" i="3"/>
  <c r="C4763" i="3"/>
  <c r="C4762" i="3"/>
  <c r="C4761" i="3"/>
  <c r="C4760" i="3"/>
  <c r="C4759" i="3"/>
  <c r="C4758" i="3"/>
  <c r="C4757" i="3"/>
  <c r="C4756" i="3"/>
  <c r="C4755" i="3"/>
  <c r="C4754" i="3"/>
  <c r="C4753" i="3"/>
  <c r="C4752" i="3"/>
  <c r="C4751" i="3"/>
  <c r="C4750" i="3"/>
  <c r="C4749" i="3"/>
  <c r="C4748" i="3"/>
  <c r="C4747" i="3"/>
  <c r="C4746" i="3"/>
  <c r="C4745" i="3"/>
  <c r="C4744" i="3"/>
  <c r="C4743" i="3"/>
  <c r="C4742" i="3"/>
  <c r="C4741" i="3"/>
  <c r="C4740" i="3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36" i="3"/>
  <c r="B3350" i="3"/>
  <c r="B2198" i="3"/>
  <c r="B1500" i="3"/>
  <c r="B1499" i="3"/>
  <c r="G9" i="3"/>
  <c r="G7" i="3"/>
  <c r="H7" i="3" s="1"/>
  <c r="G8" i="3"/>
  <c r="G10" i="3"/>
  <c r="G11" i="3"/>
  <c r="G22" i="3"/>
  <c r="H22" i="3" s="1"/>
  <c r="G23" i="3"/>
  <c r="G24" i="3"/>
  <c r="J24" i="3" s="1"/>
  <c r="G25" i="3"/>
  <c r="G26" i="3"/>
  <c r="H26" i="3" s="1"/>
  <c r="G27" i="3"/>
  <c r="G28" i="3"/>
  <c r="H28" i="3" s="1"/>
  <c r="G29" i="3"/>
  <c r="G32" i="3"/>
  <c r="G33" i="3"/>
  <c r="G35" i="3"/>
  <c r="G37" i="3"/>
  <c r="G38" i="3"/>
  <c r="H38" i="3" s="1"/>
  <c r="G39" i="3"/>
  <c r="G40" i="3"/>
  <c r="G41" i="3"/>
  <c r="G42" i="3"/>
  <c r="J42" i="3" s="1"/>
  <c r="G43" i="3"/>
  <c r="G44" i="3"/>
  <c r="G45" i="3"/>
  <c r="G46" i="3"/>
  <c r="H46" i="3" s="1"/>
  <c r="G47" i="3"/>
  <c r="G48" i="3"/>
  <c r="J48" i="3" s="1"/>
  <c r="G49" i="3"/>
  <c r="G50" i="3"/>
  <c r="J50" i="3" s="1"/>
  <c r="G51" i="3"/>
  <c r="G52" i="3"/>
  <c r="G53" i="3"/>
  <c r="G54" i="3"/>
  <c r="H54" i="3" s="1"/>
  <c r="G55" i="3"/>
  <c r="G56" i="3"/>
  <c r="J56" i="3" s="1"/>
  <c r="G57" i="3"/>
  <c r="G58" i="3"/>
  <c r="J58" i="3" s="1"/>
  <c r="G59" i="3"/>
  <c r="G60" i="3"/>
  <c r="G61" i="3"/>
  <c r="G62" i="3"/>
  <c r="H62" i="3" s="1"/>
  <c r="G63" i="3"/>
  <c r="G64" i="3"/>
  <c r="J64" i="3" s="1"/>
  <c r="G65" i="3"/>
  <c r="G66" i="3"/>
  <c r="H66" i="3" s="1"/>
  <c r="G67" i="3"/>
  <c r="G68" i="3"/>
  <c r="G69" i="3"/>
  <c r="H69" i="3" s="1"/>
  <c r="G70" i="3"/>
  <c r="J70" i="3" s="1"/>
  <c r="G71" i="3"/>
  <c r="G72" i="3"/>
  <c r="J72" i="3" s="1"/>
  <c r="G73" i="3"/>
  <c r="H73" i="3" s="1"/>
  <c r="G74" i="3"/>
  <c r="H74" i="3" s="1"/>
  <c r="G75" i="3"/>
  <c r="G76" i="3"/>
  <c r="G77" i="3"/>
  <c r="H77" i="3" s="1"/>
  <c r="G78" i="3"/>
  <c r="J78" i="3" s="1"/>
  <c r="G79" i="3"/>
  <c r="G80" i="3"/>
  <c r="J80" i="3" s="1"/>
  <c r="G81" i="3"/>
  <c r="H81" i="3" s="1"/>
  <c r="G82" i="3"/>
  <c r="H82" i="3" s="1"/>
  <c r="G83" i="3"/>
  <c r="G84" i="3"/>
  <c r="G85" i="3"/>
  <c r="H85" i="3" s="1"/>
  <c r="G86" i="3"/>
  <c r="J86" i="3" s="1"/>
  <c r="G87" i="3"/>
  <c r="G88" i="3"/>
  <c r="G89" i="3"/>
  <c r="H89" i="3" s="1"/>
  <c r="G90" i="3"/>
  <c r="H90" i="3" s="1"/>
  <c r="G91" i="3"/>
  <c r="G92" i="3"/>
  <c r="G93" i="3"/>
  <c r="H93" i="3" s="1"/>
  <c r="G94" i="3"/>
  <c r="H94" i="3" s="1"/>
  <c r="G95" i="3"/>
  <c r="G96" i="3"/>
  <c r="J96" i="3" s="1"/>
  <c r="G97" i="3"/>
  <c r="H97" i="3" s="1"/>
  <c r="G98" i="3"/>
  <c r="H98" i="3" s="1"/>
  <c r="G99" i="3"/>
  <c r="G100" i="3"/>
  <c r="G101" i="3"/>
  <c r="H101" i="3" s="1"/>
  <c r="G102" i="3"/>
  <c r="J102" i="3" s="1"/>
  <c r="G103" i="3"/>
  <c r="G104" i="3"/>
  <c r="J104" i="3" s="1"/>
  <c r="G105" i="3"/>
  <c r="H105" i="3" s="1"/>
  <c r="G106" i="3"/>
  <c r="H106" i="3" s="1"/>
  <c r="G107" i="3"/>
  <c r="G108" i="3"/>
  <c r="G109" i="3"/>
  <c r="H109" i="3" s="1"/>
  <c r="G110" i="3"/>
  <c r="J110" i="3" s="1"/>
  <c r="G111" i="3"/>
  <c r="G112" i="3"/>
  <c r="J112" i="3" s="1"/>
  <c r="G113" i="3"/>
  <c r="H113" i="3" s="1"/>
  <c r="G114" i="3"/>
  <c r="H114" i="3" s="1"/>
  <c r="G115" i="3"/>
  <c r="G116" i="3"/>
  <c r="G117" i="3"/>
  <c r="H117" i="3" s="1"/>
  <c r="G118" i="3"/>
  <c r="J118" i="3" s="1"/>
  <c r="G119" i="3"/>
  <c r="G120" i="3"/>
  <c r="J120" i="3" s="1"/>
  <c r="G121" i="3"/>
  <c r="H121" i="3" s="1"/>
  <c r="G122" i="3"/>
  <c r="H122" i="3" s="1"/>
  <c r="G123" i="3"/>
  <c r="G124" i="3"/>
  <c r="G125" i="3"/>
  <c r="H125" i="3" s="1"/>
  <c r="G126" i="3"/>
  <c r="H126" i="3" s="1"/>
  <c r="G127" i="3"/>
  <c r="G128" i="3"/>
  <c r="J128" i="3" s="1"/>
  <c r="G129" i="3"/>
  <c r="H129" i="3" s="1"/>
  <c r="G130" i="3"/>
  <c r="H130" i="3" s="1"/>
  <c r="G131" i="3"/>
  <c r="G132" i="3"/>
  <c r="G133" i="3"/>
  <c r="H133" i="3" s="1"/>
  <c r="G134" i="3"/>
  <c r="J134" i="3" s="1"/>
  <c r="G135" i="3"/>
  <c r="G136" i="3"/>
  <c r="J136" i="3" s="1"/>
  <c r="G137" i="3"/>
  <c r="H137" i="3" s="1"/>
  <c r="G138" i="3"/>
  <c r="H138" i="3" s="1"/>
  <c r="G139" i="3"/>
  <c r="G140" i="3"/>
  <c r="G141" i="3"/>
  <c r="H141" i="3" s="1"/>
  <c r="G142" i="3"/>
  <c r="J142" i="3" s="1"/>
  <c r="G143" i="3"/>
  <c r="G144" i="3"/>
  <c r="J144" i="3" s="1"/>
  <c r="G145" i="3"/>
  <c r="H145" i="3" s="1"/>
  <c r="G146" i="3"/>
  <c r="H146" i="3" s="1"/>
  <c r="G147" i="3"/>
  <c r="G148" i="3"/>
  <c r="G149" i="3"/>
  <c r="H149" i="3" s="1"/>
  <c r="G150" i="3"/>
  <c r="J150" i="3" s="1"/>
  <c r="G151" i="3"/>
  <c r="G152" i="3"/>
  <c r="G153" i="3"/>
  <c r="H153" i="3" s="1"/>
  <c r="G154" i="3"/>
  <c r="H154" i="3" s="1"/>
  <c r="G155" i="3"/>
  <c r="G156" i="3"/>
  <c r="G157" i="3"/>
  <c r="H157" i="3" s="1"/>
  <c r="G158" i="3"/>
  <c r="H158" i="3" s="1"/>
  <c r="G159" i="3"/>
  <c r="G160" i="3"/>
  <c r="J160" i="3" s="1"/>
  <c r="G161" i="3"/>
  <c r="H161" i="3" s="1"/>
  <c r="G162" i="3"/>
  <c r="H162" i="3" s="1"/>
  <c r="G163" i="3"/>
  <c r="G164" i="3"/>
  <c r="G165" i="3"/>
  <c r="H165" i="3" s="1"/>
  <c r="G166" i="3"/>
  <c r="J166" i="3" s="1"/>
  <c r="G167" i="3"/>
  <c r="G168" i="3"/>
  <c r="J168" i="3" s="1"/>
  <c r="G169" i="3"/>
  <c r="H169" i="3" s="1"/>
  <c r="G170" i="3"/>
  <c r="H170" i="3" s="1"/>
  <c r="G171" i="3"/>
  <c r="G172" i="3"/>
  <c r="G173" i="3"/>
  <c r="H173" i="3" s="1"/>
  <c r="G174" i="3"/>
  <c r="J174" i="3" s="1"/>
  <c r="G175" i="3"/>
  <c r="G176" i="3"/>
  <c r="J176" i="3" s="1"/>
  <c r="G177" i="3"/>
  <c r="H177" i="3" s="1"/>
  <c r="G178" i="3"/>
  <c r="H178" i="3" s="1"/>
  <c r="G179" i="3"/>
  <c r="G180" i="3"/>
  <c r="G181" i="3"/>
  <c r="H181" i="3" s="1"/>
  <c r="G182" i="3"/>
  <c r="J182" i="3" s="1"/>
  <c r="G183" i="3"/>
  <c r="G184" i="3"/>
  <c r="J184" i="3" s="1"/>
  <c r="G185" i="3"/>
  <c r="H185" i="3" s="1"/>
  <c r="G186" i="3"/>
  <c r="H186" i="3" s="1"/>
  <c r="G187" i="3"/>
  <c r="G188" i="3"/>
  <c r="G189" i="3"/>
  <c r="H189" i="3" s="1"/>
  <c r="G190" i="3"/>
  <c r="G191" i="3"/>
  <c r="G192" i="3"/>
  <c r="J192" i="3" s="1"/>
  <c r="G193" i="3"/>
  <c r="H193" i="3" s="1"/>
  <c r="G194" i="3"/>
  <c r="H194" i="3" s="1"/>
  <c r="G195" i="3"/>
  <c r="G196" i="3"/>
  <c r="G197" i="3"/>
  <c r="H197" i="3" s="1"/>
  <c r="G198" i="3"/>
  <c r="J198" i="3" s="1"/>
  <c r="G199" i="3"/>
  <c r="G200" i="3"/>
  <c r="J200" i="3" s="1"/>
  <c r="G201" i="3"/>
  <c r="H201" i="3" s="1"/>
  <c r="G202" i="3"/>
  <c r="H202" i="3" s="1"/>
  <c r="G203" i="3"/>
  <c r="G204" i="3"/>
  <c r="G205" i="3"/>
  <c r="H205" i="3" s="1"/>
  <c r="G206" i="3"/>
  <c r="H206" i="3" s="1"/>
  <c r="G207" i="3"/>
  <c r="G208" i="3"/>
  <c r="J208" i="3" s="1"/>
  <c r="G209" i="3"/>
  <c r="H209" i="3" s="1"/>
  <c r="G210" i="3"/>
  <c r="H210" i="3" s="1"/>
  <c r="G211" i="3"/>
  <c r="G212" i="3"/>
  <c r="G213" i="3"/>
  <c r="H213" i="3" s="1"/>
  <c r="G214" i="3"/>
  <c r="G215" i="3"/>
  <c r="G216" i="3"/>
  <c r="G217" i="3"/>
  <c r="H217" i="3" s="1"/>
  <c r="G218" i="3"/>
  <c r="H218" i="3" s="1"/>
  <c r="G219" i="3"/>
  <c r="G220" i="3"/>
  <c r="G221" i="3"/>
  <c r="H221" i="3" s="1"/>
  <c r="G222" i="3"/>
  <c r="H222" i="3" s="1"/>
  <c r="G223" i="3"/>
  <c r="G224" i="3"/>
  <c r="J224" i="3" s="1"/>
  <c r="G225" i="3"/>
  <c r="H225" i="3" s="1"/>
  <c r="G226" i="3"/>
  <c r="H226" i="3" s="1"/>
  <c r="G227" i="3"/>
  <c r="G228" i="3"/>
  <c r="G229" i="3"/>
  <c r="H229" i="3" s="1"/>
  <c r="G230" i="3"/>
  <c r="J230" i="3" s="1"/>
  <c r="G231" i="3"/>
  <c r="G232" i="3"/>
  <c r="J232" i="3" s="1"/>
  <c r="G233" i="3"/>
  <c r="H233" i="3" s="1"/>
  <c r="G234" i="3"/>
  <c r="G235" i="3"/>
  <c r="G236" i="3"/>
  <c r="G237" i="3"/>
  <c r="H237" i="3" s="1"/>
  <c r="G238" i="3"/>
  <c r="H238" i="3" s="1"/>
  <c r="G239" i="3"/>
  <c r="G240" i="3"/>
  <c r="J240" i="3" s="1"/>
  <c r="G241" i="3"/>
  <c r="H241" i="3" s="1"/>
  <c r="G242" i="3"/>
  <c r="H242" i="3" s="1"/>
  <c r="G243" i="3"/>
  <c r="G244" i="3"/>
  <c r="G245" i="3"/>
  <c r="H245" i="3" s="1"/>
  <c r="G246" i="3"/>
  <c r="J246" i="3" s="1"/>
  <c r="G247" i="3"/>
  <c r="G248" i="3"/>
  <c r="J248" i="3" s="1"/>
  <c r="G249" i="3"/>
  <c r="H249" i="3" s="1"/>
  <c r="G250" i="3"/>
  <c r="H250" i="3" s="1"/>
  <c r="G251" i="3"/>
  <c r="G252" i="3"/>
  <c r="G253" i="3"/>
  <c r="H253" i="3" s="1"/>
  <c r="G254" i="3"/>
  <c r="G255" i="3"/>
  <c r="G256" i="3"/>
  <c r="J256" i="3" s="1"/>
  <c r="G257" i="3"/>
  <c r="H257" i="3" s="1"/>
  <c r="G258" i="3"/>
  <c r="H258" i="3" s="1"/>
  <c r="G259" i="3"/>
  <c r="H259" i="3" s="1"/>
  <c r="G260" i="3"/>
  <c r="G261" i="3"/>
  <c r="H261" i="3" s="1"/>
  <c r="G262" i="3"/>
  <c r="J262" i="3" s="1"/>
  <c r="G263" i="3"/>
  <c r="H263" i="3" s="1"/>
  <c r="G264" i="3"/>
  <c r="J264" i="3" s="1"/>
  <c r="G265" i="3"/>
  <c r="H265" i="3" s="1"/>
  <c r="G266" i="3"/>
  <c r="H266" i="3" s="1"/>
  <c r="G267" i="3"/>
  <c r="H267" i="3" s="1"/>
  <c r="G268" i="3"/>
  <c r="G269" i="3"/>
  <c r="H269" i="3" s="1"/>
  <c r="G270" i="3"/>
  <c r="H270" i="3" s="1"/>
  <c r="G271" i="3"/>
  <c r="H271" i="3" s="1"/>
  <c r="G272" i="3"/>
  <c r="J272" i="3" s="1"/>
  <c r="G273" i="3"/>
  <c r="H273" i="3" s="1"/>
  <c r="G274" i="3"/>
  <c r="H274" i="3" s="1"/>
  <c r="G275" i="3"/>
  <c r="H275" i="3" s="1"/>
  <c r="G276" i="3"/>
  <c r="G277" i="3"/>
  <c r="H277" i="3" s="1"/>
  <c r="G278" i="3"/>
  <c r="G279" i="3"/>
  <c r="H279" i="3" s="1"/>
  <c r="G280" i="3"/>
  <c r="G281" i="3"/>
  <c r="H281" i="3" s="1"/>
  <c r="G282" i="3"/>
  <c r="H282" i="3" s="1"/>
  <c r="G283" i="3"/>
  <c r="H283" i="3" s="1"/>
  <c r="G284" i="3"/>
  <c r="G285" i="3"/>
  <c r="H285" i="3" s="1"/>
  <c r="G286" i="3"/>
  <c r="H286" i="3" s="1"/>
  <c r="G287" i="3"/>
  <c r="H287" i="3" s="1"/>
  <c r="G288" i="3"/>
  <c r="J288" i="3" s="1"/>
  <c r="G289" i="3"/>
  <c r="H289" i="3" s="1"/>
  <c r="G290" i="3"/>
  <c r="H290" i="3" s="1"/>
  <c r="G291" i="3"/>
  <c r="H291" i="3" s="1"/>
  <c r="G292" i="3"/>
  <c r="G293" i="3"/>
  <c r="H293" i="3" s="1"/>
  <c r="G294" i="3"/>
  <c r="J294" i="3" s="1"/>
  <c r="G295" i="3"/>
  <c r="H295" i="3" s="1"/>
  <c r="G296" i="3"/>
  <c r="J296" i="3" s="1"/>
  <c r="G297" i="3"/>
  <c r="H297" i="3" s="1"/>
  <c r="G298" i="3"/>
  <c r="G299" i="3"/>
  <c r="H299" i="3" s="1"/>
  <c r="G300" i="3"/>
  <c r="G301" i="3"/>
  <c r="H301" i="3" s="1"/>
  <c r="G302" i="3"/>
  <c r="H302" i="3" s="1"/>
  <c r="G303" i="3"/>
  <c r="H303" i="3" s="1"/>
  <c r="G304" i="3"/>
  <c r="J304" i="3" s="1"/>
  <c r="G305" i="3"/>
  <c r="H305" i="3" s="1"/>
  <c r="G306" i="3"/>
  <c r="H306" i="3" s="1"/>
  <c r="G307" i="3"/>
  <c r="H307" i="3" s="1"/>
  <c r="G308" i="3"/>
  <c r="G309" i="3"/>
  <c r="H309" i="3" s="1"/>
  <c r="G310" i="3"/>
  <c r="J310" i="3" s="1"/>
  <c r="G311" i="3"/>
  <c r="H311" i="3" s="1"/>
  <c r="G312" i="3"/>
  <c r="J312" i="3" s="1"/>
  <c r="G313" i="3"/>
  <c r="H313" i="3" s="1"/>
  <c r="G314" i="3"/>
  <c r="H314" i="3" s="1"/>
  <c r="G315" i="3"/>
  <c r="H315" i="3" s="1"/>
  <c r="G316" i="3"/>
  <c r="G317" i="3"/>
  <c r="H317" i="3" s="1"/>
  <c r="G318" i="3"/>
  <c r="G319" i="3"/>
  <c r="H319" i="3" s="1"/>
  <c r="G320" i="3"/>
  <c r="J320" i="3" s="1"/>
  <c r="G321" i="3"/>
  <c r="H321" i="3" s="1"/>
  <c r="G322" i="3"/>
  <c r="H322" i="3" s="1"/>
  <c r="G323" i="3"/>
  <c r="H323" i="3" s="1"/>
  <c r="G324" i="3"/>
  <c r="G325" i="3"/>
  <c r="J325" i="3" s="1"/>
  <c r="G326" i="3"/>
  <c r="J326" i="3" s="1"/>
  <c r="G327" i="3"/>
  <c r="H327" i="3" s="1"/>
  <c r="G328" i="3"/>
  <c r="J328" i="3" s="1"/>
  <c r="G329" i="3"/>
  <c r="H329" i="3" s="1"/>
  <c r="G330" i="3"/>
  <c r="H330" i="3" s="1"/>
  <c r="G331" i="3"/>
  <c r="H331" i="3" s="1"/>
  <c r="G332" i="3"/>
  <c r="G333" i="3"/>
  <c r="J333" i="3" s="1"/>
  <c r="G334" i="3"/>
  <c r="H334" i="3" s="1"/>
  <c r="G335" i="3"/>
  <c r="H335" i="3" s="1"/>
  <c r="G336" i="3"/>
  <c r="J336" i="3" s="1"/>
  <c r="G337" i="3"/>
  <c r="H337" i="3" s="1"/>
  <c r="G338" i="3"/>
  <c r="H338" i="3" s="1"/>
  <c r="G339" i="3"/>
  <c r="H339" i="3" s="1"/>
  <c r="G340" i="3"/>
  <c r="G341" i="3"/>
  <c r="J341" i="3" s="1"/>
  <c r="G342" i="3"/>
  <c r="G343" i="3"/>
  <c r="H343" i="3" s="1"/>
  <c r="G344" i="3"/>
  <c r="G345" i="3"/>
  <c r="H345" i="3" s="1"/>
  <c r="G346" i="3"/>
  <c r="H346" i="3" s="1"/>
  <c r="G347" i="3"/>
  <c r="H347" i="3" s="1"/>
  <c r="G348" i="3"/>
  <c r="G349" i="3"/>
  <c r="J349" i="3" s="1"/>
  <c r="G350" i="3"/>
  <c r="H350" i="3" s="1"/>
  <c r="G351" i="3"/>
  <c r="H351" i="3" s="1"/>
  <c r="G352" i="3"/>
  <c r="J352" i="3" s="1"/>
  <c r="G353" i="3"/>
  <c r="H353" i="3" s="1"/>
  <c r="G354" i="3"/>
  <c r="H354" i="3" s="1"/>
  <c r="G355" i="3"/>
  <c r="H355" i="3" s="1"/>
  <c r="G356" i="3"/>
  <c r="G357" i="3"/>
  <c r="J357" i="3" s="1"/>
  <c r="G358" i="3"/>
  <c r="J358" i="3" s="1"/>
  <c r="G359" i="3"/>
  <c r="H359" i="3" s="1"/>
  <c r="G360" i="3"/>
  <c r="J360" i="3" s="1"/>
  <c r="G361" i="3"/>
  <c r="H361" i="3" s="1"/>
  <c r="G362" i="3"/>
  <c r="G363" i="3"/>
  <c r="H363" i="3" s="1"/>
  <c r="G364" i="3"/>
  <c r="G365" i="3"/>
  <c r="J365" i="3" s="1"/>
  <c r="G366" i="3"/>
  <c r="H366" i="3" s="1"/>
  <c r="G367" i="3"/>
  <c r="H367" i="3" s="1"/>
  <c r="G368" i="3"/>
  <c r="J368" i="3" s="1"/>
  <c r="G369" i="3"/>
  <c r="H369" i="3" s="1"/>
  <c r="G370" i="3"/>
  <c r="H370" i="3" s="1"/>
  <c r="G371" i="3"/>
  <c r="H371" i="3" s="1"/>
  <c r="G372" i="3"/>
  <c r="G373" i="3"/>
  <c r="J373" i="3" s="1"/>
  <c r="G374" i="3"/>
  <c r="J374" i="3" s="1"/>
  <c r="G375" i="3"/>
  <c r="H375" i="3" s="1"/>
  <c r="G376" i="3"/>
  <c r="J376" i="3" s="1"/>
  <c r="G377" i="3"/>
  <c r="H377" i="3" s="1"/>
  <c r="G378" i="3"/>
  <c r="H378" i="3" s="1"/>
  <c r="G379" i="3"/>
  <c r="H379" i="3" s="1"/>
  <c r="G380" i="3"/>
  <c r="G381" i="3"/>
  <c r="J381" i="3" s="1"/>
  <c r="G382" i="3"/>
  <c r="G383" i="3"/>
  <c r="H383" i="3" s="1"/>
  <c r="G384" i="3"/>
  <c r="J384" i="3" s="1"/>
  <c r="G385" i="3"/>
  <c r="G386" i="3"/>
  <c r="H386" i="3" s="1"/>
  <c r="G387" i="3"/>
  <c r="H387" i="3" s="1"/>
  <c r="G388" i="3"/>
  <c r="G389" i="3"/>
  <c r="J389" i="3" s="1"/>
  <c r="G390" i="3"/>
  <c r="J390" i="3" s="1"/>
  <c r="G391" i="3"/>
  <c r="H391" i="3" s="1"/>
  <c r="G392" i="3"/>
  <c r="J392" i="3" s="1"/>
  <c r="G393" i="3"/>
  <c r="H393" i="3" s="1"/>
  <c r="G394" i="3"/>
  <c r="H394" i="3" s="1"/>
  <c r="G395" i="3"/>
  <c r="H395" i="3" s="1"/>
  <c r="G396" i="3"/>
  <c r="G397" i="3"/>
  <c r="J397" i="3" s="1"/>
  <c r="G398" i="3"/>
  <c r="H398" i="3" s="1"/>
  <c r="G399" i="3"/>
  <c r="H399" i="3" s="1"/>
  <c r="G400" i="3"/>
  <c r="J400" i="3" s="1"/>
  <c r="G401" i="3"/>
  <c r="G402" i="3"/>
  <c r="H402" i="3" s="1"/>
  <c r="G403" i="3"/>
  <c r="H403" i="3" s="1"/>
  <c r="G404" i="3"/>
  <c r="G405" i="3"/>
  <c r="J405" i="3" s="1"/>
  <c r="G406" i="3"/>
  <c r="G407" i="3"/>
  <c r="H407" i="3" s="1"/>
  <c r="G408" i="3"/>
  <c r="J408" i="3" s="1"/>
  <c r="G409" i="3"/>
  <c r="H409" i="3" s="1"/>
  <c r="G410" i="3"/>
  <c r="H410" i="3" s="1"/>
  <c r="G411" i="3"/>
  <c r="H411" i="3" s="1"/>
  <c r="G412" i="3"/>
  <c r="G413" i="3"/>
  <c r="J413" i="3" s="1"/>
  <c r="G414" i="3"/>
  <c r="H414" i="3" s="1"/>
  <c r="G415" i="3"/>
  <c r="H415" i="3" s="1"/>
  <c r="G416" i="3"/>
  <c r="J416" i="3" s="1"/>
  <c r="G417" i="3"/>
  <c r="G418" i="3"/>
  <c r="H418" i="3" s="1"/>
  <c r="G419" i="3"/>
  <c r="H419" i="3" s="1"/>
  <c r="G420" i="3"/>
  <c r="G421" i="3"/>
  <c r="J421" i="3" s="1"/>
  <c r="G422" i="3"/>
  <c r="J422" i="3" s="1"/>
  <c r="G423" i="3"/>
  <c r="H423" i="3" s="1"/>
  <c r="G424" i="3"/>
  <c r="J424" i="3" s="1"/>
  <c r="G425" i="3"/>
  <c r="H425" i="3" s="1"/>
  <c r="G426" i="3"/>
  <c r="G427" i="3"/>
  <c r="H427" i="3" s="1"/>
  <c r="G428" i="3"/>
  <c r="G429" i="3"/>
  <c r="J429" i="3" s="1"/>
  <c r="G430" i="3"/>
  <c r="H430" i="3" s="1"/>
  <c r="G431" i="3"/>
  <c r="H431" i="3" s="1"/>
  <c r="G432" i="3"/>
  <c r="J432" i="3" s="1"/>
  <c r="G433" i="3"/>
  <c r="G434" i="3"/>
  <c r="H434" i="3" s="1"/>
  <c r="G435" i="3"/>
  <c r="H435" i="3" s="1"/>
  <c r="G436" i="3"/>
  <c r="G437" i="3"/>
  <c r="J437" i="3" s="1"/>
  <c r="G438" i="3"/>
  <c r="J438" i="3" s="1"/>
  <c r="G439" i="3"/>
  <c r="H439" i="3" s="1"/>
  <c r="G440" i="3"/>
  <c r="J440" i="3" s="1"/>
  <c r="G441" i="3"/>
  <c r="H441" i="3" s="1"/>
  <c r="G442" i="3"/>
  <c r="H442" i="3" s="1"/>
  <c r="G443" i="3"/>
  <c r="H443" i="3" s="1"/>
  <c r="G444" i="3"/>
  <c r="G445" i="3"/>
  <c r="J445" i="3" s="1"/>
  <c r="G446" i="3"/>
  <c r="G447" i="3"/>
  <c r="H447" i="3" s="1"/>
  <c r="G448" i="3"/>
  <c r="J448" i="3" s="1"/>
  <c r="G449" i="3"/>
  <c r="G450" i="3"/>
  <c r="H450" i="3" s="1"/>
  <c r="G451" i="3"/>
  <c r="H451" i="3" s="1"/>
  <c r="G452" i="3"/>
  <c r="G453" i="3"/>
  <c r="J453" i="3" s="1"/>
  <c r="G454" i="3"/>
  <c r="J454" i="3" s="1"/>
  <c r="G455" i="3"/>
  <c r="H455" i="3" s="1"/>
  <c r="G456" i="3"/>
  <c r="J456" i="3" s="1"/>
  <c r="G457" i="3"/>
  <c r="H457" i="3" s="1"/>
  <c r="G458" i="3"/>
  <c r="H458" i="3" s="1"/>
  <c r="G459" i="3"/>
  <c r="H459" i="3" s="1"/>
  <c r="G460" i="3"/>
  <c r="G461" i="3"/>
  <c r="J461" i="3" s="1"/>
  <c r="G462" i="3"/>
  <c r="H462" i="3" s="1"/>
  <c r="G463" i="3"/>
  <c r="H463" i="3" s="1"/>
  <c r="G464" i="3"/>
  <c r="J464" i="3" s="1"/>
  <c r="G465" i="3"/>
  <c r="G466" i="3"/>
  <c r="H466" i="3" s="1"/>
  <c r="G467" i="3"/>
  <c r="H467" i="3" s="1"/>
  <c r="G468" i="3"/>
  <c r="G469" i="3"/>
  <c r="J469" i="3" s="1"/>
  <c r="G470" i="3"/>
  <c r="G471" i="3"/>
  <c r="H471" i="3" s="1"/>
  <c r="G472" i="3"/>
  <c r="G473" i="3"/>
  <c r="H473" i="3" s="1"/>
  <c r="G474" i="3"/>
  <c r="H474" i="3" s="1"/>
  <c r="G475" i="3"/>
  <c r="H475" i="3" s="1"/>
  <c r="G476" i="3"/>
  <c r="G477" i="3"/>
  <c r="J477" i="3" s="1"/>
  <c r="G478" i="3"/>
  <c r="H478" i="3" s="1"/>
  <c r="G479" i="3"/>
  <c r="H479" i="3" s="1"/>
  <c r="G480" i="3"/>
  <c r="J480" i="3" s="1"/>
  <c r="G481" i="3"/>
  <c r="G482" i="3"/>
  <c r="H482" i="3" s="1"/>
  <c r="G483" i="3"/>
  <c r="H483" i="3" s="1"/>
  <c r="G484" i="3"/>
  <c r="G485" i="3"/>
  <c r="J485" i="3" s="1"/>
  <c r="G486" i="3"/>
  <c r="J486" i="3" s="1"/>
  <c r="G487" i="3"/>
  <c r="H487" i="3" s="1"/>
  <c r="G488" i="3"/>
  <c r="J488" i="3" s="1"/>
  <c r="G489" i="3"/>
  <c r="H489" i="3" s="1"/>
  <c r="G490" i="3"/>
  <c r="G491" i="3"/>
  <c r="H491" i="3" s="1"/>
  <c r="G492" i="3"/>
  <c r="G493" i="3"/>
  <c r="J493" i="3" s="1"/>
  <c r="G494" i="3"/>
  <c r="J494" i="3" s="1"/>
  <c r="G495" i="3"/>
  <c r="H495" i="3" s="1"/>
  <c r="G496" i="3"/>
  <c r="J496" i="3" s="1"/>
  <c r="G497" i="3"/>
  <c r="G498" i="3"/>
  <c r="H498" i="3" s="1"/>
  <c r="G499" i="3"/>
  <c r="H499" i="3" s="1"/>
  <c r="G500" i="3"/>
  <c r="G501" i="3"/>
  <c r="J501" i="3" s="1"/>
  <c r="G502" i="3"/>
  <c r="J502" i="3" s="1"/>
  <c r="G503" i="3"/>
  <c r="H503" i="3" s="1"/>
  <c r="G504" i="3"/>
  <c r="J504" i="3" s="1"/>
  <c r="G505" i="3"/>
  <c r="H505" i="3" s="1"/>
  <c r="G506" i="3"/>
  <c r="H506" i="3" s="1"/>
  <c r="G507" i="3"/>
  <c r="H507" i="3" s="1"/>
  <c r="G508" i="3"/>
  <c r="G509" i="3"/>
  <c r="J509" i="3" s="1"/>
  <c r="G510" i="3"/>
  <c r="G511" i="3"/>
  <c r="H511" i="3" s="1"/>
  <c r="G512" i="3"/>
  <c r="J512" i="3" s="1"/>
  <c r="G513" i="3"/>
  <c r="G514" i="3"/>
  <c r="H514" i="3" s="1"/>
  <c r="G515" i="3"/>
  <c r="H515" i="3" s="1"/>
  <c r="G516" i="3"/>
  <c r="G517" i="3"/>
  <c r="J517" i="3" s="1"/>
  <c r="G518" i="3"/>
  <c r="J518" i="3" s="1"/>
  <c r="G519" i="3"/>
  <c r="H519" i="3" s="1"/>
  <c r="G520" i="3"/>
  <c r="J520" i="3" s="1"/>
  <c r="G521" i="3"/>
  <c r="H521" i="3" s="1"/>
  <c r="G522" i="3"/>
  <c r="H522" i="3" s="1"/>
  <c r="G523" i="3"/>
  <c r="H523" i="3" s="1"/>
  <c r="G524" i="3"/>
  <c r="J524" i="3" s="1"/>
  <c r="G525" i="3"/>
  <c r="J525" i="3" s="1"/>
  <c r="G526" i="3"/>
  <c r="J526" i="3" s="1"/>
  <c r="G527" i="3"/>
  <c r="J527" i="3" s="1"/>
  <c r="G528" i="3"/>
  <c r="J528" i="3" s="1"/>
  <c r="G529" i="3"/>
  <c r="G530" i="3"/>
  <c r="G531" i="3"/>
  <c r="J531" i="3" s="1"/>
  <c r="G532" i="3"/>
  <c r="J532" i="3" s="1"/>
  <c r="G533" i="3"/>
  <c r="H533" i="3" s="1"/>
  <c r="G534" i="3"/>
  <c r="G535" i="3"/>
  <c r="J535" i="3" s="1"/>
  <c r="G536" i="3"/>
  <c r="J536" i="3" s="1"/>
  <c r="G537" i="3"/>
  <c r="H537" i="3" s="1"/>
  <c r="G538" i="3"/>
  <c r="J538" i="3" s="1"/>
  <c r="G539" i="3"/>
  <c r="J539" i="3" s="1"/>
  <c r="G540" i="3"/>
  <c r="J540" i="3" s="1"/>
  <c r="G541" i="3"/>
  <c r="J541" i="3" s="1"/>
  <c r="G542" i="3"/>
  <c r="J542" i="3" s="1"/>
  <c r="G543" i="3"/>
  <c r="J543" i="3" s="1"/>
  <c r="G544" i="3"/>
  <c r="G545" i="3"/>
  <c r="H545" i="3" s="1"/>
  <c r="G546" i="3"/>
  <c r="J546" i="3" s="1"/>
  <c r="G547" i="3"/>
  <c r="J547" i="3" s="1"/>
  <c r="G548" i="3"/>
  <c r="J548" i="3" s="1"/>
  <c r="G549" i="3"/>
  <c r="G550" i="3"/>
  <c r="H550" i="3" s="1"/>
  <c r="G551" i="3"/>
  <c r="J551" i="3" s="1"/>
  <c r="G552" i="3"/>
  <c r="J552" i="3" s="1"/>
  <c r="G553" i="3"/>
  <c r="H553" i="3" s="1"/>
  <c r="G554" i="3"/>
  <c r="H554" i="3" s="1"/>
  <c r="G555" i="3"/>
  <c r="J555" i="3" s="1"/>
  <c r="G556" i="3"/>
  <c r="J556" i="3" s="1"/>
  <c r="G557" i="3"/>
  <c r="H557" i="3" s="1"/>
  <c r="G558" i="3"/>
  <c r="H558" i="3" s="1"/>
  <c r="G559" i="3"/>
  <c r="J559" i="3" s="1"/>
  <c r="G560" i="3"/>
  <c r="J560" i="3" s="1"/>
  <c r="G561" i="3"/>
  <c r="H561" i="3" s="1"/>
  <c r="G562" i="3"/>
  <c r="J562" i="3" s="1"/>
  <c r="G563" i="3"/>
  <c r="J563" i="3" s="1"/>
  <c r="G564" i="3"/>
  <c r="G565" i="3"/>
  <c r="H565" i="3" s="1"/>
  <c r="G566" i="3"/>
  <c r="H566" i="3" s="1"/>
  <c r="G567" i="3"/>
  <c r="J567" i="3" s="1"/>
  <c r="G568" i="3"/>
  <c r="G569" i="3"/>
  <c r="H569" i="3" s="1"/>
  <c r="G570" i="3"/>
  <c r="H570" i="3" s="1"/>
  <c r="G571" i="3"/>
  <c r="J571" i="3" s="1"/>
  <c r="G572" i="3"/>
  <c r="J572" i="3" s="1"/>
  <c r="G573" i="3"/>
  <c r="H573" i="3" s="1"/>
  <c r="G574" i="3"/>
  <c r="H574" i="3" s="1"/>
  <c r="G575" i="3"/>
  <c r="J575" i="3" s="1"/>
  <c r="G576" i="3"/>
  <c r="J576" i="3" s="1"/>
  <c r="G577" i="3"/>
  <c r="G578" i="3"/>
  <c r="J578" i="3" s="1"/>
  <c r="G579" i="3"/>
  <c r="H579" i="3" s="1"/>
  <c r="G580" i="3"/>
  <c r="J580" i="3" s="1"/>
  <c r="G581" i="3"/>
  <c r="G582" i="3"/>
  <c r="J582" i="3" s="1"/>
  <c r="G583" i="3"/>
  <c r="H583" i="3" s="1"/>
  <c r="G584" i="3"/>
  <c r="J584" i="3" s="1"/>
  <c r="G585" i="3"/>
  <c r="J585" i="3" s="1"/>
  <c r="G586" i="3"/>
  <c r="J586" i="3" s="1"/>
  <c r="G587" i="3"/>
  <c r="G588" i="3"/>
  <c r="J588" i="3" s="1"/>
  <c r="G589" i="3"/>
  <c r="J589" i="3" s="1"/>
  <c r="G590" i="3"/>
  <c r="J590" i="3" s="1"/>
  <c r="G591" i="3"/>
  <c r="G592" i="3"/>
  <c r="J592" i="3" s="1"/>
  <c r="G593" i="3"/>
  <c r="H593" i="3" s="1"/>
  <c r="G594" i="3"/>
  <c r="J594" i="3" s="1"/>
  <c r="G595" i="3"/>
  <c r="H595" i="3" s="1"/>
  <c r="G596" i="3"/>
  <c r="J596" i="3" s="1"/>
  <c r="G597" i="3"/>
  <c r="G598" i="3"/>
  <c r="J598" i="3" s="1"/>
  <c r="G599" i="3"/>
  <c r="G600" i="3"/>
  <c r="J600" i="3" s="1"/>
  <c r="G601" i="3"/>
  <c r="J601" i="3" s="1"/>
  <c r="G602" i="3"/>
  <c r="J602" i="3" s="1"/>
  <c r="G603" i="3"/>
  <c r="H603" i="3" s="1"/>
  <c r="G604" i="3"/>
  <c r="J604" i="3" s="1"/>
  <c r="G605" i="3"/>
  <c r="G606" i="3"/>
  <c r="J606" i="3" s="1"/>
  <c r="G607" i="3"/>
  <c r="J607" i="3" s="1"/>
  <c r="G608" i="3"/>
  <c r="J608" i="3" s="1"/>
  <c r="G609" i="3"/>
  <c r="J609" i="3" s="1"/>
  <c r="G610" i="3"/>
  <c r="J610" i="3" s="1"/>
  <c r="G611" i="3"/>
  <c r="G612" i="3"/>
  <c r="J612" i="3" s="1"/>
  <c r="G613" i="3"/>
  <c r="H613" i="3" s="1"/>
  <c r="G614" i="3"/>
  <c r="J614" i="3" s="1"/>
  <c r="G615" i="3"/>
  <c r="H615" i="3" s="1"/>
  <c r="G616" i="3"/>
  <c r="J616" i="3" s="1"/>
  <c r="G617" i="3"/>
  <c r="G618" i="3"/>
  <c r="J618" i="3" s="1"/>
  <c r="G619" i="3"/>
  <c r="G620" i="3"/>
  <c r="J620" i="3" s="1"/>
  <c r="G621" i="3"/>
  <c r="H621" i="3" s="1"/>
  <c r="G622" i="3"/>
  <c r="J622" i="3" s="1"/>
  <c r="G623" i="3"/>
  <c r="J623" i="3" s="1"/>
  <c r="G624" i="3"/>
  <c r="J624" i="3" s="1"/>
  <c r="G625" i="3"/>
  <c r="G626" i="3"/>
  <c r="J626" i="3" s="1"/>
  <c r="G627" i="3"/>
  <c r="J627" i="3" s="1"/>
  <c r="G628" i="3"/>
  <c r="J628" i="3" s="1"/>
  <c r="G629" i="3"/>
  <c r="H629" i="3" s="1"/>
  <c r="G630" i="3"/>
  <c r="J630" i="3" s="1"/>
  <c r="G631" i="3"/>
  <c r="J631" i="3" s="1"/>
  <c r="G632" i="3"/>
  <c r="J632" i="3" s="1"/>
  <c r="G633" i="3"/>
  <c r="G634" i="3"/>
  <c r="H634" i="3" s="1"/>
  <c r="G635" i="3"/>
  <c r="J635" i="3" s="1"/>
  <c r="G636" i="3"/>
  <c r="J636" i="3" s="1"/>
  <c r="G637" i="3"/>
  <c r="G638" i="3"/>
  <c r="H638" i="3" s="1"/>
  <c r="G639" i="3"/>
  <c r="J639" i="3" s="1"/>
  <c r="G640" i="3"/>
  <c r="J640" i="3" s="1"/>
  <c r="G641" i="3"/>
  <c r="H641" i="3" s="1"/>
  <c r="G642" i="3"/>
  <c r="J642" i="3" s="1"/>
  <c r="G643" i="3"/>
  <c r="H643" i="3" s="1"/>
  <c r="G644" i="3"/>
  <c r="G645" i="3"/>
  <c r="H645" i="3" s="1"/>
  <c r="G646" i="3"/>
  <c r="J646" i="3" s="1"/>
  <c r="G647" i="3"/>
  <c r="H647" i="3" s="1"/>
  <c r="G648" i="3"/>
  <c r="G649" i="3"/>
  <c r="H649" i="3" s="1"/>
  <c r="G650" i="3"/>
  <c r="H650" i="3" s="1"/>
  <c r="G651" i="3"/>
  <c r="J651" i="3" s="1"/>
  <c r="G652" i="3"/>
  <c r="J652" i="3" s="1"/>
  <c r="G653" i="3"/>
  <c r="H653" i="3" s="1"/>
  <c r="G654" i="3"/>
  <c r="J654" i="3" s="1"/>
  <c r="G655" i="3"/>
  <c r="J655" i="3" s="1"/>
  <c r="G656" i="3"/>
  <c r="J656" i="3" s="1"/>
  <c r="G657" i="3"/>
  <c r="H657" i="3" s="1"/>
  <c r="G658" i="3"/>
  <c r="G659" i="3"/>
  <c r="J659" i="3" s="1"/>
  <c r="G660" i="3"/>
  <c r="J660" i="3" s="1"/>
  <c r="G661" i="3"/>
  <c r="H661" i="3" s="1"/>
  <c r="G662" i="3"/>
  <c r="J662" i="3" s="1"/>
  <c r="G663" i="3"/>
  <c r="J663" i="3" s="1"/>
  <c r="G664" i="3"/>
  <c r="J664" i="3" s="1"/>
  <c r="G665" i="3"/>
  <c r="H665" i="3" s="1"/>
  <c r="G666" i="3"/>
  <c r="H666" i="3" s="1"/>
  <c r="G667" i="3"/>
  <c r="J667" i="3" s="1"/>
  <c r="G668" i="3"/>
  <c r="J668" i="3" s="1"/>
  <c r="G669" i="3"/>
  <c r="G670" i="3"/>
  <c r="G671" i="3"/>
  <c r="J671" i="3" s="1"/>
  <c r="G672" i="3"/>
  <c r="G673" i="3"/>
  <c r="H673" i="3" s="1"/>
  <c r="G674" i="3"/>
  <c r="G675" i="3"/>
  <c r="J675" i="3" s="1"/>
  <c r="G676" i="3"/>
  <c r="J676" i="3" s="1"/>
  <c r="G677" i="3"/>
  <c r="H677" i="3" s="1"/>
  <c r="G678" i="3"/>
  <c r="H678" i="3" s="1"/>
  <c r="G679" i="3"/>
  <c r="J679" i="3" s="1"/>
  <c r="G680" i="3"/>
  <c r="J680" i="3" s="1"/>
  <c r="G681" i="3"/>
  <c r="H681" i="3" s="1"/>
  <c r="G682" i="3"/>
  <c r="J682" i="3" s="1"/>
  <c r="G683" i="3"/>
  <c r="J683" i="3" s="1"/>
  <c r="G684" i="3"/>
  <c r="J684" i="3" s="1"/>
  <c r="G685" i="3"/>
  <c r="H685" i="3" s="1"/>
  <c r="G686" i="3"/>
  <c r="J686" i="3" s="1"/>
  <c r="G687" i="3"/>
  <c r="J687" i="3" s="1"/>
  <c r="G688" i="3"/>
  <c r="J688" i="3" s="1"/>
  <c r="G689" i="3"/>
  <c r="J689" i="3" s="1"/>
  <c r="G690" i="3"/>
  <c r="H690" i="3" s="1"/>
  <c r="G691" i="3"/>
  <c r="J691" i="3" s="1"/>
  <c r="G692" i="3"/>
  <c r="G693" i="3"/>
  <c r="J693" i="3" s="1"/>
  <c r="G694" i="3"/>
  <c r="G695" i="3"/>
  <c r="J695" i="3" s="1"/>
  <c r="G696" i="3"/>
  <c r="J696" i="3" s="1"/>
  <c r="G697" i="3"/>
  <c r="J697" i="3" s="1"/>
  <c r="G698" i="3"/>
  <c r="J698" i="3" s="1"/>
  <c r="G699" i="3"/>
  <c r="J699" i="3" s="1"/>
  <c r="G700" i="3"/>
  <c r="G701" i="3"/>
  <c r="J701" i="3" s="1"/>
  <c r="G702" i="3"/>
  <c r="J702" i="3" s="1"/>
  <c r="G703" i="3"/>
  <c r="J703" i="3" s="1"/>
  <c r="G704" i="3"/>
  <c r="J704" i="3" s="1"/>
  <c r="G705" i="3"/>
  <c r="J705" i="3" s="1"/>
  <c r="G706" i="3"/>
  <c r="H706" i="3" s="1"/>
  <c r="G707" i="3"/>
  <c r="J707" i="3" s="1"/>
  <c r="G708" i="3"/>
  <c r="G709" i="3"/>
  <c r="J709" i="3" s="1"/>
  <c r="G710" i="3"/>
  <c r="J710" i="3" s="1"/>
  <c r="G711" i="3"/>
  <c r="J711" i="3" s="1"/>
  <c r="G712" i="3"/>
  <c r="J712" i="3" s="1"/>
  <c r="G713" i="3"/>
  <c r="J713" i="3" s="1"/>
  <c r="G714" i="3"/>
  <c r="J714" i="3" s="1"/>
  <c r="G715" i="3"/>
  <c r="J715" i="3" s="1"/>
  <c r="G716" i="3"/>
  <c r="G717" i="3"/>
  <c r="J717" i="3" s="1"/>
  <c r="G718" i="3"/>
  <c r="G719" i="3"/>
  <c r="J719" i="3" s="1"/>
  <c r="G720" i="3"/>
  <c r="J720" i="3" s="1"/>
  <c r="G721" i="3"/>
  <c r="J721" i="3" s="1"/>
  <c r="G722" i="3"/>
  <c r="H722" i="3" s="1"/>
  <c r="G723" i="3"/>
  <c r="J723" i="3" s="1"/>
  <c r="G724" i="3"/>
  <c r="G725" i="3"/>
  <c r="J725" i="3" s="1"/>
  <c r="G726" i="3"/>
  <c r="J726" i="3" s="1"/>
  <c r="G727" i="3"/>
  <c r="J727" i="3" s="1"/>
  <c r="G728" i="3"/>
  <c r="J728" i="3" s="1"/>
  <c r="G729" i="3"/>
  <c r="J729" i="3" s="1"/>
  <c r="G730" i="3"/>
  <c r="J730" i="3" s="1"/>
  <c r="G731" i="3"/>
  <c r="J731" i="3" s="1"/>
  <c r="G732" i="3"/>
  <c r="G733" i="3"/>
  <c r="J733" i="3" s="1"/>
  <c r="G734" i="3"/>
  <c r="G735" i="3"/>
  <c r="J735" i="3" s="1"/>
  <c r="G736" i="3"/>
  <c r="J736" i="3" s="1"/>
  <c r="G737" i="3"/>
  <c r="J737" i="3" s="1"/>
  <c r="G738" i="3"/>
  <c r="H738" i="3" s="1"/>
  <c r="G739" i="3"/>
  <c r="J739" i="3" s="1"/>
  <c r="G740" i="3"/>
  <c r="G741" i="3"/>
  <c r="J741" i="3" s="1"/>
  <c r="G742" i="3"/>
  <c r="J742" i="3" s="1"/>
  <c r="G743" i="3"/>
  <c r="J743" i="3" s="1"/>
  <c r="G744" i="3"/>
  <c r="J744" i="3" s="1"/>
  <c r="G745" i="3"/>
  <c r="J745" i="3" s="1"/>
  <c r="G746" i="3"/>
  <c r="J746" i="3" s="1"/>
  <c r="G747" i="3"/>
  <c r="J747" i="3" s="1"/>
  <c r="G748" i="3"/>
  <c r="J748" i="3" s="1"/>
  <c r="G749" i="3"/>
  <c r="J749" i="3" s="1"/>
  <c r="G750" i="3"/>
  <c r="J750" i="3" s="1"/>
  <c r="G751" i="3"/>
  <c r="J751" i="3" s="1"/>
  <c r="G752" i="3"/>
  <c r="J752" i="3" s="1"/>
  <c r="G753" i="3"/>
  <c r="G754" i="3"/>
  <c r="H754" i="3" s="1"/>
  <c r="G755" i="3"/>
  <c r="J755" i="3" s="1"/>
  <c r="G756" i="3"/>
  <c r="J756" i="3" s="1"/>
  <c r="G757" i="3"/>
  <c r="J757" i="3" s="1"/>
  <c r="G758" i="3"/>
  <c r="J758" i="3" s="1"/>
  <c r="G759" i="3"/>
  <c r="J759" i="3" s="1"/>
  <c r="G760" i="3"/>
  <c r="J760" i="3" s="1"/>
  <c r="G761" i="3"/>
  <c r="G762" i="3"/>
  <c r="J762" i="3" s="1"/>
  <c r="G763" i="3"/>
  <c r="J763" i="3" s="1"/>
  <c r="G764" i="3"/>
  <c r="J764" i="3" s="1"/>
  <c r="G765" i="3"/>
  <c r="J765" i="3" s="1"/>
  <c r="G766" i="3"/>
  <c r="J766" i="3" s="1"/>
  <c r="G767" i="3"/>
  <c r="J767" i="3" s="1"/>
  <c r="G768" i="3"/>
  <c r="J768" i="3" s="1"/>
  <c r="G769" i="3"/>
  <c r="G770" i="3"/>
  <c r="H770" i="3" s="1"/>
  <c r="G771" i="3"/>
  <c r="J771" i="3" s="1"/>
  <c r="G772" i="3"/>
  <c r="J772" i="3" s="1"/>
  <c r="G773" i="3"/>
  <c r="J773" i="3" s="1"/>
  <c r="G774" i="3"/>
  <c r="J774" i="3" s="1"/>
  <c r="G775" i="3"/>
  <c r="J775" i="3" s="1"/>
  <c r="G776" i="3"/>
  <c r="J776" i="3" s="1"/>
  <c r="G777" i="3"/>
  <c r="J777" i="3" s="1"/>
  <c r="G778" i="3"/>
  <c r="J778" i="3" s="1"/>
  <c r="G779" i="3"/>
  <c r="J779" i="3" s="1"/>
  <c r="G780" i="3"/>
  <c r="J780" i="3" s="1"/>
  <c r="G781" i="3"/>
  <c r="J781" i="3" s="1"/>
  <c r="G782" i="3"/>
  <c r="J782" i="3" s="1"/>
  <c r="G783" i="3"/>
  <c r="J783" i="3" s="1"/>
  <c r="G784" i="3"/>
  <c r="J784" i="3" s="1"/>
  <c r="G785" i="3"/>
  <c r="J785" i="3" s="1"/>
  <c r="G786" i="3"/>
  <c r="H786" i="3" s="1"/>
  <c r="G787" i="3"/>
  <c r="J787" i="3" s="1"/>
  <c r="G788" i="3"/>
  <c r="G789" i="3"/>
  <c r="J789" i="3" s="1"/>
  <c r="G790" i="3"/>
  <c r="G791" i="3"/>
  <c r="J791" i="3" s="1"/>
  <c r="G792" i="3"/>
  <c r="J792" i="3" s="1"/>
  <c r="G793" i="3"/>
  <c r="J793" i="3" s="1"/>
  <c r="G794" i="3"/>
  <c r="J794" i="3" s="1"/>
  <c r="G795" i="3"/>
  <c r="J795" i="3" s="1"/>
  <c r="G796" i="3"/>
  <c r="G797" i="3"/>
  <c r="J797" i="3" s="1"/>
  <c r="G798" i="3"/>
  <c r="J798" i="3" s="1"/>
  <c r="G799" i="3"/>
  <c r="J799" i="3" s="1"/>
  <c r="G800" i="3"/>
  <c r="J800" i="3" s="1"/>
  <c r="G801" i="3"/>
  <c r="J801" i="3" s="1"/>
  <c r="G802" i="3"/>
  <c r="H802" i="3" s="1"/>
  <c r="G803" i="3"/>
  <c r="J803" i="3" s="1"/>
  <c r="G804" i="3"/>
  <c r="G805" i="3"/>
  <c r="J805" i="3" s="1"/>
  <c r="G806" i="3"/>
  <c r="J806" i="3" s="1"/>
  <c r="G807" i="3"/>
  <c r="J807" i="3" s="1"/>
  <c r="G808" i="3"/>
  <c r="J808" i="3" s="1"/>
  <c r="G809" i="3"/>
  <c r="J809" i="3" s="1"/>
  <c r="G810" i="3"/>
  <c r="J810" i="3" s="1"/>
  <c r="G811" i="3"/>
  <c r="J811" i="3" s="1"/>
  <c r="G812" i="3"/>
  <c r="G813" i="3"/>
  <c r="J813" i="3" s="1"/>
  <c r="G814" i="3"/>
  <c r="G815" i="3"/>
  <c r="J815" i="3" s="1"/>
  <c r="G816" i="3"/>
  <c r="J816" i="3" s="1"/>
  <c r="G817" i="3"/>
  <c r="J817" i="3" s="1"/>
  <c r="G818" i="3"/>
  <c r="H818" i="3" s="1"/>
  <c r="G819" i="3"/>
  <c r="J819" i="3" s="1"/>
  <c r="G820" i="3"/>
  <c r="G821" i="3"/>
  <c r="J821" i="3" s="1"/>
  <c r="G822" i="3"/>
  <c r="J822" i="3" s="1"/>
  <c r="G823" i="3"/>
  <c r="J823" i="3" s="1"/>
  <c r="G824" i="3"/>
  <c r="J824" i="3" s="1"/>
  <c r="G825" i="3"/>
  <c r="J825" i="3" s="1"/>
  <c r="G826" i="3"/>
  <c r="J826" i="3" s="1"/>
  <c r="G827" i="3"/>
  <c r="J827" i="3" s="1"/>
  <c r="G828" i="3"/>
  <c r="G829" i="3"/>
  <c r="J829" i="3" s="1"/>
  <c r="G830" i="3"/>
  <c r="G831" i="3"/>
  <c r="J831" i="3" s="1"/>
  <c r="G832" i="3"/>
  <c r="J832" i="3" s="1"/>
  <c r="G833" i="3"/>
  <c r="J833" i="3" s="1"/>
  <c r="G834" i="3"/>
  <c r="H834" i="3" s="1"/>
  <c r="G835" i="3"/>
  <c r="J835" i="3" s="1"/>
  <c r="G836" i="3"/>
  <c r="G837" i="3"/>
  <c r="J837" i="3" s="1"/>
  <c r="G838" i="3"/>
  <c r="J838" i="3" s="1"/>
  <c r="G839" i="3"/>
  <c r="J839" i="3" s="1"/>
  <c r="G840" i="3"/>
  <c r="J840" i="3" s="1"/>
  <c r="G841" i="3"/>
  <c r="J841" i="3" s="1"/>
  <c r="G842" i="3"/>
  <c r="J842" i="3" s="1"/>
  <c r="G843" i="3"/>
  <c r="J843" i="3" s="1"/>
  <c r="G844" i="3"/>
  <c r="G845" i="3"/>
  <c r="J845" i="3" s="1"/>
  <c r="G846" i="3"/>
  <c r="J846" i="3" s="1"/>
  <c r="G847" i="3"/>
  <c r="J847" i="3" s="1"/>
  <c r="G848" i="3"/>
  <c r="J848" i="3" s="1"/>
  <c r="G849" i="3"/>
  <c r="J849" i="3" s="1"/>
  <c r="G850" i="3"/>
  <c r="J850" i="3" s="1"/>
  <c r="G851" i="3"/>
  <c r="J851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3" i="3"/>
  <c r="B7" i="3"/>
  <c r="B8" i="3"/>
  <c r="B9" i="3"/>
  <c r="B10" i="3"/>
  <c r="B11" i="3"/>
  <c r="B22" i="3"/>
  <c r="B23" i="3"/>
  <c r="B24" i="3"/>
  <c r="B25" i="3"/>
  <c r="B26" i="3"/>
  <c r="B27" i="3"/>
  <c r="B28" i="3"/>
  <c r="B29" i="3"/>
  <c r="B32" i="3"/>
  <c r="B33" i="3"/>
  <c r="B35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J677" i="3"/>
  <c r="J613" i="3"/>
  <c r="J569" i="3"/>
  <c r="J521" i="3"/>
  <c r="J489" i="3"/>
  <c r="J457" i="3"/>
  <c r="J425" i="3"/>
  <c r="J393" i="3"/>
  <c r="J369" i="3"/>
  <c r="J353" i="3"/>
  <c r="J337" i="3"/>
  <c r="J317" i="3"/>
  <c r="J309" i="3"/>
  <c r="J301" i="3"/>
  <c r="J293" i="3"/>
  <c r="J285" i="3"/>
  <c r="J277" i="3"/>
  <c r="J269" i="3"/>
  <c r="J261" i="3"/>
  <c r="J253" i="3"/>
  <c r="J245" i="3"/>
  <c r="J237" i="3"/>
  <c r="J229" i="3"/>
  <c r="J221" i="3"/>
  <c r="J213" i="3"/>
  <c r="J205" i="3"/>
  <c r="J197" i="3"/>
  <c r="J189" i="3"/>
  <c r="J181" i="3"/>
  <c r="J173" i="3"/>
  <c r="J165" i="3"/>
  <c r="J157" i="3"/>
  <c r="J149" i="3"/>
  <c r="J141" i="3"/>
  <c r="J133" i="3"/>
  <c r="J125" i="3"/>
  <c r="J121" i="3"/>
  <c r="J117" i="3"/>
  <c r="J113" i="3"/>
  <c r="J109" i="3"/>
  <c r="J105" i="3"/>
  <c r="J101" i="3"/>
  <c r="J97" i="3"/>
  <c r="J93" i="3"/>
  <c r="J89" i="3"/>
  <c r="J85" i="3"/>
  <c r="J81" i="3"/>
  <c r="J77" i="3"/>
  <c r="J73" i="3"/>
  <c r="J69" i="3"/>
  <c r="J65" i="3"/>
  <c r="H65" i="3"/>
  <c r="J61" i="3"/>
  <c r="H61" i="3"/>
  <c r="J57" i="3"/>
  <c r="H57" i="3"/>
  <c r="J53" i="3"/>
  <c r="H53" i="3"/>
  <c r="J49" i="3"/>
  <c r="H49" i="3"/>
  <c r="J45" i="3"/>
  <c r="H45" i="3"/>
  <c r="J41" i="3"/>
  <c r="H41" i="3"/>
  <c r="J37" i="3"/>
  <c r="H37" i="3"/>
  <c r="J33" i="3"/>
  <c r="H33" i="3"/>
  <c r="J29" i="3"/>
  <c r="H29" i="3"/>
  <c r="H9" i="3"/>
  <c r="H850" i="3"/>
  <c r="H758" i="3"/>
  <c r="H632" i="3"/>
  <c r="H408" i="3"/>
  <c r="H120" i="3"/>
  <c r="J36" i="3"/>
  <c r="H8" i="3"/>
  <c r="H833" i="3"/>
  <c r="H825" i="3"/>
  <c r="H817" i="3"/>
  <c r="H797" i="3"/>
  <c r="H785" i="3"/>
  <c r="H765" i="3"/>
  <c r="H749" i="3"/>
  <c r="H737" i="3"/>
  <c r="H729" i="3"/>
  <c r="H721" i="3"/>
  <c r="H709" i="3"/>
  <c r="H701" i="3"/>
  <c r="H693" i="3"/>
  <c r="H628" i="3"/>
  <c r="H687" i="3"/>
  <c r="H683" i="3"/>
  <c r="H679" i="3"/>
  <c r="H675" i="3"/>
  <c r="H667" i="3"/>
  <c r="H663" i="3"/>
  <c r="H659" i="3"/>
  <c r="H635" i="3"/>
  <c r="J603" i="3"/>
  <c r="H575" i="3"/>
  <c r="H559" i="3"/>
  <c r="H555" i="3"/>
  <c r="H551" i="3"/>
  <c r="H547" i="3"/>
  <c r="H539" i="3"/>
  <c r="H535" i="3"/>
  <c r="H531" i="3"/>
  <c r="J523" i="3"/>
  <c r="J519" i="3"/>
  <c r="J515" i="3"/>
  <c r="J511" i="3"/>
  <c r="J507" i="3"/>
  <c r="J503" i="3"/>
  <c r="J499" i="3"/>
  <c r="J495" i="3"/>
  <c r="J491" i="3"/>
  <c r="J487" i="3"/>
  <c r="J483" i="3"/>
  <c r="J479" i="3"/>
  <c r="J475" i="3"/>
  <c r="J471" i="3"/>
  <c r="J467" i="3"/>
  <c r="J463" i="3"/>
  <c r="J459" i="3"/>
  <c r="J455" i="3"/>
  <c r="J451" i="3"/>
  <c r="J447" i="3"/>
  <c r="J443" i="3"/>
  <c r="J439" i="3"/>
  <c r="J435" i="3"/>
  <c r="J431" i="3"/>
  <c r="J427" i="3"/>
  <c r="J423" i="3"/>
  <c r="J419" i="3"/>
  <c r="J415" i="3"/>
  <c r="J411" i="3"/>
  <c r="J407" i="3"/>
  <c r="J403" i="3"/>
  <c r="J399" i="3"/>
  <c r="J395" i="3"/>
  <c r="J391" i="3"/>
  <c r="J387" i="3"/>
  <c r="J383" i="3"/>
  <c r="J379" i="3"/>
  <c r="J375" i="3"/>
  <c r="J371" i="3"/>
  <c r="J367" i="3"/>
  <c r="J363" i="3"/>
  <c r="J359" i="3"/>
  <c r="J355" i="3"/>
  <c r="J351" i="3"/>
  <c r="J347" i="3"/>
  <c r="J343" i="3"/>
  <c r="J339" i="3"/>
  <c r="J335" i="3"/>
  <c r="J331" i="3"/>
  <c r="J327" i="3"/>
  <c r="J323" i="3"/>
  <c r="J319" i="3"/>
  <c r="J315" i="3"/>
  <c r="J311" i="3"/>
  <c r="J307" i="3"/>
  <c r="J303" i="3"/>
  <c r="J299" i="3"/>
  <c r="J295" i="3"/>
  <c r="J291" i="3"/>
  <c r="J287" i="3"/>
  <c r="J283" i="3"/>
  <c r="J279" i="3"/>
  <c r="J275" i="3"/>
  <c r="J271" i="3"/>
  <c r="J267" i="3"/>
  <c r="J263" i="3"/>
  <c r="J259" i="3"/>
  <c r="J255" i="3"/>
  <c r="H255" i="3"/>
  <c r="J251" i="3"/>
  <c r="H251" i="3"/>
  <c r="J247" i="3"/>
  <c r="H247" i="3"/>
  <c r="J243" i="3"/>
  <c r="H243" i="3"/>
  <c r="J239" i="3"/>
  <c r="H239" i="3"/>
  <c r="J235" i="3"/>
  <c r="H235" i="3"/>
  <c r="J231" i="3"/>
  <c r="H231" i="3"/>
  <c r="J227" i="3"/>
  <c r="H227" i="3"/>
  <c r="J223" i="3"/>
  <c r="H223" i="3"/>
  <c r="J219" i="3"/>
  <c r="H219" i="3"/>
  <c r="J215" i="3"/>
  <c r="H215" i="3"/>
  <c r="J211" i="3"/>
  <c r="H211" i="3"/>
  <c r="J207" i="3"/>
  <c r="H207" i="3"/>
  <c r="J203" i="3"/>
  <c r="H203" i="3"/>
  <c r="J199" i="3"/>
  <c r="H199" i="3"/>
  <c r="J195" i="3"/>
  <c r="H195" i="3"/>
  <c r="J191" i="3"/>
  <c r="H191" i="3"/>
  <c r="J187" i="3"/>
  <c r="H187" i="3"/>
  <c r="J183" i="3"/>
  <c r="H183" i="3"/>
  <c r="J179" i="3"/>
  <c r="H179" i="3"/>
  <c r="J175" i="3"/>
  <c r="H175" i="3"/>
  <c r="J171" i="3"/>
  <c r="H171" i="3"/>
  <c r="J167" i="3"/>
  <c r="H167" i="3"/>
  <c r="J163" i="3"/>
  <c r="H163" i="3"/>
  <c r="J159" i="3"/>
  <c r="H159" i="3"/>
  <c r="J155" i="3"/>
  <c r="H155" i="3"/>
  <c r="J151" i="3"/>
  <c r="H151" i="3"/>
  <c r="J147" i="3"/>
  <c r="H147" i="3"/>
  <c r="J143" i="3"/>
  <c r="H143" i="3"/>
  <c r="J139" i="3"/>
  <c r="H139" i="3"/>
  <c r="J135" i="3"/>
  <c r="H135" i="3"/>
  <c r="J131" i="3"/>
  <c r="H131" i="3"/>
  <c r="J127" i="3"/>
  <c r="H127" i="3"/>
  <c r="J123" i="3"/>
  <c r="H123" i="3"/>
  <c r="J119" i="3"/>
  <c r="H119" i="3"/>
  <c r="J115" i="3"/>
  <c r="H115" i="3"/>
  <c r="J111" i="3"/>
  <c r="H111" i="3"/>
  <c r="J107" i="3"/>
  <c r="H107" i="3"/>
  <c r="J103" i="3"/>
  <c r="H103" i="3"/>
  <c r="J99" i="3"/>
  <c r="H99" i="3"/>
  <c r="J95" i="3"/>
  <c r="H95" i="3"/>
  <c r="J91" i="3"/>
  <c r="H91" i="3"/>
  <c r="J87" i="3"/>
  <c r="H87" i="3"/>
  <c r="J83" i="3"/>
  <c r="H83" i="3"/>
  <c r="J79" i="3"/>
  <c r="H79" i="3"/>
  <c r="J75" i="3"/>
  <c r="H75" i="3"/>
  <c r="J71" i="3"/>
  <c r="H71" i="3"/>
  <c r="J67" i="3"/>
  <c r="H67" i="3"/>
  <c r="J63" i="3"/>
  <c r="H63" i="3"/>
  <c r="J59" i="3"/>
  <c r="H59" i="3"/>
  <c r="J55" i="3"/>
  <c r="H55" i="3"/>
  <c r="J51" i="3"/>
  <c r="H51" i="3"/>
  <c r="J47" i="3"/>
  <c r="H47" i="3"/>
  <c r="J43" i="3"/>
  <c r="H43" i="3"/>
  <c r="J39" i="3"/>
  <c r="H39" i="3"/>
  <c r="J31" i="3"/>
  <c r="J27" i="3"/>
  <c r="H27" i="3"/>
  <c r="H23" i="3"/>
  <c r="H11" i="3"/>
  <c r="H824" i="3"/>
  <c r="H792" i="3"/>
  <c r="H772" i="3"/>
  <c r="H756" i="3"/>
  <c r="H720" i="3"/>
  <c r="H640" i="3"/>
  <c r="H576" i="3"/>
  <c r="H654" i="3"/>
  <c r="H626" i="3"/>
  <c r="H618" i="3"/>
  <c r="H606" i="3"/>
  <c r="H594" i="3"/>
  <c r="H586" i="3"/>
  <c r="J570" i="3"/>
  <c r="H562" i="3"/>
  <c r="J522" i="3"/>
  <c r="H438" i="3"/>
  <c r="J350" i="3"/>
  <c r="J266" i="3"/>
  <c r="H182" i="3"/>
  <c r="J138" i="3"/>
  <c r="J94" i="3"/>
  <c r="J54" i="3"/>
  <c r="J34" i="3"/>
  <c r="J30" i="3"/>
  <c r="H10" i="3"/>
  <c r="H847" i="3"/>
  <c r="H835" i="3"/>
  <c r="H819" i="3"/>
  <c r="H811" i="3"/>
  <c r="H799" i="3"/>
  <c r="H787" i="3"/>
  <c r="H779" i="3"/>
  <c r="H767" i="3"/>
  <c r="H759" i="3"/>
  <c r="H751" i="3"/>
  <c r="H739" i="3"/>
  <c r="H727" i="3"/>
  <c r="H719" i="3"/>
  <c r="H707" i="3"/>
  <c r="H691" i="3"/>
  <c r="H652" i="3"/>
  <c r="H524" i="3"/>
  <c r="DF4" i="1"/>
  <c r="L10" i="1"/>
  <c r="H588" i="3" l="1"/>
  <c r="J38" i="3"/>
  <c r="J74" i="3"/>
  <c r="H118" i="3"/>
  <c r="J158" i="3"/>
  <c r="J222" i="3"/>
  <c r="H310" i="3"/>
  <c r="J394" i="3"/>
  <c r="J478" i="3"/>
  <c r="J554" i="3"/>
  <c r="J566" i="3"/>
  <c r="J574" i="3"/>
  <c r="H590" i="3"/>
  <c r="H602" i="3"/>
  <c r="H614" i="3"/>
  <c r="H622" i="3"/>
  <c r="J638" i="3"/>
  <c r="H528" i="3"/>
  <c r="H608" i="3"/>
  <c r="H688" i="3"/>
  <c r="H748" i="3"/>
  <c r="H764" i="3"/>
  <c r="H780" i="3"/>
  <c r="H808" i="3"/>
  <c r="H840" i="3"/>
  <c r="H580" i="3"/>
  <c r="H248" i="3"/>
  <c r="H584" i="3"/>
  <c r="H726" i="3"/>
  <c r="H798" i="3"/>
  <c r="H556" i="3"/>
  <c r="H620" i="3"/>
  <c r="J26" i="3"/>
  <c r="J46" i="3"/>
  <c r="J62" i="3"/>
  <c r="H86" i="3"/>
  <c r="J106" i="3"/>
  <c r="J126" i="3"/>
  <c r="H150" i="3"/>
  <c r="J170" i="3"/>
  <c r="J202" i="3"/>
  <c r="H246" i="3"/>
  <c r="J286" i="3"/>
  <c r="J330" i="3"/>
  <c r="H374" i="3"/>
  <c r="J414" i="3"/>
  <c r="J458" i="3"/>
  <c r="H502" i="3"/>
  <c r="H546" i="3"/>
  <c r="J558" i="3"/>
  <c r="H582" i="3"/>
  <c r="H598" i="3"/>
  <c r="H610" i="3"/>
  <c r="J634" i="3"/>
  <c r="J650" i="3"/>
  <c r="H682" i="3"/>
  <c r="H560" i="3"/>
  <c r="H592" i="3"/>
  <c r="H624" i="3"/>
  <c r="H656" i="3"/>
  <c r="H704" i="3"/>
  <c r="H736" i="3"/>
  <c r="H752" i="3"/>
  <c r="H760" i="3"/>
  <c r="H768" i="3"/>
  <c r="H776" i="3"/>
  <c r="H784" i="3"/>
  <c r="H800" i="3"/>
  <c r="H816" i="3"/>
  <c r="H832" i="3"/>
  <c r="H848" i="3"/>
  <c r="H548" i="3"/>
  <c r="H612" i="3"/>
  <c r="J28" i="3"/>
  <c r="H56" i="3"/>
  <c r="H184" i="3"/>
  <c r="H312" i="3"/>
  <c r="H552" i="3"/>
  <c r="H616" i="3"/>
  <c r="H680" i="3"/>
  <c r="H750" i="3"/>
  <c r="H766" i="3"/>
  <c r="H822" i="3"/>
  <c r="L23" i="1"/>
  <c r="H29" i="1" s="1"/>
  <c r="J605" i="3"/>
  <c r="H605" i="3"/>
  <c r="H695" i="3"/>
  <c r="H715" i="3"/>
  <c r="H723" i="3"/>
  <c r="H731" i="3"/>
  <c r="H747" i="3"/>
  <c r="H755" i="3"/>
  <c r="H763" i="3"/>
  <c r="H771" i="3"/>
  <c r="H783" i="3"/>
  <c r="H791" i="3"/>
  <c r="H803" i="3"/>
  <c r="H815" i="3"/>
  <c r="H823" i="3"/>
  <c r="H843" i="3"/>
  <c r="H851" i="3"/>
  <c r="H527" i="3"/>
  <c r="H567" i="3"/>
  <c r="J583" i="3"/>
  <c r="H627" i="3"/>
  <c r="J643" i="3"/>
  <c r="H689" i="3"/>
  <c r="H697" i="3"/>
  <c r="H705" i="3"/>
  <c r="H717" i="3"/>
  <c r="H725" i="3"/>
  <c r="H733" i="3"/>
  <c r="H741" i="3"/>
  <c r="H757" i="3"/>
  <c r="H773" i="3"/>
  <c r="H793" i="3"/>
  <c r="H801" i="3"/>
  <c r="H821" i="3"/>
  <c r="H829" i="3"/>
  <c r="H837" i="3"/>
  <c r="J129" i="3"/>
  <c r="J137" i="3"/>
  <c r="J145" i="3"/>
  <c r="J153" i="3"/>
  <c r="J161" i="3"/>
  <c r="J169" i="3"/>
  <c r="J177" i="3"/>
  <c r="J185" i="3"/>
  <c r="J193" i="3"/>
  <c r="J201" i="3"/>
  <c r="J209" i="3"/>
  <c r="J217" i="3"/>
  <c r="J225" i="3"/>
  <c r="J233" i="3"/>
  <c r="J241" i="3"/>
  <c r="J249" i="3"/>
  <c r="J257" i="3"/>
  <c r="J265" i="3"/>
  <c r="J273" i="3"/>
  <c r="J281" i="3"/>
  <c r="J289" i="3"/>
  <c r="J297" i="3"/>
  <c r="J305" i="3"/>
  <c r="J313" i="3"/>
  <c r="J329" i="3"/>
  <c r="J345" i="3"/>
  <c r="J361" i="3"/>
  <c r="J377" i="3"/>
  <c r="J409" i="3"/>
  <c r="J441" i="3"/>
  <c r="J473" i="3"/>
  <c r="J505" i="3"/>
  <c r="H541" i="3"/>
  <c r="J593" i="3"/>
  <c r="J657" i="3"/>
  <c r="J669" i="3"/>
  <c r="H669" i="3"/>
  <c r="H633" i="3"/>
  <c r="J633" i="3"/>
  <c r="H577" i="3"/>
  <c r="J577" i="3"/>
  <c r="H549" i="3"/>
  <c r="J549" i="3"/>
  <c r="H529" i="3"/>
  <c r="J529" i="3"/>
  <c r="H513" i="3"/>
  <c r="J513" i="3"/>
  <c r="H497" i="3"/>
  <c r="J497" i="3"/>
  <c r="H481" i="3"/>
  <c r="J481" i="3"/>
  <c r="H465" i="3"/>
  <c r="J465" i="3"/>
  <c r="H449" i="3"/>
  <c r="J449" i="3"/>
  <c r="H433" i="3"/>
  <c r="J433" i="3"/>
  <c r="H417" i="3"/>
  <c r="J417" i="3"/>
  <c r="H401" i="3"/>
  <c r="J401" i="3"/>
  <c r="H385" i="3"/>
  <c r="J385" i="3"/>
  <c r="J734" i="3"/>
  <c r="H734" i="3"/>
  <c r="J732" i="3"/>
  <c r="H732" i="3"/>
  <c r="J718" i="3"/>
  <c r="H718" i="3"/>
  <c r="J716" i="3"/>
  <c r="H716" i="3"/>
  <c r="J708" i="3"/>
  <c r="H708" i="3"/>
  <c r="J700" i="3"/>
  <c r="H700" i="3"/>
  <c r="J694" i="3"/>
  <c r="H694" i="3"/>
  <c r="J692" i="3"/>
  <c r="H692" i="3"/>
  <c r="H670" i="3"/>
  <c r="J670" i="3"/>
  <c r="H617" i="3"/>
  <c r="J617" i="3"/>
  <c r="J611" i="3"/>
  <c r="H611" i="3"/>
  <c r="J599" i="3"/>
  <c r="H599" i="3"/>
  <c r="J740" i="3"/>
  <c r="H740" i="3"/>
  <c r="J724" i="3"/>
  <c r="H724" i="3"/>
  <c r="J672" i="3"/>
  <c r="H672" i="3"/>
  <c r="J637" i="3"/>
  <c r="H637" i="3"/>
  <c r="J625" i="3"/>
  <c r="H625" i="3"/>
  <c r="J619" i="3"/>
  <c r="H619" i="3"/>
  <c r="H597" i="3"/>
  <c r="J597" i="3"/>
  <c r="H587" i="3"/>
  <c r="J587" i="3"/>
  <c r="H581" i="3"/>
  <c r="J581" i="3"/>
  <c r="H684" i="3"/>
  <c r="H662" i="3"/>
  <c r="H686" i="3"/>
  <c r="H696" i="3"/>
  <c r="H712" i="3"/>
  <c r="H728" i="3"/>
  <c r="H744" i="3"/>
  <c r="H563" i="3"/>
  <c r="H571" i="3"/>
  <c r="J579" i="3"/>
  <c r="J595" i="3"/>
  <c r="J615" i="3"/>
  <c r="H631" i="3"/>
  <c r="H639" i="3"/>
  <c r="J647" i="3"/>
  <c r="H676" i="3"/>
  <c r="H702" i="3"/>
  <c r="J561" i="3"/>
  <c r="J573" i="3"/>
  <c r="H585" i="3"/>
  <c r="H601" i="3"/>
  <c r="H609" i="3"/>
  <c r="J621" i="3"/>
  <c r="J641" i="3"/>
  <c r="J844" i="3"/>
  <c r="H844" i="3"/>
  <c r="J836" i="3"/>
  <c r="H836" i="3"/>
  <c r="J830" i="3"/>
  <c r="H830" i="3"/>
  <c r="J828" i="3"/>
  <c r="H828" i="3"/>
  <c r="J820" i="3"/>
  <c r="H820" i="3"/>
  <c r="J814" i="3"/>
  <c r="H814" i="3"/>
  <c r="J812" i="3"/>
  <c r="H812" i="3"/>
  <c r="J804" i="3"/>
  <c r="H804" i="3"/>
  <c r="J796" i="3"/>
  <c r="H796" i="3"/>
  <c r="J790" i="3"/>
  <c r="H790" i="3"/>
  <c r="J788" i="3"/>
  <c r="H788" i="3"/>
  <c r="J769" i="3"/>
  <c r="H769" i="3"/>
  <c r="J761" i="3"/>
  <c r="H761" i="3"/>
  <c r="J753" i="3"/>
  <c r="H753" i="3"/>
  <c r="J544" i="3"/>
  <c r="H544" i="3"/>
  <c r="H534" i="3"/>
  <c r="J534" i="3"/>
  <c r="H510" i="3"/>
  <c r="J510" i="3"/>
  <c r="H490" i="3"/>
  <c r="J490" i="3"/>
  <c r="J472" i="3"/>
  <c r="H472" i="3"/>
  <c r="J470" i="3"/>
  <c r="H470" i="3"/>
  <c r="H446" i="3"/>
  <c r="J446" i="3"/>
  <c r="H426" i="3"/>
  <c r="J426" i="3"/>
  <c r="J406" i="3"/>
  <c r="H406" i="3"/>
  <c r="H382" i="3"/>
  <c r="J382" i="3"/>
  <c r="H362" i="3"/>
  <c r="J362" i="3"/>
  <c r="J344" i="3"/>
  <c r="H344" i="3"/>
  <c r="J342" i="3"/>
  <c r="H342" i="3"/>
  <c r="H318" i="3"/>
  <c r="J318" i="3"/>
  <c r="H298" i="3"/>
  <c r="J298" i="3"/>
  <c r="J280" i="3"/>
  <c r="H280" i="3"/>
  <c r="J278" i="3"/>
  <c r="H278" i="3"/>
  <c r="H254" i="3"/>
  <c r="J254" i="3"/>
  <c r="H234" i="3"/>
  <c r="J234" i="3"/>
  <c r="J216" i="3"/>
  <c r="H216" i="3"/>
  <c r="J214" i="3"/>
  <c r="H214" i="3"/>
  <c r="H190" i="3"/>
  <c r="J190" i="3"/>
  <c r="J152" i="3"/>
  <c r="H152" i="3"/>
  <c r="J88" i="3"/>
  <c r="H88" i="3"/>
  <c r="J40" i="3"/>
  <c r="H40" i="3"/>
  <c r="J32" i="3"/>
  <c r="H32" i="3"/>
  <c r="H782" i="3"/>
  <c r="J645" i="3"/>
  <c r="H849" i="3"/>
  <c r="J649" i="3"/>
  <c r="H789" i="3"/>
  <c r="H805" i="3"/>
  <c r="H846" i="3"/>
  <c r="J321" i="3"/>
  <c r="H781" i="3"/>
  <c r="H813" i="3"/>
  <c r="H845" i="3"/>
  <c r="J537" i="3"/>
  <c r="J545" i="3"/>
  <c r="J665" i="3"/>
  <c r="J673" i="3"/>
  <c r="H699" i="3"/>
  <c r="H735" i="3"/>
  <c r="H827" i="3"/>
  <c r="H710" i="3"/>
  <c r="H742" i="3"/>
  <c r="H774" i="3"/>
  <c r="H806" i="3"/>
  <c r="H838" i="3"/>
  <c r="H325" i="3"/>
  <c r="H333" i="3"/>
  <c r="H341" i="3"/>
  <c r="H349" i="3"/>
  <c r="H357" i="3"/>
  <c r="H365" i="3"/>
  <c r="H373" i="3"/>
  <c r="H381" i="3"/>
  <c r="H389" i="3"/>
  <c r="H397" i="3"/>
  <c r="H405" i="3"/>
  <c r="H413" i="3"/>
  <c r="H421" i="3"/>
  <c r="H429" i="3"/>
  <c r="H437" i="3"/>
  <c r="H445" i="3"/>
  <c r="H453" i="3"/>
  <c r="H461" i="3"/>
  <c r="H469" i="3"/>
  <c r="H477" i="3"/>
  <c r="H485" i="3"/>
  <c r="H493" i="3"/>
  <c r="H501" i="3"/>
  <c r="H509" i="3"/>
  <c r="H517" i="3"/>
  <c r="H525" i="3"/>
  <c r="J533" i="3"/>
  <c r="J553" i="3"/>
  <c r="J661" i="3"/>
  <c r="J681" i="3"/>
  <c r="H630" i="3"/>
  <c r="H646" i="3"/>
  <c r="H703" i="3"/>
  <c r="H795" i="3"/>
  <c r="H831" i="3"/>
  <c r="H623" i="3"/>
  <c r="H713" i="3"/>
  <c r="H745" i="3"/>
  <c r="H777" i="3"/>
  <c r="H809" i="3"/>
  <c r="H841" i="3"/>
  <c r="J557" i="3"/>
  <c r="J685" i="3"/>
  <c r="J530" i="3"/>
  <c r="H530" i="3"/>
  <c r="H775" i="3"/>
  <c r="H807" i="3"/>
  <c r="H839" i="3"/>
  <c r="H50" i="3"/>
  <c r="J130" i="3"/>
  <c r="H174" i="3"/>
  <c r="J354" i="3"/>
  <c r="J386" i="3"/>
  <c r="J418" i="3"/>
  <c r="J450" i="3"/>
  <c r="J482" i="3"/>
  <c r="H526" i="3"/>
  <c r="H651" i="3"/>
  <c r="J568" i="3"/>
  <c r="H568" i="3"/>
  <c r="J564" i="3"/>
  <c r="H564" i="3"/>
  <c r="H711" i="3"/>
  <c r="H42" i="3"/>
  <c r="H58" i="3"/>
  <c r="H78" i="3"/>
  <c r="H110" i="3"/>
  <c r="H142" i="3"/>
  <c r="J162" i="3"/>
  <c r="J194" i="3"/>
  <c r="J226" i="3"/>
  <c r="J258" i="3"/>
  <c r="J290" i="3"/>
  <c r="J322" i="3"/>
  <c r="H494" i="3"/>
  <c r="H538" i="3"/>
  <c r="H70" i="3"/>
  <c r="J90" i="3"/>
  <c r="H102" i="3"/>
  <c r="J122" i="3"/>
  <c r="H134" i="3"/>
  <c r="J154" i="3"/>
  <c r="H166" i="3"/>
  <c r="J186" i="3"/>
  <c r="H198" i="3"/>
  <c r="J206" i="3"/>
  <c r="J218" i="3"/>
  <c r="H230" i="3"/>
  <c r="J238" i="3"/>
  <c r="J250" i="3"/>
  <c r="H262" i="3"/>
  <c r="J270" i="3"/>
  <c r="J282" i="3"/>
  <c r="H294" i="3"/>
  <c r="J302" i="3"/>
  <c r="J314" i="3"/>
  <c r="H326" i="3"/>
  <c r="J334" i="3"/>
  <c r="J346" i="3"/>
  <c r="H358" i="3"/>
  <c r="J366" i="3"/>
  <c r="J378" i="3"/>
  <c r="H390" i="3"/>
  <c r="J398" i="3"/>
  <c r="J410" i="3"/>
  <c r="H422" i="3"/>
  <c r="J430" i="3"/>
  <c r="J442" i="3"/>
  <c r="H454" i="3"/>
  <c r="J462" i="3"/>
  <c r="J474" i="3"/>
  <c r="H486" i="3"/>
  <c r="J506" i="3"/>
  <c r="H518" i="3"/>
  <c r="H542" i="3"/>
  <c r="J666" i="3"/>
  <c r="H655" i="3"/>
  <c r="J591" i="3"/>
  <c r="H591" i="3"/>
  <c r="H743" i="3"/>
  <c r="J66" i="3"/>
  <c r="J98" i="3"/>
  <c r="J514" i="3"/>
  <c r="J550" i="3"/>
  <c r="J678" i="3"/>
  <c r="J82" i="3"/>
  <c r="J114" i="3"/>
  <c r="J146" i="3"/>
  <c r="J178" i="3"/>
  <c r="J210" i="3"/>
  <c r="J242" i="3"/>
  <c r="J274" i="3"/>
  <c r="J306" i="3"/>
  <c r="J338" i="3"/>
  <c r="J370" i="3"/>
  <c r="J402" i="3"/>
  <c r="J434" i="3"/>
  <c r="J466" i="3"/>
  <c r="J498" i="3"/>
  <c r="J648" i="3"/>
  <c r="H648" i="3"/>
  <c r="J644" i="3"/>
  <c r="H644" i="3"/>
  <c r="H72" i="3"/>
  <c r="H104" i="3"/>
  <c r="H136" i="3"/>
  <c r="H168" i="3"/>
  <c r="H200" i="3"/>
  <c r="H232" i="3"/>
  <c r="H264" i="3"/>
  <c r="H296" i="3"/>
  <c r="H328" i="3"/>
  <c r="H376" i="3"/>
  <c r="H440" i="3"/>
  <c r="H504" i="3"/>
  <c r="H589" i="3"/>
  <c r="J653" i="3"/>
  <c r="H48" i="3"/>
  <c r="H80" i="3"/>
  <c r="H112" i="3"/>
  <c r="H144" i="3"/>
  <c r="H176" i="3"/>
  <c r="H208" i="3"/>
  <c r="H240" i="3"/>
  <c r="H272" i="3"/>
  <c r="H304" i="3"/>
  <c r="H336" i="3"/>
  <c r="H400" i="3"/>
  <c r="H464" i="3"/>
  <c r="H536" i="3"/>
  <c r="H600" i="3"/>
  <c r="H664" i="3"/>
  <c r="H698" i="3"/>
  <c r="H714" i="3"/>
  <c r="H730" i="3"/>
  <c r="H746" i="3"/>
  <c r="H762" i="3"/>
  <c r="H778" i="3"/>
  <c r="H794" i="3"/>
  <c r="H810" i="3"/>
  <c r="H826" i="3"/>
  <c r="H842" i="3"/>
  <c r="J834" i="3"/>
  <c r="J818" i="3"/>
  <c r="J802" i="3"/>
  <c r="J786" i="3"/>
  <c r="J770" i="3"/>
  <c r="J754" i="3"/>
  <c r="J738" i="3"/>
  <c r="J722" i="3"/>
  <c r="J706" i="3"/>
  <c r="J690" i="3"/>
  <c r="H578" i="3"/>
  <c r="H642" i="3"/>
  <c r="H532" i="3"/>
  <c r="H596" i="3"/>
  <c r="H660" i="3"/>
  <c r="H24" i="3"/>
  <c r="H64" i="3"/>
  <c r="H96" i="3"/>
  <c r="H128" i="3"/>
  <c r="H160" i="3"/>
  <c r="H192" i="3"/>
  <c r="H224" i="3"/>
  <c r="H256" i="3"/>
  <c r="H288" i="3"/>
  <c r="H320" i="3"/>
  <c r="H368" i="3"/>
  <c r="H432" i="3"/>
  <c r="H496" i="3"/>
  <c r="J25" i="3"/>
  <c r="H25" i="3"/>
  <c r="J674" i="3"/>
  <c r="H674" i="3"/>
  <c r="J516" i="3"/>
  <c r="H516" i="3"/>
  <c r="J508" i="3"/>
  <c r="H508" i="3"/>
  <c r="J500" i="3"/>
  <c r="H500" i="3"/>
  <c r="J492" i="3"/>
  <c r="H492" i="3"/>
  <c r="J484" i="3"/>
  <c r="H484" i="3"/>
  <c r="J476" i="3"/>
  <c r="H476" i="3"/>
  <c r="J468" i="3"/>
  <c r="H468" i="3"/>
  <c r="J460" i="3"/>
  <c r="H460" i="3"/>
  <c r="J452" i="3"/>
  <c r="H452" i="3"/>
  <c r="J444" i="3"/>
  <c r="H444" i="3"/>
  <c r="J436" i="3"/>
  <c r="H436" i="3"/>
  <c r="J428" i="3"/>
  <c r="H428" i="3"/>
  <c r="J420" i="3"/>
  <c r="H420" i="3"/>
  <c r="J412" i="3"/>
  <c r="H412" i="3"/>
  <c r="J404" i="3"/>
  <c r="H404" i="3"/>
  <c r="J396" i="3"/>
  <c r="H396" i="3"/>
  <c r="J388" i="3"/>
  <c r="H388" i="3"/>
  <c r="J380" i="3"/>
  <c r="H380" i="3"/>
  <c r="J372" i="3"/>
  <c r="H372" i="3"/>
  <c r="J364" i="3"/>
  <c r="H364" i="3"/>
  <c r="J356" i="3"/>
  <c r="H356" i="3"/>
  <c r="J348" i="3"/>
  <c r="H348" i="3"/>
  <c r="J340" i="3"/>
  <c r="H340" i="3"/>
  <c r="J332" i="3"/>
  <c r="H332" i="3"/>
  <c r="J324" i="3"/>
  <c r="H324" i="3"/>
  <c r="J316" i="3"/>
  <c r="H316" i="3"/>
  <c r="J308" i="3"/>
  <c r="H308" i="3"/>
  <c r="J300" i="3"/>
  <c r="H300" i="3"/>
  <c r="J292" i="3"/>
  <c r="H292" i="3"/>
  <c r="J284" i="3"/>
  <c r="H284" i="3"/>
  <c r="J276" i="3"/>
  <c r="H276" i="3"/>
  <c r="J268" i="3"/>
  <c r="H268" i="3"/>
  <c r="J260" i="3"/>
  <c r="H260" i="3"/>
  <c r="J252" i="3"/>
  <c r="H252" i="3"/>
  <c r="J244" i="3"/>
  <c r="H244" i="3"/>
  <c r="J236" i="3"/>
  <c r="H236" i="3"/>
  <c r="J228" i="3"/>
  <c r="H228" i="3"/>
  <c r="J220" i="3"/>
  <c r="H220" i="3"/>
  <c r="J212" i="3"/>
  <c r="H212" i="3"/>
  <c r="J204" i="3"/>
  <c r="H204" i="3"/>
  <c r="J196" i="3"/>
  <c r="H196" i="3"/>
  <c r="J188" i="3"/>
  <c r="H188" i="3"/>
  <c r="J180" i="3"/>
  <c r="H180" i="3"/>
  <c r="J172" i="3"/>
  <c r="H172" i="3"/>
  <c r="J164" i="3"/>
  <c r="H164" i="3"/>
  <c r="J156" i="3"/>
  <c r="H156" i="3"/>
  <c r="J148" i="3"/>
  <c r="H148" i="3"/>
  <c r="J140" i="3"/>
  <c r="H140" i="3"/>
  <c r="J132" i="3"/>
  <c r="H132" i="3"/>
  <c r="J124" i="3"/>
  <c r="H124" i="3"/>
  <c r="J116" i="3"/>
  <c r="H116" i="3"/>
  <c r="J108" i="3"/>
  <c r="H108" i="3"/>
  <c r="J100" i="3"/>
  <c r="H100" i="3"/>
  <c r="J92" i="3"/>
  <c r="H92" i="3"/>
  <c r="J84" i="3"/>
  <c r="H84" i="3"/>
  <c r="J76" i="3"/>
  <c r="H76" i="3"/>
  <c r="J68" i="3"/>
  <c r="H68" i="3"/>
  <c r="J60" i="3"/>
  <c r="H60" i="3"/>
  <c r="J52" i="3"/>
  <c r="H52" i="3"/>
  <c r="J44" i="3"/>
  <c r="H44" i="3"/>
  <c r="J35" i="3"/>
  <c r="H35" i="3"/>
  <c r="H572" i="3"/>
  <c r="H636" i="3"/>
  <c r="H543" i="3"/>
  <c r="H607" i="3"/>
  <c r="H671" i="3"/>
  <c r="H352" i="3"/>
  <c r="H384" i="3"/>
  <c r="H416" i="3"/>
  <c r="H448" i="3"/>
  <c r="H480" i="3"/>
  <c r="H512" i="3"/>
  <c r="J565" i="3"/>
  <c r="J629" i="3"/>
  <c r="H540" i="3"/>
  <c r="H604" i="3"/>
  <c r="H668" i="3"/>
  <c r="H360" i="3"/>
  <c r="H392" i="3"/>
  <c r="H424" i="3"/>
  <c r="H456" i="3"/>
  <c r="H488" i="3"/>
  <c r="H520" i="3"/>
  <c r="J658" i="3"/>
  <c r="H658" i="3"/>
  <c r="C4013" i="3"/>
  <c r="B4013" i="3"/>
  <c r="F20" i="1" s="1"/>
  <c r="F13" i="1" l="1"/>
  <c r="D20" i="1"/>
  <c r="H20" i="1" s="1"/>
  <c r="F16" i="1"/>
  <c r="D25" i="1"/>
  <c r="D18" i="1"/>
  <c r="D17" i="1"/>
  <c r="D23" i="1"/>
  <c r="D15" i="1"/>
  <c r="D13" i="1"/>
  <c r="D16" i="1"/>
  <c r="D22" i="1"/>
  <c r="G22" i="1"/>
  <c r="G20" i="1"/>
  <c r="E23" i="1"/>
  <c r="F22" i="1"/>
  <c r="E18" i="1"/>
  <c r="G14" i="1"/>
  <c r="G23" i="1"/>
  <c r="D21" i="1"/>
  <c r="E13" i="1"/>
  <c r="E16" i="1"/>
  <c r="G24" i="1"/>
  <c r="F15" i="1"/>
  <c r="G17" i="1"/>
  <c r="G16" i="1"/>
  <c r="E24" i="1"/>
  <c r="G18" i="1"/>
  <c r="F23" i="1"/>
  <c r="E20" i="1"/>
  <c r="D24" i="1"/>
  <c r="E19" i="1"/>
  <c r="F24" i="1"/>
  <c r="G19" i="1"/>
  <c r="F25" i="1"/>
  <c r="G15" i="1"/>
  <c r="E15" i="1"/>
  <c r="E14" i="1"/>
  <c r="E25" i="1"/>
  <c r="D19" i="1"/>
  <c r="G13" i="1"/>
  <c r="E22" i="1"/>
  <c r="G21" i="1"/>
  <c r="E21" i="1"/>
  <c r="G25" i="1"/>
  <c r="F18" i="1"/>
  <c r="F17" i="1"/>
  <c r="F14" i="1"/>
  <c r="H15" i="1" l="1"/>
  <c r="H16" i="1"/>
  <c r="F26" i="1"/>
  <c r="D26" i="1"/>
  <c r="H13" i="1"/>
  <c r="H25" i="1"/>
  <c r="H17" i="1"/>
  <c r="H23" i="1"/>
  <c r="H19" i="1"/>
  <c r="H24" i="1"/>
  <c r="E26" i="1"/>
  <c r="H18" i="1"/>
  <c r="H21" i="1"/>
  <c r="G26" i="1"/>
  <c r="H22" i="1"/>
  <c r="H26" i="1" l="1"/>
  <c r="H28" i="1" s="1"/>
  <c r="H30" i="1" s="1"/>
  <c r="H32" i="1" l="1"/>
  <c r="E5006" i="7"/>
  <c r="K2880" i="3"/>
</calcChain>
</file>

<file path=xl/sharedStrings.xml><?xml version="1.0" encoding="utf-8"?>
<sst xmlns="http://schemas.openxmlformats.org/spreadsheetml/2006/main" count="13873" uniqueCount="81">
  <si>
    <t>Rapport Manuel de fin de journée</t>
  </si>
  <si>
    <t>Code :</t>
  </si>
  <si>
    <t>Agence :</t>
  </si>
  <si>
    <t>Opérateur :</t>
  </si>
  <si>
    <t>PV de caisse</t>
  </si>
  <si>
    <t>Activités</t>
  </si>
  <si>
    <t>Encaissement (+)</t>
  </si>
  <si>
    <t>Décaissement (-)</t>
  </si>
  <si>
    <t>Solde</t>
  </si>
  <si>
    <t>Coupures</t>
  </si>
  <si>
    <t>Montant</t>
  </si>
  <si>
    <t>Solde Réel</t>
  </si>
  <si>
    <t>Cumul écart</t>
  </si>
  <si>
    <t>Ecart J</t>
  </si>
  <si>
    <t xml:space="preserve">Plafond </t>
  </si>
  <si>
    <t>Ouverture</t>
  </si>
  <si>
    <t>Clôture</t>
  </si>
  <si>
    <t>Nbre</t>
  </si>
  <si>
    <t>Signature Agent</t>
  </si>
  <si>
    <t>Date et heure</t>
  </si>
  <si>
    <t>Compense demandée à la clôture</t>
  </si>
  <si>
    <t>Sous total Encaissement/Décaissement</t>
  </si>
  <si>
    <t>Alimentation</t>
  </si>
  <si>
    <t>Prêt/Versement</t>
  </si>
  <si>
    <t>WARI</t>
  </si>
  <si>
    <t>Orange Money</t>
  </si>
  <si>
    <t>DATE &amp; HEURE</t>
  </si>
  <si>
    <t>DATE</t>
  </si>
  <si>
    <t>HEURE</t>
  </si>
  <si>
    <t>PLATEFORME</t>
  </si>
  <si>
    <t>OPERATION</t>
  </si>
  <si>
    <t>MONTANT</t>
  </si>
  <si>
    <t>SITUATION</t>
  </si>
  <si>
    <t>NON REMONTEE</t>
  </si>
  <si>
    <t>DOUBLON</t>
  </si>
  <si>
    <t>FRAIS</t>
  </si>
  <si>
    <t>MONTANT TOTAL</t>
  </si>
  <si>
    <t>VALEUR</t>
  </si>
  <si>
    <t>BORNE SUPERIEURE</t>
  </si>
  <si>
    <t>BORNE INFERIEURE</t>
  </si>
  <si>
    <t xml:space="preserve"> </t>
  </si>
  <si>
    <t>REMONTEE</t>
  </si>
  <si>
    <t>Cash In demandé dans la journée</t>
  </si>
  <si>
    <t>Antoine Michel DIOUF</t>
  </si>
  <si>
    <t>Ndiogou FAYE</t>
  </si>
  <si>
    <t>SOKHNA DIENG</t>
  </si>
  <si>
    <t>WKSDF</t>
  </si>
  <si>
    <t>TONTINE</t>
  </si>
  <si>
    <t>CREDIT</t>
  </si>
  <si>
    <t xml:space="preserve">SEDDO </t>
  </si>
  <si>
    <t>rEMONTEE</t>
  </si>
  <si>
    <t xml:space="preserve">     </t>
  </si>
  <si>
    <t xml:space="preserve">   </t>
  </si>
  <si>
    <t>WOYAFAL</t>
  </si>
  <si>
    <t xml:space="preserve">      </t>
  </si>
  <si>
    <t xml:space="preserve">  </t>
  </si>
  <si>
    <t xml:space="preserve">    </t>
  </si>
  <si>
    <t>Proximo</t>
  </si>
  <si>
    <t>O</t>
  </si>
  <si>
    <t>DIVERS</t>
  </si>
  <si>
    <t xml:space="preserve">Commentaires APPRO </t>
  </si>
  <si>
    <t>Cumul écart J-1</t>
  </si>
  <si>
    <t>WAVE</t>
  </si>
  <si>
    <t>FREE</t>
  </si>
  <si>
    <t>APPRO 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</si>
  <si>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</si>
  <si>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APPRO OM</t>
  </si>
  <si>
    <r>
      <t>r</t>
    </r>
    <r>
      <rPr>
        <sz val="11"/>
        <color theme="1"/>
        <rFont val="Calibri"/>
        <family val="2"/>
        <scheme val="minor"/>
      </rPr>
      <t>EMONTEE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</si>
  <si>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</si>
  <si>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 </t>
  </si>
  <si>
    <t>W</t>
  </si>
  <si>
    <t xml:space="preserve">                    </t>
  </si>
  <si>
    <t>APPRO CASH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</si>
  <si>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</si>
  <si>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</si>
  <si>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REMONTEE</t>
  </si>
  <si>
    <t>KPAY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</si>
  <si>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</si>
  <si>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sokhna7000+21000+40000+90000+25000</t>
  </si>
  <si>
    <t>wave</t>
  </si>
  <si>
    <t>encaissement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</si>
</sst>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\ _€_-;\-* #,##0\ _€_-;_-* &quot;-&quot;??\ _€_-;_-@_-"/>
    <numFmt numFmtId="166" formatCode="dd/mm/yyyy\ &quot;à&quot;\ hh:mm"/>
    <numFmt numFmtId="167" formatCode="[$-F400]h:mm:ss\ AM/PM"/>
    <numFmt numFmtId="168" formatCode="#,##0&quot;F CFA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11"/>
      <color theme="0"/>
      <name val="Calibri"/>
      <family val="2"/>
      <scheme val="minor"/>
    </font>
    <font>
      <sz val="12"/>
      <name val="Arial Narrow"/>
      <family val="2"/>
    </font>
    <font>
      <b/>
      <sz val="11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i/>
      <sz val="18"/>
      <color rgb="FFFF0000"/>
      <name val="Arial"/>
      <family val="2"/>
    </font>
    <font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1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Arial Narrow"/>
      <family val="2"/>
    </font>
    <font>
      <sz val="8"/>
      <color theme="1"/>
      <name val="Arial Narrow"/>
      <family val="2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F3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8">
    <xf numFmtId="0" fontId="0" fillId="0" borderId="0" xfId="0"/>
    <xf numFmtId="0" fontId="3" fillId="5" borderId="1" xfId="0" applyFont="1" applyFill="1" applyBorder="1" applyAlignment="1" applyProtection="1">
      <alignment horizontal="center" vertical="center"/>
      <protection locked="0"/>
    </xf>
    <xf numFmtId="164" fontId="4" fillId="5" borderId="1" xfId="1" applyFont="1" applyFill="1" applyBorder="1" applyProtection="1">
      <protection locked="0"/>
    </xf>
    <xf numFmtId="4" fontId="4" fillId="5" borderId="1" xfId="1" applyNumberFormat="1" applyFont="1" applyFill="1" applyBorder="1" applyAlignment="1" applyProtection="1">
      <alignment horizontal="center" vertical="center"/>
      <protection locked="0"/>
    </xf>
    <xf numFmtId="165" fontId="3" fillId="5" borderId="1" xfId="1" applyNumberFormat="1" applyFont="1" applyFill="1" applyBorder="1" applyAlignment="1" applyProtection="1">
      <alignment horizontal="center" vertical="center"/>
    </xf>
    <xf numFmtId="1" fontId="3" fillId="5" borderId="1" xfId="1" applyNumberFormat="1" applyFont="1" applyFill="1" applyBorder="1" applyAlignment="1" applyProtection="1">
      <alignment horizontal="center" vertical="center"/>
    </xf>
    <xf numFmtId="4" fontId="4" fillId="5" borderId="1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Protection="1">
      <protection locked="0"/>
    </xf>
    <xf numFmtId="0" fontId="2" fillId="0" borderId="0" xfId="0" applyFont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22" fontId="3" fillId="0" borderId="0" xfId="0" applyNumberFormat="1" applyFont="1" applyProtection="1"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center"/>
      <protection locked="0"/>
    </xf>
    <xf numFmtId="49" fontId="3" fillId="0" borderId="0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165" fontId="4" fillId="5" borderId="1" xfId="1" applyNumberFormat="1" applyFont="1" applyFill="1" applyBorder="1" applyAlignment="1" applyProtection="1">
      <alignment horizontal="center" vertical="center"/>
      <protection locked="0"/>
    </xf>
    <xf numFmtId="165" fontId="4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8" borderId="1" xfId="0" applyFont="1" applyFill="1" applyBorder="1" applyAlignment="1" applyProtection="1">
      <alignment horizontal="center" vertical="center"/>
      <protection locked="0"/>
    </xf>
    <xf numFmtId="4" fontId="3" fillId="0" borderId="0" xfId="0" applyNumberFormat="1" applyFont="1" applyProtection="1">
      <protection locked="0"/>
    </xf>
    <xf numFmtId="165" fontId="3" fillId="0" borderId="1" xfId="1" applyNumberFormat="1" applyFont="1" applyBorder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5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4" fontId="4" fillId="0" borderId="1" xfId="1" applyNumberFormat="1" applyFont="1" applyBorder="1" applyAlignment="1" applyProtection="1">
      <alignment horizontal="center" vertical="center"/>
    </xf>
    <xf numFmtId="4" fontId="4" fillId="8" borderId="1" xfId="1" applyNumberFormat="1" applyFont="1" applyFill="1" applyBorder="1" applyAlignment="1" applyProtection="1">
      <alignment horizontal="center" vertical="center"/>
    </xf>
    <xf numFmtId="164" fontId="4" fillId="0" borderId="1" xfId="1" applyNumberFormat="1" applyFont="1" applyBorder="1" applyAlignment="1" applyProtection="1">
      <alignment horizontal="center" vertical="center"/>
    </xf>
    <xf numFmtId="165" fontId="4" fillId="3" borderId="1" xfId="1" applyNumberFormat="1" applyFont="1" applyFill="1" applyBorder="1" applyAlignment="1" applyProtection="1">
      <alignment horizontal="center" vertical="center"/>
    </xf>
    <xf numFmtId="165" fontId="3" fillId="0" borderId="1" xfId="1" applyNumberFormat="1" applyFont="1" applyBorder="1" applyProtection="1"/>
    <xf numFmtId="4" fontId="4" fillId="4" borderId="1" xfId="1" applyNumberFormat="1" applyFont="1" applyFill="1" applyBorder="1" applyAlignment="1" applyProtection="1">
      <alignment horizontal="center" vertical="center"/>
    </xf>
    <xf numFmtId="4" fontId="4" fillId="3" borderId="1" xfId="1" applyNumberFormat="1" applyFont="1" applyFill="1" applyBorder="1" applyAlignment="1" applyProtection="1">
      <alignment horizontal="center" vertical="center"/>
    </xf>
    <xf numFmtId="0" fontId="6" fillId="9" borderId="15" xfId="0" applyFont="1" applyFill="1" applyBorder="1" applyProtection="1">
      <protection locked="0"/>
    </xf>
    <xf numFmtId="0" fontId="6" fillId="9" borderId="16" xfId="0" applyFont="1" applyFill="1" applyBorder="1" applyProtection="1">
      <protection locked="0"/>
    </xf>
    <xf numFmtId="0" fontId="6" fillId="9" borderId="17" xfId="0" applyFont="1" applyFill="1" applyBorder="1" applyProtection="1">
      <protection locked="0"/>
    </xf>
    <xf numFmtId="0" fontId="0" fillId="0" borderId="0" xfId="0" applyProtection="1">
      <protection locked="0"/>
    </xf>
    <xf numFmtId="166" fontId="0" fillId="0" borderId="15" xfId="0" applyNumberFormat="1" applyFont="1" applyBorder="1" applyProtection="1">
      <protection locked="0"/>
    </xf>
    <xf numFmtId="0" fontId="0" fillId="0" borderId="16" xfId="0" applyFont="1" applyBorder="1" applyProtection="1">
      <protection locked="0"/>
    </xf>
    <xf numFmtId="168" fontId="0" fillId="0" borderId="16" xfId="0" applyNumberFormat="1" applyFont="1" applyBorder="1" applyProtection="1">
      <protection locked="0"/>
    </xf>
    <xf numFmtId="0" fontId="0" fillId="0" borderId="17" xfId="0" applyFont="1" applyBorder="1" applyProtection="1">
      <protection locked="0"/>
    </xf>
    <xf numFmtId="0" fontId="6" fillId="9" borderId="16" xfId="0" applyFont="1" applyFill="1" applyBorder="1" applyProtection="1"/>
    <xf numFmtId="168" fontId="0" fillId="0" borderId="16" xfId="0" applyNumberFormat="1" applyFont="1" applyBorder="1" applyProtection="1"/>
    <xf numFmtId="0" fontId="0" fillId="0" borderId="0" xfId="0" applyProtection="1"/>
    <xf numFmtId="14" fontId="0" fillId="0" borderId="16" xfId="0" applyNumberFormat="1" applyFont="1" applyBorder="1" applyProtection="1"/>
    <xf numFmtId="167" fontId="0" fillId="0" borderId="16" xfId="0" applyNumberFormat="1" applyFont="1" applyBorder="1" applyProtection="1"/>
    <xf numFmtId="20" fontId="3" fillId="0" borderId="0" xfId="0" applyNumberFormat="1" applyFont="1" applyBorder="1" applyAlignment="1" applyProtection="1">
      <alignment horizontal="left"/>
      <protection locked="0"/>
    </xf>
    <xf numFmtId="164" fontId="4" fillId="5" borderId="1" xfId="1" applyFont="1" applyFill="1" applyBorder="1" applyAlignment="1" applyProtection="1">
      <alignment horizontal="center" vertical="center"/>
    </xf>
    <xf numFmtId="0" fontId="4" fillId="6" borderId="6" xfId="0" applyFont="1" applyFill="1" applyBorder="1" applyAlignment="1" applyProtection="1">
      <alignment horizontal="center" vertical="center"/>
    </xf>
    <xf numFmtId="0" fontId="4" fillId="6" borderId="7" xfId="0" applyFont="1" applyFill="1" applyBorder="1" applyAlignment="1" applyProtection="1">
      <alignment horizontal="center" vertical="center"/>
    </xf>
    <xf numFmtId="165" fontId="3" fillId="7" borderId="6" xfId="1" applyNumberFormat="1" applyFont="1" applyFill="1" applyBorder="1" applyAlignment="1" applyProtection="1">
      <alignment vertical="center"/>
    </xf>
    <xf numFmtId="9" fontId="0" fillId="0" borderId="0" xfId="0" applyNumberFormat="1" applyProtection="1"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0" fillId="0" borderId="17" xfId="0" applyFont="1" applyBorder="1" applyProtection="1">
      <protection locked="0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20" fontId="0" fillId="0" borderId="17" xfId="0" applyNumberFormat="1" applyFont="1" applyBorder="1" applyProtection="1">
      <protection locked="0"/>
    </xf>
    <xf numFmtId="0" fontId="12" fillId="0" borderId="0" xfId="0" applyFont="1" applyAlignment="1">
      <alignment horizontal="left" vertical="center" wrapText="1"/>
    </xf>
    <xf numFmtId="3" fontId="13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166" fontId="0" fillId="11" borderId="15" xfId="0" applyNumberFormat="1" applyFont="1" applyFill="1" applyBorder="1" applyProtection="1">
      <protection locked="0"/>
    </xf>
    <xf numFmtId="0" fontId="0" fillId="11" borderId="16" xfId="0" applyFont="1" applyFill="1" applyBorder="1" applyProtection="1">
      <protection locked="0"/>
    </xf>
    <xf numFmtId="14" fontId="0" fillId="11" borderId="16" xfId="0" applyNumberFormat="1" applyFont="1" applyFill="1" applyBorder="1" applyProtection="1"/>
    <xf numFmtId="167" fontId="0" fillId="11" borderId="16" xfId="0" applyNumberFormat="1" applyFont="1" applyFill="1" applyBorder="1" applyProtection="1"/>
    <xf numFmtId="168" fontId="0" fillId="11" borderId="16" xfId="0" applyNumberFormat="1" applyFont="1" applyFill="1" applyBorder="1" applyProtection="1"/>
    <xf numFmtId="0" fontId="0" fillId="11" borderId="0" xfId="0" applyFill="1" applyProtection="1">
      <protection locked="0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20" fontId="10" fillId="0" borderId="0" xfId="0" applyNumberFormat="1" applyFont="1" applyAlignment="1">
      <alignment horizontal="center" vertical="center" wrapText="1"/>
    </xf>
    <xf numFmtId="166" fontId="0" fillId="0" borderId="15" xfId="0" applyNumberFormat="1" applyFont="1" applyFill="1" applyBorder="1" applyProtection="1">
      <protection locked="0"/>
    </xf>
    <xf numFmtId="0" fontId="0" fillId="0" borderId="16" xfId="0" applyFont="1" applyFill="1" applyBorder="1" applyProtection="1">
      <protection locked="0"/>
    </xf>
    <xf numFmtId="14" fontId="0" fillId="0" borderId="16" xfId="0" applyNumberFormat="1" applyFont="1" applyFill="1" applyBorder="1" applyProtection="1"/>
    <xf numFmtId="167" fontId="0" fillId="0" borderId="16" xfId="0" applyNumberFormat="1" applyFont="1" applyFill="1" applyBorder="1" applyProtection="1"/>
    <xf numFmtId="168" fontId="0" fillId="0" borderId="16" xfId="0" applyNumberFormat="1" applyFont="1" applyFill="1" applyBorder="1" applyProtection="1">
      <protection locked="0"/>
    </xf>
    <xf numFmtId="168" fontId="0" fillId="0" borderId="16" xfId="0" applyNumberFormat="1" applyFont="1" applyFill="1" applyBorder="1" applyProtection="1"/>
    <xf numFmtId="0" fontId="0" fillId="0" borderId="17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11" borderId="17" xfId="0" applyFont="1" applyFill="1" applyBorder="1" applyProtection="1">
      <protection locked="0"/>
    </xf>
    <xf numFmtId="166" fontId="19" fillId="0" borderId="15" xfId="0" applyNumberFormat="1" applyFont="1" applyFill="1" applyBorder="1" applyProtection="1">
      <protection locked="0"/>
    </xf>
    <xf numFmtId="14" fontId="19" fillId="0" borderId="16" xfId="0" applyNumberFormat="1" applyFont="1" applyFill="1" applyBorder="1" applyProtection="1"/>
    <xf numFmtId="167" fontId="19" fillId="0" borderId="16" xfId="0" applyNumberFormat="1" applyFont="1" applyFill="1" applyBorder="1" applyProtection="1"/>
    <xf numFmtId="0" fontId="19" fillId="0" borderId="16" xfId="0" applyFont="1" applyFill="1" applyBorder="1" applyProtection="1">
      <protection locked="0"/>
    </xf>
    <xf numFmtId="168" fontId="19" fillId="0" borderId="16" xfId="0" applyNumberFormat="1" applyFont="1" applyFill="1" applyBorder="1" applyProtection="1">
      <protection locked="0"/>
    </xf>
    <xf numFmtId="168" fontId="19" fillId="0" borderId="16" xfId="0" applyNumberFormat="1" applyFont="1" applyFill="1" applyBorder="1" applyProtection="1"/>
    <xf numFmtId="0" fontId="19" fillId="0" borderId="17" xfId="0" applyFont="1" applyFill="1" applyBorder="1" applyProtection="1">
      <protection locked="0"/>
    </xf>
    <xf numFmtId="0" fontId="4" fillId="6" borderId="6" xfId="0" applyFont="1" applyFill="1" applyBorder="1" applyAlignment="1" applyProtection="1">
      <alignment horizontal="center" vertical="center"/>
      <protection locked="0"/>
    </xf>
    <xf numFmtId="165" fontId="3" fillId="5" borderId="7" xfId="1" applyNumberFormat="1" applyFont="1" applyFill="1" applyBorder="1" applyAlignment="1" applyProtection="1">
      <alignment horizontal="center" vertical="center"/>
    </xf>
    <xf numFmtId="20" fontId="0" fillId="0" borderId="0" xfId="0" applyNumberFormat="1"/>
    <xf numFmtId="165" fontId="4" fillId="5" borderId="11" xfId="1" applyNumberFormat="1" applyFont="1" applyFill="1" applyBorder="1" applyAlignment="1" applyProtection="1">
      <alignment horizontal="center" vertical="center"/>
    </xf>
    <xf numFmtId="165" fontId="4" fillId="5" borderId="10" xfId="1" applyNumberFormat="1" applyFont="1" applyFill="1" applyBorder="1" applyAlignment="1" applyProtection="1">
      <alignment horizontal="center" vertical="center"/>
    </xf>
    <xf numFmtId="166" fontId="19" fillId="0" borderId="15" xfId="0" applyNumberFormat="1" applyFont="1" applyBorder="1" applyProtection="1">
      <protection locked="0"/>
    </xf>
    <xf numFmtId="14" fontId="19" fillId="0" borderId="16" xfId="0" applyNumberFormat="1" applyFont="1" applyBorder="1" applyProtection="1"/>
    <xf numFmtId="167" fontId="19" fillId="0" borderId="16" xfId="0" applyNumberFormat="1" applyFont="1" applyBorder="1" applyProtection="1"/>
    <xf numFmtId="166" fontId="19" fillId="5" borderId="15" xfId="0" applyNumberFormat="1" applyFont="1" applyFill="1" applyBorder="1" applyProtection="1">
      <protection locked="0"/>
    </xf>
    <xf numFmtId="14" fontId="19" fillId="5" borderId="16" xfId="0" applyNumberFormat="1" applyFont="1" applyFill="1" applyBorder="1" applyProtection="1"/>
    <xf numFmtId="167" fontId="19" fillId="5" borderId="16" xfId="0" applyNumberFormat="1" applyFont="1" applyFill="1" applyBorder="1" applyProtection="1"/>
    <xf numFmtId="168" fontId="19" fillId="5" borderId="16" xfId="0" applyNumberFormat="1" applyFont="1" applyFill="1" applyBorder="1" applyProtection="1"/>
    <xf numFmtId="0" fontId="19" fillId="5" borderId="0" xfId="0" applyFont="1" applyFill="1" applyProtection="1">
      <protection locked="0"/>
    </xf>
    <xf numFmtId="20" fontId="0" fillId="0" borderId="0" xfId="0" applyNumberFormat="1" applyProtection="1">
      <protection locked="0"/>
    </xf>
    <xf numFmtId="20" fontId="13" fillId="0" borderId="0" xfId="0" applyNumberFormat="1" applyFont="1" applyAlignment="1">
      <alignment horizontal="center" vertical="center"/>
    </xf>
    <xf numFmtId="0" fontId="19" fillId="0" borderId="0" xfId="0" applyFont="1" applyFill="1" applyProtection="1">
      <protection locked="0"/>
    </xf>
    <xf numFmtId="166" fontId="0" fillId="5" borderId="15" xfId="0" applyNumberFormat="1" applyFont="1" applyFill="1" applyBorder="1" applyProtection="1">
      <protection locked="0"/>
    </xf>
    <xf numFmtId="14" fontId="0" fillId="5" borderId="16" xfId="0" applyNumberFormat="1" applyFont="1" applyFill="1" applyBorder="1" applyProtection="1"/>
    <xf numFmtId="167" fontId="0" fillId="5" borderId="16" xfId="0" applyNumberFormat="1" applyFont="1" applyFill="1" applyBorder="1" applyProtection="1"/>
    <xf numFmtId="0" fontId="0" fillId="5" borderId="16" xfId="0" applyFont="1" applyFill="1" applyBorder="1" applyProtection="1">
      <protection locked="0"/>
    </xf>
    <xf numFmtId="168" fontId="0" fillId="5" borderId="16" xfId="0" applyNumberFormat="1" applyFont="1" applyFill="1" applyBorder="1" applyProtection="1"/>
    <xf numFmtId="0" fontId="0" fillId="5" borderId="0" xfId="0" applyFill="1" applyProtection="1">
      <protection locked="0"/>
    </xf>
    <xf numFmtId="20" fontId="3" fillId="0" borderId="0" xfId="0" applyNumberFormat="1" applyFont="1" applyProtection="1">
      <protection locked="0"/>
    </xf>
    <xf numFmtId="20" fontId="12" fillId="0" borderId="0" xfId="0" applyNumberFormat="1" applyFont="1" applyAlignment="1">
      <alignment horizontal="left" vertical="center" wrapText="1"/>
    </xf>
    <xf numFmtId="0" fontId="0" fillId="11" borderId="0" xfId="0" applyFill="1" applyProtection="1"/>
    <xf numFmtId="0" fontId="0" fillId="5" borderId="0" xfId="0" applyFill="1" applyProtection="1"/>
    <xf numFmtId="0" fontId="0" fillId="5" borderId="17" xfId="0" applyFont="1" applyFill="1" applyBorder="1" applyProtection="1">
      <protection locked="0"/>
    </xf>
    <xf numFmtId="0" fontId="0" fillId="0" borderId="0" xfId="0" applyAlignment="1">
      <alignment horizontal="right"/>
    </xf>
    <xf numFmtId="20" fontId="11" fillId="0" borderId="0" xfId="0" applyNumberFormat="1" applyFont="1" applyAlignment="1">
      <alignment horizontal="center" vertical="center" wrapText="1"/>
    </xf>
    <xf numFmtId="168" fontId="0" fillId="0" borderId="34" xfId="0" applyNumberFormat="1" applyFill="1" applyBorder="1" applyProtection="1">
      <protection locked="0"/>
    </xf>
    <xf numFmtId="168" fontId="0" fillId="0" borderId="0" xfId="0" applyNumberFormat="1" applyProtection="1">
      <protection locked="0"/>
    </xf>
    <xf numFmtId="20" fontId="0" fillId="0" borderId="0" xfId="0" applyNumberFormat="1" applyAlignment="1">
      <alignment horizontal="center" vertical="center"/>
    </xf>
    <xf numFmtId="0" fontId="21" fillId="0" borderId="0" xfId="0" applyFont="1" applyProtection="1">
      <protection locked="0"/>
    </xf>
    <xf numFmtId="165" fontId="4" fillId="5" borderId="11" xfId="1" applyNumberFormat="1" applyFont="1" applyFill="1" applyBorder="1" applyAlignment="1" applyProtection="1">
      <alignment horizontal="center" vertical="center"/>
    </xf>
    <xf numFmtId="0" fontId="8" fillId="10" borderId="6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0" fillId="5" borderId="0" xfId="0" applyFont="1" applyFill="1" applyProtection="1">
      <protection locked="0"/>
    </xf>
    <xf numFmtId="0" fontId="19" fillId="5" borderId="17" xfId="0" applyFont="1" applyFill="1" applyBorder="1" applyProtection="1">
      <protection locked="0"/>
    </xf>
    <xf numFmtId="0" fontId="21" fillId="5" borderId="0" xfId="0" applyFont="1" applyFill="1" applyProtection="1">
      <protection locked="0"/>
    </xf>
    <xf numFmtId="0" fontId="0" fillId="0" borderId="0" xfId="0" applyFont="1" applyProtection="1">
      <protection locked="0"/>
    </xf>
    <xf numFmtId="20" fontId="12" fillId="0" borderId="0" xfId="0" applyNumberFormat="1" applyFont="1" applyAlignment="1">
      <alignment horizontal="right" vertical="center" wrapText="1"/>
    </xf>
    <xf numFmtId="166" fontId="22" fillId="5" borderId="15" xfId="0" applyNumberFormat="1" applyFont="1" applyFill="1" applyBorder="1" applyProtection="1">
      <protection locked="0"/>
    </xf>
    <xf numFmtId="14" fontId="22" fillId="5" borderId="16" xfId="0" applyNumberFormat="1" applyFont="1" applyFill="1" applyBorder="1" applyProtection="1"/>
    <xf numFmtId="167" fontId="22" fillId="5" borderId="16" xfId="0" applyNumberFormat="1" applyFont="1" applyFill="1" applyBorder="1" applyProtection="1"/>
    <xf numFmtId="168" fontId="22" fillId="5" borderId="16" xfId="0" applyNumberFormat="1" applyFont="1" applyFill="1" applyBorder="1" applyProtection="1"/>
    <xf numFmtId="0" fontId="22" fillId="5" borderId="17" xfId="0" applyFont="1" applyFill="1" applyBorder="1" applyProtection="1">
      <protection locked="0"/>
    </xf>
    <xf numFmtId="164" fontId="12" fillId="0" borderId="0" xfId="0" applyNumberFormat="1" applyFont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Protection="1">
      <protection locked="0"/>
    </xf>
    <xf numFmtId="20" fontId="3" fillId="0" borderId="0" xfId="0" applyNumberFormat="1" applyFont="1" applyFill="1" applyProtection="1">
      <protection locked="0"/>
    </xf>
    <xf numFmtId="0" fontId="3" fillId="0" borderId="0" xfId="0" applyFont="1" applyAlignment="1" applyProtection="1">
      <alignment wrapText="1"/>
      <protection locked="0"/>
    </xf>
    <xf numFmtId="164" fontId="4" fillId="0" borderId="6" xfId="1" applyNumberFormat="1" applyFont="1" applyBorder="1" applyAlignment="1" applyProtection="1">
      <alignment horizontal="center" vertical="center"/>
    </xf>
    <xf numFmtId="0" fontId="3" fillId="0" borderId="0" xfId="0" applyFont="1" applyFill="1" applyBorder="1" applyProtection="1">
      <protection locked="0"/>
    </xf>
    <xf numFmtId="16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Fill="1" applyBorder="1" applyProtection="1">
      <protection locked="0"/>
    </xf>
    <xf numFmtId="166" fontId="19" fillId="12" borderId="15" xfId="0" applyNumberFormat="1" applyFont="1" applyFill="1" applyBorder="1" applyProtection="1">
      <protection locked="0"/>
    </xf>
    <xf numFmtId="14" fontId="19" fillId="12" borderId="16" xfId="0" applyNumberFormat="1" applyFont="1" applyFill="1" applyBorder="1" applyProtection="1"/>
    <xf numFmtId="167" fontId="19" fillId="12" borderId="16" xfId="0" applyNumberFormat="1" applyFont="1" applyFill="1" applyBorder="1" applyProtection="1"/>
    <xf numFmtId="0" fontId="19" fillId="12" borderId="16" xfId="0" applyFont="1" applyFill="1" applyBorder="1" applyProtection="1">
      <protection locked="0"/>
    </xf>
    <xf numFmtId="0" fontId="19" fillId="12" borderId="0" xfId="0" applyFont="1" applyFill="1" applyProtection="1">
      <protection locked="0"/>
    </xf>
    <xf numFmtId="168" fontId="19" fillId="12" borderId="16" xfId="0" applyNumberFormat="1" applyFont="1" applyFill="1" applyBorder="1" applyProtection="1"/>
    <xf numFmtId="0" fontId="19" fillId="11" borderId="0" xfId="0" applyFont="1" applyFill="1" applyProtection="1">
      <protection locked="0"/>
    </xf>
    <xf numFmtId="166" fontId="0" fillId="12" borderId="15" xfId="0" applyNumberFormat="1" applyFont="1" applyFill="1" applyBorder="1" applyProtection="1">
      <protection locked="0"/>
    </xf>
    <xf numFmtId="14" fontId="0" fillId="12" borderId="16" xfId="0" applyNumberFormat="1" applyFont="1" applyFill="1" applyBorder="1" applyProtection="1"/>
    <xf numFmtId="167" fontId="0" fillId="12" borderId="16" xfId="0" applyNumberFormat="1" applyFont="1" applyFill="1" applyBorder="1" applyProtection="1"/>
    <xf numFmtId="168" fontId="0" fillId="12" borderId="16" xfId="0" applyNumberFormat="1" applyFont="1" applyFill="1" applyBorder="1" applyProtection="1"/>
    <xf numFmtId="0" fontId="0" fillId="12" borderId="17" xfId="0" applyFont="1" applyFill="1" applyBorder="1" applyProtection="1">
      <protection locked="0"/>
    </xf>
    <xf numFmtId="0" fontId="0" fillId="12" borderId="0" xfId="0" applyFill="1" applyProtection="1">
      <protection locked="0"/>
    </xf>
    <xf numFmtId="0" fontId="9" fillId="5" borderId="0" xfId="0" applyFont="1" applyFill="1" applyProtection="1">
      <protection locked="0"/>
    </xf>
    <xf numFmtId="0" fontId="3" fillId="0" borderId="1" xfId="1" applyNumberFormat="1" applyFont="1" applyFill="1" applyBorder="1" applyAlignment="1" applyProtection="1">
      <alignment horizontal="center" vertical="center"/>
    </xf>
    <xf numFmtId="20" fontId="3" fillId="5" borderId="1" xfId="0" applyNumberFormat="1" applyFont="1" applyFill="1" applyBorder="1" applyAlignment="1" applyProtection="1">
      <alignment horizontal="center" vertical="center"/>
      <protection locked="0"/>
    </xf>
    <xf numFmtId="165" fontId="3" fillId="3" borderId="1" xfId="1" applyNumberFormat="1" applyFont="1" applyFill="1" applyBorder="1" applyAlignment="1" applyProtection="1">
      <alignment horizontal="center" vertical="center"/>
    </xf>
    <xf numFmtId="165" fontId="3" fillId="0" borderId="1" xfId="1" applyNumberFormat="1" applyFont="1" applyFill="1" applyBorder="1" applyProtection="1"/>
    <xf numFmtId="0" fontId="4" fillId="5" borderId="1" xfId="0" applyFont="1" applyFill="1" applyBorder="1" applyAlignment="1" applyProtection="1">
      <alignment horizontal="center" vertical="center"/>
      <protection locked="0"/>
    </xf>
    <xf numFmtId="20" fontId="0" fillId="0" borderId="15" xfId="0" applyNumberFormat="1" applyFont="1" applyBorder="1" applyProtection="1">
      <protection locked="0"/>
    </xf>
    <xf numFmtId="0" fontId="0" fillId="0" borderId="0" xfId="0" applyFill="1" applyProtection="1"/>
    <xf numFmtId="11" fontId="3" fillId="0" borderId="0" xfId="0" applyNumberFormat="1" applyFont="1" applyProtection="1"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168" fontId="0" fillId="0" borderId="2" xfId="0" applyNumberFormat="1" applyFill="1" applyBorder="1" applyProtection="1">
      <protection locked="0"/>
    </xf>
    <xf numFmtId="0" fontId="22" fillId="0" borderId="16" xfId="0" applyFont="1" applyFill="1" applyBorder="1" applyProtection="1">
      <protection locked="0"/>
    </xf>
    <xf numFmtId="168" fontId="19" fillId="0" borderId="34" xfId="0" applyNumberFormat="1" applyFont="1" applyFill="1" applyBorder="1" applyProtection="1">
      <protection locked="0"/>
    </xf>
    <xf numFmtId="20" fontId="0" fillId="0" borderId="16" xfId="0" applyNumberFormat="1" applyFont="1" applyFill="1" applyBorder="1" applyProtection="1">
      <protection locked="0"/>
    </xf>
    <xf numFmtId="168" fontId="19" fillId="11" borderId="16" xfId="0" applyNumberFormat="1" applyFont="1" applyFill="1" applyBorder="1" applyProtection="1">
      <protection locked="0"/>
    </xf>
    <xf numFmtId="168" fontId="0" fillId="11" borderId="16" xfId="0" applyNumberFormat="1" applyFont="1" applyFill="1" applyBorder="1" applyProtection="1">
      <protection locked="0"/>
    </xf>
    <xf numFmtId="20" fontId="0" fillId="5" borderId="15" xfId="0" applyNumberFormat="1" applyFont="1" applyFill="1" applyBorder="1" applyProtection="1">
      <protection locked="0"/>
    </xf>
    <xf numFmtId="168" fontId="0" fillId="11" borderId="34" xfId="0" applyNumberFormat="1" applyFill="1" applyBorder="1" applyProtection="1">
      <protection locked="0"/>
    </xf>
    <xf numFmtId="0" fontId="19" fillId="0" borderId="0" xfId="0" applyFont="1" applyFill="1" applyBorder="1" applyProtection="1">
      <protection locked="0"/>
    </xf>
    <xf numFmtId="168" fontId="19" fillId="5" borderId="16" xfId="0" applyNumberFormat="1" applyFont="1" applyFill="1" applyBorder="1" applyProtection="1">
      <protection locked="0"/>
    </xf>
    <xf numFmtId="168" fontId="0" fillId="5" borderId="16" xfId="0" applyNumberFormat="1" applyFont="1" applyFill="1" applyBorder="1" applyProtection="1">
      <protection locked="0"/>
    </xf>
    <xf numFmtId="168" fontId="0" fillId="5" borderId="34" xfId="0" applyNumberFormat="1" applyFill="1" applyBorder="1" applyProtection="1"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wrapText="1"/>
      <protection locked="0"/>
    </xf>
    <xf numFmtId="0" fontId="3" fillId="0" borderId="0" xfId="0" quotePrefix="1" applyFont="1" applyProtection="1">
      <protection locked="0"/>
    </xf>
    <xf numFmtId="166" fontId="0" fillId="13" borderId="15" xfId="0" applyNumberFormat="1" applyFont="1" applyFill="1" applyBorder="1" applyProtection="1">
      <protection locked="0"/>
    </xf>
    <xf numFmtId="14" fontId="0" fillId="13" borderId="16" xfId="0" applyNumberFormat="1" applyFont="1" applyFill="1" applyBorder="1" applyProtection="1"/>
    <xf numFmtId="167" fontId="0" fillId="13" borderId="16" xfId="0" applyNumberFormat="1" applyFont="1" applyFill="1" applyBorder="1" applyProtection="1"/>
    <xf numFmtId="0" fontId="0" fillId="13" borderId="16" xfId="0" applyFont="1" applyFill="1" applyBorder="1" applyProtection="1">
      <protection locked="0"/>
    </xf>
    <xf numFmtId="0" fontId="0" fillId="13" borderId="0" xfId="0" applyFill="1" applyProtection="1">
      <protection locked="0"/>
    </xf>
    <xf numFmtId="168" fontId="0" fillId="13" borderId="16" xfId="0" applyNumberFormat="1" applyFont="1" applyFill="1" applyBorder="1" applyProtection="1"/>
    <xf numFmtId="166" fontId="0" fillId="14" borderId="15" xfId="0" applyNumberFormat="1" applyFont="1" applyFill="1" applyBorder="1" applyProtection="1">
      <protection locked="0"/>
    </xf>
    <xf numFmtId="14" fontId="0" fillId="14" borderId="16" xfId="0" applyNumberFormat="1" applyFont="1" applyFill="1" applyBorder="1" applyProtection="1"/>
    <xf numFmtId="167" fontId="0" fillId="14" borderId="16" xfId="0" applyNumberFormat="1" applyFont="1" applyFill="1" applyBorder="1" applyProtection="1"/>
    <xf numFmtId="0" fontId="0" fillId="14" borderId="16" xfId="0" applyFont="1" applyFill="1" applyBorder="1" applyProtection="1">
      <protection locked="0"/>
    </xf>
    <xf numFmtId="0" fontId="0" fillId="14" borderId="0" xfId="0" applyFill="1" applyProtection="1">
      <protection locked="0"/>
    </xf>
    <xf numFmtId="0" fontId="19" fillId="14" borderId="0" xfId="0" applyFont="1" applyFill="1" applyProtection="1">
      <protection locked="0"/>
    </xf>
    <xf numFmtId="168" fontId="0" fillId="14" borderId="16" xfId="0" applyNumberFormat="1" applyFont="1" applyFill="1" applyBorder="1" applyProtection="1"/>
    <xf numFmtId="168" fontId="19" fillId="15" borderId="16" xfId="0" applyNumberFormat="1" applyFont="1" applyFill="1" applyBorder="1" applyProtection="1">
      <protection locked="0"/>
    </xf>
    <xf numFmtId="166" fontId="0" fillId="16" borderId="15" xfId="0" applyNumberFormat="1" applyFont="1" applyFill="1" applyBorder="1" applyProtection="1">
      <protection locked="0"/>
    </xf>
    <xf numFmtId="14" fontId="0" fillId="16" borderId="16" xfId="0" applyNumberFormat="1" applyFont="1" applyFill="1" applyBorder="1" applyProtection="1"/>
    <xf numFmtId="167" fontId="0" fillId="16" borderId="16" xfId="0" applyNumberFormat="1" applyFont="1" applyFill="1" applyBorder="1" applyProtection="1"/>
    <xf numFmtId="0" fontId="0" fillId="16" borderId="16" xfId="0" applyFont="1" applyFill="1" applyBorder="1" applyProtection="1">
      <protection locked="0"/>
    </xf>
    <xf numFmtId="168" fontId="19" fillId="16" borderId="16" xfId="0" applyNumberFormat="1" applyFont="1" applyFill="1" applyBorder="1" applyProtection="1">
      <protection locked="0"/>
    </xf>
    <xf numFmtId="168" fontId="0" fillId="16" borderId="16" xfId="0" applyNumberFormat="1" applyFont="1" applyFill="1" applyBorder="1" applyProtection="1"/>
    <xf numFmtId="0" fontId="0" fillId="16" borderId="17" xfId="0" applyFont="1" applyFill="1" applyBorder="1" applyProtection="1">
      <protection locked="0"/>
    </xf>
    <xf numFmtId="0" fontId="0" fillId="16" borderId="0" xfId="0" applyFill="1" applyProtection="1">
      <protection locked="0"/>
    </xf>
    <xf numFmtId="166" fontId="0" fillId="15" borderId="15" xfId="0" applyNumberFormat="1" applyFont="1" applyFill="1" applyBorder="1" applyProtection="1">
      <protection locked="0"/>
    </xf>
    <xf numFmtId="14" fontId="0" fillId="15" borderId="16" xfId="0" applyNumberFormat="1" applyFont="1" applyFill="1" applyBorder="1" applyProtection="1"/>
    <xf numFmtId="167" fontId="0" fillId="15" borderId="16" xfId="0" applyNumberFormat="1" applyFont="1" applyFill="1" applyBorder="1" applyProtection="1"/>
    <xf numFmtId="0" fontId="0" fillId="15" borderId="16" xfId="0" applyFont="1" applyFill="1" applyBorder="1" applyProtection="1">
      <protection locked="0"/>
    </xf>
    <xf numFmtId="168" fontId="0" fillId="15" borderId="16" xfId="0" applyNumberFormat="1" applyFont="1" applyFill="1" applyBorder="1" applyProtection="1"/>
    <xf numFmtId="0" fontId="0" fillId="15" borderId="17" xfId="0" applyFont="1" applyFill="1" applyBorder="1" applyProtection="1">
      <protection locked="0"/>
    </xf>
    <xf numFmtId="0" fontId="0" fillId="15" borderId="0" xfId="0" applyFill="1" applyProtection="1">
      <protection locked="0"/>
    </xf>
    <xf numFmtId="166" fontId="0" fillId="17" borderId="15" xfId="0" applyNumberFormat="1" applyFont="1" applyFill="1" applyBorder="1" applyProtection="1">
      <protection locked="0"/>
    </xf>
    <xf numFmtId="14" fontId="0" fillId="17" borderId="16" xfId="0" applyNumberFormat="1" applyFont="1" applyFill="1" applyBorder="1" applyProtection="1"/>
    <xf numFmtId="167" fontId="0" fillId="17" borderId="16" xfId="0" applyNumberFormat="1" applyFont="1" applyFill="1" applyBorder="1" applyProtection="1"/>
    <xf numFmtId="0" fontId="0" fillId="17" borderId="16" xfId="0" applyFont="1" applyFill="1" applyBorder="1" applyProtection="1">
      <protection locked="0"/>
    </xf>
    <xf numFmtId="0" fontId="19" fillId="17" borderId="16" xfId="0" applyFont="1" applyFill="1" applyBorder="1" applyProtection="1">
      <protection locked="0"/>
    </xf>
    <xf numFmtId="168" fontId="19" fillId="17" borderId="16" xfId="0" applyNumberFormat="1" applyFont="1" applyFill="1" applyBorder="1" applyProtection="1">
      <protection locked="0"/>
    </xf>
    <xf numFmtId="168" fontId="0" fillId="17" borderId="16" xfId="0" applyNumberFormat="1" applyFont="1" applyFill="1" applyBorder="1" applyProtection="1"/>
    <xf numFmtId="0" fontId="0" fillId="17" borderId="17" xfId="0" applyFont="1" applyFill="1" applyBorder="1" applyProtection="1">
      <protection locked="0"/>
    </xf>
    <xf numFmtId="0" fontId="0" fillId="17" borderId="0" xfId="0" applyFill="1" applyProtection="1">
      <protection locked="0"/>
    </xf>
    <xf numFmtId="168" fontId="19" fillId="0" borderId="4" xfId="0" applyNumberFormat="1" applyFont="1" applyFill="1" applyBorder="1" applyProtection="1">
      <protection locked="0"/>
    </xf>
    <xf numFmtId="20" fontId="24" fillId="0" borderId="1" xfId="1" applyNumberFormat="1" applyFont="1" applyBorder="1" applyAlignment="1" applyProtection="1">
      <alignment horizontal="center" vertical="center"/>
      <protection locked="0"/>
    </xf>
    <xf numFmtId="0" fontId="25" fillId="0" borderId="16" xfId="0" applyFont="1" applyFill="1" applyBorder="1" applyProtection="1">
      <protection locked="0"/>
    </xf>
    <xf numFmtId="0" fontId="3" fillId="0" borderId="1" xfId="1" applyNumberFormat="1" applyFont="1" applyFill="1" applyBorder="1" applyAlignment="1" applyProtection="1">
      <alignment horizontal="center" vertical="center" wrapText="1"/>
    </xf>
    <xf numFmtId="166" fontId="0" fillId="18" borderId="15" xfId="0" applyNumberFormat="1" applyFont="1" applyFill="1" applyBorder="1" applyProtection="1">
      <protection locked="0"/>
    </xf>
    <xf numFmtId="14" fontId="0" fillId="18" borderId="16" xfId="0" applyNumberFormat="1" applyFont="1" applyFill="1" applyBorder="1" applyProtection="1"/>
    <xf numFmtId="167" fontId="0" fillId="18" borderId="16" xfId="0" applyNumberFormat="1" applyFont="1" applyFill="1" applyBorder="1" applyProtection="1"/>
    <xf numFmtId="0" fontId="0" fillId="18" borderId="16" xfId="0" applyFont="1" applyFill="1" applyBorder="1" applyProtection="1">
      <protection locked="0"/>
    </xf>
    <xf numFmtId="168" fontId="0" fillId="18" borderId="16" xfId="0" applyNumberFormat="1" applyFont="1" applyFill="1" applyBorder="1" applyProtection="1">
      <protection locked="0"/>
    </xf>
    <xf numFmtId="168" fontId="0" fillId="18" borderId="16" xfId="0" applyNumberFormat="1" applyFont="1" applyFill="1" applyBorder="1" applyProtection="1"/>
    <xf numFmtId="0" fontId="0" fillId="18" borderId="0" xfId="0" applyFill="1" applyProtection="1">
      <protection locked="0"/>
    </xf>
    <xf numFmtId="166" fontId="0" fillId="19" borderId="15" xfId="0" applyNumberFormat="1" applyFont="1" applyFill="1" applyBorder="1" applyProtection="1">
      <protection locked="0"/>
    </xf>
    <xf numFmtId="14" fontId="0" fillId="19" borderId="16" xfId="0" applyNumberFormat="1" applyFont="1" applyFill="1" applyBorder="1" applyProtection="1"/>
    <xf numFmtId="167" fontId="0" fillId="19" borderId="16" xfId="0" applyNumberFormat="1" applyFont="1" applyFill="1" applyBorder="1" applyProtection="1"/>
    <xf numFmtId="0" fontId="0" fillId="19" borderId="16" xfId="0" applyFont="1" applyFill="1" applyBorder="1" applyProtection="1">
      <protection locked="0"/>
    </xf>
    <xf numFmtId="168" fontId="0" fillId="19" borderId="16" xfId="0" applyNumberFormat="1" applyFont="1" applyFill="1" applyBorder="1" applyProtection="1">
      <protection locked="0"/>
    </xf>
    <xf numFmtId="168" fontId="0" fillId="19" borderId="16" xfId="0" applyNumberFormat="1" applyFont="1" applyFill="1" applyBorder="1" applyProtection="1"/>
    <xf numFmtId="0" fontId="0" fillId="19" borderId="0" xfId="0" applyFill="1" applyProtection="1">
      <protection locked="0"/>
    </xf>
    <xf numFmtId="0" fontId="19" fillId="18" borderId="0" xfId="0" applyFont="1" applyFill="1" applyBorder="1" applyProtection="1">
      <protection locked="0"/>
    </xf>
    <xf numFmtId="0" fontId="0" fillId="0" borderId="0" xfId="0" applyFont="1" applyFill="1" applyProtection="1">
      <protection locked="0"/>
    </xf>
    <xf numFmtId="166" fontId="0" fillId="20" borderId="15" xfId="0" applyNumberFormat="1" applyFont="1" applyFill="1" applyBorder="1" applyProtection="1">
      <protection locked="0"/>
    </xf>
    <xf numFmtId="14" fontId="0" fillId="20" borderId="16" xfId="0" applyNumberFormat="1" applyFont="1" applyFill="1" applyBorder="1" applyProtection="1"/>
    <xf numFmtId="167" fontId="0" fillId="20" borderId="16" xfId="0" applyNumberFormat="1" applyFont="1" applyFill="1" applyBorder="1" applyProtection="1"/>
    <xf numFmtId="0" fontId="0" fillId="20" borderId="16" xfId="0" applyFont="1" applyFill="1" applyBorder="1" applyProtection="1">
      <protection locked="0"/>
    </xf>
    <xf numFmtId="0" fontId="19" fillId="20" borderId="0" xfId="0" applyFont="1" applyFill="1" applyProtection="1">
      <protection locked="0"/>
    </xf>
    <xf numFmtId="168" fontId="0" fillId="20" borderId="16" xfId="0" applyNumberFormat="1" applyFont="1" applyFill="1" applyBorder="1" applyProtection="1"/>
    <xf numFmtId="0" fontId="0" fillId="20" borderId="0" xfId="0" applyFill="1" applyProtection="1">
      <protection locked="0"/>
    </xf>
    <xf numFmtId="20" fontId="3" fillId="0" borderId="0" xfId="0" applyNumberFormat="1" applyFont="1" applyAlignment="1" applyProtection="1">
      <alignment horizontal="center" vertical="center"/>
      <protection locked="0"/>
    </xf>
    <xf numFmtId="166" fontId="0" fillId="21" borderId="15" xfId="0" applyNumberFormat="1" applyFont="1" applyFill="1" applyBorder="1" applyProtection="1">
      <protection locked="0"/>
    </xf>
    <xf numFmtId="14" fontId="0" fillId="21" borderId="16" xfId="0" applyNumberFormat="1" applyFont="1" applyFill="1" applyBorder="1" applyProtection="1"/>
    <xf numFmtId="167" fontId="0" fillId="21" borderId="16" xfId="0" applyNumberFormat="1" applyFont="1" applyFill="1" applyBorder="1" applyProtection="1"/>
    <xf numFmtId="0" fontId="0" fillId="21" borderId="16" xfId="0" applyFont="1" applyFill="1" applyBorder="1" applyProtection="1">
      <protection locked="0"/>
    </xf>
    <xf numFmtId="168" fontId="19" fillId="21" borderId="16" xfId="0" applyNumberFormat="1" applyFont="1" applyFill="1" applyBorder="1" applyProtection="1">
      <protection locked="0"/>
    </xf>
    <xf numFmtId="168" fontId="0" fillId="21" borderId="16" xfId="0" applyNumberFormat="1" applyFont="1" applyFill="1" applyBorder="1" applyProtection="1"/>
    <xf numFmtId="0" fontId="0" fillId="21" borderId="17" xfId="0" applyFont="1" applyFill="1" applyBorder="1" applyProtection="1">
      <protection locked="0"/>
    </xf>
    <xf numFmtId="0" fontId="19" fillId="5" borderId="16" xfId="0" applyFont="1" applyFill="1" applyBorder="1" applyProtection="1">
      <protection locked="0"/>
    </xf>
    <xf numFmtId="20" fontId="19" fillId="0" borderId="16" xfId="0" applyNumberFormat="1" applyFont="1" applyFill="1" applyBorder="1" applyProtection="1">
      <protection locked="0"/>
    </xf>
    <xf numFmtId="0" fontId="19" fillId="11" borderId="16" xfId="0" applyFont="1" applyFill="1" applyBorder="1" applyProtection="1">
      <protection locked="0"/>
    </xf>
    <xf numFmtId="20" fontId="0" fillId="11" borderId="15" xfId="0" applyNumberFormat="1" applyFont="1" applyFill="1" applyBorder="1" applyProtection="1">
      <protection locked="0"/>
    </xf>
    <xf numFmtId="168" fontId="26" fillId="0" borderId="16" xfId="0" applyNumberFormat="1" applyFont="1" applyFill="1" applyBorder="1" applyProtection="1">
      <protection locked="0"/>
    </xf>
    <xf numFmtId="168" fontId="27" fillId="0" borderId="16" xfId="0" applyNumberFormat="1" applyFont="1" applyFill="1" applyBorder="1" applyProtection="1">
      <protection locked="0"/>
    </xf>
    <xf numFmtId="168" fontId="28" fillId="0" borderId="16" xfId="0" applyNumberFormat="1" applyFont="1" applyFill="1" applyBorder="1" applyProtection="1">
      <protection locked="0"/>
    </xf>
    <xf numFmtId="14" fontId="0" fillId="0" borderId="0" xfId="0" applyNumberFormat="1" applyProtection="1">
      <protection locked="0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4" fillId="5" borderId="1" xfId="1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/>
      <protection locked="0"/>
    </xf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4" fillId="6" borderId="3" xfId="0" applyFont="1" applyFill="1" applyBorder="1" applyAlignment="1" applyProtection="1">
      <alignment horizontal="center" vertical="center"/>
      <protection locked="0"/>
    </xf>
    <xf numFmtId="0" fontId="4" fillId="6" borderId="2" xfId="0" applyFont="1" applyFill="1" applyBorder="1" applyAlignment="1" applyProtection="1">
      <alignment horizontal="center" vertical="center"/>
    </xf>
    <xf numFmtId="0" fontId="4" fillId="6" borderId="3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165" fontId="4" fillId="7" borderId="6" xfId="1" applyNumberFormat="1" applyFont="1" applyFill="1" applyBorder="1" applyAlignment="1" applyProtection="1">
      <alignment horizontal="center" vertical="center"/>
    </xf>
    <xf numFmtId="165" fontId="4" fillId="7" borderId="7" xfId="1" applyNumberFormat="1" applyFont="1" applyFill="1" applyBorder="1" applyAlignment="1" applyProtection="1">
      <alignment horizontal="center" vertical="center"/>
    </xf>
    <xf numFmtId="22" fontId="3" fillId="6" borderId="9" xfId="0" applyNumberFormat="1" applyFont="1" applyFill="1" applyBorder="1" applyAlignment="1" applyProtection="1">
      <alignment horizontal="center" vertical="center"/>
      <protection locked="0"/>
    </xf>
    <xf numFmtId="22" fontId="3" fillId="6" borderId="10" xfId="0" applyNumberFormat="1" applyFont="1" applyFill="1" applyBorder="1" applyAlignment="1" applyProtection="1">
      <alignment horizontal="center" vertical="center"/>
      <protection locked="0"/>
    </xf>
    <xf numFmtId="0" fontId="4" fillId="6" borderId="6" xfId="0" applyFont="1" applyFill="1" applyBorder="1" applyAlignment="1" applyProtection="1">
      <alignment horizontal="center"/>
      <protection locked="0"/>
    </xf>
    <xf numFmtId="0" fontId="4" fillId="6" borderId="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164" fontId="4" fillId="6" borderId="1" xfId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20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22" fontId="23" fillId="0" borderId="2" xfId="0" applyNumberFormat="1" applyFont="1" applyBorder="1" applyAlignment="1" applyProtection="1">
      <alignment horizontal="center" vertical="center" wrapText="1"/>
      <protection locked="0"/>
    </xf>
    <xf numFmtId="20" fontId="7" fillId="0" borderId="18" xfId="0" applyNumberFormat="1" applyFont="1" applyBorder="1" applyAlignment="1" applyProtection="1">
      <alignment horizontal="center" vertical="center" wrapText="1"/>
      <protection locked="0"/>
    </xf>
    <xf numFmtId="20" fontId="7" fillId="0" borderId="3" xfId="0" applyNumberFormat="1" applyFont="1" applyBorder="1" applyAlignment="1" applyProtection="1">
      <alignment horizontal="center" vertical="center" wrapText="1"/>
      <protection locked="0"/>
    </xf>
    <xf numFmtId="20" fontId="7" fillId="0" borderId="4" xfId="0" applyNumberFormat="1" applyFont="1" applyBorder="1" applyAlignment="1" applyProtection="1">
      <alignment horizontal="center" vertical="center" wrapText="1"/>
      <protection locked="0"/>
    </xf>
    <xf numFmtId="20" fontId="7" fillId="0" borderId="19" xfId="0" applyNumberFormat="1" applyFont="1" applyBorder="1" applyAlignment="1" applyProtection="1">
      <alignment horizontal="center" vertical="center" wrapText="1"/>
      <protection locked="0"/>
    </xf>
    <xf numFmtId="20" fontId="7" fillId="0" borderId="5" xfId="0" applyNumberFormat="1" applyFont="1" applyBorder="1" applyAlignment="1" applyProtection="1">
      <alignment horizontal="center" vertical="center" wrapText="1"/>
      <protection locked="0"/>
    </xf>
  </cellXfs>
  <cellStyles count="3">
    <cellStyle name="Milliers" xfId="1" builtinId="3"/>
    <cellStyle name="Milliers 2" xfId="2" xr:uid="{00000000-0005-0000-0000-000001000000}"/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  <color rgb="FFFFFFFF"/>
      <color rgb="FFE5F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B6" sqref="B6"/>
    </sheetView>
  </sheetViews>
  <sheetFormatPr baseColWidth="10" defaultRowHeight="15" x14ac:dyDescent="0.25"/>
  <sheetData>
    <row r="1" spans="1:3" ht="45" x14ac:dyDescent="0.25">
      <c r="A1" s="7" t="s">
        <v>39</v>
      </c>
      <c r="B1" s="7" t="s">
        <v>38</v>
      </c>
      <c r="C1" s="8" t="s">
        <v>37</v>
      </c>
    </row>
    <row r="2" spans="1:3" x14ac:dyDescent="0.25">
      <c r="A2" s="8">
        <v>1</v>
      </c>
      <c r="B2" s="8">
        <v>500</v>
      </c>
      <c r="C2" s="8">
        <v>25</v>
      </c>
    </row>
    <row r="3" spans="1:3" x14ac:dyDescent="0.25">
      <c r="A3" s="8">
        <v>501</v>
      </c>
      <c r="B3" s="8">
        <v>1500</v>
      </c>
      <c r="C3" s="8">
        <v>100</v>
      </c>
    </row>
    <row r="4" spans="1:3" x14ac:dyDescent="0.25">
      <c r="A4" s="8">
        <v>1501</v>
      </c>
      <c r="B4" s="8">
        <v>3000</v>
      </c>
      <c r="C4" s="8">
        <v>200</v>
      </c>
    </row>
    <row r="5" spans="1:3" x14ac:dyDescent="0.25">
      <c r="A5" s="8">
        <v>3001</v>
      </c>
      <c r="B5" s="8">
        <v>5000</v>
      </c>
      <c r="C5" s="8">
        <v>400</v>
      </c>
    </row>
    <row r="6" spans="1:3" x14ac:dyDescent="0.25">
      <c r="A6" s="8">
        <v>5001</v>
      </c>
      <c r="B6" s="8">
        <v>10000</v>
      </c>
      <c r="C6" s="8">
        <v>700</v>
      </c>
    </row>
    <row r="7" spans="1:3" x14ac:dyDescent="0.25">
      <c r="A7" s="8">
        <v>10001</v>
      </c>
      <c r="B7" s="8">
        <v>15000</v>
      </c>
      <c r="C7" s="8">
        <v>1100</v>
      </c>
    </row>
    <row r="8" spans="1:3" x14ac:dyDescent="0.25">
      <c r="A8" s="8">
        <v>15001</v>
      </c>
      <c r="B8" s="8">
        <v>20000</v>
      </c>
      <c r="C8" s="8">
        <v>1300</v>
      </c>
    </row>
    <row r="9" spans="1:3" x14ac:dyDescent="0.25">
      <c r="A9" s="8">
        <v>20001</v>
      </c>
      <c r="B9" s="8">
        <v>25000</v>
      </c>
      <c r="C9" s="8">
        <v>1500</v>
      </c>
    </row>
    <row r="10" spans="1:3" x14ac:dyDescent="0.25">
      <c r="A10" s="8">
        <v>25001</v>
      </c>
      <c r="B10" s="8">
        <v>30000</v>
      </c>
      <c r="C10" s="8">
        <v>1700</v>
      </c>
    </row>
    <row r="11" spans="1:3" x14ac:dyDescent="0.25">
      <c r="A11" s="8">
        <v>30001</v>
      </c>
      <c r="B11" s="8">
        <v>50000</v>
      </c>
      <c r="C11" s="8">
        <v>1800</v>
      </c>
    </row>
    <row r="12" spans="1:3" x14ac:dyDescent="0.25">
      <c r="A12" s="8">
        <v>50001</v>
      </c>
      <c r="B12" s="8">
        <v>60000</v>
      </c>
      <c r="C12" s="8">
        <v>2300</v>
      </c>
    </row>
    <row r="13" spans="1:3" x14ac:dyDescent="0.25">
      <c r="A13" s="8">
        <v>60001</v>
      </c>
      <c r="B13" s="8">
        <v>75000</v>
      </c>
      <c r="C13" s="8">
        <v>2700</v>
      </c>
    </row>
    <row r="14" spans="1:3" x14ac:dyDescent="0.25">
      <c r="A14" s="8">
        <v>75001</v>
      </c>
      <c r="B14" s="8">
        <v>100000</v>
      </c>
      <c r="C14" s="8">
        <v>3200</v>
      </c>
    </row>
    <row r="15" spans="1:3" x14ac:dyDescent="0.25">
      <c r="A15" s="8">
        <v>100001</v>
      </c>
      <c r="B15" s="8">
        <v>125000</v>
      </c>
      <c r="C15" s="8">
        <v>3600</v>
      </c>
    </row>
    <row r="16" spans="1:3" x14ac:dyDescent="0.25">
      <c r="A16" s="8">
        <v>125001</v>
      </c>
      <c r="B16" s="8">
        <v>150000</v>
      </c>
      <c r="C16" s="8">
        <v>4000</v>
      </c>
    </row>
    <row r="17" spans="1:3" x14ac:dyDescent="0.25">
      <c r="A17" s="8">
        <v>150001</v>
      </c>
      <c r="B17" s="8">
        <v>200000</v>
      </c>
      <c r="C17" s="8">
        <v>4800</v>
      </c>
    </row>
    <row r="18" spans="1:3" x14ac:dyDescent="0.25">
      <c r="A18" s="8">
        <v>200001</v>
      </c>
      <c r="B18" s="8">
        <v>250000</v>
      </c>
      <c r="C18" s="8">
        <v>6350</v>
      </c>
    </row>
    <row r="19" spans="1:3" x14ac:dyDescent="0.25">
      <c r="A19" s="8">
        <v>250001</v>
      </c>
      <c r="B19" s="8">
        <v>300000</v>
      </c>
      <c r="C19" s="8">
        <v>8050</v>
      </c>
    </row>
    <row r="20" spans="1:3" x14ac:dyDescent="0.25">
      <c r="A20" s="8">
        <v>300001</v>
      </c>
      <c r="B20" s="8">
        <v>350000</v>
      </c>
      <c r="C20" s="8">
        <v>8450</v>
      </c>
    </row>
    <row r="21" spans="1:3" x14ac:dyDescent="0.25">
      <c r="A21" s="8">
        <v>350001</v>
      </c>
      <c r="B21" s="8">
        <v>400000</v>
      </c>
      <c r="C21" s="8">
        <v>9750</v>
      </c>
    </row>
    <row r="22" spans="1:3" x14ac:dyDescent="0.25">
      <c r="A22" s="8">
        <v>400001</v>
      </c>
      <c r="B22" s="8">
        <v>600000</v>
      </c>
      <c r="C22" s="8">
        <v>11850</v>
      </c>
    </row>
    <row r="23" spans="1:3" x14ac:dyDescent="0.25">
      <c r="A23" s="8">
        <v>600001</v>
      </c>
      <c r="B23" s="8">
        <v>750000</v>
      </c>
      <c r="C23" s="8">
        <v>13550</v>
      </c>
    </row>
    <row r="24" spans="1:3" x14ac:dyDescent="0.25">
      <c r="A24" s="8">
        <v>750001</v>
      </c>
      <c r="B24" s="8">
        <v>1000000</v>
      </c>
      <c r="C24" s="8">
        <v>21650</v>
      </c>
    </row>
    <row r="25" spans="1:3" x14ac:dyDescent="0.25">
      <c r="A25" s="8">
        <v>1000001</v>
      </c>
      <c r="B25" s="8">
        <v>1250000</v>
      </c>
      <c r="C25" s="8">
        <v>24200</v>
      </c>
    </row>
    <row r="26" spans="1:3" x14ac:dyDescent="0.25">
      <c r="A26" s="8">
        <v>1250001</v>
      </c>
      <c r="B26" s="8">
        <v>1500000</v>
      </c>
      <c r="C26" s="8">
        <v>31850</v>
      </c>
    </row>
    <row r="27" spans="1:3" x14ac:dyDescent="0.25">
      <c r="A27" s="8">
        <v>1500000</v>
      </c>
      <c r="B27" s="8">
        <v>2000000</v>
      </c>
      <c r="C27" s="8">
        <v>35650</v>
      </c>
    </row>
    <row r="28" spans="1:3" x14ac:dyDescent="0.25">
      <c r="A28" s="8">
        <v>2000001</v>
      </c>
      <c r="B28" s="8">
        <v>3000000</v>
      </c>
      <c r="C28" s="8">
        <v>0.02</v>
      </c>
    </row>
  </sheetData>
  <customSheetViews>
    <customSheetView guid="{BCC8C31E-1C8F-4ACF-A3F3-919D68FF9211}" state="hidden">
      <selection activeCell="B6" sqref="B6"/>
      <pageMargins left="0.7" right="0.7" top="0.75" bottom="0.75" header="0.3" footer="0.3"/>
    </customSheetView>
    <customSheetView guid="{A1A8A1DE-D657-4788-8CB1-6D107BB1DEC3}" state="hidden">
      <selection activeCell="B6" sqref="B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customSheetViews>
    <customSheetView guid="{BCC8C31E-1C8F-4ACF-A3F3-919D68FF9211}" state="hidden">
      <pageMargins left="0.7" right="0.7" top="0.75" bottom="0.75" header="0.3" footer="0.3"/>
    </customSheetView>
    <customSheetView guid="{A1A8A1DE-D657-4788-8CB1-6D107BB1DEC3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H21" sqref="H21"/>
    </sheetView>
  </sheetViews>
  <sheetFormatPr baseColWidth="10" defaultRowHeight="15" x14ac:dyDescent="0.25"/>
  <sheetData/>
  <customSheetViews>
    <customSheetView guid="{BCC8C31E-1C8F-4ACF-A3F3-919D68FF9211}" state="hidden">
      <selection activeCell="H21" sqref="H21"/>
      <pageMargins left="0.7" right="0.7" top="0.75" bottom="0.75" header="0.3" footer="0.3"/>
    </customSheetView>
    <customSheetView guid="{A1A8A1DE-D657-4788-8CB1-6D107BB1DEC3}" state="hidden">
      <selection activeCell="H21" sqref="H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GA1" workbookViewId="0">
      <selection activeCell="M1" sqref="M1:M1048576"/>
    </sheetView>
  </sheetViews>
  <sheetFormatPr baseColWidth="10" defaultRowHeight="15" x14ac:dyDescent="0.25"/>
  <sheetData/>
  <customSheetViews>
    <customSheetView guid="{BCC8C31E-1C8F-4ACF-A3F3-919D68FF9211}" state="hidden" topLeftCell="GA1">
      <selection activeCell="M1" sqref="M1:M1048576"/>
      <pageMargins left="0.7" right="0.7" top="0.75" bottom="0.75" header="0.3" footer="0.3"/>
    </customSheetView>
    <customSheetView guid="{A1A8A1DE-D657-4788-8CB1-6D107BB1DEC3}" state="hidden" topLeftCell="GA1">
      <selection activeCell="M1" sqref="M1:M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77"/>
  <sheetViews>
    <sheetView topLeftCell="A16" workbookViewId="0">
      <selection activeCell="C31" sqref="C31:E31"/>
    </sheetView>
  </sheetViews>
  <sheetFormatPr baseColWidth="10" defaultRowHeight="15" x14ac:dyDescent="0.25"/>
  <sheetData>
    <row r="1" spans="1:9" ht="15.75" thickBot="1" x14ac:dyDescent="0.3">
      <c r="A1" s="277" t="s">
        <v>47</v>
      </c>
      <c r="B1" s="272"/>
      <c r="C1" s="272"/>
      <c r="D1" s="272"/>
      <c r="E1" s="273"/>
      <c r="F1" s="278" t="s">
        <v>48</v>
      </c>
      <c r="G1" s="279"/>
      <c r="H1" s="279"/>
      <c r="I1" s="280"/>
    </row>
    <row r="2" spans="1:9" x14ac:dyDescent="0.25">
      <c r="A2" s="281"/>
      <c r="B2" s="282"/>
      <c r="C2" s="282"/>
      <c r="D2" s="282"/>
      <c r="E2" s="283"/>
      <c r="F2" s="58"/>
      <c r="G2" s="58"/>
      <c r="H2" s="58"/>
      <c r="I2" s="59"/>
    </row>
    <row r="3" spans="1:9" ht="15.75" thickBot="1" x14ac:dyDescent="0.3">
      <c r="A3" s="284"/>
      <c r="B3" s="274"/>
      <c r="C3" s="274"/>
      <c r="D3" s="274"/>
      <c r="E3" s="275"/>
      <c r="F3" s="61"/>
      <c r="G3" s="61"/>
      <c r="H3" s="61"/>
      <c r="I3" s="62"/>
    </row>
    <row r="4" spans="1:9" ht="15.75" thickBot="1" x14ac:dyDescent="0.3">
      <c r="A4" s="276"/>
      <c r="B4" s="276"/>
      <c r="C4" s="274"/>
      <c r="D4" s="274"/>
      <c r="E4" s="275"/>
      <c r="F4" s="60"/>
      <c r="G4" s="61"/>
      <c r="H4" s="61"/>
      <c r="I4" s="62"/>
    </row>
    <row r="5" spans="1:9" ht="15.75" thickBot="1" x14ac:dyDescent="0.3">
      <c r="A5" s="272"/>
      <c r="B5" s="272"/>
      <c r="C5" s="274"/>
      <c r="D5" s="274"/>
      <c r="E5" s="275"/>
      <c r="F5" s="60"/>
      <c r="G5" s="61"/>
      <c r="H5" s="61"/>
      <c r="I5" s="62"/>
    </row>
    <row r="6" spans="1:9" ht="15.75" thickBot="1" x14ac:dyDescent="0.3">
      <c r="A6" s="272"/>
      <c r="B6" s="272"/>
      <c r="C6" s="274"/>
      <c r="D6" s="274"/>
      <c r="E6" s="275"/>
      <c r="F6" s="60"/>
      <c r="G6" s="61"/>
      <c r="H6" s="61"/>
      <c r="I6" s="62"/>
    </row>
    <row r="7" spans="1:9" ht="15.75" thickBot="1" x14ac:dyDescent="0.3">
      <c r="A7" s="272"/>
      <c r="B7" s="272"/>
      <c r="C7" s="274"/>
      <c r="D7" s="274"/>
      <c r="E7" s="275"/>
      <c r="F7" s="60"/>
      <c r="G7" s="61"/>
      <c r="H7" s="61"/>
      <c r="I7" s="62"/>
    </row>
    <row r="8" spans="1:9" ht="15.75" thickBot="1" x14ac:dyDescent="0.3">
      <c r="A8" s="272"/>
      <c r="B8" s="272"/>
      <c r="C8" s="274"/>
      <c r="D8" s="274"/>
      <c r="E8" s="275"/>
      <c r="F8" s="60"/>
      <c r="G8" s="61"/>
      <c r="H8" s="61"/>
      <c r="I8" s="62"/>
    </row>
    <row r="9" spans="1:9" ht="15.75" thickBot="1" x14ac:dyDescent="0.3">
      <c r="A9" s="272"/>
      <c r="B9" s="272"/>
      <c r="C9" s="274"/>
      <c r="D9" s="274"/>
      <c r="E9" s="275"/>
      <c r="F9" s="60"/>
      <c r="G9" s="61"/>
      <c r="H9" s="61"/>
      <c r="I9" s="62"/>
    </row>
    <row r="10" spans="1:9" ht="15.75" thickBot="1" x14ac:dyDescent="0.3">
      <c r="A10" s="272"/>
      <c r="B10" s="272"/>
      <c r="C10" s="274"/>
      <c r="D10" s="274"/>
      <c r="E10" s="275"/>
      <c r="F10" s="60"/>
      <c r="G10" s="61"/>
      <c r="H10" s="61"/>
      <c r="I10" s="62"/>
    </row>
    <row r="11" spans="1:9" ht="15.75" thickBot="1" x14ac:dyDescent="0.3">
      <c r="A11" s="272"/>
      <c r="B11" s="272"/>
      <c r="C11" s="274"/>
      <c r="D11" s="274"/>
      <c r="E11" s="275"/>
      <c r="F11" s="60"/>
      <c r="G11" s="61"/>
      <c r="H11" s="61"/>
      <c r="I11" s="62"/>
    </row>
    <row r="12" spans="1:9" ht="15.75" thickBot="1" x14ac:dyDescent="0.3">
      <c r="A12" s="272"/>
      <c r="B12" s="272"/>
      <c r="C12" s="274"/>
      <c r="D12" s="274"/>
      <c r="E12" s="275"/>
      <c r="F12" s="60"/>
      <c r="G12" s="61"/>
      <c r="H12" s="61"/>
      <c r="I12" s="62"/>
    </row>
    <row r="13" spans="1:9" ht="15.75" thickBot="1" x14ac:dyDescent="0.3">
      <c r="A13" s="272"/>
      <c r="B13" s="272"/>
      <c r="C13" s="274"/>
      <c r="D13" s="274"/>
      <c r="E13" s="275"/>
      <c r="F13" s="60"/>
      <c r="G13" s="61"/>
      <c r="H13" s="61"/>
      <c r="I13" s="62"/>
    </row>
    <row r="14" spans="1:9" ht="15.75" thickBot="1" x14ac:dyDescent="0.3">
      <c r="A14" s="272"/>
      <c r="B14" s="272"/>
      <c r="C14" s="274"/>
      <c r="D14" s="274"/>
      <c r="E14" s="275"/>
      <c r="F14" s="60"/>
      <c r="G14" s="61"/>
      <c r="H14" s="61"/>
      <c r="I14" s="62"/>
    </row>
    <row r="15" spans="1:9" ht="15.75" thickBot="1" x14ac:dyDescent="0.3">
      <c r="A15" s="272"/>
      <c r="B15" s="272"/>
      <c r="C15" s="274"/>
      <c r="D15" s="274"/>
      <c r="E15" s="275"/>
      <c r="F15" s="60"/>
      <c r="G15" s="61"/>
      <c r="H15" s="61"/>
      <c r="I15" s="62"/>
    </row>
    <row r="16" spans="1:9" ht="15.75" thickBot="1" x14ac:dyDescent="0.3">
      <c r="A16" s="272"/>
      <c r="B16" s="272"/>
      <c r="C16" s="274"/>
      <c r="D16" s="274"/>
      <c r="E16" s="275"/>
      <c r="F16" s="60"/>
      <c r="G16" s="61"/>
      <c r="H16" s="61"/>
      <c r="I16" s="62"/>
    </row>
    <row r="17" spans="1:9" ht="15.75" thickBot="1" x14ac:dyDescent="0.3">
      <c r="A17" s="272"/>
      <c r="B17" s="272"/>
      <c r="C17" s="274"/>
      <c r="D17" s="274"/>
      <c r="E17" s="275"/>
      <c r="F17" s="60"/>
      <c r="G17" s="61"/>
      <c r="H17" s="61"/>
      <c r="I17" s="62"/>
    </row>
    <row r="18" spans="1:9" ht="15.75" thickBot="1" x14ac:dyDescent="0.3">
      <c r="A18" s="272"/>
      <c r="B18" s="272"/>
      <c r="C18" s="274"/>
      <c r="D18" s="274"/>
      <c r="E18" s="275"/>
      <c r="F18" s="60"/>
      <c r="G18" s="61"/>
      <c r="H18" s="61"/>
      <c r="I18" s="62"/>
    </row>
    <row r="19" spans="1:9" ht="15.75" thickBot="1" x14ac:dyDescent="0.3">
      <c r="A19" s="272"/>
      <c r="B19" s="272"/>
      <c r="C19" s="274"/>
      <c r="D19" s="274"/>
      <c r="E19" s="275"/>
      <c r="F19" s="60"/>
      <c r="G19" s="61"/>
      <c r="H19" s="61"/>
      <c r="I19" s="62"/>
    </row>
    <row r="20" spans="1:9" ht="15.75" thickBot="1" x14ac:dyDescent="0.3">
      <c r="A20" s="272"/>
      <c r="B20" s="272"/>
      <c r="C20" s="274"/>
      <c r="D20" s="274"/>
      <c r="E20" s="275"/>
      <c r="F20" s="60"/>
      <c r="G20" s="61"/>
      <c r="H20" s="61"/>
      <c r="I20" s="62"/>
    </row>
    <row r="21" spans="1:9" ht="15.75" thickBot="1" x14ac:dyDescent="0.3">
      <c r="A21" s="272"/>
      <c r="B21" s="272"/>
      <c r="C21" s="274"/>
      <c r="D21" s="274"/>
      <c r="E21" s="275"/>
      <c r="F21" s="60"/>
      <c r="G21" s="61"/>
      <c r="H21" s="61"/>
      <c r="I21" s="62"/>
    </row>
    <row r="22" spans="1:9" ht="15.75" thickBot="1" x14ac:dyDescent="0.3">
      <c r="A22" s="272"/>
      <c r="B22" s="272"/>
      <c r="C22" s="274"/>
      <c r="D22" s="274"/>
      <c r="E22" s="275"/>
      <c r="F22" s="60"/>
      <c r="G22" s="61"/>
      <c r="H22" s="61"/>
      <c r="I22" s="62"/>
    </row>
    <row r="23" spans="1:9" ht="15.75" thickBot="1" x14ac:dyDescent="0.3">
      <c r="A23" s="272"/>
      <c r="B23" s="272"/>
      <c r="C23" s="274"/>
      <c r="D23" s="274"/>
      <c r="E23" s="275"/>
      <c r="F23" s="60"/>
      <c r="G23" s="61"/>
      <c r="H23" s="61"/>
      <c r="I23" s="62"/>
    </row>
    <row r="24" spans="1:9" ht="15.75" thickBot="1" x14ac:dyDescent="0.3">
      <c r="A24" s="272"/>
      <c r="B24" s="272"/>
      <c r="C24" s="274"/>
      <c r="D24" s="274"/>
      <c r="E24" s="275"/>
      <c r="F24" s="60"/>
      <c r="G24" s="61"/>
      <c r="H24" s="61"/>
      <c r="I24" s="62"/>
    </row>
    <row r="25" spans="1:9" ht="15.75" thickBot="1" x14ac:dyDescent="0.3">
      <c r="A25" s="272"/>
      <c r="B25" s="272"/>
      <c r="C25" s="274"/>
      <c r="D25" s="274"/>
      <c r="E25" s="275"/>
      <c r="F25" s="60"/>
      <c r="G25" s="61"/>
      <c r="H25" s="61"/>
      <c r="I25" s="62"/>
    </row>
    <row r="26" spans="1:9" ht="15.75" thickBot="1" x14ac:dyDescent="0.3">
      <c r="A26" s="272"/>
      <c r="B26" s="272"/>
      <c r="C26" s="274"/>
      <c r="D26" s="274"/>
      <c r="E26" s="275"/>
      <c r="F26" s="60"/>
      <c r="G26" s="61"/>
      <c r="H26" s="61"/>
      <c r="I26" s="62"/>
    </row>
    <row r="27" spans="1:9" ht="15.75" thickBot="1" x14ac:dyDescent="0.3">
      <c r="A27" s="272"/>
      <c r="B27" s="272"/>
      <c r="C27" s="274"/>
      <c r="D27" s="274"/>
      <c r="E27" s="275"/>
      <c r="F27" s="60"/>
      <c r="G27" s="61"/>
      <c r="H27" s="61"/>
      <c r="I27" s="62"/>
    </row>
    <row r="28" spans="1:9" ht="15.75" thickBot="1" x14ac:dyDescent="0.3">
      <c r="A28" s="272"/>
      <c r="B28" s="272"/>
      <c r="C28" s="274"/>
      <c r="D28" s="274"/>
      <c r="E28" s="275"/>
      <c r="F28" s="60"/>
      <c r="G28" s="61"/>
      <c r="H28" s="61"/>
      <c r="I28" s="62"/>
    </row>
    <row r="29" spans="1:9" ht="15.75" thickBot="1" x14ac:dyDescent="0.3">
      <c r="A29" s="272"/>
      <c r="B29" s="272"/>
      <c r="C29" s="274"/>
      <c r="D29" s="274"/>
      <c r="E29" s="275"/>
      <c r="F29" s="60"/>
      <c r="G29" s="61"/>
      <c r="H29" s="61"/>
      <c r="I29" s="62"/>
    </row>
    <row r="30" spans="1:9" ht="15.75" thickBot="1" x14ac:dyDescent="0.3">
      <c r="A30" s="272"/>
      <c r="B30" s="272"/>
      <c r="C30" s="274"/>
      <c r="D30" s="274"/>
      <c r="E30" s="275"/>
      <c r="F30" s="60"/>
      <c r="G30" s="61"/>
      <c r="H30" s="61"/>
      <c r="I30" s="62"/>
    </row>
    <row r="31" spans="1:9" ht="15.75" thickBot="1" x14ac:dyDescent="0.3">
      <c r="A31" s="272"/>
      <c r="B31" s="272"/>
      <c r="C31" s="274"/>
      <c r="D31" s="274"/>
      <c r="E31" s="275"/>
      <c r="F31" s="60"/>
      <c r="G31" s="61"/>
      <c r="H31" s="61"/>
      <c r="I31" s="62"/>
    </row>
    <row r="32" spans="1:9" ht="15.75" thickBot="1" x14ac:dyDescent="0.3">
      <c r="A32" s="272"/>
      <c r="B32" s="272"/>
      <c r="C32" s="274"/>
      <c r="D32" s="274"/>
      <c r="E32" s="275"/>
      <c r="F32" s="60"/>
      <c r="G32" s="61"/>
      <c r="H32" s="61"/>
      <c r="I32" s="62"/>
    </row>
    <row r="33" spans="1:9" ht="15.75" thickBot="1" x14ac:dyDescent="0.3">
      <c r="A33" s="272"/>
      <c r="B33" s="272"/>
      <c r="C33" s="274"/>
      <c r="D33" s="274"/>
      <c r="E33" s="275"/>
      <c r="F33" s="60"/>
      <c r="G33" s="61"/>
      <c r="H33" s="61"/>
      <c r="I33" s="62"/>
    </row>
    <row r="34" spans="1:9" ht="15.75" thickBot="1" x14ac:dyDescent="0.3">
      <c r="A34" s="272"/>
      <c r="B34" s="272"/>
      <c r="C34" s="274"/>
      <c r="D34" s="274"/>
      <c r="E34" s="275"/>
      <c r="F34" s="60"/>
      <c r="G34" s="61"/>
      <c r="H34" s="61"/>
      <c r="I34" s="62"/>
    </row>
    <row r="35" spans="1:9" ht="15.75" thickBot="1" x14ac:dyDescent="0.3">
      <c r="A35" s="272"/>
      <c r="B35" s="272"/>
      <c r="C35" s="274"/>
      <c r="D35" s="274"/>
      <c r="E35" s="275"/>
      <c r="F35" s="60"/>
      <c r="G35" s="61"/>
      <c r="H35" s="61"/>
      <c r="I35" s="62"/>
    </row>
    <row r="36" spans="1:9" ht="15.75" thickBot="1" x14ac:dyDescent="0.3">
      <c r="A36" s="272"/>
      <c r="B36" s="272"/>
      <c r="C36" s="274"/>
      <c r="D36" s="274"/>
      <c r="E36" s="275"/>
      <c r="F36" s="60"/>
      <c r="G36" s="61"/>
      <c r="H36" s="61"/>
      <c r="I36" s="62"/>
    </row>
    <row r="37" spans="1:9" ht="15.75" thickBot="1" x14ac:dyDescent="0.3">
      <c r="A37" s="272"/>
      <c r="B37" s="272"/>
      <c r="C37" s="274"/>
      <c r="D37" s="274"/>
      <c r="E37" s="275"/>
      <c r="F37" s="60"/>
      <c r="G37" s="61"/>
      <c r="H37" s="61"/>
      <c r="I37" s="62"/>
    </row>
    <row r="38" spans="1:9" ht="15.75" thickBot="1" x14ac:dyDescent="0.3">
      <c r="A38" s="272"/>
      <c r="B38" s="272"/>
      <c r="C38" s="274"/>
      <c r="D38" s="274"/>
      <c r="E38" s="275"/>
      <c r="F38" s="60"/>
      <c r="G38" s="61"/>
      <c r="H38" s="61"/>
      <c r="I38" s="62"/>
    </row>
    <row r="39" spans="1:9" ht="15.75" thickBot="1" x14ac:dyDescent="0.3">
      <c r="A39" s="272"/>
      <c r="B39" s="272"/>
      <c r="C39" s="274"/>
      <c r="D39" s="274"/>
      <c r="E39" s="275"/>
      <c r="F39" s="60"/>
      <c r="G39" s="61"/>
      <c r="H39" s="61"/>
      <c r="I39" s="62"/>
    </row>
    <row r="40" spans="1:9" ht="15.75" thickBot="1" x14ac:dyDescent="0.3">
      <c r="A40" s="272"/>
      <c r="B40" s="272"/>
      <c r="C40" s="274"/>
      <c r="D40" s="274"/>
      <c r="E40" s="275"/>
      <c r="F40" s="60"/>
      <c r="G40" s="61"/>
      <c r="H40" s="61"/>
      <c r="I40" s="62"/>
    </row>
    <row r="41" spans="1:9" ht="15.75" thickBot="1" x14ac:dyDescent="0.3">
      <c r="A41" s="272"/>
      <c r="B41" s="272"/>
      <c r="C41" s="274"/>
      <c r="D41" s="274"/>
      <c r="E41" s="275"/>
      <c r="F41" s="60"/>
      <c r="G41" s="61"/>
      <c r="H41" s="61"/>
      <c r="I41" s="62"/>
    </row>
    <row r="42" spans="1:9" ht="15.75" thickBot="1" x14ac:dyDescent="0.3">
      <c r="A42" s="272"/>
      <c r="B42" s="272"/>
      <c r="C42" s="274"/>
      <c r="D42" s="274"/>
      <c r="E42" s="275"/>
      <c r="F42" s="60"/>
      <c r="G42" s="61"/>
      <c r="H42" s="61"/>
      <c r="I42" s="62"/>
    </row>
    <row r="43" spans="1:9" ht="15.75" thickBot="1" x14ac:dyDescent="0.3">
      <c r="A43" s="272"/>
      <c r="B43" s="272"/>
      <c r="C43" s="274"/>
      <c r="D43" s="274"/>
      <c r="E43" s="275"/>
      <c r="F43" s="60"/>
      <c r="G43" s="61"/>
      <c r="H43" s="61"/>
      <c r="I43" s="62"/>
    </row>
    <row r="44" spans="1:9" ht="15.75" thickBot="1" x14ac:dyDescent="0.3">
      <c r="A44" s="272"/>
      <c r="B44" s="272"/>
      <c r="C44" s="274"/>
      <c r="D44" s="274"/>
      <c r="E44" s="275"/>
      <c r="F44" s="60"/>
      <c r="G44" s="61"/>
      <c r="H44" s="61"/>
      <c r="I44" s="62"/>
    </row>
    <row r="45" spans="1:9" ht="15.75" thickBot="1" x14ac:dyDescent="0.3">
      <c r="A45" s="272"/>
      <c r="B45" s="272"/>
      <c r="C45" s="274"/>
      <c r="D45" s="274"/>
      <c r="E45" s="275"/>
      <c r="F45" s="60"/>
      <c r="G45" s="61"/>
      <c r="H45" s="61"/>
      <c r="I45" s="62"/>
    </row>
    <row r="46" spans="1:9" x14ac:dyDescent="0.25">
      <c r="A46" s="60"/>
      <c r="B46" s="61"/>
      <c r="C46" s="272"/>
      <c r="D46" s="272"/>
      <c r="E46" s="273"/>
      <c r="F46" s="60"/>
      <c r="G46" s="61"/>
      <c r="H46" s="61"/>
      <c r="I46" s="62"/>
    </row>
    <row r="47" spans="1:9" x14ac:dyDescent="0.25">
      <c r="A47" s="60"/>
      <c r="B47" s="61"/>
      <c r="C47" s="61"/>
      <c r="D47" s="61"/>
      <c r="E47" s="61"/>
      <c r="F47" s="60"/>
      <c r="G47" s="61"/>
      <c r="H47" s="61"/>
      <c r="I47" s="62"/>
    </row>
    <row r="48" spans="1:9" x14ac:dyDescent="0.25">
      <c r="A48" s="60"/>
      <c r="B48" s="61"/>
      <c r="C48" s="61"/>
      <c r="D48" s="61"/>
      <c r="E48" s="61"/>
      <c r="F48" s="60"/>
      <c r="G48" s="61"/>
      <c r="H48" s="61"/>
      <c r="I48" s="62"/>
    </row>
    <row r="49" spans="1:9" x14ac:dyDescent="0.25">
      <c r="A49" s="60"/>
      <c r="B49" s="61"/>
      <c r="C49" s="61"/>
      <c r="D49" s="61"/>
      <c r="E49" s="61"/>
      <c r="F49" s="60"/>
      <c r="G49" s="61"/>
      <c r="H49" s="61"/>
      <c r="I49" s="62"/>
    </row>
    <row r="50" spans="1:9" x14ac:dyDescent="0.25">
      <c r="A50" s="60"/>
      <c r="B50" s="61"/>
      <c r="C50" s="61"/>
      <c r="D50" s="61"/>
      <c r="E50" s="61"/>
      <c r="F50" s="60"/>
      <c r="G50" s="61"/>
      <c r="H50" s="61"/>
      <c r="I50" s="62"/>
    </row>
    <row r="51" spans="1:9" x14ac:dyDescent="0.25">
      <c r="A51" s="60"/>
      <c r="B51" s="61"/>
      <c r="C51" s="61"/>
      <c r="D51" s="61"/>
      <c r="E51" s="61"/>
      <c r="F51" s="60"/>
      <c r="G51" s="61"/>
      <c r="H51" s="61"/>
      <c r="I51" s="62"/>
    </row>
    <row r="52" spans="1:9" x14ac:dyDescent="0.25">
      <c r="A52" s="60"/>
      <c r="B52" s="61"/>
      <c r="C52" s="61"/>
      <c r="D52" s="61"/>
      <c r="E52" s="61"/>
      <c r="F52" s="60"/>
      <c r="G52" s="61"/>
      <c r="H52" s="61"/>
      <c r="I52" s="62"/>
    </row>
    <row r="53" spans="1:9" x14ac:dyDescent="0.25">
      <c r="A53" s="60"/>
      <c r="B53" s="61"/>
      <c r="C53" s="61"/>
      <c r="D53" s="61"/>
      <c r="E53" s="61"/>
      <c r="F53" s="60"/>
      <c r="G53" s="61"/>
      <c r="H53" s="61"/>
      <c r="I53" s="62"/>
    </row>
    <row r="54" spans="1:9" x14ac:dyDescent="0.25">
      <c r="A54" s="60"/>
      <c r="B54" s="61"/>
      <c r="C54" s="61"/>
      <c r="D54" s="61"/>
      <c r="E54" s="61"/>
      <c r="F54" s="60"/>
      <c r="G54" s="61"/>
      <c r="H54" s="61"/>
      <c r="I54" s="62"/>
    </row>
    <row r="55" spans="1:9" x14ac:dyDescent="0.25">
      <c r="A55" s="60"/>
      <c r="B55" s="61"/>
      <c r="C55" s="61"/>
      <c r="D55" s="61"/>
      <c r="E55" s="61"/>
      <c r="F55" s="60"/>
      <c r="G55" s="61"/>
      <c r="H55" s="61"/>
      <c r="I55" s="62"/>
    </row>
    <row r="56" spans="1:9" x14ac:dyDescent="0.25">
      <c r="A56" s="60"/>
      <c r="B56" s="61"/>
      <c r="C56" s="61"/>
      <c r="D56" s="61"/>
      <c r="E56" s="61"/>
      <c r="F56" s="60"/>
      <c r="G56" s="61"/>
      <c r="H56" s="61"/>
      <c r="I56" s="62"/>
    </row>
    <row r="57" spans="1:9" x14ac:dyDescent="0.25">
      <c r="A57" s="60"/>
      <c r="B57" s="61"/>
      <c r="C57" s="61"/>
      <c r="D57" s="61"/>
      <c r="E57" s="61"/>
      <c r="F57" s="60"/>
      <c r="G57" s="61"/>
      <c r="H57" s="61"/>
      <c r="I57" s="62"/>
    </row>
    <row r="58" spans="1:9" x14ac:dyDescent="0.25">
      <c r="A58" s="60"/>
      <c r="B58" s="61"/>
      <c r="C58" s="61"/>
      <c r="D58" s="61"/>
      <c r="E58" s="61"/>
      <c r="F58" s="60"/>
      <c r="G58" s="61"/>
      <c r="H58" s="61"/>
      <c r="I58" s="62"/>
    </row>
    <row r="59" spans="1:9" x14ac:dyDescent="0.25">
      <c r="A59" s="60"/>
      <c r="B59" s="61"/>
      <c r="C59" s="61"/>
      <c r="D59" s="61"/>
      <c r="E59" s="61"/>
      <c r="F59" s="60"/>
      <c r="G59" s="61"/>
      <c r="H59" s="61"/>
      <c r="I59" s="62"/>
    </row>
    <row r="60" spans="1:9" x14ac:dyDescent="0.25">
      <c r="A60" s="60"/>
      <c r="B60" s="61"/>
      <c r="C60" s="61"/>
      <c r="D60" s="61"/>
      <c r="E60" s="61"/>
      <c r="F60" s="60"/>
      <c r="G60" s="61"/>
      <c r="H60" s="61"/>
      <c r="I60" s="62"/>
    </row>
    <row r="61" spans="1:9" x14ac:dyDescent="0.25">
      <c r="A61" s="60"/>
      <c r="B61" s="61"/>
      <c r="C61" s="61"/>
      <c r="D61" s="61"/>
      <c r="E61" s="61"/>
      <c r="F61" s="60"/>
      <c r="G61" s="61"/>
      <c r="H61" s="61"/>
      <c r="I61" s="62"/>
    </row>
    <row r="62" spans="1:9" x14ac:dyDescent="0.25">
      <c r="A62" s="60"/>
      <c r="B62" s="61"/>
      <c r="C62" s="61"/>
      <c r="D62" s="61"/>
      <c r="E62" s="61"/>
      <c r="F62" s="60"/>
      <c r="G62" s="61"/>
      <c r="H62" s="61"/>
      <c r="I62" s="62"/>
    </row>
    <row r="63" spans="1:9" x14ac:dyDescent="0.25">
      <c r="A63" s="60"/>
      <c r="B63" s="61"/>
      <c r="C63" s="61"/>
      <c r="D63" s="61"/>
      <c r="E63" s="61"/>
      <c r="F63" s="60"/>
      <c r="G63" s="61"/>
      <c r="H63" s="61"/>
      <c r="I63" s="62"/>
    </row>
    <row r="64" spans="1:9" x14ac:dyDescent="0.25">
      <c r="A64" s="60"/>
      <c r="B64" s="61"/>
      <c r="C64" s="61"/>
      <c r="D64" s="61"/>
      <c r="E64" s="61"/>
      <c r="F64" s="60"/>
      <c r="G64" s="61"/>
      <c r="H64" s="61"/>
      <c r="I64" s="62"/>
    </row>
    <row r="65" spans="1:9" x14ac:dyDescent="0.25">
      <c r="A65" s="60"/>
      <c r="B65" s="61"/>
      <c r="C65" s="61"/>
      <c r="D65" s="61"/>
      <c r="E65" s="61"/>
      <c r="F65" s="60"/>
      <c r="G65" s="61"/>
      <c r="H65" s="61"/>
      <c r="I65" s="62"/>
    </row>
    <row r="66" spans="1:9" x14ac:dyDescent="0.25">
      <c r="A66" s="60"/>
      <c r="B66" s="61"/>
      <c r="C66" s="61"/>
      <c r="D66" s="61"/>
      <c r="E66" s="61"/>
      <c r="F66" s="60"/>
      <c r="G66" s="61"/>
      <c r="H66" s="61"/>
      <c r="I66" s="62"/>
    </row>
    <row r="67" spans="1:9" x14ac:dyDescent="0.25">
      <c r="A67" s="60"/>
      <c r="B67" s="61"/>
      <c r="C67" s="61"/>
      <c r="D67" s="61"/>
      <c r="E67" s="61"/>
      <c r="F67" s="60"/>
      <c r="G67" s="61"/>
      <c r="H67" s="61"/>
      <c r="I67" s="62"/>
    </row>
    <row r="68" spans="1:9" x14ac:dyDescent="0.25">
      <c r="A68" s="60"/>
      <c r="B68" s="61"/>
      <c r="C68" s="61"/>
      <c r="D68" s="61"/>
      <c r="E68" s="61"/>
      <c r="F68" s="60"/>
      <c r="G68" s="61"/>
      <c r="H68" s="61"/>
      <c r="I68" s="62"/>
    </row>
    <row r="69" spans="1:9" x14ac:dyDescent="0.25">
      <c r="A69" s="60"/>
      <c r="B69" s="61"/>
      <c r="C69" s="61"/>
      <c r="D69" s="61"/>
      <c r="E69" s="61"/>
      <c r="F69" s="60"/>
      <c r="G69" s="61"/>
      <c r="H69" s="61"/>
      <c r="I69" s="62"/>
    </row>
    <row r="70" spans="1:9" x14ac:dyDescent="0.25">
      <c r="A70" s="60"/>
      <c r="B70" s="61"/>
      <c r="C70" s="61"/>
      <c r="D70" s="61"/>
      <c r="E70" s="61"/>
      <c r="F70" s="60"/>
      <c r="G70" s="61"/>
      <c r="H70" s="61"/>
      <c r="I70" s="62"/>
    </row>
    <row r="71" spans="1:9" x14ac:dyDescent="0.25">
      <c r="A71" s="60"/>
      <c r="B71" s="61"/>
      <c r="C71" s="61"/>
      <c r="D71" s="61"/>
      <c r="E71" s="61"/>
      <c r="F71" s="60"/>
      <c r="G71" s="61"/>
      <c r="H71" s="61"/>
      <c r="I71" s="62"/>
    </row>
    <row r="72" spans="1:9" x14ac:dyDescent="0.25">
      <c r="A72" s="60"/>
      <c r="B72" s="61"/>
      <c r="C72" s="61"/>
      <c r="D72" s="61"/>
      <c r="E72" s="61"/>
      <c r="F72" s="60"/>
      <c r="G72" s="61"/>
      <c r="H72" s="61"/>
      <c r="I72" s="62"/>
    </row>
    <row r="73" spans="1:9" x14ac:dyDescent="0.25">
      <c r="A73" s="60"/>
      <c r="B73" s="61"/>
      <c r="C73" s="61"/>
      <c r="D73" s="61"/>
      <c r="E73" s="61"/>
      <c r="F73" s="60"/>
      <c r="G73" s="61"/>
      <c r="H73" s="61"/>
      <c r="I73" s="62"/>
    </row>
    <row r="74" spans="1:9" x14ac:dyDescent="0.25">
      <c r="A74" s="60"/>
      <c r="B74" s="61"/>
      <c r="C74" s="61"/>
      <c r="D74" s="61"/>
      <c r="E74" s="61"/>
      <c r="F74" s="60"/>
      <c r="G74" s="61"/>
      <c r="H74" s="61"/>
      <c r="I74" s="62"/>
    </row>
    <row r="75" spans="1:9" x14ac:dyDescent="0.25">
      <c r="A75" s="60"/>
      <c r="B75" s="61"/>
      <c r="C75" s="61"/>
      <c r="D75" s="61"/>
      <c r="E75" s="61"/>
      <c r="F75" s="60"/>
      <c r="G75" s="61"/>
      <c r="H75" s="61"/>
      <c r="I75" s="62"/>
    </row>
    <row r="76" spans="1:9" x14ac:dyDescent="0.25">
      <c r="A76" s="60"/>
      <c r="B76" s="61"/>
      <c r="C76" s="61"/>
      <c r="D76" s="61"/>
      <c r="E76" s="61"/>
      <c r="F76" s="60"/>
      <c r="G76" s="61"/>
      <c r="H76" s="61"/>
      <c r="I76" s="62"/>
    </row>
    <row r="77" spans="1:9" x14ac:dyDescent="0.25">
      <c r="A77" s="60"/>
      <c r="B77" s="61"/>
      <c r="C77" s="61"/>
      <c r="D77" s="61"/>
      <c r="E77" s="61"/>
      <c r="F77" s="60"/>
      <c r="G77" s="61"/>
      <c r="H77" s="61"/>
      <c r="I77" s="62"/>
    </row>
    <row r="78" spans="1:9" x14ac:dyDescent="0.25">
      <c r="A78" s="60"/>
      <c r="B78" s="61"/>
      <c r="C78" s="61"/>
      <c r="D78" s="61"/>
      <c r="E78" s="61"/>
      <c r="F78" s="60"/>
      <c r="G78" s="61"/>
      <c r="H78" s="61"/>
      <c r="I78" s="62"/>
    </row>
    <row r="79" spans="1:9" x14ac:dyDescent="0.25">
      <c r="A79" s="60"/>
      <c r="B79" s="61"/>
      <c r="C79" s="61"/>
      <c r="D79" s="61"/>
      <c r="E79" s="61"/>
      <c r="F79" s="60"/>
      <c r="G79" s="61"/>
      <c r="H79" s="61"/>
      <c r="I79" s="62"/>
    </row>
    <row r="80" spans="1:9" x14ac:dyDescent="0.25">
      <c r="A80" s="60"/>
      <c r="B80" s="61"/>
      <c r="C80" s="61"/>
      <c r="D80" s="61"/>
      <c r="E80" s="61"/>
      <c r="F80" s="60"/>
      <c r="G80" s="61"/>
      <c r="H80" s="61"/>
      <c r="I80" s="62"/>
    </row>
    <row r="81" spans="1:9" x14ac:dyDescent="0.25">
      <c r="A81" s="60"/>
      <c r="B81" s="61"/>
      <c r="C81" s="61"/>
      <c r="D81" s="61"/>
      <c r="E81" s="61"/>
      <c r="F81" s="60"/>
      <c r="G81" s="61"/>
      <c r="H81" s="61"/>
      <c r="I81" s="62"/>
    </row>
    <row r="82" spans="1:9" x14ac:dyDescent="0.25">
      <c r="A82" s="60"/>
      <c r="B82" s="61"/>
      <c r="C82" s="61"/>
      <c r="D82" s="61"/>
      <c r="E82" s="61"/>
      <c r="F82" s="60"/>
      <c r="G82" s="61"/>
      <c r="H82" s="61"/>
      <c r="I82" s="62"/>
    </row>
    <row r="83" spans="1:9" x14ac:dyDescent="0.25">
      <c r="A83" s="60"/>
      <c r="B83" s="61"/>
      <c r="C83" s="61"/>
      <c r="D83" s="61"/>
      <c r="E83" s="61"/>
      <c r="F83" s="60"/>
      <c r="G83" s="61"/>
      <c r="H83" s="61"/>
      <c r="I83" s="62"/>
    </row>
    <row r="84" spans="1:9" x14ac:dyDescent="0.25">
      <c r="A84" s="60"/>
      <c r="B84" s="61"/>
      <c r="C84" s="61"/>
      <c r="D84" s="61"/>
      <c r="E84" s="61"/>
      <c r="F84" s="60"/>
      <c r="G84" s="61"/>
      <c r="H84" s="61"/>
      <c r="I84" s="62"/>
    </row>
    <row r="85" spans="1:9" x14ac:dyDescent="0.25">
      <c r="A85" s="60"/>
      <c r="B85" s="61"/>
      <c r="C85" s="61"/>
      <c r="D85" s="61"/>
      <c r="E85" s="61"/>
      <c r="F85" s="60"/>
      <c r="G85" s="61"/>
      <c r="H85" s="61"/>
      <c r="I85" s="62"/>
    </row>
    <row r="86" spans="1:9" x14ac:dyDescent="0.25">
      <c r="A86" s="60"/>
      <c r="B86" s="61"/>
      <c r="C86" s="61"/>
      <c r="D86" s="61"/>
      <c r="E86" s="61"/>
      <c r="F86" s="60"/>
      <c r="G86" s="61"/>
      <c r="H86" s="61"/>
      <c r="I86" s="62"/>
    </row>
    <row r="87" spans="1:9" x14ac:dyDescent="0.25">
      <c r="A87" s="60"/>
      <c r="B87" s="61"/>
      <c r="C87" s="61"/>
      <c r="D87" s="61"/>
      <c r="E87" s="61"/>
      <c r="F87" s="60"/>
      <c r="G87" s="61"/>
      <c r="H87" s="61"/>
      <c r="I87" s="62"/>
    </row>
    <row r="88" spans="1:9" x14ac:dyDescent="0.25">
      <c r="A88" s="60"/>
      <c r="B88" s="61"/>
      <c r="C88" s="61"/>
      <c r="D88" s="61"/>
      <c r="E88" s="61"/>
      <c r="F88" s="60"/>
      <c r="G88" s="61"/>
      <c r="H88" s="61"/>
      <c r="I88" s="62"/>
    </row>
    <row r="89" spans="1:9" x14ac:dyDescent="0.25">
      <c r="A89" s="60"/>
      <c r="B89" s="61"/>
      <c r="C89" s="61"/>
      <c r="D89" s="61"/>
      <c r="E89" s="61"/>
      <c r="F89" s="60"/>
      <c r="G89" s="61"/>
      <c r="H89" s="61"/>
      <c r="I89" s="62"/>
    </row>
    <row r="90" spans="1:9" x14ac:dyDescent="0.25">
      <c r="A90" s="60"/>
      <c r="B90" s="61"/>
      <c r="C90" s="61"/>
      <c r="D90" s="61"/>
      <c r="E90" s="61"/>
      <c r="F90" s="60"/>
      <c r="G90" s="61"/>
      <c r="H90" s="61"/>
      <c r="I90" s="62"/>
    </row>
    <row r="91" spans="1:9" x14ac:dyDescent="0.25">
      <c r="A91" s="60"/>
      <c r="B91" s="61"/>
      <c r="C91" s="61"/>
      <c r="D91" s="61"/>
      <c r="E91" s="61"/>
      <c r="F91" s="60"/>
      <c r="G91" s="61"/>
      <c r="H91" s="61"/>
      <c r="I91" s="62"/>
    </row>
    <row r="92" spans="1:9" x14ac:dyDescent="0.25">
      <c r="A92" s="60"/>
      <c r="B92" s="61"/>
      <c r="C92" s="61"/>
      <c r="D92" s="61"/>
      <c r="E92" s="61"/>
      <c r="F92" s="60"/>
      <c r="G92" s="61"/>
      <c r="H92" s="61"/>
      <c r="I92" s="62"/>
    </row>
    <row r="93" spans="1:9" x14ac:dyDescent="0.25">
      <c r="A93" s="60"/>
      <c r="B93" s="61"/>
      <c r="C93" s="61"/>
      <c r="D93" s="61"/>
      <c r="E93" s="61"/>
      <c r="F93" s="60"/>
      <c r="G93" s="61"/>
      <c r="H93" s="61"/>
      <c r="I93" s="62"/>
    </row>
    <row r="94" spans="1:9" x14ac:dyDescent="0.25">
      <c r="A94" s="60"/>
      <c r="B94" s="61"/>
      <c r="C94" s="61"/>
      <c r="D94" s="61"/>
      <c r="E94" s="61"/>
      <c r="F94" s="60"/>
      <c r="G94" s="61"/>
      <c r="H94" s="61"/>
      <c r="I94" s="62"/>
    </row>
    <row r="95" spans="1:9" x14ac:dyDescent="0.25">
      <c r="A95" s="60"/>
      <c r="B95" s="61"/>
      <c r="C95" s="61"/>
      <c r="D95" s="61"/>
      <c r="E95" s="61"/>
      <c r="F95" s="60"/>
      <c r="G95" s="61"/>
      <c r="H95" s="61"/>
      <c r="I95" s="62"/>
    </row>
    <row r="96" spans="1:9" x14ac:dyDescent="0.25">
      <c r="A96" s="60"/>
      <c r="B96" s="61"/>
      <c r="C96" s="61"/>
      <c r="D96" s="61"/>
      <c r="E96" s="61"/>
      <c r="F96" s="60"/>
      <c r="G96" s="61"/>
      <c r="H96" s="61"/>
      <c r="I96" s="62"/>
    </row>
    <row r="97" spans="1:9" x14ac:dyDescent="0.25">
      <c r="A97" s="60"/>
      <c r="B97" s="61"/>
      <c r="C97" s="61"/>
      <c r="D97" s="61"/>
      <c r="E97" s="61"/>
      <c r="F97" s="60"/>
      <c r="G97" s="61"/>
      <c r="H97" s="61"/>
      <c r="I97" s="62"/>
    </row>
    <row r="98" spans="1:9" x14ac:dyDescent="0.25">
      <c r="A98" s="60"/>
      <c r="B98" s="61"/>
      <c r="C98" s="61"/>
      <c r="D98" s="61"/>
      <c r="E98" s="61"/>
      <c r="F98" s="60"/>
      <c r="G98" s="61"/>
      <c r="H98" s="61"/>
      <c r="I98" s="62"/>
    </row>
    <row r="99" spans="1:9" x14ac:dyDescent="0.25">
      <c r="A99" s="60"/>
      <c r="B99" s="61"/>
      <c r="C99" s="61"/>
      <c r="D99" s="61"/>
      <c r="E99" s="61"/>
      <c r="F99" s="60"/>
      <c r="G99" s="61"/>
      <c r="H99" s="61"/>
      <c r="I99" s="62"/>
    </row>
    <row r="100" spans="1:9" x14ac:dyDescent="0.25">
      <c r="A100" s="60"/>
      <c r="B100" s="61"/>
      <c r="C100" s="61"/>
      <c r="D100" s="61"/>
      <c r="E100" s="61"/>
      <c r="F100" s="60"/>
      <c r="G100" s="61"/>
      <c r="H100" s="61"/>
      <c r="I100" s="62"/>
    </row>
    <row r="101" spans="1:9" x14ac:dyDescent="0.25">
      <c r="A101" s="60"/>
      <c r="B101" s="61"/>
      <c r="C101" s="61"/>
      <c r="D101" s="61"/>
      <c r="E101" s="61"/>
      <c r="F101" s="60"/>
      <c r="G101" s="61"/>
      <c r="H101" s="61"/>
      <c r="I101" s="62"/>
    </row>
    <row r="102" spans="1:9" x14ac:dyDescent="0.25">
      <c r="A102" s="60"/>
      <c r="B102" s="61"/>
      <c r="C102" s="61"/>
      <c r="D102" s="61"/>
      <c r="E102" s="61"/>
      <c r="F102" s="60"/>
      <c r="G102" s="61"/>
      <c r="H102" s="61"/>
      <c r="I102" s="62"/>
    </row>
    <row r="103" spans="1:9" x14ac:dyDescent="0.25">
      <c r="A103" s="60"/>
      <c r="B103" s="61"/>
      <c r="C103" s="61"/>
      <c r="D103" s="61"/>
      <c r="E103" s="61"/>
      <c r="F103" s="60"/>
      <c r="G103" s="61"/>
      <c r="H103" s="61"/>
      <c r="I103" s="62"/>
    </row>
    <row r="104" spans="1:9" x14ac:dyDescent="0.25">
      <c r="A104" s="60"/>
      <c r="B104" s="61"/>
      <c r="C104" s="61"/>
      <c r="D104" s="61"/>
      <c r="E104" s="61"/>
      <c r="F104" s="60"/>
      <c r="G104" s="61"/>
      <c r="H104" s="61"/>
      <c r="I104" s="62"/>
    </row>
    <row r="105" spans="1:9" x14ac:dyDescent="0.25">
      <c r="A105" s="60"/>
      <c r="B105" s="61"/>
      <c r="C105" s="61"/>
      <c r="D105" s="61"/>
      <c r="E105" s="61"/>
      <c r="F105" s="60"/>
      <c r="G105" s="61"/>
      <c r="H105" s="61"/>
      <c r="I105" s="62"/>
    </row>
    <row r="106" spans="1:9" x14ac:dyDescent="0.25">
      <c r="A106" s="60"/>
      <c r="B106" s="61"/>
      <c r="C106" s="61"/>
      <c r="D106" s="61"/>
      <c r="E106" s="61"/>
      <c r="F106" s="60"/>
      <c r="G106" s="61"/>
      <c r="H106" s="61"/>
      <c r="I106" s="62"/>
    </row>
    <row r="107" spans="1:9" x14ac:dyDescent="0.25">
      <c r="A107" s="60"/>
      <c r="B107" s="61"/>
      <c r="C107" s="61"/>
      <c r="D107" s="61"/>
      <c r="E107" s="61"/>
      <c r="F107" s="60"/>
      <c r="G107" s="61"/>
      <c r="H107" s="61"/>
      <c r="I107" s="62"/>
    </row>
    <row r="108" spans="1:9" x14ac:dyDescent="0.25">
      <c r="A108" s="60"/>
      <c r="B108" s="61"/>
      <c r="C108" s="61"/>
      <c r="D108" s="61"/>
      <c r="E108" s="61"/>
      <c r="F108" s="60"/>
      <c r="G108" s="61"/>
      <c r="H108" s="61"/>
      <c r="I108" s="62"/>
    </row>
    <row r="109" spans="1:9" x14ac:dyDescent="0.25">
      <c r="A109" s="60"/>
      <c r="B109" s="61"/>
      <c r="C109" s="61"/>
      <c r="D109" s="61"/>
      <c r="E109" s="61"/>
      <c r="F109" s="60"/>
      <c r="G109" s="61"/>
      <c r="H109" s="61"/>
      <c r="I109" s="62"/>
    </row>
    <row r="110" spans="1:9" x14ac:dyDescent="0.25">
      <c r="A110" s="60"/>
      <c r="B110" s="61"/>
      <c r="C110" s="61"/>
      <c r="D110" s="61"/>
      <c r="E110" s="61"/>
      <c r="F110" s="60"/>
      <c r="G110" s="61"/>
      <c r="H110" s="61"/>
      <c r="I110" s="62"/>
    </row>
    <row r="111" spans="1:9" x14ac:dyDescent="0.25">
      <c r="A111" s="60"/>
      <c r="B111" s="61"/>
      <c r="C111" s="61"/>
      <c r="D111" s="61"/>
      <c r="E111" s="61"/>
      <c r="F111" s="60"/>
      <c r="G111" s="61"/>
      <c r="H111" s="61"/>
      <c r="I111" s="62"/>
    </row>
    <row r="112" spans="1:9" x14ac:dyDescent="0.25">
      <c r="A112" s="60"/>
      <c r="B112" s="61"/>
      <c r="C112" s="61"/>
      <c r="D112" s="61"/>
      <c r="E112" s="61"/>
      <c r="F112" s="60"/>
      <c r="G112" s="61"/>
      <c r="H112" s="61"/>
      <c r="I112" s="62"/>
    </row>
    <row r="113" spans="1:9" x14ac:dyDescent="0.25">
      <c r="A113" s="60"/>
      <c r="B113" s="61"/>
      <c r="C113" s="61"/>
      <c r="D113" s="61"/>
      <c r="E113" s="61"/>
      <c r="F113" s="60"/>
      <c r="G113" s="61"/>
      <c r="H113" s="61"/>
      <c r="I113" s="62"/>
    </row>
    <row r="114" spans="1:9" x14ac:dyDescent="0.25">
      <c r="A114" s="60"/>
      <c r="B114" s="61"/>
      <c r="C114" s="61"/>
      <c r="D114" s="61"/>
      <c r="E114" s="61"/>
      <c r="F114" s="60"/>
      <c r="G114" s="61"/>
      <c r="H114" s="61"/>
      <c r="I114" s="62"/>
    </row>
    <row r="115" spans="1:9" x14ac:dyDescent="0.25">
      <c r="A115" s="60"/>
      <c r="B115" s="61"/>
      <c r="C115" s="61"/>
      <c r="D115" s="61"/>
      <c r="E115" s="61"/>
      <c r="F115" s="60"/>
      <c r="G115" s="61"/>
      <c r="H115" s="61"/>
      <c r="I115" s="62"/>
    </row>
    <row r="116" spans="1:9" x14ac:dyDescent="0.25">
      <c r="A116" s="60"/>
      <c r="B116" s="61"/>
      <c r="C116" s="61"/>
      <c r="D116" s="61"/>
      <c r="E116" s="61"/>
      <c r="F116" s="60"/>
      <c r="G116" s="61"/>
      <c r="H116" s="61"/>
      <c r="I116" s="62"/>
    </row>
    <row r="117" spans="1:9" x14ac:dyDescent="0.25">
      <c r="A117" s="60"/>
      <c r="B117" s="61"/>
      <c r="C117" s="61"/>
      <c r="D117" s="61"/>
      <c r="E117" s="61"/>
      <c r="F117" s="60"/>
      <c r="G117" s="61"/>
      <c r="H117" s="61"/>
      <c r="I117" s="62"/>
    </row>
    <row r="118" spans="1:9" x14ac:dyDescent="0.25">
      <c r="A118" s="60"/>
      <c r="B118" s="61"/>
      <c r="C118" s="61"/>
      <c r="D118" s="61"/>
      <c r="E118" s="61"/>
      <c r="F118" s="60"/>
      <c r="G118" s="61"/>
      <c r="H118" s="61"/>
      <c r="I118" s="62"/>
    </row>
    <row r="119" spans="1:9" x14ac:dyDescent="0.25">
      <c r="A119" s="60"/>
      <c r="B119" s="61"/>
      <c r="C119" s="61"/>
      <c r="D119" s="61"/>
      <c r="E119" s="61"/>
      <c r="F119" s="60"/>
      <c r="G119" s="61"/>
      <c r="H119" s="61"/>
      <c r="I119" s="62"/>
    </row>
    <row r="120" spans="1:9" x14ac:dyDescent="0.25">
      <c r="A120" s="60"/>
      <c r="B120" s="61"/>
      <c r="C120" s="61"/>
      <c r="D120" s="61"/>
      <c r="E120" s="61"/>
      <c r="F120" s="60"/>
      <c r="G120" s="61"/>
      <c r="H120" s="61"/>
      <c r="I120" s="62"/>
    </row>
    <row r="121" spans="1:9" x14ac:dyDescent="0.25">
      <c r="A121" s="60"/>
      <c r="B121" s="61"/>
      <c r="C121" s="61"/>
      <c r="D121" s="61"/>
      <c r="E121" s="61"/>
      <c r="F121" s="60"/>
      <c r="G121" s="61"/>
      <c r="H121" s="61"/>
      <c r="I121" s="62"/>
    </row>
    <row r="122" spans="1:9" x14ac:dyDescent="0.25">
      <c r="A122" s="60"/>
      <c r="B122" s="61"/>
      <c r="C122" s="61"/>
      <c r="D122" s="61"/>
      <c r="E122" s="61"/>
      <c r="F122" s="60"/>
      <c r="G122" s="61"/>
      <c r="H122" s="61"/>
      <c r="I122" s="62"/>
    </row>
    <row r="123" spans="1:9" x14ac:dyDescent="0.25">
      <c r="A123" s="60"/>
      <c r="B123" s="61"/>
      <c r="C123" s="61"/>
      <c r="D123" s="61"/>
      <c r="E123" s="61"/>
      <c r="F123" s="60"/>
      <c r="G123" s="61"/>
      <c r="H123" s="61"/>
      <c r="I123" s="62"/>
    </row>
    <row r="124" spans="1:9" x14ac:dyDescent="0.25">
      <c r="A124" s="60"/>
      <c r="B124" s="61"/>
      <c r="C124" s="61"/>
      <c r="D124" s="61"/>
      <c r="E124" s="61"/>
      <c r="F124" s="60"/>
      <c r="G124" s="61"/>
      <c r="H124" s="61"/>
      <c r="I124" s="62"/>
    </row>
    <row r="125" spans="1:9" x14ac:dyDescent="0.25">
      <c r="A125" s="60"/>
      <c r="B125" s="61"/>
      <c r="C125" s="61"/>
      <c r="D125" s="61"/>
      <c r="E125" s="61"/>
      <c r="F125" s="60"/>
      <c r="G125" s="61"/>
      <c r="H125" s="61"/>
      <c r="I125" s="62"/>
    </row>
    <row r="126" spans="1:9" x14ac:dyDescent="0.25">
      <c r="A126" s="60"/>
      <c r="B126" s="61"/>
      <c r="C126" s="61"/>
      <c r="D126" s="61"/>
      <c r="E126" s="61"/>
      <c r="F126" s="60"/>
      <c r="G126" s="61"/>
      <c r="H126" s="61"/>
      <c r="I126" s="62"/>
    </row>
    <row r="127" spans="1:9" x14ac:dyDescent="0.25">
      <c r="A127" s="60"/>
      <c r="B127" s="61"/>
      <c r="C127" s="61"/>
      <c r="D127" s="61"/>
      <c r="E127" s="61"/>
      <c r="F127" s="60"/>
      <c r="G127" s="61"/>
      <c r="H127" s="61"/>
      <c r="I127" s="62"/>
    </row>
    <row r="128" spans="1:9" x14ac:dyDescent="0.25">
      <c r="A128" s="60"/>
      <c r="B128" s="61"/>
      <c r="C128" s="61"/>
      <c r="D128" s="61"/>
      <c r="E128" s="61"/>
      <c r="F128" s="60"/>
      <c r="G128" s="61"/>
      <c r="H128" s="61"/>
      <c r="I128" s="62"/>
    </row>
    <row r="129" spans="1:9" x14ac:dyDescent="0.25">
      <c r="A129" s="60"/>
      <c r="B129" s="61"/>
      <c r="C129" s="61"/>
      <c r="D129" s="61"/>
      <c r="E129" s="61"/>
      <c r="F129" s="60"/>
      <c r="G129" s="61"/>
      <c r="H129" s="61"/>
      <c r="I129" s="62"/>
    </row>
    <row r="130" spans="1:9" x14ac:dyDescent="0.25">
      <c r="A130" s="60"/>
      <c r="B130" s="61"/>
      <c r="C130" s="61"/>
      <c r="D130" s="61"/>
      <c r="E130" s="61"/>
      <c r="F130" s="60"/>
      <c r="G130" s="61"/>
      <c r="H130" s="61"/>
      <c r="I130" s="62"/>
    </row>
    <row r="131" spans="1:9" x14ac:dyDescent="0.25">
      <c r="A131" s="60"/>
      <c r="B131" s="61"/>
      <c r="C131" s="61"/>
      <c r="D131" s="61"/>
      <c r="E131" s="61"/>
      <c r="F131" s="60"/>
      <c r="G131" s="61"/>
      <c r="H131" s="61"/>
      <c r="I131" s="62"/>
    </row>
    <row r="132" spans="1:9" x14ac:dyDescent="0.25">
      <c r="A132" s="60"/>
      <c r="B132" s="61"/>
      <c r="C132" s="61"/>
      <c r="D132" s="61"/>
      <c r="E132" s="61"/>
      <c r="F132" s="60"/>
      <c r="G132" s="61"/>
      <c r="H132" s="61"/>
      <c r="I132" s="62"/>
    </row>
    <row r="133" spans="1:9" x14ac:dyDescent="0.25">
      <c r="A133" s="60"/>
      <c r="B133" s="61"/>
      <c r="C133" s="61"/>
      <c r="D133" s="61"/>
      <c r="E133" s="61"/>
      <c r="F133" s="60"/>
      <c r="G133" s="61"/>
      <c r="H133" s="61"/>
      <c r="I133" s="62"/>
    </row>
    <row r="134" spans="1:9" x14ac:dyDescent="0.25">
      <c r="A134" s="60"/>
      <c r="B134" s="61"/>
      <c r="C134" s="61"/>
      <c r="D134" s="61"/>
      <c r="E134" s="61"/>
      <c r="F134" s="60"/>
      <c r="G134" s="61"/>
      <c r="H134" s="61"/>
      <c r="I134" s="62"/>
    </row>
    <row r="135" spans="1:9" x14ac:dyDescent="0.25">
      <c r="A135" s="60"/>
      <c r="B135" s="61"/>
      <c r="C135" s="61"/>
      <c r="D135" s="61"/>
      <c r="E135" s="61"/>
      <c r="F135" s="60"/>
      <c r="G135" s="61"/>
      <c r="H135" s="61"/>
      <c r="I135" s="62"/>
    </row>
    <row r="136" spans="1:9" x14ac:dyDescent="0.25">
      <c r="A136" s="60"/>
      <c r="B136" s="61"/>
      <c r="C136" s="61"/>
      <c r="D136" s="61"/>
      <c r="E136" s="61"/>
      <c r="F136" s="60"/>
      <c r="G136" s="61"/>
      <c r="H136" s="61"/>
      <c r="I136" s="62"/>
    </row>
    <row r="137" spans="1:9" x14ac:dyDescent="0.25">
      <c r="A137" s="60"/>
      <c r="B137" s="61"/>
      <c r="C137" s="61"/>
      <c r="D137" s="61"/>
      <c r="E137" s="61"/>
      <c r="F137" s="60"/>
      <c r="G137" s="61"/>
      <c r="H137" s="61"/>
      <c r="I137" s="62"/>
    </row>
    <row r="138" spans="1:9" x14ac:dyDescent="0.25">
      <c r="A138" s="60"/>
      <c r="B138" s="61"/>
      <c r="C138" s="61"/>
      <c r="D138" s="61"/>
      <c r="E138" s="61"/>
      <c r="F138" s="60"/>
      <c r="G138" s="61"/>
      <c r="H138" s="61"/>
      <c r="I138" s="62"/>
    </row>
    <row r="139" spans="1:9" x14ac:dyDescent="0.25">
      <c r="A139" s="60"/>
      <c r="B139" s="61"/>
      <c r="C139" s="61"/>
      <c r="D139" s="61"/>
      <c r="E139" s="61"/>
      <c r="F139" s="60"/>
      <c r="G139" s="61"/>
      <c r="H139" s="61"/>
      <c r="I139" s="62"/>
    </row>
    <row r="140" spans="1:9" x14ac:dyDescent="0.25">
      <c r="A140" s="60"/>
      <c r="B140" s="61"/>
      <c r="C140" s="61"/>
      <c r="D140" s="61"/>
      <c r="E140" s="61"/>
      <c r="F140" s="60"/>
      <c r="G140" s="61"/>
      <c r="H140" s="61"/>
      <c r="I140" s="62"/>
    </row>
    <row r="141" spans="1:9" x14ac:dyDescent="0.25">
      <c r="A141" s="60"/>
      <c r="B141" s="61"/>
      <c r="C141" s="61"/>
      <c r="D141" s="61"/>
      <c r="E141" s="61"/>
      <c r="F141" s="60"/>
      <c r="G141" s="61"/>
      <c r="H141" s="61"/>
      <c r="I141" s="62"/>
    </row>
    <row r="142" spans="1:9" x14ac:dyDescent="0.25">
      <c r="A142" s="60"/>
      <c r="B142" s="61"/>
      <c r="C142" s="61"/>
      <c r="D142" s="61"/>
      <c r="E142" s="61"/>
      <c r="F142" s="60"/>
      <c r="G142" s="61"/>
      <c r="H142" s="61"/>
      <c r="I142" s="62"/>
    </row>
    <row r="143" spans="1:9" x14ac:dyDescent="0.25">
      <c r="A143" s="60"/>
      <c r="B143" s="61"/>
      <c r="C143" s="61"/>
      <c r="D143" s="61"/>
      <c r="E143" s="61"/>
      <c r="F143" s="60"/>
      <c r="G143" s="61"/>
      <c r="H143" s="61"/>
      <c r="I143" s="62"/>
    </row>
    <row r="144" spans="1:9" x14ac:dyDescent="0.25">
      <c r="A144" s="60"/>
      <c r="B144" s="61"/>
      <c r="C144" s="61"/>
      <c r="D144" s="61"/>
      <c r="E144" s="61"/>
      <c r="F144" s="60"/>
      <c r="G144" s="61"/>
      <c r="H144" s="61"/>
      <c r="I144" s="62"/>
    </row>
    <row r="145" spans="1:9" x14ac:dyDescent="0.25">
      <c r="A145" s="60"/>
      <c r="B145" s="61"/>
      <c r="C145" s="61"/>
      <c r="D145" s="61"/>
      <c r="E145" s="61"/>
      <c r="F145" s="60"/>
      <c r="G145" s="61"/>
      <c r="H145" s="61"/>
      <c r="I145" s="62"/>
    </row>
    <row r="146" spans="1:9" x14ac:dyDescent="0.25">
      <c r="A146" s="60"/>
      <c r="B146" s="61"/>
      <c r="C146" s="61"/>
      <c r="D146" s="61"/>
      <c r="E146" s="61"/>
      <c r="F146" s="60"/>
      <c r="G146" s="61"/>
      <c r="H146" s="61"/>
      <c r="I146" s="62"/>
    </row>
    <row r="147" spans="1:9" x14ac:dyDescent="0.25">
      <c r="A147" s="60"/>
      <c r="B147" s="61"/>
      <c r="C147" s="61"/>
      <c r="D147" s="61"/>
      <c r="E147" s="61"/>
      <c r="F147" s="60"/>
      <c r="G147" s="61"/>
      <c r="H147" s="61"/>
      <c r="I147" s="62"/>
    </row>
    <row r="148" spans="1:9" x14ac:dyDescent="0.25">
      <c r="A148" s="60"/>
      <c r="B148" s="61"/>
      <c r="C148" s="61"/>
      <c r="D148" s="61"/>
      <c r="E148" s="61"/>
      <c r="F148" s="60"/>
      <c r="G148" s="61"/>
      <c r="H148" s="61"/>
      <c r="I148" s="62"/>
    </row>
    <row r="149" spans="1:9" x14ac:dyDescent="0.25">
      <c r="A149" s="60"/>
      <c r="B149" s="61"/>
      <c r="C149" s="61"/>
      <c r="D149" s="61"/>
      <c r="E149" s="61"/>
      <c r="F149" s="60"/>
      <c r="G149" s="61"/>
      <c r="H149" s="61"/>
      <c r="I149" s="62"/>
    </row>
    <row r="150" spans="1:9" x14ac:dyDescent="0.25">
      <c r="A150" s="60"/>
      <c r="B150" s="61"/>
      <c r="C150" s="61"/>
      <c r="D150" s="61"/>
      <c r="E150" s="61"/>
      <c r="F150" s="60"/>
      <c r="G150" s="61"/>
      <c r="H150" s="61"/>
      <c r="I150" s="62"/>
    </row>
    <row r="151" spans="1:9" x14ac:dyDescent="0.25">
      <c r="A151" s="60"/>
      <c r="B151" s="61"/>
      <c r="C151" s="61"/>
      <c r="D151" s="61"/>
      <c r="E151" s="61"/>
      <c r="F151" s="60"/>
      <c r="G151" s="61"/>
      <c r="H151" s="61"/>
      <c r="I151" s="62"/>
    </row>
    <row r="152" spans="1:9" x14ac:dyDescent="0.25">
      <c r="A152" s="60"/>
      <c r="B152" s="61"/>
      <c r="C152" s="61"/>
      <c r="D152" s="61"/>
      <c r="E152" s="61"/>
      <c r="F152" s="60"/>
      <c r="G152" s="61"/>
      <c r="H152" s="61"/>
      <c r="I152" s="62"/>
    </row>
    <row r="153" spans="1:9" x14ac:dyDescent="0.25">
      <c r="A153" s="60"/>
      <c r="B153" s="61"/>
      <c r="C153" s="61"/>
      <c r="D153" s="61"/>
      <c r="E153" s="61"/>
      <c r="F153" s="60"/>
      <c r="G153" s="61"/>
      <c r="H153" s="61"/>
      <c r="I153" s="62"/>
    </row>
    <row r="154" spans="1:9" x14ac:dyDescent="0.25">
      <c r="A154" s="60"/>
      <c r="B154" s="61"/>
      <c r="C154" s="61"/>
      <c r="D154" s="61"/>
      <c r="E154" s="61"/>
      <c r="F154" s="60"/>
      <c r="G154" s="61"/>
      <c r="H154" s="61"/>
      <c r="I154" s="62"/>
    </row>
    <row r="155" spans="1:9" x14ac:dyDescent="0.25">
      <c r="A155" s="60"/>
      <c r="B155" s="61"/>
      <c r="C155" s="61"/>
      <c r="D155" s="61"/>
      <c r="E155" s="61"/>
      <c r="F155" s="60"/>
      <c r="G155" s="61"/>
      <c r="H155" s="61"/>
      <c r="I155" s="62"/>
    </row>
    <row r="156" spans="1:9" x14ac:dyDescent="0.25">
      <c r="A156" s="60"/>
      <c r="B156" s="61"/>
      <c r="C156" s="61"/>
      <c r="D156" s="61"/>
      <c r="E156" s="61"/>
      <c r="F156" s="60"/>
      <c r="G156" s="61"/>
      <c r="H156" s="61"/>
      <c r="I156" s="62"/>
    </row>
    <row r="157" spans="1:9" x14ac:dyDescent="0.25">
      <c r="A157" s="60"/>
      <c r="B157" s="61"/>
      <c r="C157" s="61"/>
      <c r="D157" s="61"/>
      <c r="E157" s="61"/>
      <c r="F157" s="60"/>
      <c r="G157" s="61"/>
      <c r="H157" s="61"/>
      <c r="I157" s="62"/>
    </row>
    <row r="158" spans="1:9" x14ac:dyDescent="0.25">
      <c r="A158" s="60"/>
      <c r="B158" s="61"/>
      <c r="C158" s="61"/>
      <c r="D158" s="61"/>
      <c r="E158" s="61"/>
      <c r="F158" s="60"/>
      <c r="G158" s="61"/>
      <c r="H158" s="61"/>
      <c r="I158" s="62"/>
    </row>
    <row r="159" spans="1:9" x14ac:dyDescent="0.25">
      <c r="A159" s="60"/>
      <c r="B159" s="61"/>
      <c r="C159" s="61"/>
      <c r="D159" s="61"/>
      <c r="E159" s="61"/>
      <c r="F159" s="60"/>
      <c r="G159" s="61"/>
      <c r="H159" s="61"/>
      <c r="I159" s="62"/>
    </row>
    <row r="160" spans="1:9" x14ac:dyDescent="0.25">
      <c r="A160" s="60"/>
      <c r="B160" s="61"/>
      <c r="C160" s="61"/>
      <c r="D160" s="61"/>
      <c r="E160" s="61"/>
      <c r="F160" s="60"/>
      <c r="G160" s="61"/>
      <c r="H160" s="61"/>
      <c r="I160" s="62"/>
    </row>
    <row r="161" spans="1:9" x14ac:dyDescent="0.25">
      <c r="A161" s="60"/>
      <c r="B161" s="61"/>
      <c r="C161" s="61"/>
      <c r="D161" s="61"/>
      <c r="E161" s="61"/>
      <c r="F161" s="60"/>
      <c r="G161" s="61"/>
      <c r="H161" s="61"/>
      <c r="I161" s="62"/>
    </row>
    <row r="162" spans="1:9" x14ac:dyDescent="0.25">
      <c r="A162" s="60"/>
      <c r="B162" s="61"/>
      <c r="C162" s="61"/>
      <c r="D162" s="61"/>
      <c r="E162" s="61"/>
      <c r="F162" s="60"/>
      <c r="G162" s="61"/>
      <c r="H162" s="61"/>
      <c r="I162" s="62"/>
    </row>
    <row r="163" spans="1:9" x14ac:dyDescent="0.25">
      <c r="A163" s="60"/>
      <c r="B163" s="61"/>
      <c r="C163" s="61"/>
      <c r="D163" s="61"/>
      <c r="E163" s="61"/>
      <c r="F163" s="60"/>
      <c r="G163" s="61"/>
      <c r="H163" s="61"/>
      <c r="I163" s="62"/>
    </row>
    <row r="164" spans="1:9" x14ac:dyDescent="0.25">
      <c r="A164" s="60"/>
      <c r="B164" s="61"/>
      <c r="C164" s="61"/>
      <c r="D164" s="61"/>
      <c r="E164" s="61"/>
      <c r="F164" s="60"/>
      <c r="G164" s="61"/>
      <c r="H164" s="61"/>
      <c r="I164" s="62"/>
    </row>
    <row r="165" spans="1:9" x14ac:dyDescent="0.25">
      <c r="A165" s="60"/>
      <c r="B165" s="61"/>
      <c r="C165" s="61"/>
      <c r="D165" s="61"/>
      <c r="E165" s="61"/>
      <c r="F165" s="60"/>
      <c r="G165" s="61"/>
      <c r="H165" s="61"/>
      <c r="I165" s="62"/>
    </row>
    <row r="166" spans="1:9" x14ac:dyDescent="0.25">
      <c r="A166" s="60"/>
      <c r="B166" s="61"/>
      <c r="C166" s="61"/>
      <c r="D166" s="61"/>
      <c r="E166" s="61"/>
      <c r="F166" s="60"/>
      <c r="G166" s="61"/>
      <c r="H166" s="61"/>
      <c r="I166" s="62"/>
    </row>
    <row r="167" spans="1:9" x14ac:dyDescent="0.25">
      <c r="A167" s="60"/>
      <c r="B167" s="61"/>
      <c r="C167" s="61"/>
      <c r="D167" s="61"/>
      <c r="E167" s="61"/>
      <c r="F167" s="60"/>
      <c r="G167" s="61"/>
      <c r="H167" s="61"/>
      <c r="I167" s="62"/>
    </row>
    <row r="168" spans="1:9" x14ac:dyDescent="0.25">
      <c r="A168" s="60"/>
      <c r="B168" s="61"/>
      <c r="C168" s="61"/>
      <c r="D168" s="61"/>
      <c r="E168" s="61"/>
      <c r="F168" s="60"/>
      <c r="G168" s="61"/>
      <c r="H168" s="61"/>
      <c r="I168" s="62"/>
    </row>
    <row r="169" spans="1:9" x14ac:dyDescent="0.25">
      <c r="A169" s="60"/>
      <c r="B169" s="61"/>
      <c r="C169" s="61"/>
      <c r="D169" s="61"/>
      <c r="E169" s="61"/>
      <c r="F169" s="60"/>
      <c r="G169" s="61"/>
      <c r="H169" s="61"/>
      <c r="I169" s="62"/>
    </row>
    <row r="170" spans="1:9" x14ac:dyDescent="0.25">
      <c r="A170" s="60"/>
      <c r="B170" s="61"/>
      <c r="C170" s="61"/>
      <c r="D170" s="61"/>
      <c r="E170" s="61"/>
      <c r="F170" s="60"/>
      <c r="G170" s="61"/>
      <c r="H170" s="61"/>
      <c r="I170" s="62"/>
    </row>
    <row r="171" spans="1:9" x14ac:dyDescent="0.25">
      <c r="A171" s="60"/>
      <c r="B171" s="61"/>
      <c r="C171" s="61"/>
      <c r="D171" s="61"/>
      <c r="E171" s="61"/>
      <c r="F171" s="60"/>
      <c r="G171" s="61"/>
      <c r="H171" s="61"/>
      <c r="I171" s="62"/>
    </row>
    <row r="172" spans="1:9" x14ac:dyDescent="0.25">
      <c r="A172" s="60"/>
      <c r="B172" s="61"/>
      <c r="C172" s="61"/>
      <c r="D172" s="61"/>
      <c r="E172" s="61"/>
      <c r="F172" s="60"/>
      <c r="G172" s="61"/>
      <c r="H172" s="61"/>
      <c r="I172" s="62"/>
    </row>
    <row r="173" spans="1:9" x14ac:dyDescent="0.25">
      <c r="A173" s="60"/>
      <c r="B173" s="61"/>
      <c r="C173" s="61"/>
      <c r="D173" s="61"/>
      <c r="E173" s="61"/>
      <c r="F173" s="60"/>
      <c r="G173" s="61"/>
      <c r="H173" s="61"/>
      <c r="I173" s="62"/>
    </row>
    <row r="174" spans="1:9" x14ac:dyDescent="0.25">
      <c r="A174" s="60"/>
      <c r="B174" s="61"/>
      <c r="C174" s="61"/>
      <c r="D174" s="61"/>
      <c r="E174" s="61"/>
      <c r="F174" s="60"/>
      <c r="G174" s="61"/>
      <c r="H174" s="61"/>
      <c r="I174" s="62"/>
    </row>
    <row r="175" spans="1:9" x14ac:dyDescent="0.25">
      <c r="A175" s="60"/>
      <c r="B175" s="61"/>
      <c r="C175" s="61"/>
      <c r="D175" s="61"/>
      <c r="E175" s="61"/>
      <c r="F175" s="60"/>
      <c r="G175" s="61"/>
      <c r="H175" s="61"/>
      <c r="I175" s="62"/>
    </row>
    <row r="176" spans="1:9" x14ac:dyDescent="0.25">
      <c r="A176" s="60"/>
      <c r="B176" s="61"/>
      <c r="C176" s="61"/>
      <c r="D176" s="61"/>
      <c r="E176" s="61"/>
      <c r="F176" s="60"/>
      <c r="G176" s="61"/>
      <c r="H176" s="61"/>
      <c r="I176" s="62"/>
    </row>
    <row r="177" spans="1:9" x14ac:dyDescent="0.25">
      <c r="A177" s="60"/>
      <c r="B177" s="61"/>
      <c r="C177" s="61"/>
      <c r="D177" s="61"/>
      <c r="E177" s="61"/>
      <c r="F177" s="60"/>
      <c r="G177" s="61"/>
      <c r="H177" s="61"/>
      <c r="I177" s="62"/>
    </row>
    <row r="178" spans="1:9" x14ac:dyDescent="0.25">
      <c r="A178" s="60"/>
      <c r="B178" s="61"/>
      <c r="C178" s="61"/>
      <c r="D178" s="61"/>
      <c r="E178" s="61"/>
      <c r="F178" s="60"/>
      <c r="G178" s="61"/>
      <c r="H178" s="61"/>
      <c r="I178" s="62"/>
    </row>
    <row r="179" spans="1:9" x14ac:dyDescent="0.25">
      <c r="A179" s="60"/>
      <c r="B179" s="61"/>
      <c r="C179" s="61"/>
      <c r="D179" s="61"/>
      <c r="E179" s="61"/>
      <c r="F179" s="60"/>
      <c r="G179" s="61"/>
      <c r="H179" s="61"/>
      <c r="I179" s="62"/>
    </row>
    <row r="180" spans="1:9" x14ac:dyDescent="0.25">
      <c r="A180" s="60"/>
      <c r="B180" s="61"/>
      <c r="C180" s="61"/>
      <c r="D180" s="61"/>
      <c r="E180" s="61"/>
      <c r="F180" s="60"/>
      <c r="G180" s="61"/>
      <c r="H180" s="61"/>
      <c r="I180" s="62"/>
    </row>
    <row r="181" spans="1:9" x14ac:dyDescent="0.25">
      <c r="A181" s="60"/>
      <c r="B181" s="61"/>
      <c r="C181" s="61"/>
      <c r="D181" s="61"/>
      <c r="E181" s="61"/>
      <c r="F181" s="60"/>
      <c r="G181" s="61"/>
      <c r="H181" s="61"/>
      <c r="I181" s="62"/>
    </row>
    <row r="182" spans="1:9" x14ac:dyDescent="0.25">
      <c r="A182" s="60"/>
      <c r="B182" s="61"/>
      <c r="C182" s="61"/>
      <c r="D182" s="61"/>
      <c r="E182" s="61"/>
      <c r="F182" s="60"/>
      <c r="G182" s="61"/>
      <c r="H182" s="61"/>
      <c r="I182" s="62"/>
    </row>
    <row r="183" spans="1:9" x14ac:dyDescent="0.25">
      <c r="A183" s="60"/>
      <c r="B183" s="61"/>
      <c r="C183" s="61"/>
      <c r="D183" s="61"/>
      <c r="E183" s="61"/>
      <c r="F183" s="60"/>
      <c r="G183" s="61"/>
      <c r="H183" s="61"/>
      <c r="I183" s="62"/>
    </row>
    <row r="184" spans="1:9" x14ac:dyDescent="0.25">
      <c r="A184" s="60"/>
      <c r="B184" s="61"/>
      <c r="C184" s="61"/>
      <c r="D184" s="61"/>
      <c r="E184" s="61"/>
      <c r="F184" s="60"/>
      <c r="G184" s="61"/>
      <c r="H184" s="61"/>
      <c r="I184" s="62"/>
    </row>
    <row r="185" spans="1:9" x14ac:dyDescent="0.25">
      <c r="A185" s="60"/>
      <c r="B185" s="61"/>
      <c r="C185" s="61"/>
      <c r="D185" s="61"/>
      <c r="E185" s="61"/>
      <c r="F185" s="60"/>
      <c r="G185" s="61"/>
      <c r="H185" s="61"/>
      <c r="I185" s="62"/>
    </row>
    <row r="186" spans="1:9" x14ac:dyDescent="0.25">
      <c r="A186" s="60"/>
      <c r="B186" s="61"/>
      <c r="C186" s="61"/>
      <c r="D186" s="61"/>
      <c r="E186" s="61"/>
      <c r="F186" s="60"/>
      <c r="G186" s="61"/>
      <c r="H186" s="61"/>
      <c r="I186" s="62"/>
    </row>
    <row r="187" spans="1:9" x14ac:dyDescent="0.25">
      <c r="A187" s="60"/>
      <c r="B187" s="61"/>
      <c r="C187" s="61"/>
      <c r="D187" s="61"/>
      <c r="E187" s="61"/>
      <c r="F187" s="60"/>
      <c r="G187" s="61"/>
      <c r="H187" s="61"/>
      <c r="I187" s="62"/>
    </row>
    <row r="188" spans="1:9" x14ac:dyDescent="0.25">
      <c r="A188" s="60"/>
      <c r="B188" s="61"/>
      <c r="C188" s="61"/>
      <c r="D188" s="61"/>
      <c r="E188" s="61"/>
      <c r="F188" s="60"/>
      <c r="G188" s="61"/>
      <c r="H188" s="61"/>
      <c r="I188" s="62"/>
    </row>
    <row r="189" spans="1:9" x14ac:dyDescent="0.25">
      <c r="A189" s="60"/>
      <c r="B189" s="61"/>
      <c r="C189" s="61"/>
      <c r="D189" s="61"/>
      <c r="E189" s="61"/>
      <c r="F189" s="60"/>
      <c r="G189" s="61"/>
      <c r="H189" s="61"/>
      <c r="I189" s="62"/>
    </row>
    <row r="190" spans="1:9" x14ac:dyDescent="0.25">
      <c r="A190" s="60"/>
      <c r="B190" s="61"/>
      <c r="C190" s="61"/>
      <c r="D190" s="61"/>
      <c r="E190" s="61"/>
      <c r="F190" s="60"/>
      <c r="G190" s="61"/>
      <c r="H190" s="61"/>
      <c r="I190" s="62"/>
    </row>
    <row r="191" spans="1:9" x14ac:dyDescent="0.25">
      <c r="A191" s="60"/>
      <c r="B191" s="61"/>
      <c r="C191" s="61"/>
      <c r="D191" s="61"/>
      <c r="E191" s="61"/>
      <c r="F191" s="60"/>
      <c r="G191" s="61"/>
      <c r="H191" s="61"/>
      <c r="I191" s="62"/>
    </row>
    <row r="192" spans="1:9" x14ac:dyDescent="0.25">
      <c r="A192" s="60"/>
      <c r="B192" s="61"/>
      <c r="C192" s="61"/>
      <c r="D192" s="61"/>
      <c r="E192" s="61"/>
      <c r="F192" s="60"/>
      <c r="G192" s="61"/>
      <c r="H192" s="61"/>
      <c r="I192" s="62"/>
    </row>
    <row r="193" spans="1:9" x14ac:dyDescent="0.25">
      <c r="A193" s="60"/>
      <c r="B193" s="61"/>
      <c r="C193" s="61"/>
      <c r="D193" s="61"/>
      <c r="E193" s="61"/>
      <c r="F193" s="60"/>
      <c r="G193" s="61"/>
      <c r="H193" s="61"/>
      <c r="I193" s="62"/>
    </row>
    <row r="194" spans="1:9" x14ac:dyDescent="0.25">
      <c r="A194" s="60"/>
      <c r="B194" s="61"/>
      <c r="C194" s="61"/>
      <c r="D194" s="61"/>
      <c r="E194" s="61"/>
      <c r="F194" s="60"/>
      <c r="G194" s="61"/>
      <c r="H194" s="61"/>
      <c r="I194" s="62"/>
    </row>
    <row r="195" spans="1:9" x14ac:dyDescent="0.25">
      <c r="A195" s="60"/>
      <c r="B195" s="61"/>
      <c r="C195" s="61"/>
      <c r="D195" s="61"/>
      <c r="E195" s="61"/>
      <c r="F195" s="60"/>
      <c r="G195" s="61"/>
      <c r="H195" s="61"/>
      <c r="I195" s="62"/>
    </row>
    <row r="196" spans="1:9" x14ac:dyDescent="0.25">
      <c r="A196" s="60"/>
      <c r="B196" s="61"/>
      <c r="C196" s="61"/>
      <c r="D196" s="61"/>
      <c r="E196" s="61"/>
      <c r="F196" s="60"/>
      <c r="G196" s="61"/>
      <c r="H196" s="61"/>
      <c r="I196" s="62"/>
    </row>
    <row r="197" spans="1:9" x14ac:dyDescent="0.25">
      <c r="A197" s="60"/>
      <c r="B197" s="61"/>
      <c r="C197" s="61"/>
      <c r="D197" s="61"/>
      <c r="E197" s="61"/>
      <c r="F197" s="60"/>
      <c r="G197" s="61"/>
      <c r="H197" s="61"/>
      <c r="I197" s="62"/>
    </row>
    <row r="198" spans="1:9" x14ac:dyDescent="0.25">
      <c r="A198" s="60"/>
      <c r="B198" s="61"/>
      <c r="C198" s="61"/>
      <c r="D198" s="61"/>
      <c r="E198" s="61"/>
      <c r="F198" s="60"/>
      <c r="G198" s="61"/>
      <c r="H198" s="61"/>
      <c r="I198" s="62"/>
    </row>
    <row r="199" spans="1:9" x14ac:dyDescent="0.25">
      <c r="A199" s="60"/>
      <c r="B199" s="61"/>
      <c r="C199" s="61"/>
      <c r="D199" s="61"/>
      <c r="E199" s="61"/>
      <c r="F199" s="60"/>
      <c r="G199" s="61"/>
      <c r="H199" s="61"/>
      <c r="I199" s="62"/>
    </row>
    <row r="200" spans="1:9" x14ac:dyDescent="0.25">
      <c r="A200" s="60"/>
      <c r="B200" s="61"/>
      <c r="C200" s="61"/>
      <c r="D200" s="61"/>
      <c r="E200" s="61"/>
      <c r="F200" s="60"/>
      <c r="G200" s="61"/>
      <c r="H200" s="61"/>
      <c r="I200" s="62"/>
    </row>
    <row r="201" spans="1:9" x14ac:dyDescent="0.25">
      <c r="A201" s="60"/>
      <c r="B201" s="61"/>
      <c r="C201" s="61"/>
      <c r="D201" s="61"/>
      <c r="E201" s="61"/>
      <c r="F201" s="60"/>
      <c r="G201" s="61"/>
      <c r="H201" s="61"/>
      <c r="I201" s="62"/>
    </row>
    <row r="202" spans="1:9" x14ac:dyDescent="0.25">
      <c r="A202" s="60"/>
      <c r="B202" s="61"/>
      <c r="C202" s="61"/>
      <c r="D202" s="61"/>
      <c r="E202" s="61"/>
      <c r="F202" s="60"/>
      <c r="G202" s="61"/>
      <c r="H202" s="61"/>
      <c r="I202" s="62"/>
    </row>
    <row r="203" spans="1:9" x14ac:dyDescent="0.25">
      <c r="A203" s="60"/>
      <c r="B203" s="61"/>
      <c r="C203" s="61"/>
      <c r="D203" s="61"/>
      <c r="E203" s="61"/>
      <c r="F203" s="60"/>
      <c r="G203" s="61"/>
      <c r="H203" s="61"/>
      <c r="I203" s="62"/>
    </row>
    <row r="204" spans="1:9" x14ac:dyDescent="0.25">
      <c r="A204" s="60"/>
      <c r="B204" s="61"/>
      <c r="C204" s="61"/>
      <c r="D204" s="61"/>
      <c r="E204" s="61"/>
      <c r="F204" s="60"/>
      <c r="G204" s="61"/>
      <c r="H204" s="61"/>
      <c r="I204" s="62"/>
    </row>
    <row r="205" spans="1:9" x14ac:dyDescent="0.25">
      <c r="A205" s="60"/>
      <c r="B205" s="61"/>
      <c r="C205" s="61"/>
      <c r="D205" s="61"/>
      <c r="E205" s="61"/>
      <c r="F205" s="60"/>
      <c r="G205" s="61"/>
      <c r="H205" s="61"/>
      <c r="I205" s="62"/>
    </row>
    <row r="206" spans="1:9" x14ac:dyDescent="0.25">
      <c r="A206" s="60"/>
      <c r="B206" s="61"/>
      <c r="C206" s="61"/>
      <c r="D206" s="61"/>
      <c r="E206" s="61"/>
      <c r="F206" s="60"/>
      <c r="G206" s="61"/>
      <c r="H206" s="61"/>
      <c r="I206" s="62"/>
    </row>
    <row r="207" spans="1:9" x14ac:dyDescent="0.25">
      <c r="A207" s="60"/>
      <c r="B207" s="61"/>
      <c r="C207" s="61"/>
      <c r="D207" s="61"/>
      <c r="E207" s="61"/>
      <c r="F207" s="60"/>
      <c r="G207" s="61"/>
      <c r="H207" s="61"/>
      <c r="I207" s="62"/>
    </row>
    <row r="208" spans="1:9" x14ac:dyDescent="0.25">
      <c r="A208" s="60"/>
      <c r="B208" s="61"/>
      <c r="C208" s="61"/>
      <c r="D208" s="61"/>
      <c r="E208" s="61"/>
      <c r="F208" s="60"/>
      <c r="G208" s="61"/>
      <c r="H208" s="61"/>
      <c r="I208" s="62"/>
    </row>
    <row r="209" spans="1:9" x14ac:dyDescent="0.25">
      <c r="A209" s="60"/>
      <c r="B209" s="61"/>
      <c r="C209" s="61"/>
      <c r="D209" s="61"/>
      <c r="E209" s="61"/>
      <c r="F209" s="60"/>
      <c r="G209" s="61"/>
      <c r="H209" s="61"/>
      <c r="I209" s="62"/>
    </row>
    <row r="210" spans="1:9" x14ac:dyDescent="0.25">
      <c r="A210" s="60"/>
      <c r="B210" s="61"/>
      <c r="C210" s="61"/>
      <c r="D210" s="61"/>
      <c r="E210" s="61"/>
      <c r="F210" s="60"/>
      <c r="G210" s="61"/>
      <c r="H210" s="61"/>
      <c r="I210" s="62"/>
    </row>
    <row r="211" spans="1:9" x14ac:dyDescent="0.25">
      <c r="A211" s="60"/>
      <c r="B211" s="61"/>
      <c r="C211" s="61"/>
      <c r="D211" s="61"/>
      <c r="E211" s="61"/>
      <c r="F211" s="60"/>
      <c r="G211" s="61"/>
      <c r="H211" s="61"/>
      <c r="I211" s="62"/>
    </row>
    <row r="212" spans="1:9" x14ac:dyDescent="0.25">
      <c r="A212" s="60"/>
      <c r="B212" s="61"/>
      <c r="C212" s="61"/>
      <c r="D212" s="61"/>
      <c r="E212" s="61"/>
      <c r="F212" s="60"/>
      <c r="G212" s="61"/>
      <c r="H212" s="61"/>
      <c r="I212" s="62"/>
    </row>
    <row r="213" spans="1:9" x14ac:dyDescent="0.25">
      <c r="A213" s="60"/>
      <c r="B213" s="61"/>
      <c r="C213" s="61"/>
      <c r="D213" s="61"/>
      <c r="E213" s="61"/>
      <c r="F213" s="60"/>
      <c r="G213" s="61"/>
      <c r="H213" s="61"/>
      <c r="I213" s="62"/>
    </row>
    <row r="214" spans="1:9" x14ac:dyDescent="0.25">
      <c r="A214" s="60"/>
      <c r="B214" s="61"/>
      <c r="C214" s="61"/>
      <c r="D214" s="61"/>
      <c r="E214" s="61"/>
      <c r="F214" s="60"/>
      <c r="G214" s="61"/>
      <c r="H214" s="61"/>
      <c r="I214" s="62"/>
    </row>
    <row r="215" spans="1:9" x14ac:dyDescent="0.25">
      <c r="A215" s="60"/>
      <c r="B215" s="61"/>
      <c r="C215" s="61"/>
      <c r="D215" s="61"/>
      <c r="E215" s="61"/>
      <c r="F215" s="60"/>
      <c r="G215" s="61"/>
      <c r="H215" s="61"/>
      <c r="I215" s="62"/>
    </row>
    <row r="216" spans="1:9" x14ac:dyDescent="0.25">
      <c r="A216" s="60"/>
      <c r="B216" s="61"/>
      <c r="C216" s="61"/>
      <c r="D216" s="61"/>
      <c r="E216" s="61"/>
      <c r="F216" s="60"/>
      <c r="G216" s="61"/>
      <c r="H216" s="61"/>
      <c r="I216" s="62"/>
    </row>
    <row r="217" spans="1:9" x14ac:dyDescent="0.25">
      <c r="A217" s="60"/>
      <c r="B217" s="61"/>
      <c r="C217" s="61"/>
      <c r="D217" s="61"/>
      <c r="E217" s="61"/>
      <c r="F217" s="60"/>
      <c r="G217" s="61"/>
      <c r="H217" s="61"/>
      <c r="I217" s="62"/>
    </row>
    <row r="218" spans="1:9" x14ac:dyDescent="0.25">
      <c r="A218" s="60"/>
      <c r="B218" s="61"/>
      <c r="C218" s="61"/>
      <c r="D218" s="61"/>
      <c r="E218" s="61"/>
      <c r="F218" s="60"/>
      <c r="G218" s="61"/>
      <c r="H218" s="61"/>
      <c r="I218" s="62"/>
    </row>
    <row r="219" spans="1:9" x14ac:dyDescent="0.25">
      <c r="A219" s="60"/>
      <c r="B219" s="61"/>
      <c r="C219" s="61"/>
      <c r="D219" s="61"/>
      <c r="E219" s="61"/>
      <c r="F219" s="60"/>
      <c r="G219" s="61"/>
      <c r="H219" s="61"/>
      <c r="I219" s="62"/>
    </row>
    <row r="220" spans="1:9" x14ac:dyDescent="0.25">
      <c r="A220" s="60"/>
      <c r="B220" s="61"/>
      <c r="C220" s="61"/>
      <c r="D220" s="61"/>
      <c r="E220" s="61"/>
      <c r="F220" s="60"/>
      <c r="G220" s="61"/>
      <c r="H220" s="61"/>
      <c r="I220" s="62"/>
    </row>
    <row r="221" spans="1:9" x14ac:dyDescent="0.25">
      <c r="A221" s="60"/>
      <c r="B221" s="61"/>
      <c r="C221" s="61"/>
      <c r="D221" s="61"/>
      <c r="E221" s="61"/>
      <c r="F221" s="60"/>
      <c r="G221" s="61"/>
      <c r="H221" s="61"/>
      <c r="I221" s="62"/>
    </row>
    <row r="222" spans="1:9" x14ac:dyDescent="0.25">
      <c r="A222" s="60"/>
      <c r="B222" s="61"/>
      <c r="C222" s="61"/>
      <c r="D222" s="61"/>
      <c r="E222" s="61"/>
      <c r="F222" s="60"/>
      <c r="G222" s="61"/>
      <c r="H222" s="61"/>
      <c r="I222" s="62"/>
    </row>
    <row r="223" spans="1:9" x14ac:dyDescent="0.25">
      <c r="A223" s="60"/>
      <c r="B223" s="61"/>
      <c r="C223" s="61"/>
      <c r="D223" s="61"/>
      <c r="E223" s="61"/>
      <c r="F223" s="60"/>
      <c r="G223" s="61"/>
      <c r="H223" s="61"/>
      <c r="I223" s="62"/>
    </row>
    <row r="224" spans="1:9" x14ac:dyDescent="0.25">
      <c r="A224" s="60"/>
      <c r="B224" s="61"/>
      <c r="C224" s="61"/>
      <c r="D224" s="61"/>
      <c r="E224" s="61"/>
      <c r="F224" s="60"/>
      <c r="G224" s="61"/>
      <c r="H224" s="61"/>
      <c r="I224" s="62"/>
    </row>
    <row r="225" spans="1:9" x14ac:dyDescent="0.25">
      <c r="A225" s="60"/>
      <c r="B225" s="61"/>
      <c r="C225" s="61"/>
      <c r="D225" s="61"/>
      <c r="E225" s="61"/>
      <c r="F225" s="60"/>
      <c r="G225" s="61"/>
      <c r="H225" s="61"/>
      <c r="I225" s="62"/>
    </row>
    <row r="226" spans="1:9" x14ac:dyDescent="0.25">
      <c r="A226" s="60"/>
      <c r="B226" s="61"/>
      <c r="C226" s="61"/>
      <c r="D226" s="61"/>
      <c r="E226" s="61"/>
      <c r="F226" s="60"/>
      <c r="G226" s="61"/>
      <c r="H226" s="61"/>
      <c r="I226" s="62"/>
    </row>
    <row r="227" spans="1:9" x14ac:dyDescent="0.25">
      <c r="A227" s="60"/>
      <c r="B227" s="61"/>
      <c r="C227" s="61"/>
      <c r="D227" s="61"/>
      <c r="E227" s="61"/>
      <c r="F227" s="60"/>
      <c r="G227" s="61"/>
      <c r="H227" s="61"/>
      <c r="I227" s="62"/>
    </row>
    <row r="228" spans="1:9" x14ac:dyDescent="0.25">
      <c r="A228" s="60"/>
      <c r="B228" s="61"/>
      <c r="C228" s="61"/>
      <c r="D228" s="61"/>
      <c r="E228" s="61"/>
      <c r="F228" s="60"/>
      <c r="G228" s="61"/>
      <c r="H228" s="61"/>
      <c r="I228" s="62"/>
    </row>
    <row r="229" spans="1:9" x14ac:dyDescent="0.25">
      <c r="A229" s="60"/>
      <c r="B229" s="61"/>
      <c r="C229" s="61"/>
      <c r="D229" s="61"/>
      <c r="E229" s="61"/>
      <c r="F229" s="60"/>
      <c r="G229" s="61"/>
      <c r="H229" s="61"/>
      <c r="I229" s="62"/>
    </row>
    <row r="230" spans="1:9" x14ac:dyDescent="0.25">
      <c r="A230" s="60"/>
      <c r="B230" s="61"/>
      <c r="C230" s="61"/>
      <c r="D230" s="61"/>
      <c r="E230" s="61"/>
      <c r="F230" s="60"/>
      <c r="G230" s="61"/>
      <c r="H230" s="61"/>
      <c r="I230" s="62"/>
    </row>
    <row r="231" spans="1:9" x14ac:dyDescent="0.25">
      <c r="A231" s="60"/>
      <c r="B231" s="61"/>
      <c r="C231" s="61"/>
      <c r="D231" s="61"/>
      <c r="E231" s="61"/>
      <c r="F231" s="60"/>
      <c r="G231" s="61"/>
      <c r="H231" s="61"/>
      <c r="I231" s="62"/>
    </row>
    <row r="232" spans="1:9" x14ac:dyDescent="0.25">
      <c r="A232" s="60"/>
      <c r="B232" s="61"/>
      <c r="C232" s="61"/>
      <c r="D232" s="61"/>
      <c r="E232" s="61"/>
      <c r="F232" s="60"/>
      <c r="G232" s="61"/>
      <c r="H232" s="61"/>
      <c r="I232" s="62"/>
    </row>
    <row r="233" spans="1:9" x14ac:dyDescent="0.25">
      <c r="A233" s="60"/>
      <c r="B233" s="61"/>
      <c r="C233" s="61"/>
      <c r="D233" s="61"/>
      <c r="E233" s="61"/>
      <c r="F233" s="60"/>
      <c r="G233" s="61"/>
      <c r="H233" s="61"/>
      <c r="I233" s="62"/>
    </row>
    <row r="234" spans="1:9" x14ac:dyDescent="0.25">
      <c r="A234" s="60"/>
      <c r="B234" s="61"/>
      <c r="C234" s="61"/>
      <c r="D234" s="61"/>
      <c r="E234" s="61"/>
      <c r="F234" s="60"/>
      <c r="G234" s="61"/>
      <c r="H234" s="61"/>
      <c r="I234" s="62"/>
    </row>
    <row r="235" spans="1:9" x14ac:dyDescent="0.25">
      <c r="A235" s="60"/>
      <c r="B235" s="61"/>
      <c r="C235" s="61"/>
      <c r="D235" s="61"/>
      <c r="E235" s="61"/>
      <c r="F235" s="60"/>
      <c r="G235" s="61"/>
      <c r="H235" s="61"/>
      <c r="I235" s="62"/>
    </row>
    <row r="236" spans="1:9" x14ac:dyDescent="0.25">
      <c r="A236" s="60"/>
      <c r="B236" s="61"/>
      <c r="C236" s="61"/>
      <c r="D236" s="61"/>
      <c r="E236" s="61"/>
      <c r="F236" s="60"/>
      <c r="G236" s="61"/>
      <c r="H236" s="61"/>
      <c r="I236" s="62"/>
    </row>
    <row r="237" spans="1:9" x14ac:dyDescent="0.25">
      <c r="A237" s="60"/>
      <c r="B237" s="61"/>
      <c r="C237" s="61"/>
      <c r="D237" s="61"/>
      <c r="E237" s="61"/>
      <c r="F237" s="60"/>
      <c r="G237" s="61"/>
      <c r="H237" s="61"/>
      <c r="I237" s="62"/>
    </row>
    <row r="238" spans="1:9" x14ac:dyDescent="0.25">
      <c r="A238" s="60"/>
      <c r="B238" s="61"/>
      <c r="C238" s="61"/>
      <c r="D238" s="61"/>
      <c r="E238" s="61"/>
      <c r="F238" s="60"/>
      <c r="G238" s="61"/>
      <c r="H238" s="61"/>
      <c r="I238" s="62"/>
    </row>
    <row r="239" spans="1:9" x14ac:dyDescent="0.25">
      <c r="A239" s="60"/>
      <c r="B239" s="61"/>
      <c r="C239" s="61"/>
      <c r="D239" s="61"/>
      <c r="E239" s="61"/>
      <c r="F239" s="60"/>
      <c r="G239" s="61"/>
      <c r="H239" s="61"/>
      <c r="I239" s="62"/>
    </row>
    <row r="240" spans="1:9" x14ac:dyDescent="0.25">
      <c r="A240" s="60"/>
      <c r="B240" s="61"/>
      <c r="C240" s="61"/>
      <c r="D240" s="61"/>
      <c r="E240" s="61"/>
      <c r="F240" s="60"/>
      <c r="G240" s="61"/>
      <c r="H240" s="61"/>
      <c r="I240" s="62"/>
    </row>
    <row r="241" spans="1:9" x14ac:dyDescent="0.25">
      <c r="A241" s="60"/>
      <c r="B241" s="61"/>
      <c r="C241" s="61"/>
      <c r="D241" s="61"/>
      <c r="E241" s="61"/>
      <c r="F241" s="60"/>
      <c r="G241" s="61"/>
      <c r="H241" s="61"/>
      <c r="I241" s="62"/>
    </row>
    <row r="242" spans="1:9" x14ac:dyDescent="0.25">
      <c r="A242" s="60"/>
      <c r="B242" s="61"/>
      <c r="C242" s="61"/>
      <c r="D242" s="61"/>
      <c r="E242" s="61"/>
      <c r="F242" s="60"/>
      <c r="G242" s="61"/>
      <c r="H242" s="61"/>
      <c r="I242" s="62"/>
    </row>
    <row r="243" spans="1:9" x14ac:dyDescent="0.25">
      <c r="A243" s="60"/>
      <c r="B243" s="61"/>
      <c r="C243" s="61"/>
      <c r="D243" s="61"/>
      <c r="E243" s="61"/>
      <c r="F243" s="60"/>
      <c r="G243" s="61"/>
      <c r="H243" s="61"/>
      <c r="I243" s="62"/>
    </row>
    <row r="244" spans="1:9" x14ac:dyDescent="0.25">
      <c r="A244" s="60"/>
      <c r="B244" s="61"/>
      <c r="C244" s="61"/>
      <c r="D244" s="61"/>
      <c r="E244" s="61"/>
      <c r="F244" s="60"/>
      <c r="G244" s="61"/>
      <c r="H244" s="61"/>
      <c r="I244" s="62"/>
    </row>
    <row r="245" spans="1:9" x14ac:dyDescent="0.25">
      <c r="A245" s="60"/>
      <c r="B245" s="61"/>
      <c r="C245" s="61"/>
      <c r="D245" s="61"/>
      <c r="E245" s="61"/>
      <c r="F245" s="60"/>
      <c r="G245" s="61"/>
      <c r="H245" s="61"/>
      <c r="I245" s="62"/>
    </row>
    <row r="246" spans="1:9" x14ac:dyDescent="0.25">
      <c r="A246" s="60"/>
      <c r="B246" s="61"/>
      <c r="C246" s="61"/>
      <c r="D246" s="61"/>
      <c r="E246" s="61"/>
      <c r="F246" s="60"/>
      <c r="G246" s="61"/>
      <c r="H246" s="61"/>
      <c r="I246" s="62"/>
    </row>
    <row r="247" spans="1:9" x14ac:dyDescent="0.25">
      <c r="A247" s="60"/>
      <c r="B247" s="61"/>
      <c r="C247" s="61"/>
      <c r="D247" s="61"/>
      <c r="E247" s="61"/>
      <c r="F247" s="60"/>
      <c r="G247" s="61"/>
      <c r="H247" s="61"/>
      <c r="I247" s="62"/>
    </row>
    <row r="248" spans="1:9" x14ac:dyDescent="0.25">
      <c r="A248" s="60"/>
      <c r="B248" s="61"/>
      <c r="C248" s="61"/>
      <c r="D248" s="61"/>
      <c r="E248" s="61"/>
      <c r="F248" s="60"/>
      <c r="G248" s="61"/>
      <c r="H248" s="61"/>
      <c r="I248" s="62"/>
    </row>
    <row r="249" spans="1:9" x14ac:dyDescent="0.25">
      <c r="A249" s="60"/>
      <c r="B249" s="61"/>
      <c r="C249" s="61"/>
      <c r="D249" s="61"/>
      <c r="E249" s="61"/>
      <c r="F249" s="60"/>
      <c r="G249" s="61"/>
      <c r="H249" s="61"/>
      <c r="I249" s="62"/>
    </row>
    <row r="250" spans="1:9" x14ac:dyDescent="0.25">
      <c r="A250" s="60"/>
      <c r="B250" s="61"/>
      <c r="C250" s="61"/>
      <c r="D250" s="61"/>
      <c r="E250" s="61"/>
      <c r="F250" s="60"/>
      <c r="G250" s="61"/>
      <c r="H250" s="61"/>
      <c r="I250" s="62"/>
    </row>
    <row r="251" spans="1:9" x14ac:dyDescent="0.25">
      <c r="A251" s="60"/>
      <c r="B251" s="61"/>
      <c r="C251" s="61"/>
      <c r="D251" s="61"/>
      <c r="E251" s="61"/>
      <c r="F251" s="60"/>
      <c r="G251" s="61"/>
      <c r="H251" s="61"/>
      <c r="I251" s="62"/>
    </row>
    <row r="252" spans="1:9" x14ac:dyDescent="0.25">
      <c r="A252" s="60"/>
      <c r="B252" s="61"/>
      <c r="C252" s="61"/>
      <c r="D252" s="61"/>
      <c r="E252" s="61"/>
      <c r="F252" s="60"/>
      <c r="G252" s="61"/>
      <c r="H252" s="61"/>
      <c r="I252" s="62"/>
    </row>
    <row r="253" spans="1:9" x14ac:dyDescent="0.25">
      <c r="A253" s="60"/>
      <c r="B253" s="61"/>
      <c r="C253" s="61"/>
      <c r="D253" s="61"/>
      <c r="E253" s="61"/>
      <c r="F253" s="60"/>
      <c r="G253" s="61"/>
      <c r="H253" s="61"/>
      <c r="I253" s="62"/>
    </row>
    <row r="254" spans="1:9" x14ac:dyDescent="0.25">
      <c r="A254" s="60"/>
      <c r="B254" s="61"/>
      <c r="C254" s="61"/>
      <c r="D254" s="61"/>
      <c r="E254" s="61"/>
      <c r="F254" s="60"/>
      <c r="G254" s="61"/>
      <c r="H254" s="61"/>
      <c r="I254" s="62"/>
    </row>
    <row r="255" spans="1:9" x14ac:dyDescent="0.25">
      <c r="A255" s="60"/>
      <c r="B255" s="61"/>
      <c r="C255" s="61"/>
      <c r="D255" s="61"/>
      <c r="E255" s="61"/>
      <c r="F255" s="60"/>
      <c r="G255" s="61"/>
      <c r="H255" s="61"/>
      <c r="I255" s="62"/>
    </row>
    <row r="256" spans="1:9" x14ac:dyDescent="0.25">
      <c r="A256" s="60"/>
      <c r="B256" s="61"/>
      <c r="C256" s="61"/>
      <c r="D256" s="61"/>
      <c r="E256" s="61"/>
      <c r="F256" s="60"/>
      <c r="G256" s="61"/>
      <c r="H256" s="61"/>
      <c r="I256" s="62"/>
    </row>
    <row r="257" spans="1:9" x14ac:dyDescent="0.25">
      <c r="A257" s="60"/>
      <c r="B257" s="61"/>
      <c r="C257" s="61"/>
      <c r="D257" s="61"/>
      <c r="E257" s="61"/>
      <c r="F257" s="60"/>
      <c r="G257" s="61"/>
      <c r="H257" s="61"/>
      <c r="I257" s="62"/>
    </row>
    <row r="258" spans="1:9" x14ac:dyDescent="0.25">
      <c r="A258" s="60"/>
      <c r="B258" s="61"/>
      <c r="C258" s="61"/>
      <c r="D258" s="61"/>
      <c r="E258" s="61"/>
      <c r="F258" s="60"/>
      <c r="G258" s="61"/>
      <c r="H258" s="61"/>
      <c r="I258" s="62"/>
    </row>
    <row r="259" spans="1:9" x14ac:dyDescent="0.25">
      <c r="A259" s="60"/>
      <c r="B259" s="61"/>
      <c r="C259" s="61"/>
      <c r="D259" s="61"/>
      <c r="E259" s="61"/>
      <c r="F259" s="60"/>
      <c r="G259" s="61"/>
      <c r="H259" s="61"/>
      <c r="I259" s="62"/>
    </row>
    <row r="260" spans="1:9" x14ac:dyDescent="0.25">
      <c r="A260" s="60"/>
      <c r="B260" s="61"/>
      <c r="C260" s="61"/>
      <c r="D260" s="61"/>
      <c r="E260" s="61"/>
      <c r="F260" s="60"/>
      <c r="G260" s="61"/>
      <c r="H260" s="61"/>
      <c r="I260" s="62"/>
    </row>
    <row r="261" spans="1:9" x14ac:dyDescent="0.25">
      <c r="A261" s="60"/>
      <c r="B261" s="61"/>
      <c r="C261" s="61"/>
      <c r="D261" s="61"/>
      <c r="E261" s="61"/>
      <c r="F261" s="60"/>
      <c r="G261" s="61"/>
      <c r="H261" s="61"/>
      <c r="I261" s="62"/>
    </row>
    <row r="262" spans="1:9" x14ac:dyDescent="0.25">
      <c r="A262" s="60"/>
      <c r="B262" s="61"/>
      <c r="C262" s="61"/>
      <c r="D262" s="61"/>
      <c r="E262" s="61"/>
      <c r="F262" s="60"/>
      <c r="G262" s="61"/>
      <c r="H262" s="61"/>
      <c r="I262" s="62"/>
    </row>
    <row r="263" spans="1:9" x14ac:dyDescent="0.25">
      <c r="A263" s="60"/>
      <c r="B263" s="61"/>
      <c r="C263" s="61"/>
      <c r="D263" s="61"/>
      <c r="E263" s="61"/>
      <c r="F263" s="60"/>
      <c r="G263" s="61"/>
      <c r="H263" s="61"/>
      <c r="I263" s="62"/>
    </row>
    <row r="264" spans="1:9" x14ac:dyDescent="0.25">
      <c r="A264" s="60"/>
      <c r="B264" s="61"/>
      <c r="C264" s="61"/>
      <c r="D264" s="61"/>
      <c r="E264" s="61"/>
      <c r="F264" s="60"/>
      <c r="G264" s="61"/>
      <c r="H264" s="61"/>
      <c r="I264" s="62"/>
    </row>
    <row r="265" spans="1:9" x14ac:dyDescent="0.25">
      <c r="A265" s="60"/>
      <c r="B265" s="61"/>
      <c r="C265" s="61"/>
      <c r="D265" s="61"/>
      <c r="E265" s="61"/>
      <c r="F265" s="60"/>
      <c r="G265" s="61"/>
      <c r="H265" s="61"/>
      <c r="I265" s="62"/>
    </row>
    <row r="266" spans="1:9" x14ac:dyDescent="0.25">
      <c r="A266" s="60"/>
      <c r="B266" s="61"/>
      <c r="C266" s="61"/>
      <c r="D266" s="61"/>
      <c r="E266" s="61"/>
      <c r="F266" s="60"/>
      <c r="G266" s="61"/>
      <c r="H266" s="61"/>
      <c r="I266" s="62"/>
    </row>
    <row r="267" spans="1:9" x14ac:dyDescent="0.25">
      <c r="A267" s="60"/>
      <c r="B267" s="61"/>
      <c r="C267" s="61"/>
      <c r="D267" s="61"/>
      <c r="E267" s="61"/>
      <c r="F267" s="60"/>
      <c r="G267" s="61"/>
      <c r="H267" s="61"/>
      <c r="I267" s="62"/>
    </row>
    <row r="268" spans="1:9" x14ac:dyDescent="0.25">
      <c r="A268" s="60"/>
      <c r="B268" s="61"/>
      <c r="C268" s="61"/>
      <c r="D268" s="61"/>
      <c r="E268" s="61"/>
      <c r="F268" s="60"/>
      <c r="G268" s="61"/>
      <c r="H268" s="61"/>
      <c r="I268" s="62"/>
    </row>
    <row r="269" spans="1:9" x14ac:dyDescent="0.25">
      <c r="A269" s="60"/>
      <c r="B269" s="61"/>
      <c r="C269" s="61"/>
      <c r="D269" s="61"/>
      <c r="E269" s="61"/>
      <c r="F269" s="60"/>
      <c r="G269" s="61"/>
      <c r="H269" s="61"/>
      <c r="I269" s="62"/>
    </row>
    <row r="270" spans="1:9" x14ac:dyDescent="0.25">
      <c r="A270" s="60"/>
      <c r="B270" s="61"/>
      <c r="C270" s="61"/>
      <c r="D270" s="61"/>
      <c r="E270" s="61"/>
      <c r="F270" s="60"/>
      <c r="G270" s="61"/>
      <c r="H270" s="61"/>
      <c r="I270" s="62"/>
    </row>
    <row r="271" spans="1:9" x14ac:dyDescent="0.25">
      <c r="A271" s="60"/>
      <c r="B271" s="61"/>
      <c r="C271" s="61"/>
      <c r="D271" s="61"/>
      <c r="E271" s="61"/>
      <c r="F271" s="60"/>
      <c r="G271" s="61"/>
      <c r="H271" s="61"/>
      <c r="I271" s="62"/>
    </row>
    <row r="272" spans="1:9" x14ac:dyDescent="0.25">
      <c r="A272" s="60"/>
      <c r="B272" s="61"/>
      <c r="C272" s="61"/>
      <c r="D272" s="61"/>
      <c r="E272" s="61"/>
      <c r="F272" s="60"/>
      <c r="G272" s="61"/>
      <c r="H272" s="61"/>
      <c r="I272" s="62"/>
    </row>
    <row r="273" spans="1:9" x14ac:dyDescent="0.25">
      <c r="A273" s="60"/>
      <c r="B273" s="61"/>
      <c r="C273" s="61"/>
      <c r="D273" s="61"/>
      <c r="E273" s="61"/>
      <c r="F273" s="60"/>
      <c r="G273" s="61"/>
      <c r="H273" s="61"/>
      <c r="I273" s="62"/>
    </row>
    <row r="274" spans="1:9" x14ac:dyDescent="0.25">
      <c r="A274" s="60"/>
      <c r="B274" s="61"/>
      <c r="C274" s="61"/>
      <c r="D274" s="61"/>
      <c r="E274" s="61"/>
      <c r="F274" s="60"/>
      <c r="G274" s="61"/>
      <c r="H274" s="61"/>
      <c r="I274" s="62"/>
    </row>
    <row r="275" spans="1:9" x14ac:dyDescent="0.25">
      <c r="A275" s="60"/>
      <c r="B275" s="61"/>
      <c r="C275" s="61"/>
      <c r="D275" s="61"/>
      <c r="E275" s="61"/>
      <c r="F275" s="60"/>
      <c r="G275" s="61"/>
      <c r="H275" s="61"/>
      <c r="I275" s="62"/>
    </row>
    <row r="276" spans="1:9" x14ac:dyDescent="0.25">
      <c r="A276" s="60"/>
      <c r="B276" s="61"/>
      <c r="C276" s="61"/>
      <c r="D276" s="61"/>
      <c r="E276" s="61"/>
      <c r="F276" s="60"/>
      <c r="G276" s="61"/>
      <c r="H276" s="61"/>
      <c r="I276" s="62"/>
    </row>
    <row r="277" spans="1:9" x14ac:dyDescent="0.25">
      <c r="A277" s="60"/>
      <c r="B277" s="61"/>
      <c r="C277" s="61"/>
      <c r="D277" s="61"/>
      <c r="E277" s="61"/>
      <c r="F277" s="60"/>
      <c r="G277" s="61"/>
      <c r="H277" s="61"/>
      <c r="I277" s="62"/>
    </row>
    <row r="278" spans="1:9" x14ac:dyDescent="0.25">
      <c r="A278" s="60"/>
      <c r="B278" s="61"/>
      <c r="C278" s="61"/>
      <c r="D278" s="61"/>
      <c r="E278" s="61"/>
      <c r="F278" s="60"/>
      <c r="G278" s="61"/>
      <c r="H278" s="61"/>
      <c r="I278" s="62"/>
    </row>
    <row r="279" spans="1:9" x14ac:dyDescent="0.25">
      <c r="A279" s="60"/>
      <c r="B279" s="61"/>
      <c r="C279" s="61"/>
      <c r="D279" s="61"/>
      <c r="E279" s="61"/>
      <c r="F279" s="60"/>
      <c r="G279" s="61"/>
      <c r="H279" s="61"/>
      <c r="I279" s="62"/>
    </row>
    <row r="280" spans="1:9" x14ac:dyDescent="0.25">
      <c r="A280" s="60"/>
      <c r="B280" s="61"/>
      <c r="C280" s="61"/>
      <c r="D280" s="61"/>
      <c r="E280" s="61"/>
      <c r="F280" s="60"/>
      <c r="G280" s="61"/>
      <c r="H280" s="61"/>
      <c r="I280" s="62"/>
    </row>
    <row r="281" spans="1:9" x14ac:dyDescent="0.25">
      <c r="A281" s="60"/>
      <c r="B281" s="61"/>
      <c r="C281" s="61"/>
      <c r="D281" s="61"/>
      <c r="E281" s="61"/>
      <c r="F281" s="60"/>
      <c r="G281" s="61"/>
      <c r="H281" s="61"/>
      <c r="I281" s="62"/>
    </row>
    <row r="282" spans="1:9" x14ac:dyDescent="0.25">
      <c r="A282" s="60"/>
      <c r="B282" s="61"/>
      <c r="C282" s="61"/>
      <c r="D282" s="61"/>
      <c r="E282" s="61"/>
      <c r="F282" s="60"/>
      <c r="G282" s="61"/>
      <c r="H282" s="61"/>
      <c r="I282" s="62"/>
    </row>
    <row r="283" spans="1:9" x14ac:dyDescent="0.25">
      <c r="A283" s="60"/>
      <c r="B283" s="61"/>
      <c r="C283" s="61"/>
      <c r="D283" s="61"/>
      <c r="E283" s="61"/>
      <c r="F283" s="60"/>
      <c r="G283" s="61"/>
      <c r="H283" s="61"/>
      <c r="I283" s="62"/>
    </row>
    <row r="284" spans="1:9" x14ac:dyDescent="0.25">
      <c r="A284" s="60"/>
      <c r="B284" s="61"/>
      <c r="C284" s="61"/>
      <c r="D284" s="61"/>
      <c r="E284" s="61"/>
      <c r="F284" s="60"/>
      <c r="G284" s="61"/>
      <c r="H284" s="61"/>
      <c r="I284" s="62"/>
    </row>
    <row r="285" spans="1:9" x14ac:dyDescent="0.25">
      <c r="A285" s="60"/>
      <c r="B285" s="61"/>
      <c r="C285" s="61"/>
      <c r="D285" s="61"/>
      <c r="E285" s="61"/>
      <c r="F285" s="60"/>
      <c r="G285" s="61"/>
      <c r="H285" s="61"/>
      <c r="I285" s="62"/>
    </row>
    <row r="286" spans="1:9" x14ac:dyDescent="0.25">
      <c r="A286" s="60"/>
      <c r="B286" s="61"/>
      <c r="C286" s="61"/>
      <c r="D286" s="61"/>
      <c r="E286" s="61"/>
      <c r="F286" s="60"/>
      <c r="G286" s="61"/>
      <c r="H286" s="61"/>
      <c r="I286" s="62"/>
    </row>
    <row r="287" spans="1:9" x14ac:dyDescent="0.25">
      <c r="A287" s="60"/>
      <c r="B287" s="61"/>
      <c r="C287" s="61"/>
      <c r="D287" s="61"/>
      <c r="E287" s="61"/>
      <c r="F287" s="60"/>
      <c r="G287" s="61"/>
      <c r="H287" s="61"/>
      <c r="I287" s="62"/>
    </row>
    <row r="288" spans="1:9" x14ac:dyDescent="0.25">
      <c r="A288" s="60"/>
      <c r="B288" s="61"/>
      <c r="C288" s="61"/>
      <c r="D288" s="61"/>
      <c r="E288" s="61"/>
      <c r="F288" s="60"/>
      <c r="G288" s="61"/>
      <c r="H288" s="61"/>
      <c r="I288" s="62"/>
    </row>
    <row r="289" spans="1:9" x14ac:dyDescent="0.25">
      <c r="A289" s="60"/>
      <c r="B289" s="61"/>
      <c r="C289" s="61"/>
      <c r="D289" s="61"/>
      <c r="E289" s="61"/>
      <c r="F289" s="60"/>
      <c r="G289" s="61"/>
      <c r="H289" s="61"/>
      <c r="I289" s="62"/>
    </row>
    <row r="290" spans="1:9" x14ac:dyDescent="0.25">
      <c r="A290" s="60"/>
      <c r="B290" s="61"/>
      <c r="C290" s="61"/>
      <c r="D290" s="61"/>
      <c r="E290" s="61"/>
      <c r="F290" s="60"/>
      <c r="G290" s="61"/>
      <c r="H290" s="61"/>
      <c r="I290" s="62"/>
    </row>
    <row r="291" spans="1:9" x14ac:dyDescent="0.25">
      <c r="A291" s="60"/>
      <c r="B291" s="61"/>
      <c r="C291" s="61"/>
      <c r="D291" s="61"/>
      <c r="E291" s="61"/>
      <c r="F291" s="60"/>
      <c r="G291" s="61"/>
      <c r="H291" s="61"/>
      <c r="I291" s="62"/>
    </row>
    <row r="292" spans="1:9" x14ac:dyDescent="0.25">
      <c r="A292" s="60"/>
      <c r="B292" s="61"/>
      <c r="C292" s="61"/>
      <c r="D292" s="61"/>
      <c r="E292" s="61"/>
      <c r="F292" s="60"/>
      <c r="G292" s="61"/>
      <c r="H292" s="61"/>
      <c r="I292" s="62"/>
    </row>
    <row r="293" spans="1:9" x14ac:dyDescent="0.25">
      <c r="A293" s="60"/>
      <c r="B293" s="61"/>
      <c r="C293" s="61"/>
      <c r="D293" s="61"/>
      <c r="E293" s="61"/>
      <c r="F293" s="60"/>
      <c r="G293" s="61"/>
      <c r="H293" s="61"/>
      <c r="I293" s="62"/>
    </row>
    <row r="294" spans="1:9" x14ac:dyDescent="0.25">
      <c r="A294" s="60"/>
      <c r="B294" s="61"/>
      <c r="C294" s="61"/>
      <c r="D294" s="61"/>
      <c r="E294" s="61"/>
      <c r="F294" s="60"/>
      <c r="G294" s="61"/>
      <c r="H294" s="61"/>
      <c r="I294" s="62"/>
    </row>
    <row r="295" spans="1:9" x14ac:dyDescent="0.25">
      <c r="A295" s="60"/>
      <c r="B295" s="61"/>
      <c r="C295" s="61"/>
      <c r="D295" s="61"/>
      <c r="E295" s="61"/>
      <c r="F295" s="60"/>
      <c r="G295" s="61"/>
      <c r="H295" s="61"/>
      <c r="I295" s="62"/>
    </row>
    <row r="296" spans="1:9" x14ac:dyDescent="0.25">
      <c r="A296" s="60"/>
      <c r="B296" s="61"/>
      <c r="C296" s="61"/>
      <c r="D296" s="61"/>
      <c r="E296" s="61"/>
      <c r="F296" s="60"/>
      <c r="G296" s="61"/>
      <c r="H296" s="61"/>
      <c r="I296" s="62"/>
    </row>
    <row r="297" spans="1:9" x14ac:dyDescent="0.25">
      <c r="A297" s="60"/>
      <c r="B297" s="61"/>
      <c r="C297" s="61"/>
      <c r="D297" s="61"/>
      <c r="E297" s="61"/>
      <c r="F297" s="60"/>
      <c r="G297" s="61"/>
      <c r="H297" s="61"/>
      <c r="I297" s="62"/>
    </row>
    <row r="298" spans="1:9" x14ac:dyDescent="0.25">
      <c r="A298" s="60"/>
      <c r="B298" s="61"/>
      <c r="C298" s="61"/>
      <c r="D298" s="61"/>
      <c r="E298" s="61"/>
      <c r="F298" s="60"/>
      <c r="G298" s="61"/>
      <c r="H298" s="61"/>
      <c r="I298" s="62"/>
    </row>
    <row r="299" spans="1:9" x14ac:dyDescent="0.25">
      <c r="A299" s="60"/>
      <c r="B299" s="61"/>
      <c r="C299" s="61"/>
      <c r="D299" s="61"/>
      <c r="E299" s="61"/>
      <c r="F299" s="60"/>
      <c r="G299" s="61"/>
      <c r="H299" s="61"/>
      <c r="I299" s="62"/>
    </row>
    <row r="300" spans="1:9" x14ac:dyDescent="0.25">
      <c r="A300" s="60"/>
      <c r="B300" s="61"/>
      <c r="C300" s="61"/>
      <c r="D300" s="61"/>
      <c r="E300" s="61"/>
      <c r="F300" s="60"/>
      <c r="G300" s="61"/>
      <c r="H300" s="61"/>
      <c r="I300" s="62"/>
    </row>
    <row r="301" spans="1:9" x14ac:dyDescent="0.25">
      <c r="A301" s="60"/>
      <c r="B301" s="61"/>
      <c r="C301" s="61"/>
      <c r="D301" s="61"/>
      <c r="E301" s="61"/>
      <c r="F301" s="60"/>
      <c r="G301" s="61"/>
      <c r="H301" s="61"/>
      <c r="I301" s="62"/>
    </row>
    <row r="302" spans="1:9" x14ac:dyDescent="0.25">
      <c r="A302" s="60"/>
      <c r="B302" s="61"/>
      <c r="C302" s="61"/>
      <c r="D302" s="61"/>
      <c r="E302" s="61"/>
      <c r="F302" s="60"/>
      <c r="G302" s="61"/>
      <c r="H302" s="61"/>
      <c r="I302" s="62"/>
    </row>
    <row r="303" spans="1:9" x14ac:dyDescent="0.25">
      <c r="A303" s="60"/>
      <c r="B303" s="61"/>
      <c r="C303" s="61"/>
      <c r="D303" s="61"/>
      <c r="E303" s="61"/>
      <c r="F303" s="60"/>
      <c r="G303" s="61"/>
      <c r="H303" s="61"/>
      <c r="I303" s="62"/>
    </row>
    <row r="304" spans="1:9" x14ac:dyDescent="0.25">
      <c r="A304" s="60"/>
      <c r="B304" s="61"/>
      <c r="C304" s="61"/>
      <c r="D304" s="61"/>
      <c r="E304" s="61"/>
      <c r="F304" s="60"/>
      <c r="G304" s="61"/>
      <c r="H304" s="61"/>
      <c r="I304" s="62"/>
    </row>
    <row r="305" spans="1:9" x14ac:dyDescent="0.25">
      <c r="A305" s="60"/>
      <c r="B305" s="61"/>
      <c r="C305" s="61"/>
      <c r="D305" s="61"/>
      <c r="E305" s="61"/>
      <c r="F305" s="60"/>
      <c r="G305" s="61"/>
      <c r="H305" s="61"/>
      <c r="I305" s="62"/>
    </row>
    <row r="306" spans="1:9" x14ac:dyDescent="0.25">
      <c r="A306" s="60"/>
      <c r="B306" s="61"/>
      <c r="C306" s="61"/>
      <c r="D306" s="61"/>
      <c r="E306" s="61"/>
      <c r="F306" s="60"/>
      <c r="G306" s="61"/>
      <c r="H306" s="61"/>
      <c r="I306" s="62"/>
    </row>
    <row r="307" spans="1:9" x14ac:dyDescent="0.25">
      <c r="A307" s="60"/>
      <c r="B307" s="61"/>
      <c r="C307" s="61"/>
      <c r="D307" s="61"/>
      <c r="E307" s="61"/>
      <c r="F307" s="60"/>
      <c r="G307" s="61"/>
      <c r="H307" s="61"/>
      <c r="I307" s="62"/>
    </row>
    <row r="308" spans="1:9" x14ac:dyDescent="0.25">
      <c r="A308" s="60"/>
      <c r="B308" s="61"/>
      <c r="C308" s="61"/>
      <c r="D308" s="61"/>
      <c r="E308" s="61"/>
      <c r="F308" s="60"/>
      <c r="G308" s="61"/>
      <c r="H308" s="61"/>
      <c r="I308" s="62"/>
    </row>
    <row r="309" spans="1:9" x14ac:dyDescent="0.25">
      <c r="A309" s="60"/>
      <c r="B309" s="61"/>
      <c r="C309" s="61"/>
      <c r="D309" s="61"/>
      <c r="E309" s="61"/>
      <c r="F309" s="60"/>
      <c r="G309" s="61"/>
      <c r="H309" s="61"/>
      <c r="I309" s="62"/>
    </row>
    <row r="310" spans="1:9" x14ac:dyDescent="0.25">
      <c r="A310" s="60"/>
      <c r="B310" s="61"/>
      <c r="C310" s="61"/>
      <c r="D310" s="61"/>
      <c r="E310" s="61"/>
      <c r="F310" s="60"/>
      <c r="G310" s="61"/>
      <c r="H310" s="61"/>
      <c r="I310" s="62"/>
    </row>
    <row r="311" spans="1:9" x14ac:dyDescent="0.25">
      <c r="A311" s="60"/>
      <c r="B311" s="61"/>
      <c r="C311" s="61"/>
      <c r="D311" s="61"/>
      <c r="E311" s="61"/>
      <c r="F311" s="60"/>
      <c r="G311" s="61"/>
      <c r="H311" s="61"/>
      <c r="I311" s="62"/>
    </row>
    <row r="312" spans="1:9" x14ac:dyDescent="0.25">
      <c r="A312" s="60"/>
      <c r="B312" s="61"/>
      <c r="C312" s="61"/>
      <c r="D312" s="61"/>
      <c r="E312" s="61"/>
      <c r="F312" s="60"/>
      <c r="G312" s="61"/>
      <c r="H312" s="61"/>
      <c r="I312" s="62"/>
    </row>
    <row r="313" spans="1:9" x14ac:dyDescent="0.25">
      <c r="A313" s="60"/>
      <c r="B313" s="61"/>
      <c r="C313" s="61"/>
      <c r="D313" s="61"/>
      <c r="E313" s="61"/>
      <c r="F313" s="60"/>
      <c r="G313" s="61"/>
      <c r="H313" s="61"/>
      <c r="I313" s="62"/>
    </row>
    <row r="314" spans="1:9" x14ac:dyDescent="0.25">
      <c r="A314" s="60"/>
      <c r="B314" s="61"/>
      <c r="C314" s="61"/>
      <c r="D314" s="61"/>
      <c r="E314" s="61"/>
      <c r="F314" s="60"/>
      <c r="G314" s="61"/>
      <c r="H314" s="61"/>
      <c r="I314" s="62"/>
    </row>
    <row r="315" spans="1:9" x14ac:dyDescent="0.25">
      <c r="A315" s="60"/>
      <c r="B315" s="61"/>
      <c r="C315" s="61"/>
      <c r="D315" s="61"/>
      <c r="E315" s="61"/>
      <c r="F315" s="60"/>
      <c r="G315" s="61"/>
      <c r="H315" s="61"/>
      <c r="I315" s="62"/>
    </row>
    <row r="316" spans="1:9" x14ac:dyDescent="0.25">
      <c r="A316" s="60"/>
      <c r="B316" s="61"/>
      <c r="C316" s="61"/>
      <c r="D316" s="61"/>
      <c r="E316" s="61"/>
      <c r="F316" s="60"/>
      <c r="G316" s="61"/>
      <c r="H316" s="61"/>
      <c r="I316" s="62"/>
    </row>
    <row r="317" spans="1:9" x14ac:dyDescent="0.25">
      <c r="A317" s="60"/>
      <c r="B317" s="61"/>
      <c r="C317" s="61"/>
      <c r="D317" s="61"/>
      <c r="E317" s="61"/>
      <c r="F317" s="60"/>
      <c r="G317" s="61"/>
      <c r="H317" s="61"/>
      <c r="I317" s="62"/>
    </row>
    <row r="318" spans="1:9" x14ac:dyDescent="0.25">
      <c r="A318" s="60"/>
      <c r="B318" s="61"/>
      <c r="C318" s="61"/>
      <c r="D318" s="61"/>
      <c r="E318" s="61"/>
      <c r="F318" s="60"/>
      <c r="G318" s="61"/>
      <c r="H318" s="61"/>
      <c r="I318" s="62"/>
    </row>
    <row r="319" spans="1:9" x14ac:dyDescent="0.25">
      <c r="A319" s="60"/>
      <c r="B319" s="61"/>
      <c r="C319" s="61"/>
      <c r="D319" s="61"/>
      <c r="E319" s="61"/>
      <c r="F319" s="60"/>
      <c r="G319" s="61"/>
      <c r="H319" s="61"/>
      <c r="I319" s="62"/>
    </row>
    <row r="320" spans="1:9" x14ac:dyDescent="0.25">
      <c r="A320" s="60"/>
      <c r="B320" s="61"/>
      <c r="C320" s="61"/>
      <c r="D320" s="61"/>
      <c r="E320" s="61"/>
      <c r="F320" s="60"/>
      <c r="G320" s="61"/>
      <c r="H320" s="61"/>
      <c r="I320" s="62"/>
    </row>
    <row r="321" spans="1:9" x14ac:dyDescent="0.25">
      <c r="A321" s="60"/>
      <c r="B321" s="61"/>
      <c r="C321" s="61"/>
      <c r="D321" s="61"/>
      <c r="E321" s="61"/>
      <c r="F321" s="60"/>
      <c r="G321" s="61"/>
      <c r="H321" s="61"/>
      <c r="I321" s="62"/>
    </row>
    <row r="322" spans="1:9" x14ac:dyDescent="0.25">
      <c r="A322" s="60"/>
      <c r="B322" s="61"/>
      <c r="C322" s="61"/>
      <c r="D322" s="61"/>
      <c r="E322" s="61"/>
      <c r="F322" s="60"/>
      <c r="G322" s="61"/>
      <c r="H322" s="61"/>
      <c r="I322" s="62"/>
    </row>
    <row r="323" spans="1:9" x14ac:dyDescent="0.25">
      <c r="A323" s="60"/>
      <c r="B323" s="61"/>
      <c r="C323" s="61"/>
      <c r="D323" s="61"/>
      <c r="E323" s="61"/>
      <c r="F323" s="60"/>
      <c r="G323" s="61"/>
      <c r="H323" s="61"/>
      <c r="I323" s="62"/>
    </row>
    <row r="324" spans="1:9" x14ac:dyDescent="0.25">
      <c r="A324" s="60"/>
      <c r="B324" s="61"/>
      <c r="C324" s="61"/>
      <c r="D324" s="61"/>
      <c r="E324" s="61"/>
      <c r="F324" s="60"/>
      <c r="G324" s="61"/>
      <c r="H324" s="61"/>
      <c r="I324" s="62"/>
    </row>
    <row r="325" spans="1:9" x14ac:dyDescent="0.25">
      <c r="A325" s="60"/>
      <c r="B325" s="61"/>
      <c r="C325" s="61"/>
      <c r="D325" s="61"/>
      <c r="E325" s="61"/>
      <c r="F325" s="60"/>
      <c r="G325" s="61"/>
      <c r="H325" s="61"/>
      <c r="I325" s="62"/>
    </row>
    <row r="326" spans="1:9" x14ac:dyDescent="0.25">
      <c r="A326" s="60"/>
      <c r="B326" s="61"/>
      <c r="C326" s="61"/>
      <c r="D326" s="61"/>
      <c r="E326" s="61"/>
      <c r="F326" s="60"/>
      <c r="G326" s="61"/>
      <c r="H326" s="61"/>
      <c r="I326" s="62"/>
    </row>
    <row r="327" spans="1:9" x14ac:dyDescent="0.25">
      <c r="A327" s="60"/>
      <c r="B327" s="61"/>
      <c r="C327" s="61"/>
      <c r="D327" s="61"/>
      <c r="E327" s="61"/>
      <c r="F327" s="60"/>
      <c r="G327" s="61"/>
      <c r="H327" s="61"/>
      <c r="I327" s="62"/>
    </row>
    <row r="328" spans="1:9" x14ac:dyDescent="0.25">
      <c r="A328" s="60"/>
      <c r="B328" s="61"/>
      <c r="C328" s="61"/>
      <c r="D328" s="61"/>
      <c r="E328" s="61"/>
      <c r="F328" s="60"/>
      <c r="G328" s="61"/>
      <c r="H328" s="61"/>
      <c r="I328" s="62"/>
    </row>
    <row r="329" spans="1:9" x14ac:dyDescent="0.25">
      <c r="A329" s="60"/>
      <c r="B329" s="61"/>
      <c r="C329" s="61"/>
      <c r="D329" s="61"/>
      <c r="E329" s="61"/>
      <c r="F329" s="60"/>
      <c r="G329" s="61"/>
      <c r="H329" s="61"/>
      <c r="I329" s="62"/>
    </row>
    <row r="330" spans="1:9" x14ac:dyDescent="0.25">
      <c r="A330" s="60"/>
      <c r="B330" s="61"/>
      <c r="C330" s="61"/>
      <c r="D330" s="61"/>
      <c r="E330" s="61"/>
      <c r="F330" s="60"/>
      <c r="G330" s="61"/>
      <c r="H330" s="61"/>
      <c r="I330" s="62"/>
    </row>
    <row r="331" spans="1:9" x14ac:dyDescent="0.25">
      <c r="A331" s="60"/>
      <c r="B331" s="61"/>
      <c r="C331" s="61"/>
      <c r="D331" s="61"/>
      <c r="E331" s="61"/>
      <c r="F331" s="60"/>
      <c r="G331" s="61"/>
      <c r="H331" s="61"/>
      <c r="I331" s="62"/>
    </row>
    <row r="332" spans="1:9" x14ac:dyDescent="0.25">
      <c r="A332" s="60"/>
      <c r="B332" s="61"/>
      <c r="C332" s="61"/>
      <c r="D332" s="61"/>
      <c r="E332" s="61"/>
      <c r="F332" s="60"/>
      <c r="G332" s="61"/>
      <c r="H332" s="61"/>
      <c r="I332" s="62"/>
    </row>
    <row r="333" spans="1:9" x14ac:dyDescent="0.25">
      <c r="A333" s="60"/>
      <c r="B333" s="61"/>
      <c r="C333" s="61"/>
      <c r="D333" s="61"/>
      <c r="E333" s="61"/>
      <c r="F333" s="60"/>
      <c r="G333" s="61"/>
      <c r="H333" s="61"/>
      <c r="I333" s="62"/>
    </row>
    <row r="334" spans="1:9" x14ac:dyDescent="0.25">
      <c r="A334" s="60"/>
      <c r="B334" s="61"/>
      <c r="C334" s="61"/>
      <c r="D334" s="61"/>
      <c r="E334" s="61"/>
      <c r="F334" s="60"/>
      <c r="G334" s="61"/>
      <c r="H334" s="61"/>
      <c r="I334" s="62"/>
    </row>
    <row r="335" spans="1:9" x14ac:dyDescent="0.25">
      <c r="A335" s="60"/>
      <c r="B335" s="61"/>
      <c r="C335" s="61"/>
      <c r="D335" s="61"/>
      <c r="E335" s="61"/>
      <c r="F335" s="60"/>
      <c r="G335" s="61"/>
      <c r="H335" s="61"/>
      <c r="I335" s="62"/>
    </row>
    <row r="336" spans="1:9" x14ac:dyDescent="0.25">
      <c r="A336" s="60"/>
      <c r="B336" s="61"/>
      <c r="C336" s="61"/>
      <c r="D336" s="61"/>
      <c r="E336" s="61"/>
      <c r="F336" s="60"/>
      <c r="G336" s="61"/>
      <c r="H336" s="61"/>
      <c r="I336" s="62"/>
    </row>
    <row r="337" spans="1:9" x14ac:dyDescent="0.25">
      <c r="A337" s="60"/>
      <c r="B337" s="61"/>
      <c r="C337" s="61"/>
      <c r="D337" s="61"/>
      <c r="E337" s="61"/>
      <c r="F337" s="60"/>
      <c r="G337" s="61"/>
      <c r="H337" s="61"/>
      <c r="I337" s="62"/>
    </row>
    <row r="338" spans="1:9" x14ac:dyDescent="0.25">
      <c r="A338" s="60"/>
      <c r="B338" s="61"/>
      <c r="C338" s="61"/>
      <c r="D338" s="61"/>
      <c r="E338" s="61"/>
      <c r="F338" s="60"/>
      <c r="G338" s="61"/>
      <c r="H338" s="61"/>
      <c r="I338" s="62"/>
    </row>
    <row r="339" spans="1:9" x14ac:dyDescent="0.25">
      <c r="A339" s="60"/>
      <c r="B339" s="61"/>
      <c r="C339" s="61"/>
      <c r="D339" s="61"/>
      <c r="E339" s="61"/>
      <c r="F339" s="60"/>
      <c r="G339" s="61"/>
      <c r="H339" s="61"/>
      <c r="I339" s="62"/>
    </row>
    <row r="340" spans="1:9" x14ac:dyDescent="0.25">
      <c r="A340" s="60"/>
      <c r="B340" s="61"/>
      <c r="C340" s="61"/>
      <c r="D340" s="61"/>
      <c r="E340" s="61"/>
      <c r="F340" s="60"/>
      <c r="G340" s="61"/>
      <c r="H340" s="61"/>
      <c r="I340" s="62"/>
    </row>
    <row r="341" spans="1:9" x14ac:dyDescent="0.25">
      <c r="A341" s="60"/>
      <c r="B341" s="61"/>
      <c r="C341" s="61"/>
      <c r="D341" s="61"/>
      <c r="E341" s="61"/>
      <c r="F341" s="60"/>
      <c r="G341" s="61"/>
      <c r="H341" s="61"/>
      <c r="I341" s="62"/>
    </row>
    <row r="342" spans="1:9" x14ac:dyDescent="0.25">
      <c r="A342" s="60"/>
      <c r="B342" s="61"/>
      <c r="C342" s="61"/>
      <c r="D342" s="61"/>
      <c r="E342" s="61"/>
      <c r="F342" s="60"/>
      <c r="G342" s="61"/>
      <c r="H342" s="61"/>
      <c r="I342" s="62"/>
    </row>
    <row r="343" spans="1:9" x14ac:dyDescent="0.25">
      <c r="A343" s="60"/>
      <c r="B343" s="61"/>
      <c r="C343" s="61"/>
      <c r="D343" s="61"/>
      <c r="E343" s="61"/>
      <c r="F343" s="60"/>
      <c r="G343" s="61"/>
      <c r="H343" s="61"/>
      <c r="I343" s="62"/>
    </row>
    <row r="344" spans="1:9" x14ac:dyDescent="0.25">
      <c r="A344" s="60"/>
      <c r="B344" s="61"/>
      <c r="C344" s="61"/>
      <c r="D344" s="61"/>
      <c r="E344" s="61"/>
      <c r="F344" s="60"/>
      <c r="G344" s="61"/>
      <c r="H344" s="61"/>
      <c r="I344" s="62"/>
    </row>
    <row r="345" spans="1:9" x14ac:dyDescent="0.25">
      <c r="A345" s="60"/>
      <c r="B345" s="61"/>
      <c r="C345" s="61"/>
      <c r="D345" s="61"/>
      <c r="E345" s="61"/>
      <c r="F345" s="60"/>
      <c r="G345" s="61"/>
      <c r="H345" s="61"/>
      <c r="I345" s="62"/>
    </row>
    <row r="346" spans="1:9" x14ac:dyDescent="0.25">
      <c r="A346" s="60"/>
      <c r="B346" s="61"/>
      <c r="C346" s="61"/>
      <c r="D346" s="61"/>
      <c r="E346" s="61"/>
      <c r="F346" s="60"/>
      <c r="G346" s="61"/>
      <c r="H346" s="61"/>
      <c r="I346" s="62"/>
    </row>
    <row r="347" spans="1:9" x14ac:dyDescent="0.25">
      <c r="A347" s="60"/>
      <c r="B347" s="61"/>
      <c r="C347" s="61"/>
      <c r="D347" s="61"/>
      <c r="E347" s="61"/>
      <c r="F347" s="60"/>
      <c r="G347" s="61"/>
      <c r="H347" s="61"/>
      <c r="I347" s="62"/>
    </row>
    <row r="348" spans="1:9" x14ac:dyDescent="0.25">
      <c r="A348" s="60"/>
      <c r="B348" s="61"/>
      <c r="C348" s="61"/>
      <c r="D348" s="61"/>
      <c r="E348" s="61"/>
      <c r="F348" s="60"/>
      <c r="G348" s="61"/>
      <c r="H348" s="61"/>
      <c r="I348" s="62"/>
    </row>
    <row r="349" spans="1:9" x14ac:dyDescent="0.25">
      <c r="A349" s="60"/>
      <c r="B349" s="61"/>
      <c r="C349" s="61"/>
      <c r="D349" s="61"/>
      <c r="E349" s="61"/>
      <c r="F349" s="60"/>
      <c r="G349" s="61"/>
      <c r="H349" s="61"/>
      <c r="I349" s="62"/>
    </row>
    <row r="350" spans="1:9" x14ac:dyDescent="0.25">
      <c r="A350" s="60"/>
      <c r="B350" s="61"/>
      <c r="C350" s="61"/>
      <c r="D350" s="61"/>
      <c r="E350" s="61"/>
      <c r="F350" s="60"/>
      <c r="G350" s="61"/>
      <c r="H350" s="61"/>
      <c r="I350" s="62"/>
    </row>
    <row r="351" spans="1:9" x14ac:dyDescent="0.25">
      <c r="A351" s="60"/>
      <c r="B351" s="61"/>
      <c r="C351" s="61"/>
      <c r="D351" s="61"/>
      <c r="E351" s="61"/>
      <c r="F351" s="60"/>
      <c r="G351" s="61"/>
      <c r="H351" s="61"/>
      <c r="I351" s="62"/>
    </row>
    <row r="352" spans="1:9" x14ac:dyDescent="0.25">
      <c r="A352" s="60"/>
      <c r="B352" s="61"/>
      <c r="C352" s="61"/>
      <c r="D352" s="61"/>
      <c r="E352" s="61"/>
      <c r="F352" s="60"/>
      <c r="G352" s="61"/>
      <c r="H352" s="61"/>
      <c r="I352" s="62"/>
    </row>
    <row r="353" spans="1:9" x14ac:dyDescent="0.25">
      <c r="A353" s="60"/>
      <c r="B353" s="61"/>
      <c r="C353" s="61"/>
      <c r="D353" s="61"/>
      <c r="E353" s="61"/>
      <c r="F353" s="60"/>
      <c r="G353" s="61"/>
      <c r="H353" s="61"/>
      <c r="I353" s="62"/>
    </row>
    <row r="354" spans="1:9" ht="15.75" thickBot="1" x14ac:dyDescent="0.3">
      <c r="A354" s="63"/>
      <c r="B354" s="64"/>
      <c r="C354" s="64"/>
      <c r="D354" s="64"/>
      <c r="E354" s="64"/>
      <c r="F354" s="60"/>
      <c r="G354" s="61"/>
      <c r="H354" s="61"/>
      <c r="I354" s="62"/>
    </row>
    <row r="355" spans="1:9" x14ac:dyDescent="0.25">
      <c r="F355" s="60"/>
      <c r="G355" s="61"/>
      <c r="H355" s="61"/>
      <c r="I355" s="62"/>
    </row>
    <row r="356" spans="1:9" x14ac:dyDescent="0.25">
      <c r="F356" s="60"/>
      <c r="G356" s="61"/>
      <c r="H356" s="61"/>
      <c r="I356" s="62"/>
    </row>
    <row r="357" spans="1:9" x14ac:dyDescent="0.25">
      <c r="F357" s="60"/>
      <c r="G357" s="61"/>
      <c r="H357" s="61"/>
      <c r="I357" s="62"/>
    </row>
    <row r="358" spans="1:9" x14ac:dyDescent="0.25">
      <c r="F358" s="60"/>
      <c r="G358" s="61"/>
      <c r="H358" s="61"/>
      <c r="I358" s="62"/>
    </row>
    <row r="359" spans="1:9" x14ac:dyDescent="0.25">
      <c r="F359" s="60"/>
      <c r="G359" s="61"/>
      <c r="H359" s="61"/>
      <c r="I359" s="62"/>
    </row>
    <row r="360" spans="1:9" x14ac:dyDescent="0.25">
      <c r="F360" s="60"/>
      <c r="G360" s="61"/>
      <c r="H360" s="61"/>
      <c r="I360" s="62"/>
    </row>
    <row r="361" spans="1:9" x14ac:dyDescent="0.25">
      <c r="F361" s="60"/>
      <c r="G361" s="61"/>
      <c r="H361" s="61"/>
      <c r="I361" s="62"/>
    </row>
    <row r="362" spans="1:9" x14ac:dyDescent="0.25">
      <c r="F362" s="60"/>
      <c r="G362" s="61"/>
      <c r="H362" s="61"/>
      <c r="I362" s="62"/>
    </row>
    <row r="363" spans="1:9" x14ac:dyDescent="0.25">
      <c r="F363" s="60"/>
      <c r="G363" s="61"/>
      <c r="H363" s="61"/>
      <c r="I363" s="62"/>
    </row>
    <row r="364" spans="1:9" x14ac:dyDescent="0.25">
      <c r="F364" s="60"/>
      <c r="G364" s="61"/>
      <c r="H364" s="61"/>
      <c r="I364" s="62"/>
    </row>
    <row r="365" spans="1:9" x14ac:dyDescent="0.25">
      <c r="F365" s="60"/>
      <c r="G365" s="61"/>
      <c r="H365" s="61"/>
      <c r="I365" s="62"/>
    </row>
    <row r="366" spans="1:9" x14ac:dyDescent="0.25">
      <c r="F366" s="60"/>
      <c r="G366" s="61"/>
      <c r="H366" s="61"/>
      <c r="I366" s="62"/>
    </row>
    <row r="367" spans="1:9" x14ac:dyDescent="0.25">
      <c r="F367" s="60"/>
      <c r="G367" s="61"/>
      <c r="H367" s="61"/>
      <c r="I367" s="62"/>
    </row>
    <row r="368" spans="1:9" x14ac:dyDescent="0.25">
      <c r="F368" s="60"/>
      <c r="G368" s="61"/>
      <c r="H368" s="61"/>
      <c r="I368" s="62"/>
    </row>
    <row r="369" spans="6:9" x14ac:dyDescent="0.25">
      <c r="F369" s="60"/>
      <c r="G369" s="61"/>
      <c r="H369" s="61"/>
      <c r="I369" s="62"/>
    </row>
    <row r="370" spans="6:9" x14ac:dyDescent="0.25">
      <c r="F370" s="60"/>
      <c r="G370" s="61"/>
      <c r="H370" s="61"/>
      <c r="I370" s="62"/>
    </row>
    <row r="371" spans="6:9" x14ac:dyDescent="0.25">
      <c r="F371" s="60"/>
      <c r="G371" s="61"/>
      <c r="H371" s="61"/>
      <c r="I371" s="62"/>
    </row>
    <row r="372" spans="6:9" x14ac:dyDescent="0.25">
      <c r="F372" s="60"/>
      <c r="G372" s="61"/>
      <c r="H372" s="61"/>
      <c r="I372" s="62"/>
    </row>
    <row r="373" spans="6:9" x14ac:dyDescent="0.25">
      <c r="F373" s="60"/>
      <c r="G373" s="61"/>
      <c r="H373" s="61"/>
      <c r="I373" s="62"/>
    </row>
    <row r="374" spans="6:9" x14ac:dyDescent="0.25">
      <c r="F374" s="60"/>
      <c r="G374" s="61"/>
      <c r="H374" s="61"/>
      <c r="I374" s="62"/>
    </row>
    <row r="375" spans="6:9" x14ac:dyDescent="0.25">
      <c r="F375" s="60"/>
      <c r="G375" s="61"/>
      <c r="H375" s="61"/>
      <c r="I375" s="62"/>
    </row>
    <row r="376" spans="6:9" x14ac:dyDescent="0.25">
      <c r="F376" s="60"/>
      <c r="G376" s="61"/>
      <c r="H376" s="61"/>
      <c r="I376" s="62"/>
    </row>
    <row r="377" spans="6:9" x14ac:dyDescent="0.25">
      <c r="F377" s="60"/>
      <c r="G377" s="61"/>
      <c r="H377" s="61"/>
      <c r="I377" s="62"/>
    </row>
    <row r="378" spans="6:9" x14ac:dyDescent="0.25">
      <c r="F378" s="60"/>
      <c r="G378" s="61"/>
      <c r="H378" s="61"/>
      <c r="I378" s="62"/>
    </row>
    <row r="379" spans="6:9" x14ac:dyDescent="0.25">
      <c r="F379" s="60"/>
      <c r="G379" s="61"/>
      <c r="H379" s="61"/>
      <c r="I379" s="62"/>
    </row>
    <row r="380" spans="6:9" x14ac:dyDescent="0.25">
      <c r="F380" s="60"/>
      <c r="G380" s="61"/>
      <c r="H380" s="61"/>
      <c r="I380" s="62"/>
    </row>
    <row r="381" spans="6:9" x14ac:dyDescent="0.25">
      <c r="F381" s="60"/>
      <c r="G381" s="61"/>
      <c r="H381" s="61"/>
      <c r="I381" s="62"/>
    </row>
    <row r="382" spans="6:9" x14ac:dyDescent="0.25">
      <c r="F382" s="60"/>
      <c r="G382" s="61"/>
      <c r="H382" s="61"/>
      <c r="I382" s="62"/>
    </row>
    <row r="383" spans="6:9" x14ac:dyDescent="0.25">
      <c r="F383" s="60"/>
      <c r="G383" s="61"/>
      <c r="H383" s="61"/>
      <c r="I383" s="62"/>
    </row>
    <row r="384" spans="6:9" x14ac:dyDescent="0.25">
      <c r="F384" s="60"/>
      <c r="G384" s="61"/>
      <c r="H384" s="61"/>
      <c r="I384" s="62"/>
    </row>
    <row r="385" spans="6:9" x14ac:dyDescent="0.25">
      <c r="F385" s="60"/>
      <c r="G385" s="61"/>
      <c r="H385" s="61"/>
      <c r="I385" s="62"/>
    </row>
    <row r="386" spans="6:9" x14ac:dyDescent="0.25">
      <c r="F386" s="60"/>
      <c r="G386" s="61"/>
      <c r="H386" s="61"/>
      <c r="I386" s="62"/>
    </row>
    <row r="387" spans="6:9" x14ac:dyDescent="0.25">
      <c r="F387" s="60"/>
      <c r="G387" s="61"/>
      <c r="H387" s="61"/>
      <c r="I387" s="62"/>
    </row>
    <row r="388" spans="6:9" x14ac:dyDescent="0.25">
      <c r="F388" s="60"/>
      <c r="G388" s="61"/>
      <c r="H388" s="61"/>
      <c r="I388" s="62"/>
    </row>
    <row r="389" spans="6:9" x14ac:dyDescent="0.25">
      <c r="F389" s="60"/>
      <c r="G389" s="61"/>
      <c r="H389" s="61"/>
      <c r="I389" s="62"/>
    </row>
    <row r="390" spans="6:9" x14ac:dyDescent="0.25">
      <c r="F390" s="60"/>
      <c r="G390" s="61"/>
      <c r="H390" s="61"/>
      <c r="I390" s="62"/>
    </row>
    <row r="391" spans="6:9" x14ac:dyDescent="0.25">
      <c r="F391" s="60"/>
      <c r="G391" s="61"/>
      <c r="H391" s="61"/>
      <c r="I391" s="62"/>
    </row>
    <row r="392" spans="6:9" x14ac:dyDescent="0.25">
      <c r="F392" s="60"/>
      <c r="G392" s="61"/>
      <c r="H392" s="61"/>
      <c r="I392" s="62"/>
    </row>
    <row r="393" spans="6:9" x14ac:dyDescent="0.25">
      <c r="F393" s="60"/>
      <c r="G393" s="61"/>
      <c r="H393" s="61"/>
      <c r="I393" s="62"/>
    </row>
    <row r="394" spans="6:9" x14ac:dyDescent="0.25">
      <c r="F394" s="60"/>
      <c r="G394" s="61"/>
      <c r="H394" s="61"/>
      <c r="I394" s="62"/>
    </row>
    <row r="395" spans="6:9" x14ac:dyDescent="0.25">
      <c r="F395" s="60"/>
      <c r="G395" s="61"/>
      <c r="H395" s="61"/>
      <c r="I395" s="62"/>
    </row>
    <row r="396" spans="6:9" x14ac:dyDescent="0.25">
      <c r="F396" s="60"/>
      <c r="G396" s="61"/>
      <c r="H396" s="61"/>
      <c r="I396" s="62"/>
    </row>
    <row r="397" spans="6:9" x14ac:dyDescent="0.25">
      <c r="F397" s="60"/>
      <c r="G397" s="61"/>
      <c r="H397" s="61"/>
      <c r="I397" s="62"/>
    </row>
    <row r="398" spans="6:9" x14ac:dyDescent="0.25">
      <c r="F398" s="60"/>
      <c r="G398" s="61"/>
      <c r="H398" s="61"/>
      <c r="I398" s="62"/>
    </row>
    <row r="399" spans="6:9" x14ac:dyDescent="0.25">
      <c r="F399" s="60"/>
      <c r="G399" s="61"/>
      <c r="H399" s="61"/>
      <c r="I399" s="62"/>
    </row>
    <row r="400" spans="6:9" x14ac:dyDescent="0.25">
      <c r="F400" s="60"/>
      <c r="G400" s="61"/>
      <c r="H400" s="61"/>
      <c r="I400" s="62"/>
    </row>
    <row r="401" spans="6:9" x14ac:dyDescent="0.25">
      <c r="F401" s="60"/>
      <c r="G401" s="61"/>
      <c r="H401" s="61"/>
      <c r="I401" s="62"/>
    </row>
    <row r="402" spans="6:9" x14ac:dyDescent="0.25">
      <c r="F402" s="60"/>
      <c r="G402" s="61"/>
      <c r="H402" s="61"/>
      <c r="I402" s="62"/>
    </row>
    <row r="403" spans="6:9" x14ac:dyDescent="0.25">
      <c r="F403" s="60"/>
      <c r="G403" s="61"/>
      <c r="H403" s="61"/>
      <c r="I403" s="62"/>
    </row>
    <row r="404" spans="6:9" x14ac:dyDescent="0.25">
      <c r="F404" s="60"/>
      <c r="G404" s="61"/>
      <c r="H404" s="61"/>
      <c r="I404" s="62"/>
    </row>
    <row r="405" spans="6:9" x14ac:dyDescent="0.25">
      <c r="F405" s="60"/>
      <c r="G405" s="61"/>
      <c r="H405" s="61"/>
      <c r="I405" s="62"/>
    </row>
    <row r="406" spans="6:9" x14ac:dyDescent="0.25">
      <c r="F406" s="60"/>
      <c r="G406" s="61"/>
      <c r="H406" s="61"/>
      <c r="I406" s="62"/>
    </row>
    <row r="407" spans="6:9" x14ac:dyDescent="0.25">
      <c r="F407" s="60"/>
      <c r="G407" s="61"/>
      <c r="H407" s="61"/>
      <c r="I407" s="62"/>
    </row>
    <row r="408" spans="6:9" x14ac:dyDescent="0.25">
      <c r="F408" s="60"/>
      <c r="G408" s="61"/>
      <c r="H408" s="61"/>
      <c r="I408" s="62"/>
    </row>
    <row r="409" spans="6:9" x14ac:dyDescent="0.25">
      <c r="F409" s="60"/>
      <c r="G409" s="61"/>
      <c r="H409" s="61"/>
      <c r="I409" s="62"/>
    </row>
    <row r="410" spans="6:9" x14ac:dyDescent="0.25">
      <c r="F410" s="60"/>
      <c r="G410" s="61"/>
      <c r="H410" s="61"/>
      <c r="I410" s="62"/>
    </row>
    <row r="411" spans="6:9" x14ac:dyDescent="0.25">
      <c r="F411" s="60"/>
      <c r="G411" s="61"/>
      <c r="H411" s="61"/>
      <c r="I411" s="62"/>
    </row>
    <row r="412" spans="6:9" x14ac:dyDescent="0.25">
      <c r="F412" s="60"/>
      <c r="G412" s="61"/>
      <c r="H412" s="61"/>
      <c r="I412" s="62"/>
    </row>
    <row r="413" spans="6:9" x14ac:dyDescent="0.25">
      <c r="F413" s="60"/>
      <c r="G413" s="61"/>
      <c r="H413" s="61"/>
      <c r="I413" s="62"/>
    </row>
    <row r="414" spans="6:9" x14ac:dyDescent="0.25">
      <c r="F414" s="60"/>
      <c r="G414" s="61"/>
      <c r="H414" s="61"/>
      <c r="I414" s="62"/>
    </row>
    <row r="415" spans="6:9" x14ac:dyDescent="0.25">
      <c r="F415" s="60"/>
      <c r="G415" s="61"/>
      <c r="H415" s="61"/>
      <c r="I415" s="62"/>
    </row>
    <row r="416" spans="6:9" x14ac:dyDescent="0.25">
      <c r="F416" s="60"/>
      <c r="G416" s="61"/>
      <c r="H416" s="61"/>
      <c r="I416" s="62"/>
    </row>
    <row r="417" spans="6:9" x14ac:dyDescent="0.25">
      <c r="F417" s="60"/>
      <c r="G417" s="61"/>
      <c r="H417" s="61"/>
      <c r="I417" s="62"/>
    </row>
    <row r="418" spans="6:9" x14ac:dyDescent="0.25">
      <c r="F418" s="60"/>
      <c r="G418" s="61"/>
      <c r="H418" s="61"/>
      <c r="I418" s="62"/>
    </row>
    <row r="419" spans="6:9" x14ac:dyDescent="0.25">
      <c r="F419" s="60"/>
      <c r="G419" s="61"/>
      <c r="H419" s="61"/>
      <c r="I419" s="62"/>
    </row>
    <row r="420" spans="6:9" x14ac:dyDescent="0.25">
      <c r="F420" s="60"/>
      <c r="G420" s="61"/>
      <c r="H420" s="61"/>
      <c r="I420" s="62"/>
    </row>
    <row r="421" spans="6:9" x14ac:dyDescent="0.25">
      <c r="F421" s="60"/>
      <c r="G421" s="61"/>
      <c r="H421" s="61"/>
      <c r="I421" s="62"/>
    </row>
    <row r="422" spans="6:9" x14ac:dyDescent="0.25">
      <c r="F422" s="60"/>
      <c r="G422" s="61"/>
      <c r="H422" s="61"/>
      <c r="I422" s="62"/>
    </row>
    <row r="423" spans="6:9" x14ac:dyDescent="0.25">
      <c r="F423" s="60"/>
      <c r="G423" s="61"/>
      <c r="H423" s="61"/>
      <c r="I423" s="62"/>
    </row>
    <row r="424" spans="6:9" x14ac:dyDescent="0.25">
      <c r="F424" s="60"/>
      <c r="G424" s="61"/>
      <c r="H424" s="61"/>
      <c r="I424" s="62"/>
    </row>
    <row r="425" spans="6:9" x14ac:dyDescent="0.25">
      <c r="F425" s="60"/>
      <c r="G425" s="61"/>
      <c r="H425" s="61"/>
      <c r="I425" s="62"/>
    </row>
    <row r="426" spans="6:9" x14ac:dyDescent="0.25">
      <c r="F426" s="60"/>
      <c r="G426" s="61"/>
      <c r="H426" s="61"/>
      <c r="I426" s="62"/>
    </row>
    <row r="427" spans="6:9" x14ac:dyDescent="0.25">
      <c r="F427" s="60"/>
      <c r="G427" s="61"/>
      <c r="H427" s="61"/>
      <c r="I427" s="62"/>
    </row>
    <row r="428" spans="6:9" x14ac:dyDescent="0.25">
      <c r="F428" s="60"/>
      <c r="G428" s="61"/>
      <c r="H428" s="61"/>
      <c r="I428" s="62"/>
    </row>
    <row r="429" spans="6:9" x14ac:dyDescent="0.25">
      <c r="F429" s="60"/>
      <c r="G429" s="61"/>
      <c r="H429" s="61"/>
      <c r="I429" s="62"/>
    </row>
    <row r="430" spans="6:9" x14ac:dyDescent="0.25">
      <c r="F430" s="60"/>
      <c r="G430" s="61"/>
      <c r="H430" s="61"/>
      <c r="I430" s="62"/>
    </row>
    <row r="431" spans="6:9" x14ac:dyDescent="0.25">
      <c r="F431" s="60"/>
      <c r="G431" s="61"/>
      <c r="H431" s="61"/>
      <c r="I431" s="62"/>
    </row>
    <row r="432" spans="6:9" x14ac:dyDescent="0.25">
      <c r="F432" s="60"/>
      <c r="G432" s="61"/>
      <c r="H432" s="61"/>
      <c r="I432" s="62"/>
    </row>
    <row r="433" spans="6:9" x14ac:dyDescent="0.25">
      <c r="F433" s="60"/>
      <c r="G433" s="61"/>
      <c r="H433" s="61"/>
      <c r="I433" s="62"/>
    </row>
    <row r="434" spans="6:9" x14ac:dyDescent="0.25">
      <c r="F434" s="60"/>
      <c r="G434" s="61"/>
      <c r="H434" s="61"/>
      <c r="I434" s="62"/>
    </row>
    <row r="435" spans="6:9" x14ac:dyDescent="0.25">
      <c r="F435" s="60"/>
      <c r="G435" s="61"/>
      <c r="H435" s="61"/>
      <c r="I435" s="62"/>
    </row>
    <row r="436" spans="6:9" x14ac:dyDescent="0.25">
      <c r="F436" s="60"/>
      <c r="G436" s="61"/>
      <c r="H436" s="61"/>
      <c r="I436" s="62"/>
    </row>
    <row r="437" spans="6:9" x14ac:dyDescent="0.25">
      <c r="F437" s="60"/>
      <c r="G437" s="61"/>
      <c r="H437" s="61"/>
      <c r="I437" s="62"/>
    </row>
    <row r="438" spans="6:9" x14ac:dyDescent="0.25">
      <c r="F438" s="60"/>
      <c r="G438" s="61"/>
      <c r="H438" s="61"/>
      <c r="I438" s="62"/>
    </row>
    <row r="439" spans="6:9" x14ac:dyDescent="0.25">
      <c r="F439" s="60"/>
      <c r="G439" s="61"/>
      <c r="H439" s="61"/>
      <c r="I439" s="62"/>
    </row>
    <row r="440" spans="6:9" x14ac:dyDescent="0.25">
      <c r="F440" s="60"/>
      <c r="G440" s="61"/>
      <c r="H440" s="61"/>
      <c r="I440" s="62"/>
    </row>
    <row r="441" spans="6:9" x14ac:dyDescent="0.25">
      <c r="F441" s="60"/>
      <c r="G441" s="61"/>
      <c r="H441" s="61"/>
      <c r="I441" s="62"/>
    </row>
    <row r="442" spans="6:9" x14ac:dyDescent="0.25">
      <c r="F442" s="60"/>
      <c r="G442" s="61"/>
      <c r="H442" s="61"/>
      <c r="I442" s="62"/>
    </row>
    <row r="443" spans="6:9" x14ac:dyDescent="0.25">
      <c r="F443" s="60"/>
      <c r="G443" s="61"/>
      <c r="H443" s="61"/>
      <c r="I443" s="62"/>
    </row>
    <row r="444" spans="6:9" x14ac:dyDescent="0.25">
      <c r="F444" s="60"/>
      <c r="G444" s="61"/>
      <c r="H444" s="61"/>
      <c r="I444" s="62"/>
    </row>
    <row r="445" spans="6:9" x14ac:dyDescent="0.25">
      <c r="F445" s="60"/>
      <c r="G445" s="61"/>
      <c r="H445" s="61"/>
      <c r="I445" s="62"/>
    </row>
    <row r="446" spans="6:9" x14ac:dyDescent="0.25">
      <c r="F446" s="60"/>
      <c r="G446" s="61"/>
      <c r="H446" s="61"/>
      <c r="I446" s="62"/>
    </row>
    <row r="447" spans="6:9" x14ac:dyDescent="0.25">
      <c r="F447" s="60"/>
      <c r="G447" s="61"/>
      <c r="H447" s="61"/>
      <c r="I447" s="62"/>
    </row>
    <row r="448" spans="6:9" x14ac:dyDescent="0.25">
      <c r="F448" s="60"/>
      <c r="G448" s="61"/>
      <c r="H448" s="61"/>
      <c r="I448" s="62"/>
    </row>
    <row r="449" spans="6:9" x14ac:dyDescent="0.25">
      <c r="F449" s="60"/>
      <c r="G449" s="61"/>
      <c r="H449" s="61"/>
      <c r="I449" s="62"/>
    </row>
    <row r="450" spans="6:9" x14ac:dyDescent="0.25">
      <c r="F450" s="60"/>
      <c r="G450" s="61"/>
      <c r="H450" s="61"/>
      <c r="I450" s="62"/>
    </row>
    <row r="451" spans="6:9" x14ac:dyDescent="0.25">
      <c r="F451" s="60"/>
      <c r="G451" s="61"/>
      <c r="H451" s="61"/>
      <c r="I451" s="62"/>
    </row>
    <row r="452" spans="6:9" x14ac:dyDescent="0.25">
      <c r="F452" s="60"/>
      <c r="G452" s="61"/>
      <c r="H452" s="61"/>
      <c r="I452" s="62"/>
    </row>
    <row r="453" spans="6:9" x14ac:dyDescent="0.25">
      <c r="F453" s="60"/>
      <c r="G453" s="61"/>
      <c r="H453" s="61"/>
      <c r="I453" s="62"/>
    </row>
    <row r="454" spans="6:9" x14ac:dyDescent="0.25">
      <c r="F454" s="60"/>
      <c r="G454" s="61"/>
      <c r="H454" s="61"/>
      <c r="I454" s="62"/>
    </row>
    <row r="455" spans="6:9" x14ac:dyDescent="0.25">
      <c r="F455" s="60"/>
      <c r="G455" s="61"/>
      <c r="H455" s="61"/>
      <c r="I455" s="62"/>
    </row>
    <row r="456" spans="6:9" x14ac:dyDescent="0.25">
      <c r="F456" s="60"/>
      <c r="G456" s="61"/>
      <c r="H456" s="61"/>
      <c r="I456" s="62"/>
    </row>
    <row r="457" spans="6:9" x14ac:dyDescent="0.25">
      <c r="F457" s="60"/>
      <c r="G457" s="61"/>
      <c r="H457" s="61"/>
      <c r="I457" s="62"/>
    </row>
    <row r="458" spans="6:9" x14ac:dyDescent="0.25">
      <c r="F458" s="60"/>
      <c r="G458" s="61"/>
      <c r="H458" s="61"/>
      <c r="I458" s="62"/>
    </row>
    <row r="459" spans="6:9" x14ac:dyDescent="0.25">
      <c r="F459" s="60"/>
      <c r="G459" s="61"/>
      <c r="H459" s="61"/>
      <c r="I459" s="62"/>
    </row>
    <row r="460" spans="6:9" x14ac:dyDescent="0.25">
      <c r="F460" s="60"/>
      <c r="G460" s="61"/>
      <c r="H460" s="61"/>
      <c r="I460" s="62"/>
    </row>
    <row r="461" spans="6:9" x14ac:dyDescent="0.25">
      <c r="F461" s="60"/>
      <c r="G461" s="61"/>
      <c r="H461" s="61"/>
      <c r="I461" s="62"/>
    </row>
    <row r="462" spans="6:9" x14ac:dyDescent="0.25">
      <c r="F462" s="60"/>
      <c r="G462" s="61"/>
      <c r="H462" s="61"/>
      <c r="I462" s="62"/>
    </row>
    <row r="463" spans="6:9" x14ac:dyDescent="0.25">
      <c r="F463" s="60"/>
      <c r="G463" s="61"/>
      <c r="H463" s="61"/>
      <c r="I463" s="62"/>
    </row>
    <row r="464" spans="6:9" x14ac:dyDescent="0.25">
      <c r="F464" s="60"/>
      <c r="G464" s="61"/>
      <c r="H464" s="61"/>
      <c r="I464" s="62"/>
    </row>
    <row r="465" spans="6:9" x14ac:dyDescent="0.25">
      <c r="F465" s="60"/>
      <c r="G465" s="61"/>
      <c r="H465" s="61"/>
      <c r="I465" s="62"/>
    </row>
    <row r="466" spans="6:9" x14ac:dyDescent="0.25">
      <c r="F466" s="60"/>
      <c r="G466" s="61"/>
      <c r="H466" s="61"/>
      <c r="I466" s="62"/>
    </row>
    <row r="467" spans="6:9" x14ac:dyDescent="0.25">
      <c r="F467" s="60"/>
      <c r="G467" s="61"/>
      <c r="H467" s="61"/>
      <c r="I467" s="62"/>
    </row>
    <row r="468" spans="6:9" x14ac:dyDescent="0.25">
      <c r="F468" s="60"/>
      <c r="G468" s="61"/>
      <c r="H468" s="61"/>
      <c r="I468" s="62"/>
    </row>
    <row r="469" spans="6:9" x14ac:dyDescent="0.25">
      <c r="F469" s="60"/>
      <c r="G469" s="61"/>
      <c r="H469" s="61"/>
      <c r="I469" s="62"/>
    </row>
    <row r="470" spans="6:9" x14ac:dyDescent="0.25">
      <c r="F470" s="60"/>
      <c r="G470" s="61"/>
      <c r="H470" s="61"/>
      <c r="I470" s="62"/>
    </row>
    <row r="471" spans="6:9" x14ac:dyDescent="0.25">
      <c r="F471" s="60"/>
      <c r="G471" s="61"/>
      <c r="H471" s="61"/>
      <c r="I471" s="62"/>
    </row>
    <row r="472" spans="6:9" x14ac:dyDescent="0.25">
      <c r="F472" s="60"/>
      <c r="G472" s="61"/>
      <c r="H472" s="61"/>
      <c r="I472" s="62"/>
    </row>
    <row r="473" spans="6:9" x14ac:dyDescent="0.25">
      <c r="F473" s="60"/>
      <c r="G473" s="61"/>
      <c r="H473" s="61"/>
      <c r="I473" s="62"/>
    </row>
    <row r="474" spans="6:9" x14ac:dyDescent="0.25">
      <c r="F474" s="60"/>
      <c r="G474" s="61"/>
      <c r="H474" s="61"/>
      <c r="I474" s="62"/>
    </row>
    <row r="475" spans="6:9" x14ac:dyDescent="0.25">
      <c r="F475" s="60"/>
      <c r="G475" s="61"/>
      <c r="H475" s="61"/>
      <c r="I475" s="62"/>
    </row>
    <row r="476" spans="6:9" x14ac:dyDescent="0.25">
      <c r="F476" s="60"/>
      <c r="G476" s="61"/>
      <c r="H476" s="61"/>
      <c r="I476" s="62"/>
    </row>
    <row r="477" spans="6:9" x14ac:dyDescent="0.25">
      <c r="F477" s="60"/>
      <c r="G477" s="61"/>
      <c r="H477" s="61"/>
      <c r="I477" s="62"/>
    </row>
    <row r="478" spans="6:9" x14ac:dyDescent="0.25">
      <c r="F478" s="60"/>
      <c r="G478" s="61"/>
      <c r="H478" s="61"/>
      <c r="I478" s="62"/>
    </row>
    <row r="479" spans="6:9" x14ac:dyDescent="0.25">
      <c r="F479" s="60"/>
      <c r="G479" s="61"/>
      <c r="H479" s="61"/>
      <c r="I479" s="62"/>
    </row>
    <row r="480" spans="6:9" x14ac:dyDescent="0.25">
      <c r="F480" s="60"/>
      <c r="G480" s="61"/>
      <c r="H480" s="61"/>
      <c r="I480" s="62"/>
    </row>
    <row r="481" spans="6:9" x14ac:dyDescent="0.25">
      <c r="F481" s="60"/>
      <c r="G481" s="61"/>
      <c r="H481" s="61"/>
      <c r="I481" s="62"/>
    </row>
    <row r="482" spans="6:9" x14ac:dyDescent="0.25">
      <c r="F482" s="60"/>
      <c r="G482" s="61"/>
      <c r="H482" s="61"/>
      <c r="I482" s="62"/>
    </row>
    <row r="483" spans="6:9" x14ac:dyDescent="0.25">
      <c r="F483" s="60"/>
      <c r="G483" s="61"/>
      <c r="H483" s="61"/>
      <c r="I483" s="62"/>
    </row>
    <row r="484" spans="6:9" x14ac:dyDescent="0.25">
      <c r="F484" s="60"/>
      <c r="G484" s="61"/>
      <c r="H484" s="61"/>
      <c r="I484" s="62"/>
    </row>
    <row r="485" spans="6:9" x14ac:dyDescent="0.25">
      <c r="F485" s="60"/>
      <c r="G485" s="61"/>
      <c r="H485" s="61"/>
      <c r="I485" s="62"/>
    </row>
    <row r="486" spans="6:9" x14ac:dyDescent="0.25">
      <c r="F486" s="60"/>
      <c r="G486" s="61"/>
      <c r="H486" s="61"/>
      <c r="I486" s="62"/>
    </row>
    <row r="487" spans="6:9" x14ac:dyDescent="0.25">
      <c r="F487" s="60"/>
      <c r="G487" s="61"/>
      <c r="H487" s="61"/>
      <c r="I487" s="62"/>
    </row>
    <row r="488" spans="6:9" x14ac:dyDescent="0.25">
      <c r="F488" s="60"/>
      <c r="G488" s="61"/>
      <c r="H488" s="61"/>
      <c r="I488" s="62"/>
    </row>
    <row r="489" spans="6:9" x14ac:dyDescent="0.25">
      <c r="F489" s="60"/>
      <c r="G489" s="61"/>
      <c r="H489" s="61"/>
      <c r="I489" s="62"/>
    </row>
    <row r="490" spans="6:9" x14ac:dyDescent="0.25">
      <c r="F490" s="60"/>
      <c r="G490" s="61"/>
      <c r="H490" s="61"/>
      <c r="I490" s="62"/>
    </row>
    <row r="491" spans="6:9" x14ac:dyDescent="0.25">
      <c r="F491" s="60"/>
      <c r="G491" s="61"/>
      <c r="H491" s="61"/>
      <c r="I491" s="62"/>
    </row>
    <row r="492" spans="6:9" x14ac:dyDescent="0.25">
      <c r="F492" s="60"/>
      <c r="G492" s="61"/>
      <c r="H492" s="61"/>
      <c r="I492" s="62"/>
    </row>
    <row r="493" spans="6:9" x14ac:dyDescent="0.25">
      <c r="F493" s="60"/>
      <c r="G493" s="61"/>
      <c r="H493" s="61"/>
      <c r="I493" s="62"/>
    </row>
    <row r="494" spans="6:9" x14ac:dyDescent="0.25">
      <c r="F494" s="60"/>
      <c r="G494" s="61"/>
      <c r="H494" s="61"/>
      <c r="I494" s="62"/>
    </row>
    <row r="495" spans="6:9" x14ac:dyDescent="0.25">
      <c r="F495" s="60"/>
      <c r="G495" s="61"/>
      <c r="H495" s="61"/>
      <c r="I495" s="62"/>
    </row>
    <row r="496" spans="6:9" x14ac:dyDescent="0.25">
      <c r="F496" s="60"/>
      <c r="G496" s="61"/>
      <c r="H496" s="61"/>
      <c r="I496" s="62"/>
    </row>
    <row r="497" spans="6:9" x14ac:dyDescent="0.25">
      <c r="F497" s="60"/>
      <c r="G497" s="61"/>
      <c r="H497" s="61"/>
      <c r="I497" s="62"/>
    </row>
    <row r="498" spans="6:9" x14ac:dyDescent="0.25">
      <c r="F498" s="60"/>
      <c r="G498" s="61"/>
      <c r="H498" s="61"/>
      <c r="I498" s="62"/>
    </row>
    <row r="499" spans="6:9" x14ac:dyDescent="0.25">
      <c r="F499" s="60"/>
      <c r="G499" s="61"/>
      <c r="H499" s="61"/>
      <c r="I499" s="62"/>
    </row>
    <row r="500" spans="6:9" x14ac:dyDescent="0.25">
      <c r="F500" s="60"/>
      <c r="G500" s="61"/>
      <c r="H500" s="61"/>
      <c r="I500" s="62"/>
    </row>
    <row r="501" spans="6:9" x14ac:dyDescent="0.25">
      <c r="F501" s="60"/>
      <c r="G501" s="61"/>
      <c r="H501" s="61"/>
      <c r="I501" s="62"/>
    </row>
    <row r="502" spans="6:9" x14ac:dyDescent="0.25">
      <c r="F502" s="60"/>
      <c r="G502" s="61"/>
      <c r="H502" s="61"/>
      <c r="I502" s="62"/>
    </row>
    <row r="503" spans="6:9" x14ac:dyDescent="0.25">
      <c r="F503" s="60"/>
      <c r="G503" s="61"/>
      <c r="H503" s="61"/>
      <c r="I503" s="62"/>
    </row>
    <row r="504" spans="6:9" x14ac:dyDescent="0.25">
      <c r="F504" s="60"/>
      <c r="G504" s="61"/>
      <c r="H504" s="61"/>
      <c r="I504" s="62"/>
    </row>
    <row r="505" spans="6:9" x14ac:dyDescent="0.25">
      <c r="F505" s="60"/>
      <c r="G505" s="61"/>
      <c r="H505" s="61"/>
      <c r="I505" s="62"/>
    </row>
    <row r="506" spans="6:9" x14ac:dyDescent="0.25">
      <c r="F506" s="60"/>
      <c r="G506" s="61"/>
      <c r="H506" s="61"/>
      <c r="I506" s="62"/>
    </row>
    <row r="507" spans="6:9" x14ac:dyDescent="0.25">
      <c r="F507" s="60"/>
      <c r="G507" s="61"/>
      <c r="H507" s="61"/>
      <c r="I507" s="62"/>
    </row>
    <row r="508" spans="6:9" x14ac:dyDescent="0.25">
      <c r="F508" s="60"/>
      <c r="G508" s="61"/>
      <c r="H508" s="61"/>
      <c r="I508" s="62"/>
    </row>
    <row r="509" spans="6:9" x14ac:dyDescent="0.25">
      <c r="F509" s="60"/>
      <c r="G509" s="61"/>
      <c r="H509" s="61"/>
      <c r="I509" s="62"/>
    </row>
    <row r="510" spans="6:9" x14ac:dyDescent="0.25">
      <c r="F510" s="60"/>
      <c r="G510" s="61"/>
      <c r="H510" s="61"/>
      <c r="I510" s="62"/>
    </row>
    <row r="511" spans="6:9" x14ac:dyDescent="0.25">
      <c r="F511" s="60"/>
      <c r="G511" s="61"/>
      <c r="H511" s="61"/>
      <c r="I511" s="62"/>
    </row>
    <row r="512" spans="6:9" x14ac:dyDescent="0.25">
      <c r="F512" s="60"/>
      <c r="G512" s="61"/>
      <c r="H512" s="61"/>
      <c r="I512" s="62"/>
    </row>
    <row r="513" spans="6:9" x14ac:dyDescent="0.25">
      <c r="F513" s="60"/>
      <c r="G513" s="61"/>
      <c r="H513" s="61"/>
      <c r="I513" s="62"/>
    </row>
    <row r="514" spans="6:9" x14ac:dyDescent="0.25">
      <c r="F514" s="60"/>
      <c r="G514" s="61"/>
      <c r="H514" s="61"/>
      <c r="I514" s="62"/>
    </row>
    <row r="515" spans="6:9" x14ac:dyDescent="0.25">
      <c r="F515" s="60"/>
      <c r="G515" s="61"/>
      <c r="H515" s="61"/>
      <c r="I515" s="62"/>
    </row>
    <row r="516" spans="6:9" x14ac:dyDescent="0.25">
      <c r="F516" s="60"/>
      <c r="G516" s="61"/>
      <c r="H516" s="61"/>
      <c r="I516" s="62"/>
    </row>
    <row r="517" spans="6:9" x14ac:dyDescent="0.25">
      <c r="F517" s="60"/>
      <c r="G517" s="61"/>
      <c r="H517" s="61"/>
      <c r="I517" s="62"/>
    </row>
    <row r="518" spans="6:9" x14ac:dyDescent="0.25">
      <c r="F518" s="60"/>
      <c r="G518" s="61"/>
      <c r="H518" s="61"/>
      <c r="I518" s="62"/>
    </row>
    <row r="519" spans="6:9" x14ac:dyDescent="0.25">
      <c r="F519" s="60"/>
      <c r="G519" s="61"/>
      <c r="H519" s="61"/>
      <c r="I519" s="62"/>
    </row>
    <row r="520" spans="6:9" x14ac:dyDescent="0.25">
      <c r="F520" s="60"/>
      <c r="G520" s="61"/>
      <c r="H520" s="61"/>
      <c r="I520" s="62"/>
    </row>
    <row r="521" spans="6:9" x14ac:dyDescent="0.25">
      <c r="F521" s="60"/>
      <c r="G521" s="61"/>
      <c r="H521" s="61"/>
      <c r="I521" s="62"/>
    </row>
    <row r="522" spans="6:9" x14ac:dyDescent="0.25">
      <c r="F522" s="60"/>
      <c r="G522" s="61"/>
      <c r="H522" s="61"/>
      <c r="I522" s="62"/>
    </row>
    <row r="523" spans="6:9" x14ac:dyDescent="0.25">
      <c r="F523" s="60"/>
      <c r="G523" s="61"/>
      <c r="H523" s="61"/>
      <c r="I523" s="62"/>
    </row>
    <row r="524" spans="6:9" x14ac:dyDescent="0.25">
      <c r="F524" s="60"/>
      <c r="G524" s="61"/>
      <c r="H524" s="61"/>
      <c r="I524" s="62"/>
    </row>
    <row r="525" spans="6:9" x14ac:dyDescent="0.25">
      <c r="F525" s="60"/>
      <c r="G525" s="61"/>
      <c r="H525" s="61"/>
      <c r="I525" s="62"/>
    </row>
    <row r="526" spans="6:9" x14ac:dyDescent="0.25">
      <c r="F526" s="60"/>
      <c r="G526" s="61"/>
      <c r="H526" s="61"/>
      <c r="I526" s="62"/>
    </row>
    <row r="527" spans="6:9" x14ac:dyDescent="0.25">
      <c r="F527" s="60"/>
      <c r="G527" s="61"/>
      <c r="H527" s="61"/>
      <c r="I527" s="62"/>
    </row>
    <row r="528" spans="6:9" x14ac:dyDescent="0.25">
      <c r="F528" s="60"/>
      <c r="G528" s="61"/>
      <c r="H528" s="61"/>
      <c r="I528" s="62"/>
    </row>
    <row r="529" spans="6:9" x14ac:dyDescent="0.25">
      <c r="F529" s="60"/>
      <c r="G529" s="61"/>
      <c r="H529" s="61"/>
      <c r="I529" s="62"/>
    </row>
    <row r="530" spans="6:9" x14ac:dyDescent="0.25">
      <c r="F530" s="60"/>
      <c r="G530" s="61"/>
      <c r="H530" s="61"/>
      <c r="I530" s="62"/>
    </row>
    <row r="531" spans="6:9" x14ac:dyDescent="0.25">
      <c r="F531" s="60"/>
      <c r="G531" s="61"/>
      <c r="H531" s="61"/>
      <c r="I531" s="62"/>
    </row>
    <row r="532" spans="6:9" x14ac:dyDescent="0.25">
      <c r="F532" s="60"/>
      <c r="G532" s="61"/>
      <c r="H532" s="61"/>
      <c r="I532" s="62"/>
    </row>
    <row r="533" spans="6:9" x14ac:dyDescent="0.25">
      <c r="F533" s="60"/>
      <c r="G533" s="61"/>
      <c r="H533" s="61"/>
      <c r="I533" s="62"/>
    </row>
    <row r="534" spans="6:9" x14ac:dyDescent="0.25">
      <c r="F534" s="60"/>
      <c r="G534" s="61"/>
      <c r="H534" s="61"/>
      <c r="I534" s="62"/>
    </row>
    <row r="535" spans="6:9" x14ac:dyDescent="0.25">
      <c r="F535" s="60"/>
      <c r="G535" s="61"/>
      <c r="H535" s="61"/>
      <c r="I535" s="62"/>
    </row>
    <row r="536" spans="6:9" x14ac:dyDescent="0.25">
      <c r="F536" s="60"/>
      <c r="G536" s="61"/>
      <c r="H536" s="61"/>
      <c r="I536" s="62"/>
    </row>
    <row r="537" spans="6:9" x14ac:dyDescent="0.25">
      <c r="F537" s="60"/>
      <c r="G537" s="61"/>
      <c r="H537" s="61"/>
      <c r="I537" s="62"/>
    </row>
    <row r="538" spans="6:9" x14ac:dyDescent="0.25">
      <c r="F538" s="60"/>
      <c r="G538" s="61"/>
      <c r="H538" s="61"/>
      <c r="I538" s="62"/>
    </row>
    <row r="539" spans="6:9" x14ac:dyDescent="0.25">
      <c r="F539" s="60"/>
      <c r="G539" s="61"/>
      <c r="H539" s="61"/>
      <c r="I539" s="62"/>
    </row>
    <row r="540" spans="6:9" x14ac:dyDescent="0.25">
      <c r="F540" s="60"/>
      <c r="G540" s="61"/>
      <c r="H540" s="61"/>
      <c r="I540" s="62"/>
    </row>
    <row r="541" spans="6:9" x14ac:dyDescent="0.25">
      <c r="F541" s="60"/>
      <c r="G541" s="61"/>
      <c r="H541" s="61"/>
      <c r="I541" s="62"/>
    </row>
    <row r="542" spans="6:9" x14ac:dyDescent="0.25">
      <c r="F542" s="60"/>
      <c r="G542" s="61"/>
      <c r="H542" s="61"/>
      <c r="I542" s="62"/>
    </row>
    <row r="543" spans="6:9" x14ac:dyDescent="0.25">
      <c r="F543" s="60"/>
      <c r="G543" s="61"/>
      <c r="H543" s="61"/>
      <c r="I543" s="62"/>
    </row>
    <row r="544" spans="6:9" x14ac:dyDescent="0.25">
      <c r="F544" s="60"/>
      <c r="G544" s="61"/>
      <c r="H544" s="61"/>
      <c r="I544" s="62"/>
    </row>
    <row r="545" spans="6:9" x14ac:dyDescent="0.25">
      <c r="F545" s="60"/>
      <c r="G545" s="61"/>
      <c r="H545" s="61"/>
      <c r="I545" s="62"/>
    </row>
    <row r="546" spans="6:9" x14ac:dyDescent="0.25">
      <c r="F546" s="60"/>
      <c r="G546" s="61"/>
      <c r="H546" s="61"/>
      <c r="I546" s="62"/>
    </row>
    <row r="547" spans="6:9" x14ac:dyDescent="0.25">
      <c r="F547" s="60"/>
      <c r="G547" s="61"/>
      <c r="H547" s="61"/>
      <c r="I547" s="62"/>
    </row>
    <row r="548" spans="6:9" x14ac:dyDescent="0.25">
      <c r="F548" s="60"/>
      <c r="G548" s="61"/>
      <c r="H548" s="61"/>
      <c r="I548" s="62"/>
    </row>
    <row r="549" spans="6:9" x14ac:dyDescent="0.25">
      <c r="F549" s="60"/>
      <c r="G549" s="61"/>
      <c r="H549" s="61"/>
      <c r="I549" s="62"/>
    </row>
    <row r="550" spans="6:9" x14ac:dyDescent="0.25">
      <c r="F550" s="60"/>
      <c r="G550" s="61"/>
      <c r="H550" s="61"/>
      <c r="I550" s="62"/>
    </row>
    <row r="551" spans="6:9" x14ac:dyDescent="0.25">
      <c r="F551" s="60"/>
      <c r="G551" s="61"/>
      <c r="H551" s="61"/>
      <c r="I551" s="62"/>
    </row>
    <row r="552" spans="6:9" x14ac:dyDescent="0.25">
      <c r="F552" s="60"/>
      <c r="G552" s="61"/>
      <c r="H552" s="61"/>
      <c r="I552" s="62"/>
    </row>
    <row r="553" spans="6:9" x14ac:dyDescent="0.25">
      <c r="F553" s="60"/>
      <c r="G553" s="61"/>
      <c r="H553" s="61"/>
      <c r="I553" s="62"/>
    </row>
    <row r="554" spans="6:9" x14ac:dyDescent="0.25">
      <c r="F554" s="60"/>
      <c r="G554" s="61"/>
      <c r="H554" s="61"/>
      <c r="I554" s="62"/>
    </row>
    <row r="555" spans="6:9" x14ac:dyDescent="0.25">
      <c r="F555" s="60"/>
      <c r="G555" s="61"/>
      <c r="H555" s="61"/>
      <c r="I555" s="62"/>
    </row>
    <row r="556" spans="6:9" x14ac:dyDescent="0.25">
      <c r="F556" s="60"/>
      <c r="G556" s="61"/>
      <c r="H556" s="61"/>
      <c r="I556" s="62"/>
    </row>
    <row r="557" spans="6:9" x14ac:dyDescent="0.25">
      <c r="F557" s="60"/>
      <c r="G557" s="61"/>
      <c r="H557" s="61"/>
      <c r="I557" s="62"/>
    </row>
    <row r="558" spans="6:9" x14ac:dyDescent="0.25">
      <c r="F558" s="60"/>
      <c r="G558" s="61"/>
      <c r="H558" s="61"/>
      <c r="I558" s="62"/>
    </row>
    <row r="559" spans="6:9" x14ac:dyDescent="0.25">
      <c r="F559" s="60"/>
      <c r="G559" s="61"/>
      <c r="H559" s="61"/>
      <c r="I559" s="62"/>
    </row>
    <row r="560" spans="6:9" x14ac:dyDescent="0.25">
      <c r="F560" s="60"/>
      <c r="G560" s="61"/>
      <c r="H560" s="61"/>
      <c r="I560" s="62"/>
    </row>
    <row r="561" spans="6:9" x14ac:dyDescent="0.25">
      <c r="F561" s="60"/>
      <c r="G561" s="61"/>
      <c r="H561" s="61"/>
      <c r="I561" s="62"/>
    </row>
    <row r="562" spans="6:9" x14ac:dyDescent="0.25">
      <c r="F562" s="60"/>
      <c r="G562" s="61"/>
      <c r="H562" s="61"/>
      <c r="I562" s="62"/>
    </row>
    <row r="563" spans="6:9" x14ac:dyDescent="0.25">
      <c r="F563" s="60"/>
      <c r="G563" s="61"/>
      <c r="H563" s="61"/>
      <c r="I563" s="62"/>
    </row>
    <row r="564" spans="6:9" x14ac:dyDescent="0.25">
      <c r="F564" s="60"/>
      <c r="G564" s="61"/>
      <c r="H564" s="61"/>
      <c r="I564" s="62"/>
    </row>
    <row r="565" spans="6:9" x14ac:dyDescent="0.25">
      <c r="F565" s="60"/>
      <c r="G565" s="61"/>
      <c r="H565" s="61"/>
      <c r="I565" s="62"/>
    </row>
    <row r="566" spans="6:9" x14ac:dyDescent="0.25">
      <c r="F566" s="60"/>
      <c r="G566" s="61"/>
      <c r="H566" s="61"/>
      <c r="I566" s="62"/>
    </row>
    <row r="567" spans="6:9" x14ac:dyDescent="0.25">
      <c r="F567" s="60"/>
      <c r="G567" s="61"/>
      <c r="H567" s="61"/>
      <c r="I567" s="62"/>
    </row>
    <row r="568" spans="6:9" x14ac:dyDescent="0.25">
      <c r="F568" s="60"/>
      <c r="G568" s="61"/>
      <c r="H568" s="61"/>
      <c r="I568" s="62"/>
    </row>
    <row r="569" spans="6:9" x14ac:dyDescent="0.25">
      <c r="F569" s="60"/>
      <c r="G569" s="61"/>
      <c r="H569" s="61"/>
      <c r="I569" s="62"/>
    </row>
    <row r="570" spans="6:9" x14ac:dyDescent="0.25">
      <c r="F570" s="60"/>
      <c r="G570" s="61"/>
      <c r="H570" s="61"/>
      <c r="I570" s="62"/>
    </row>
    <row r="571" spans="6:9" x14ac:dyDescent="0.25">
      <c r="F571" s="60"/>
      <c r="G571" s="61"/>
      <c r="H571" s="61"/>
      <c r="I571" s="62"/>
    </row>
    <row r="572" spans="6:9" x14ac:dyDescent="0.25">
      <c r="F572" s="60"/>
      <c r="G572" s="61"/>
      <c r="H572" s="61"/>
      <c r="I572" s="62"/>
    </row>
    <row r="573" spans="6:9" x14ac:dyDescent="0.25">
      <c r="F573" s="60"/>
      <c r="G573" s="61"/>
      <c r="H573" s="61"/>
      <c r="I573" s="62"/>
    </row>
    <row r="574" spans="6:9" x14ac:dyDescent="0.25">
      <c r="F574" s="60"/>
      <c r="G574" s="61"/>
      <c r="H574" s="61"/>
      <c r="I574" s="62"/>
    </row>
    <row r="575" spans="6:9" x14ac:dyDescent="0.25">
      <c r="F575" s="60"/>
      <c r="G575" s="61"/>
      <c r="H575" s="61"/>
      <c r="I575" s="62"/>
    </row>
    <row r="576" spans="6:9" x14ac:dyDescent="0.25">
      <c r="F576" s="60"/>
      <c r="G576" s="61"/>
      <c r="H576" s="61"/>
      <c r="I576" s="62"/>
    </row>
    <row r="577" spans="6:9" ht="15.75" thickBot="1" x14ac:dyDescent="0.3">
      <c r="F577" s="63"/>
      <c r="G577" s="64"/>
      <c r="H577" s="64"/>
      <c r="I577" s="65"/>
    </row>
  </sheetData>
  <customSheetViews>
    <customSheetView guid="{BCC8C31E-1C8F-4ACF-A3F3-919D68FF9211}" state="hidden" topLeftCell="A16">
      <selection activeCell="C31" sqref="C31:E31"/>
      <pageMargins left="0.7" right="0.7" top="0.75" bottom="0.75" header="0.3" footer="0.3"/>
      <pageSetup paperSize="9" orientation="portrait" horizontalDpi="4294967295" verticalDpi="4294967295" r:id="rId1"/>
    </customSheetView>
    <customSheetView guid="{A1A8A1DE-D657-4788-8CB1-6D107BB1DEC3}" state="hidden" topLeftCell="A16">
      <selection activeCell="C31" sqref="C31:E31"/>
      <pageMargins left="0.7" right="0.7" top="0.75" bottom="0.75" header="0.3" footer="0.3"/>
      <pageSetup paperSize="9" orientation="portrait" horizontalDpi="4294967295" verticalDpi="4294967295" r:id="rId2"/>
    </customSheetView>
  </customSheetViews>
  <mergeCells count="91">
    <mergeCell ref="A4:B4"/>
    <mergeCell ref="A1:E1"/>
    <mergeCell ref="F1:I1"/>
    <mergeCell ref="A2:B2"/>
    <mergeCell ref="C2:E2"/>
    <mergeCell ref="A3:B3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C3:E3"/>
    <mergeCell ref="C4:E4"/>
    <mergeCell ref="C5:E5"/>
    <mergeCell ref="C6:E6"/>
    <mergeCell ref="C7:E7"/>
    <mergeCell ref="C8:E8"/>
    <mergeCell ref="C9:E9"/>
    <mergeCell ref="A17:B17"/>
    <mergeCell ref="A18:B18"/>
    <mergeCell ref="A19:B19"/>
    <mergeCell ref="A20:B20"/>
    <mergeCell ref="A21:B21"/>
    <mergeCell ref="A22:B22"/>
    <mergeCell ref="C21:E21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45:E45"/>
    <mergeCell ref="C34:E34"/>
    <mergeCell ref="C35:E35"/>
    <mergeCell ref="C36:E36"/>
    <mergeCell ref="C37:E37"/>
    <mergeCell ref="C38:E38"/>
    <mergeCell ref="C39:E39"/>
    <mergeCell ref="A40:B40"/>
    <mergeCell ref="C46:E46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C40:E40"/>
    <mergeCell ref="C41:E41"/>
    <mergeCell ref="C42:E42"/>
    <mergeCell ref="C43:E43"/>
    <mergeCell ref="C44:E44"/>
    <mergeCell ref="A35:B35"/>
    <mergeCell ref="A36:B36"/>
    <mergeCell ref="A37:B37"/>
    <mergeCell ref="A38:B38"/>
    <mergeCell ref="A39:B39"/>
    <mergeCell ref="A41:B41"/>
    <mergeCell ref="A42:B42"/>
    <mergeCell ref="A43:B43"/>
    <mergeCell ref="A44:B44"/>
    <mergeCell ref="A45:B45"/>
  </mergeCells>
  <pageMargins left="0.7" right="0.7" top="0.75" bottom="0.75" header="0.3" footer="0.3"/>
  <pageSetup paperSize="9" orientation="portrait" horizontalDpi="4294967295" verticalDpi="4294967295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4793"/>
  <sheetViews>
    <sheetView topLeftCell="A8" zoomScale="110" zoomScaleNormal="110" workbookViewId="0">
      <selection activeCell="K21" sqref="K21"/>
    </sheetView>
  </sheetViews>
  <sheetFormatPr baseColWidth="10" defaultColWidth="11.42578125" defaultRowHeight="16.5" x14ac:dyDescent="0.3"/>
  <cols>
    <col min="1" max="1" width="15.5703125" style="9" customWidth="1"/>
    <col min="2" max="2" width="11.7109375" style="9" customWidth="1"/>
    <col min="3" max="3" width="13" style="9" customWidth="1"/>
    <col min="4" max="4" width="14.42578125" style="9" customWidth="1"/>
    <col min="5" max="5" width="6.42578125" style="9" customWidth="1"/>
    <col min="6" max="6" width="17.7109375" style="9" customWidth="1"/>
    <col min="7" max="7" width="6.140625" style="9" customWidth="1"/>
    <col min="8" max="8" width="14.42578125" style="9" customWidth="1"/>
    <col min="9" max="9" width="6.28515625" style="9" customWidth="1"/>
    <col min="10" max="10" width="11.42578125" style="9"/>
    <col min="11" max="11" width="9.85546875" style="9" customWidth="1"/>
    <col min="12" max="12" width="15.85546875" style="9" customWidth="1"/>
    <col min="13" max="13" width="12.140625" style="9" customWidth="1"/>
    <col min="14" max="14" width="11.7109375" style="9" customWidth="1"/>
    <col min="15" max="15" width="14.7109375" style="9" bestFit="1" customWidth="1"/>
    <col min="16" max="109" width="11.42578125" style="9"/>
    <col min="110" max="110" width="14.7109375" style="9" bestFit="1" customWidth="1"/>
    <col min="111" max="238" width="11.42578125" style="9"/>
    <col min="239" max="239" width="11.42578125" style="9" customWidth="1"/>
    <col min="240" max="16384" width="11.42578125" style="9"/>
  </cols>
  <sheetData>
    <row r="1" spans="1:239" ht="17.25" thickBot="1" x14ac:dyDescent="0.35">
      <c r="O1" s="9" t="s">
        <v>54</v>
      </c>
    </row>
    <row r="2" spans="1:239" ht="26.25" thickBot="1" x14ac:dyDescent="0.4">
      <c r="B2" s="10"/>
      <c r="C2" s="285" t="s">
        <v>0</v>
      </c>
      <c r="D2" s="286"/>
      <c r="E2" s="286"/>
      <c r="F2" s="286"/>
      <c r="G2" s="286"/>
      <c r="H2" s="286"/>
      <c r="I2" s="286"/>
      <c r="J2" s="287"/>
      <c r="K2" s="10"/>
      <c r="L2" s="10"/>
    </row>
    <row r="3" spans="1:239" x14ac:dyDescent="0.3">
      <c r="CD3" s="9" t="s">
        <v>43</v>
      </c>
    </row>
    <row r="4" spans="1:239" ht="27.75" customHeight="1" x14ac:dyDescent="0.3">
      <c r="A4" s="11" t="s">
        <v>1</v>
      </c>
      <c r="B4" s="293" t="s">
        <v>46</v>
      </c>
      <c r="C4" s="293"/>
      <c r="J4" s="308" t="s">
        <v>19</v>
      </c>
      <c r="K4" s="308"/>
      <c r="L4" s="302">
        <v>45390.462031134259</v>
      </c>
      <c r="CD4" s="9" t="s">
        <v>44</v>
      </c>
      <c r="DF4" s="12">
        <f ca="1">NOW()</f>
        <v>45390.722403819447</v>
      </c>
    </row>
    <row r="5" spans="1:239" x14ac:dyDescent="0.3">
      <c r="A5" s="11" t="s">
        <v>2</v>
      </c>
      <c r="B5" s="293" t="s">
        <v>45</v>
      </c>
      <c r="C5" s="293"/>
      <c r="J5" s="308"/>
      <c r="K5" s="308"/>
      <c r="L5" s="303"/>
      <c r="O5" s="12"/>
      <c r="DF5" s="9" t="s">
        <v>33</v>
      </c>
    </row>
    <row r="6" spans="1:239" x14ac:dyDescent="0.3">
      <c r="A6" s="11" t="s">
        <v>3</v>
      </c>
      <c r="B6" s="293"/>
      <c r="C6" s="293"/>
      <c r="D6" s="13"/>
      <c r="F6" s="50"/>
      <c r="K6" s="14"/>
      <c r="L6" s="15"/>
      <c r="DF6" s="9" t="s">
        <v>34</v>
      </c>
      <c r="IE6" s="9">
        <v>30000</v>
      </c>
    </row>
    <row r="7" spans="1:239" ht="17.25" customHeight="1" x14ac:dyDescent="0.3">
      <c r="F7" s="304" t="s">
        <v>52</v>
      </c>
      <c r="G7" s="305"/>
      <c r="H7" s="2">
        <v>269780</v>
      </c>
      <c r="J7" s="290" t="s">
        <v>4</v>
      </c>
      <c r="K7" s="306"/>
      <c r="L7" s="291"/>
      <c r="M7" s="9" t="s">
        <v>40</v>
      </c>
      <c r="DF7" s="9" t="s">
        <v>41</v>
      </c>
    </row>
    <row r="8" spans="1:239" x14ac:dyDescent="0.3">
      <c r="B8" s="9" t="s">
        <v>55</v>
      </c>
    </row>
    <row r="9" spans="1:239" x14ac:dyDescent="0.3">
      <c r="A9" s="289" t="s">
        <v>5</v>
      </c>
      <c r="B9" s="294" t="s">
        <v>14</v>
      </c>
      <c r="C9" s="295"/>
      <c r="D9" s="289" t="s">
        <v>6</v>
      </c>
      <c r="E9" s="289"/>
      <c r="F9" s="289" t="s">
        <v>7</v>
      </c>
      <c r="G9" s="289"/>
      <c r="H9" s="307" t="s">
        <v>8</v>
      </c>
      <c r="I9" s="16"/>
      <c r="J9" s="17" t="s">
        <v>9</v>
      </c>
      <c r="K9" s="17" t="s">
        <v>17</v>
      </c>
      <c r="L9" s="17" t="s">
        <v>10</v>
      </c>
      <c r="M9" s="9" t="s">
        <v>40</v>
      </c>
      <c r="N9" s="9" t="s">
        <v>51</v>
      </c>
      <c r="O9" s="9" t="s">
        <v>55</v>
      </c>
    </row>
    <row r="10" spans="1:239" x14ac:dyDescent="0.3">
      <c r="A10" s="289"/>
      <c r="B10" s="18" t="s">
        <v>15</v>
      </c>
      <c r="C10" s="18" t="s">
        <v>16</v>
      </c>
      <c r="D10" s="18" t="s">
        <v>10</v>
      </c>
      <c r="E10" s="19" t="s">
        <v>17</v>
      </c>
      <c r="F10" s="18" t="s">
        <v>10</v>
      </c>
      <c r="G10" s="19" t="s">
        <v>17</v>
      </c>
      <c r="H10" s="307"/>
      <c r="I10" s="16"/>
      <c r="J10" s="33">
        <v>5</v>
      </c>
      <c r="K10" s="1">
        <v>0</v>
      </c>
      <c r="L10" s="32">
        <f>J10*K10</f>
        <v>0</v>
      </c>
      <c r="O10" s="9" t="s">
        <v>40</v>
      </c>
    </row>
    <row r="11" spans="1:239" x14ac:dyDescent="0.3">
      <c r="A11" s="19" t="s">
        <v>22</v>
      </c>
      <c r="B11" s="52"/>
      <c r="C11" s="53"/>
      <c r="D11" s="20">
        <v>750000</v>
      </c>
      <c r="E11" s="21"/>
      <c r="F11" s="300"/>
      <c r="G11" s="301"/>
      <c r="H11" s="51"/>
      <c r="I11" s="16"/>
      <c r="J11" s="33">
        <v>10</v>
      </c>
      <c r="K11" s="1">
        <v>3</v>
      </c>
      <c r="L11" s="32">
        <f>J11*K11</f>
        <v>30</v>
      </c>
      <c r="O11" s="9" t="s">
        <v>40</v>
      </c>
    </row>
    <row r="12" spans="1:239" x14ac:dyDescent="0.3">
      <c r="A12" s="19" t="s">
        <v>23</v>
      </c>
      <c r="B12" s="296"/>
      <c r="C12" s="297"/>
      <c r="D12" s="54"/>
      <c r="E12" s="54"/>
      <c r="F12" s="54"/>
      <c r="G12" s="54"/>
      <c r="H12" s="54"/>
      <c r="I12" s="16"/>
      <c r="J12" s="33">
        <v>25</v>
      </c>
      <c r="K12" s="1">
        <v>6</v>
      </c>
      <c r="L12" s="32">
        <f>J12*K12</f>
        <v>150</v>
      </c>
      <c r="R12" s="9" t="s">
        <v>40</v>
      </c>
      <c r="BV12" s="9" t="s">
        <v>69</v>
      </c>
    </row>
    <row r="13" spans="1:239" x14ac:dyDescent="0.3">
      <c r="A13" s="97" t="s">
        <v>62</v>
      </c>
      <c r="B13" s="145">
        <v>551100</v>
      </c>
      <c r="C13" s="145">
        <v>430230</v>
      </c>
      <c r="D13" s="98">
        <f>SUMIFS(TRANSACTIONS!$H:$H,TRANSACTIONS!$B:$B,DATE(YEAR(RAPPORTS!$L$4),MONTH(RAPPORTS!$L$4),DAY(RAPPORTS!$L$4)),TRANSACTIONS!$D:$D,RAPPORTS!$A13,TRANSACTIONS!$E:$E,RAPPORTS!D$9)</f>
        <v>2216350</v>
      </c>
      <c r="E13" s="5">
        <f>COUNTIFS(TRANSACTIONS!$B:$B,DATE(YEAR(RAPPORTS!$L$4),MONTH(RAPPORTS!$L$4),DAY(RAPPORTS!$L$4)),TRANSACTIONS!$D:$D,RAPPORTS!$A13,TRANSACTIONS!$E:$E,RAPPORTS!D$9)</f>
        <v>35</v>
      </c>
      <c r="F13" s="4">
        <f>SUMIFS(TRANSACTIONS!$H:$H,TRANSACTIONS!$B:$B,DATE(YEAR(RAPPORTS!$L$4),MONTH(RAPPORTS!$L$4),DAY(RAPPORTS!$L$4)),TRANSACTIONS!$D:$D,RAPPORTS!$A13,TRANSACTIONS!$E:$E,RAPPORTS!F$9)</f>
        <v>727300</v>
      </c>
      <c r="G13" s="5">
        <f>COUNTIFS(TRANSACTIONS!$B:$B,DATE(YEAR(RAPPORTS!$L$4),MONTH(RAPPORTS!$L$4),DAY(RAPPORTS!$L$4)),TRANSACTIONS!$D:$D,RAPPORTS!$A13,TRANSACTIONS!$E:$E,RAPPORTS!F$9)</f>
        <v>35</v>
      </c>
      <c r="H13" s="30">
        <f>D13-F13</f>
        <v>1489050</v>
      </c>
      <c r="I13" s="16"/>
      <c r="J13" s="33">
        <v>50</v>
      </c>
      <c r="K13" s="188">
        <v>150</v>
      </c>
      <c r="L13" s="32">
        <f>+K13*J13</f>
        <v>7500</v>
      </c>
      <c r="N13" s="119"/>
    </row>
    <row r="14" spans="1:239" x14ac:dyDescent="0.3">
      <c r="A14" s="56" t="s">
        <v>53</v>
      </c>
      <c r="B14" s="132"/>
      <c r="C14" s="315">
        <v>38053.449999999997</v>
      </c>
      <c r="D14" s="4" t="s">
        <v>71</v>
      </c>
      <c r="E14" s="5">
        <f>COUNTIFS(TRANSACTIONS!$B:$B,DATE(YEAR(RAPPORTS!$L$4),MONTH(RAPPORTS!$L$4),DAY(RAPPORTS!$L$4)),TRANSACTIONS!$D:$D,RAPPORTS!$A14,TRANSACTIONS!$E:$E,RAPPORTS!D$9)</f>
        <v>0</v>
      </c>
      <c r="F14" s="4">
        <f>SUMIFS(TRANSACTIONS!$H:$H,TRANSACTIONS!$B:$B,DATE(YEAR(RAPPORTS!$L$4),MONTH(RAPPORTS!$L$4),DAY(RAPPORTS!$L$4)),TRANSACTIONS!$D:$D,RAPPORTS!$A15,TRANSACTIONS!$E:$E,RAPPORTS!F$9)</f>
        <v>0</v>
      </c>
      <c r="G14" s="5">
        <f>COUNTIFS(TRANSACTIONS!$B:$B,DATE(YEAR(RAPPORTS!$L$4),MONTH(RAPPORTS!$L$4),DAY(RAPPORTS!$L$4)),TRANSACTIONS!$D:$D,RAPPORTS!$A14,TRANSACTIONS!$E:$E,RAPPORTS!F$9)</f>
        <v>0</v>
      </c>
      <c r="H14" s="30">
        <v>0</v>
      </c>
      <c r="I14" s="16"/>
      <c r="J14" s="33"/>
      <c r="K14" s="168" t="s">
        <v>40</v>
      </c>
      <c r="L14" s="32"/>
      <c r="M14" s="119"/>
      <c r="N14" s="119"/>
      <c r="O14" s="119" t="s">
        <v>52</v>
      </c>
    </row>
    <row r="15" spans="1:239" x14ac:dyDescent="0.3">
      <c r="A15" s="56" t="s">
        <v>49</v>
      </c>
      <c r="B15" s="132"/>
      <c r="C15" s="315"/>
      <c r="D15" s="4">
        <f>SUMIFS(TRANSACTIONS!$H:$H,TRANSACTIONS!$B:$B,DATE(YEAR(RAPPORTS!$L$4),MONTH(RAPPORTS!$L$4),DAY(RAPPORTS!$L$4)),TRANSACTIONS!$D:$D,RAPPORTS!$A15,TRANSACTIONS!$E:$E,RAPPORTS!D$9)</f>
        <v>4000</v>
      </c>
      <c r="E15" s="5">
        <f>COUNTIFS(TRANSACTIONS!$B:$B,DATE(YEAR(RAPPORTS!$L$4),MONTH(RAPPORTS!$L$4),DAY(RAPPORTS!$L$4)),TRANSACTIONS!$D:$D,RAPPORTS!$A15,TRANSACTIONS!$E:$E,RAPPORTS!D$9)</f>
        <v>3</v>
      </c>
      <c r="F15" s="4">
        <f>SUMIFS(TRANSACTIONS!$H:$H,TRANSACTIONS!$B:$B,DATE(YEAR(RAPPORTS!$L$4),MONTH(RAPPORTS!$L$4),DAY(RAPPORTS!$L$4)),TRANSACTIONS!$D:$D,RAPPORTS!$A15,TRANSACTIONS!$E:$E,RAPPORTS!F$9)</f>
        <v>0</v>
      </c>
      <c r="G15" s="5">
        <f>COUNTIFS(TRANSACTIONS!$B:$B,DATE(YEAR(RAPPORTS!$L$4),MONTH(RAPPORTS!$L$4),DAY(RAPPORTS!$L$4)),TRANSACTIONS!$D:$D,RAPPORTS!$A15,TRANSACTIONS!$E:$E,RAPPORTS!F$9)</f>
        <v>0</v>
      </c>
      <c r="H15" s="30">
        <f>D15-F15</f>
        <v>4000</v>
      </c>
      <c r="I15" s="16"/>
      <c r="J15" s="33">
        <v>100</v>
      </c>
      <c r="K15" s="1">
        <v>81</v>
      </c>
      <c r="L15" s="32">
        <f>J15*K15</f>
        <v>8100</v>
      </c>
      <c r="M15" s="9" t="s">
        <v>40</v>
      </c>
      <c r="P15" s="119" t="s">
        <v>40</v>
      </c>
    </row>
    <row r="16" spans="1:239" x14ac:dyDescent="0.3">
      <c r="A16" s="22" t="s">
        <v>25</v>
      </c>
      <c r="B16" s="171">
        <v>316052.45</v>
      </c>
      <c r="C16" s="315"/>
      <c r="D16" s="4">
        <f>SUMIFS(TRANSACTIONS!$H:$H,TRANSACTIONS!$B:$B,DATE(YEAR(RAPPORTS!$L$4),MONTH(RAPPORTS!$L$4),DAY(RAPPORTS!$L$4)),TRANSACTIONS!$D:$D,RAPPORTS!$A16,TRANSACTIONS!$E:$E,RAPPORTS!D$9)</f>
        <v>272000</v>
      </c>
      <c r="E16" s="5">
        <f>COUNTIFS(TRANSACTIONS!$B:$B,DATE(YEAR(RAPPORTS!$L$4),MONTH(RAPPORTS!$L$4),DAY(RAPPORTS!$L$4)),TRANSACTIONS!$D:$D,RAPPORTS!$A16,TRANSACTIONS!$E:$E,RAPPORTS!D$9)</f>
        <v>5</v>
      </c>
      <c r="F16" s="4">
        <f>SUMIFS(TRANSACTIONS!$H:$H,TRANSACTIONS!$B:$B,DATE(YEAR(RAPPORTS!$L$4),MONTH(RAPPORTS!$L$4),DAY(RAPPORTS!$L$4)),TRANSACTIONS!$D:$D,RAPPORTS!$A16,TRANSACTIONS!$E:$E,RAPPORTS!F$9)</f>
        <v>1045000</v>
      </c>
      <c r="G16" s="5">
        <f>COUNTIFS(TRANSACTIONS!$B:$B,DATE(YEAR(RAPPORTS!$L$4),MONTH(RAPPORTS!$L$4),DAY(RAPPORTS!$L$4)),TRANSACTIONS!$D:$D,RAPPORTS!$A16,TRANSACTIONS!$E:$E,RAPPORTS!F$9)</f>
        <v>5</v>
      </c>
      <c r="H16" s="31">
        <f>D16-F16</f>
        <v>-773000</v>
      </c>
      <c r="I16" s="16"/>
      <c r="J16" s="33">
        <v>200</v>
      </c>
      <c r="K16" s="169">
        <v>2</v>
      </c>
      <c r="L16" s="32">
        <f>J16*K16</f>
        <v>400</v>
      </c>
      <c r="M16" s="23"/>
      <c r="N16" s="9" t="s">
        <v>40</v>
      </c>
      <c r="O16" s="174"/>
    </row>
    <row r="17" spans="1:18" x14ac:dyDescent="0.3">
      <c r="A17" s="18" t="s">
        <v>64</v>
      </c>
      <c r="B17" s="171"/>
      <c r="C17" s="288"/>
      <c r="D17" s="4">
        <f>SUMIFS(TRANSACTIONS!$H:$H,TRANSACTIONS!$B:$B,DATE(YEAR(RAPPORTS!$L$4),MONTH(RAPPORTS!$L$4),DAY(RAPPORTS!$L$4)),TRANSACTIONS!$D:$D,RAPPORTS!$A17,TRANSACTIONS!$E:$E,RAPPORTS!D$9)</f>
        <v>0</v>
      </c>
      <c r="E17" s="5">
        <v>0</v>
      </c>
      <c r="F17" s="4">
        <f>SUMIFS(TRANSACTIONS!$H:$H,TRANSACTIONS!$B:$B,DATE(YEAR(RAPPORTS!$L$4),MONTH(RAPPORTS!$L$4),DAY(RAPPORTS!$L$4)),TRANSACTIONS!$D:$D,RAPPORTS!$A17,TRANSACTIONS!$E:$E,RAPPORTS!F$9)</f>
        <v>0</v>
      </c>
      <c r="G17" s="5">
        <f>COUNTIFS(TRANSACTIONS!$B:$B,DATE(YEAR(RAPPORTS!$L$4),MONTH(RAPPORTS!$L$4),DAY(RAPPORTS!$L$4)),TRANSACTIONS!$D:$D,RAPPORTS!$A17,TRANSACTIONS!$E:$E,RAPPORTS!F$9)</f>
        <v>0</v>
      </c>
      <c r="H17" s="30">
        <f t="shared" ref="H15:H25" si="0">D17-F17</f>
        <v>0</v>
      </c>
      <c r="I17" s="16"/>
      <c r="J17" s="33">
        <v>250</v>
      </c>
      <c r="K17" s="1">
        <v>0</v>
      </c>
      <c r="L17" s="32">
        <f>J17*K17</f>
        <v>0</v>
      </c>
      <c r="M17" s="146"/>
      <c r="N17" s="9" t="s">
        <v>40</v>
      </c>
      <c r="O17" s="9" t="s">
        <v>40</v>
      </c>
      <c r="P17" s="9" t="s">
        <v>40</v>
      </c>
    </row>
    <row r="18" spans="1:18" x14ac:dyDescent="0.3">
      <c r="A18" s="131" t="s">
        <v>57</v>
      </c>
      <c r="B18" s="171"/>
      <c r="C18" s="288"/>
      <c r="D18" s="4">
        <f>SUMIFS(TRANSACTIONS!$H:$H,TRANSACTIONS!$B:$B,DATE(YEAR(RAPPORTS!$L$4),MONTH(RAPPORTS!$L$4),DAY(RAPPORTS!$L$4)),TRANSACTIONS!$D:$D,RAPPORTS!$A18,TRANSACTIONS!$E:$E,RAPPORTS!D$9)</f>
        <v>0</v>
      </c>
      <c r="E18" s="5">
        <f>COUNTIFS(TRANSACTIONS!$B:$B,DATE(YEAR(RAPPORTS!$L$4),MONTH(RAPPORTS!$L$4),DAY(RAPPORTS!$L$4)),TRANSACTIONS!$D:$D,RAPPORTS!$A18,TRANSACTIONS!$E:$E,RAPPORTS!D$9)</f>
        <v>0</v>
      </c>
      <c r="F18" s="4">
        <f>SUMIFS(TRANSACTIONS!$H:$H,TRANSACTIONS!$B:$B,DATE(YEAR(RAPPORTS!$L$4),MONTH(RAPPORTS!$L$4),DAY(RAPPORTS!$L$4)),TRANSACTIONS!$D:$D,RAPPORTS!$A18,TRANSACTIONS!$E:$E,RAPPORTS!F$9)</f>
        <v>0</v>
      </c>
      <c r="G18" s="5">
        <f>COUNTIFS(TRANSACTIONS!$B:$B,DATE(YEAR(RAPPORTS!$L$4),MONTH(RAPPORTS!$L$4),DAY(RAPPORTS!$L$4)),TRANSACTIONS!$D:$D,RAPPORTS!$A18,TRANSACTIONS!$E:$E,RAPPORTS!F$9)</f>
        <v>0</v>
      </c>
      <c r="H18" s="30">
        <f>D18-F18</f>
        <v>0</v>
      </c>
      <c r="I18" s="16"/>
      <c r="J18" s="33">
        <v>500</v>
      </c>
      <c r="K18" s="232">
        <v>13</v>
      </c>
      <c r="L18" s="32">
        <f>K18*J18</f>
        <v>6500</v>
      </c>
      <c r="N18" s="147" t="s">
        <v>40</v>
      </c>
      <c r="O18"/>
      <c r="P18"/>
      <c r="Q18"/>
    </row>
    <row r="19" spans="1:18" x14ac:dyDescent="0.3">
      <c r="A19" s="18" t="s">
        <v>72</v>
      </c>
      <c r="B19" s="100"/>
      <c r="C19" s="288"/>
      <c r="D19" s="4">
        <f>SUMIFS(TRANSACTIONS!$H:$H,TRANSACTIONS!$B:$B,DATE(YEAR(RAPPORTS!$L$4),MONTH(RAPPORTS!$L$4),DAY(RAPPORTS!$L$4)),TRANSACTIONS!$D:$D,RAPPORTS!$A19,TRANSACTIONS!$E:$E,RAPPORTS!D$9)</f>
        <v>0</v>
      </c>
      <c r="E19" s="5">
        <f>COUNTIFS(TRANSACTIONS!$B:$B,DATE(YEAR(RAPPORTS!$L$4),MONTH(RAPPORTS!$L$4),DAY(RAPPORTS!$L$4)),TRANSACTIONS!$D:$D,RAPPORTS!$A19,TRANSACTIONS!$E:$E,RAPPORTS!D$9)</f>
        <v>0</v>
      </c>
      <c r="F19" s="4"/>
      <c r="G19" s="5">
        <f>COUNTIFS(TRANSACTIONS!$B:$B,DATE(YEAR(RAPPORTS!$L$4),MONTH(RAPPORTS!$L$4),DAY(RAPPORTS!$L$4)),TRANSACTIONS!$D:$D,RAPPORTS!$A19,TRANSACTIONS!$E:$E,RAPPORTS!F$9)</f>
        <v>0</v>
      </c>
      <c r="H19" s="30">
        <f t="shared" si="0"/>
        <v>0</v>
      </c>
      <c r="I19" s="16"/>
      <c r="J19" s="33">
        <v>1000</v>
      </c>
      <c r="K19" s="167">
        <v>6</v>
      </c>
      <c r="L19" s="32">
        <f>J19*K19</f>
        <v>6000</v>
      </c>
      <c r="M19" s="147" t="s">
        <v>55</v>
      </c>
      <c r="N19" s="125"/>
      <c r="O19" s="99"/>
      <c r="P19"/>
      <c r="Q19"/>
    </row>
    <row r="20" spans="1:18" ht="18.75" customHeight="1" x14ac:dyDescent="0.3">
      <c r="A20" s="18">
        <v>3</v>
      </c>
      <c r="B20" s="130"/>
      <c r="C20" s="288"/>
      <c r="D20" s="4">
        <f>SUMIFS(TRANSACTIONS!$H:$H,TRANSACTIONS!$B:$B,DATE(YEAR(RAPPORTS!$L$4),MONTH(RAPPORTS!$L$4),DAY(RAPPORTS!$L$4)),TRANSACTIONS!$D:$D,RAPPORTS!$A20,TRANSACTIONS!$E:$E,RAPPORTS!D$9)</f>
        <v>0</v>
      </c>
      <c r="E20" s="5">
        <f>COUNTIFS(TRANSACTIONS!$B:$B,DATE(YEAR(RAPPORTS!$L$4),MONTH(RAPPORTS!$L$4),DAY(RAPPORTS!$L$4)),TRANSACTIONS!$D:$D,RAPPORTS!$A20,TRANSACTIONS!$E:$E,RAPPORTS!D$9)</f>
        <v>0</v>
      </c>
      <c r="F20" s="4">
        <f>SUMIFS(TRANSACTIONS!$H:$H,TRANSACTIONS!$B:$B,DATE(YEAR(RAPPORTS!$L$4),MONTH(RAPPORTS!$L$4),DAY(RAPPORTS!$L$4)),TRANSACTIONS!$D:$D,RAPPORTS!$A20,TRANSACTIONS!$E:$E,RAPPORTS!F$9)</f>
        <v>0</v>
      </c>
      <c r="G20" s="5">
        <f>COUNTIFS(TRANSACTIONS!$B:$B,DATE(YEAR(RAPPORTS!$L$4),MONTH(RAPPORTS!$L$4),DAY(RAPPORTS!$L$4)),TRANSACTIONS!$D:$D,RAPPORTS!$A20,TRANSACTIONS!$E:$E,RAPPORTS!F$9)</f>
        <v>0</v>
      </c>
      <c r="H20" s="30">
        <f t="shared" si="0"/>
        <v>0</v>
      </c>
      <c r="I20" s="16"/>
      <c r="J20" s="33">
        <v>2000</v>
      </c>
      <c r="K20" s="169">
        <v>0</v>
      </c>
      <c r="L20" s="149">
        <f>J20*K20</f>
        <v>0</v>
      </c>
      <c r="M20" s="150"/>
      <c r="N20" s="150" t="s">
        <v>40</v>
      </c>
      <c r="O20" s="144" t="s">
        <v>56</v>
      </c>
      <c r="P20" s="119"/>
      <c r="Q20"/>
    </row>
    <row r="21" spans="1:18" x14ac:dyDescent="0.3">
      <c r="A21" s="18" t="s">
        <v>66</v>
      </c>
      <c r="B21" s="100"/>
      <c r="C21" s="288"/>
      <c r="D21" s="4">
        <f>SUMIFS(TRANSACTIONS!$H:$H,TRANSACTIONS!$B:$B,DATE(YEAR(RAPPORTS!$L$4),MONTH(RAPPORTS!$L$4),DAY(RAPPORTS!$L$4)),TRANSACTIONS!$D:$D,RAPPORTS!$A21,TRANSACTIONS!$E:$E,RAPPORTS!D$9)</f>
        <v>0</v>
      </c>
      <c r="E21" s="5">
        <f>COUNTIFS(TRANSACTIONS!$B:$B,DATE(YEAR(RAPPORTS!$L$4),MONTH(RAPPORTS!$L$4),DAY(RAPPORTS!$L$4)),TRANSACTIONS!$D:$D,RAPPORTS!$A21,TRANSACTIONS!$E:$E,RAPPORTS!D$9)</f>
        <v>0</v>
      </c>
      <c r="F21" s="4"/>
      <c r="G21" s="5">
        <f>COUNTIFS(TRANSACTIONS!$B:$B,DATE(YEAR(RAPPORTS!$L$4),MONTH(RAPPORTS!$L$4),DAY(RAPPORTS!$L$4)),TRANSACTIONS!$D:$D,RAPPORTS!$A21,TRANSACTIONS!$E:$E,RAPPORTS!F$9)</f>
        <v>0</v>
      </c>
      <c r="H21" s="30">
        <f t="shared" si="0"/>
        <v>0</v>
      </c>
      <c r="I21" s="16"/>
      <c r="J21" s="33">
        <v>5000</v>
      </c>
      <c r="K21" s="1">
        <v>42</v>
      </c>
      <c r="L21" s="149">
        <f>J21*K21</f>
        <v>210000</v>
      </c>
      <c r="M21" s="150" t="s">
        <v>40</v>
      </c>
      <c r="N21" s="67" t="s">
        <v>40</v>
      </c>
      <c r="O21" s="120" t="s">
        <v>55</v>
      </c>
      <c r="P21" s="67"/>
      <c r="Q21"/>
    </row>
    <row r="22" spans="1:18" x14ac:dyDescent="0.3">
      <c r="A22" s="18" t="s">
        <v>63</v>
      </c>
      <c r="B22" s="100">
        <v>3705</v>
      </c>
      <c r="C22" s="288"/>
      <c r="D22" s="4">
        <f>SUMIFS(TRANSACTIONS!$H:$H,TRANSACTIONS!$B:$B,DATE(YEAR(RAPPORTS!$L$4),MONTH(RAPPORTS!$L$4),DAY(RAPPORTS!$L$4)),TRANSACTIONS!$D:$D,RAPPORTS!$A22,TRANSACTIONS!$E:$E,RAPPORTS!D$9)</f>
        <v>0</v>
      </c>
      <c r="E22" s="5">
        <f>COUNTIFS(TRANSACTIONS!$B:$B,DATE(YEAR(RAPPORTS!$L$4),MONTH(RAPPORTS!$L$4),DAY(RAPPORTS!$L$4)),TRANSACTIONS!$D:$D,RAPPORTS!$A22,TRANSACTIONS!$E:$E,RAPPORTS!D$9)</f>
        <v>0</v>
      </c>
      <c r="F22" s="4">
        <f>SUMIFS(TRANSACTIONS!$H:$H,TRANSACTIONS!$B:$B,DATE(YEAR(RAPPORTS!$L$4),MONTH(RAPPORTS!$L$4),DAY(RAPPORTS!$L$4)),TRANSACTIONS!$D:$D,RAPPORTS!$A22,TRANSACTIONS!$E:$E,RAPPORTS!F$9)</f>
        <v>0</v>
      </c>
      <c r="G22" s="5">
        <f>COUNTIFS(TRANSACTIONS!$B:$B,DATE(YEAR(RAPPORTS!$L$4),MONTH(RAPPORTS!$L$4),DAY(RAPPORTS!$L$4)),TRANSACTIONS!$D:$D,RAPPORTS!$A22,TRANSACTIONS!$E:$E,RAPPORTS!F$9)</f>
        <v>0</v>
      </c>
      <c r="H22" s="30">
        <f t="shared" si="0"/>
        <v>0</v>
      </c>
      <c r="I22" s="16"/>
      <c r="J22" s="33">
        <v>10000</v>
      </c>
      <c r="K22" s="167">
        <v>100</v>
      </c>
      <c r="L22" s="149">
        <f>J22*K22</f>
        <v>1000000</v>
      </c>
      <c r="M22" s="151" t="s">
        <v>55</v>
      </c>
      <c r="N22" s="9" t="s">
        <v>65</v>
      </c>
      <c r="O22" s="99" t="s">
        <v>55</v>
      </c>
      <c r="P22" s="99"/>
      <c r="Q22"/>
    </row>
    <row r="23" spans="1:18" x14ac:dyDescent="0.3">
      <c r="A23" s="18" t="s">
        <v>48</v>
      </c>
      <c r="B23" s="100"/>
      <c r="C23" s="288"/>
      <c r="D23" s="4">
        <f>SUMIFS(TRANSACTIONS!$H:$H,TRANSACTIONS!$B:$B,DATE(YEAR(RAPPORTS!$L$4),MONTH(RAPPORTS!$L$4),DAY(RAPPORTS!$L$4)),TRANSACTIONS!$D:$D,RAPPORTS!$A23,TRANSACTIONS!$E:$E,RAPPORTS!D$9)</f>
        <v>0</v>
      </c>
      <c r="E23" s="5">
        <f>COUNTIFS(TRANSACTIONS!$B:$B,DATE(YEAR(RAPPORTS!$L$4),MONTH(RAPPORTS!$L$4),DAY(RAPPORTS!$L$4)),TRANSACTIONS!$D:$D,RAPPORTS!$A23,TRANSACTIONS!$E:$E,RAPPORTS!D$9)</f>
        <v>0</v>
      </c>
      <c r="F23" s="4">
        <f>SUMIFS(TRANSACTIONS!$H:$H,TRANSACTIONS!$B:$B,DATE(YEAR(RAPPORTS!$L$4),MONTH(RAPPORTS!$L$4),DAY(RAPPORTS!$L$4)),TRANSACTIONS!$D:$D,RAPPORTS!$A23,TRANSACTIONS!$E:$E,RAPPORTS!F$9)</f>
        <v>0</v>
      </c>
      <c r="G23" s="5">
        <f>COUNTIFS(TRANSACTIONS!$B:$B,DATE(YEAR(RAPPORTS!$L$4),MONTH(RAPPORTS!$L$4),DAY(RAPPORTS!$L$4)),TRANSACTIONS!$D:$D,RAPPORTS!$A23,TRANSACTIONS!$E:$E,RAPPORTS!F$9)</f>
        <v>0</v>
      </c>
      <c r="H23" s="30">
        <f t="shared" si="0"/>
        <v>0</v>
      </c>
      <c r="I23" s="16"/>
      <c r="J23" s="298"/>
      <c r="K23" s="299"/>
      <c r="L23" s="149">
        <f>SUM(L10:L22)</f>
        <v>1238680</v>
      </c>
      <c r="M23" s="150"/>
      <c r="O23" s="174"/>
      <c r="P23" s="67"/>
      <c r="Q23" s="67" t="s">
        <v>55</v>
      </c>
    </row>
    <row r="24" spans="1:18" ht="15" customHeight="1" x14ac:dyDescent="0.3">
      <c r="A24" s="18" t="s">
        <v>76</v>
      </c>
      <c r="B24" s="100"/>
      <c r="C24" s="288"/>
      <c r="D24" s="4">
        <f>SUMIFS(TRANSACTIONS!$H:$H,TRANSACTIONS!$B:$B,DATE(YEAR(RAPPORTS!$L$4),MONTH(RAPPORTS!$L$4),DAY(RAPPORTS!$L$4)),TRANSACTIONS!$D:$D,RAPPORTS!$A24,TRANSACTIONS!$E:$E,RAPPORTS!D$9)</f>
        <v>0</v>
      </c>
      <c r="E24" s="5">
        <f>COUNTIFS(TRANSACTIONS!$B:$B,DATE(YEAR(RAPPORTS!$L$4),MONTH(RAPPORTS!$L$4),DAY(RAPPORTS!$L$4)),TRANSACTIONS!$D:$D,RAPPORTS!$A24,TRANSACTIONS!$E:$E,RAPPORTS!D$9)</f>
        <v>0</v>
      </c>
      <c r="F24" s="4">
        <f>SUMIFS(TRANSACTIONS!$H:$H,TRANSACTIONS!$B:$B,DATE(YEAR(RAPPORTS!$L$4),MONTH(RAPPORTS!$L$4),DAY(RAPPORTS!$L$4)),TRANSACTIONS!$D:$D,RAPPORTS!$A24,TRANSACTIONS!$E:$E,RAPPORTS!F$9)</f>
        <v>0</v>
      </c>
      <c r="G24" s="5">
        <f>COUNTIFS(TRANSACTIONS!$B:$B,DATE(YEAR(RAPPORTS!$L$4),MONTH(RAPPORTS!$L$4),DAY(RAPPORTS!$L$4)),TRANSACTIONS!$D:$D,RAPPORTS!$A24,TRANSACTIONS!$E:$E,RAPPORTS!F$9)</f>
        <v>0</v>
      </c>
      <c r="H24" s="30">
        <f t="shared" si="0"/>
        <v>0</v>
      </c>
      <c r="I24" s="16"/>
      <c r="J24" s="16"/>
      <c r="K24" s="16"/>
      <c r="L24" s="16"/>
      <c r="M24" s="150"/>
      <c r="N24" s="9" t="s">
        <v>52</v>
      </c>
      <c r="O24" s="111" t="s">
        <v>40</v>
      </c>
      <c r="P24"/>
      <c r="Q24"/>
      <c r="R24"/>
    </row>
    <row r="25" spans="1:18" ht="24.75" customHeight="1" x14ac:dyDescent="0.3">
      <c r="A25" s="18" t="s">
        <v>59</v>
      </c>
      <c r="B25" s="101"/>
      <c r="C25" s="288"/>
      <c r="D25" s="4">
        <f>SUMIFS(TRANSACTIONS!$H:$H,TRANSACTIONS!$B:$B,DATE(YEAR(RAPPORTS!$L$4),MONTH(RAPPORTS!$L$4),DAY(RAPPORTS!$L$4)),TRANSACTIONS!$D:$D,RAPPORTS!$A25,TRANSACTIONS!$E:$E,RAPPORTS!D$9)</f>
        <v>0</v>
      </c>
      <c r="E25" s="5">
        <f>COUNTIFS(TRANSACTIONS!$B:$B,DATE(YEAR(RAPPORTS!$L$4),MONTH(RAPPORTS!$L$4),DAY(RAPPORTS!$L$4)),TRANSACTIONS!$D:$D,RAPPORTS!$A25,TRANSACTIONS!$E:$E,RAPPORTS!D$9)</f>
        <v>0</v>
      </c>
      <c r="F25" s="4">
        <f>SUMIFS(TRANSACTIONS!$H:$H,TRANSACTIONS!$B:$B,DATE(YEAR(RAPPORTS!$L$4),MONTH(RAPPORTS!$L$4),DAY(RAPPORTS!$L$4)),TRANSACTIONS!$D:$D,RAPPORTS!$A25,TRANSACTIONS!$E:$E,RAPPORTS!F$9)</f>
        <v>0</v>
      </c>
      <c r="G25" s="5">
        <f>COUNTIFS(TRANSACTIONS!$B:$B,DATE(YEAR(RAPPORTS!$L$4),MONTH(RAPPORTS!$L$4),DAY(RAPPORTS!$L$4)),TRANSACTIONS!$D:$D,RAPPORTS!$A25,TRANSACTIONS!$E:$E,RAPPORTS!F$9)</f>
        <v>0</v>
      </c>
      <c r="H25" s="30">
        <f t="shared" si="0"/>
        <v>0</v>
      </c>
      <c r="I25" s="16"/>
      <c r="J25" s="290"/>
      <c r="K25" s="291"/>
      <c r="L25" s="34" t="s">
        <v>40</v>
      </c>
      <c r="M25" s="146"/>
      <c r="N25" s="146"/>
      <c r="O25" s="67"/>
      <c r="P25" s="67">
        <v>772400956</v>
      </c>
      <c r="Q25" s="67" t="s">
        <v>40</v>
      </c>
      <c r="R25"/>
    </row>
    <row r="26" spans="1:18" ht="19.5" customHeight="1" x14ac:dyDescent="0.3">
      <c r="A26" s="289" t="s">
        <v>21</v>
      </c>
      <c r="B26" s="289"/>
      <c r="C26" s="289"/>
      <c r="D26" s="4">
        <f>SUM(D11:D25)</f>
        <v>3242350</v>
      </c>
      <c r="E26" s="5">
        <f>SUM(E13:E25)</f>
        <v>43</v>
      </c>
      <c r="F26" s="4">
        <f>SUM(F12:F25)</f>
        <v>1772300</v>
      </c>
      <c r="G26" s="5">
        <f>+G13+G16+G17+G18+G19+G20+G21+G22+G23+G24+G25+G14+G15</f>
        <v>40</v>
      </c>
      <c r="H26" s="30">
        <f>SUM(H11:H25)</f>
        <v>720050</v>
      </c>
      <c r="I26" s="16"/>
      <c r="J26" s="292"/>
      <c r="K26" s="292"/>
      <c r="L26" s="34"/>
      <c r="M26" s="170"/>
      <c r="N26" s="67" t="s">
        <v>40</v>
      </c>
      <c r="O26" s="67"/>
      <c r="P26" s="67"/>
      <c r="Q26" s="67"/>
      <c r="R26"/>
    </row>
    <row r="27" spans="1:18" ht="19.5" customHeight="1" x14ac:dyDescent="0.3">
      <c r="A27" s="316" t="s">
        <v>20</v>
      </c>
      <c r="B27" s="317"/>
      <c r="C27" s="24"/>
      <c r="D27" s="16"/>
      <c r="E27" s="16"/>
      <c r="F27" s="311" t="s">
        <v>40</v>
      </c>
      <c r="G27" s="312"/>
      <c r="H27" s="3"/>
      <c r="I27" s="16"/>
      <c r="K27" s="9" t="s">
        <v>40</v>
      </c>
      <c r="M27" s="146" t="s">
        <v>55</v>
      </c>
      <c r="N27" s="80" t="s">
        <v>40</v>
      </c>
      <c r="O27" s="128" t="s">
        <v>40</v>
      </c>
      <c r="P27"/>
      <c r="Q27" t="s">
        <v>40</v>
      </c>
      <c r="R27"/>
    </row>
    <row r="28" spans="1:18" ht="22.5" customHeight="1" x14ac:dyDescent="0.3">
      <c r="A28" s="316" t="s">
        <v>42</v>
      </c>
      <c r="B28" s="317"/>
      <c r="C28" s="230"/>
      <c r="D28" s="25"/>
      <c r="E28" s="25"/>
      <c r="F28" s="313" t="s">
        <v>56</v>
      </c>
      <c r="G28" s="314"/>
      <c r="H28" s="35">
        <f>H7+H26</f>
        <v>989830</v>
      </c>
      <c r="I28" s="26"/>
      <c r="M28" s="147"/>
      <c r="N28" s="147" t="s">
        <v>40</v>
      </c>
      <c r="O28" s="147" t="s">
        <v>40</v>
      </c>
      <c r="P28" s="67"/>
      <c r="Q28" s="67"/>
      <c r="R28" s="67"/>
    </row>
    <row r="29" spans="1:18" ht="16.5" customHeight="1" x14ac:dyDescent="0.3">
      <c r="A29" s="309" t="s">
        <v>18</v>
      </c>
      <c r="B29" s="310"/>
      <c r="C29" s="27"/>
      <c r="D29" s="25"/>
      <c r="E29" s="16"/>
      <c r="F29" s="313" t="s">
        <v>11</v>
      </c>
      <c r="G29" s="314"/>
      <c r="H29" s="36">
        <f>L23</f>
        <v>1238680</v>
      </c>
      <c r="I29" s="16"/>
      <c r="J29" s="119" t="s">
        <v>54</v>
      </c>
      <c r="K29" s="119"/>
      <c r="N29" s="67"/>
      <c r="O29" s="67"/>
      <c r="P29" s="67" t="s">
        <v>40</v>
      </c>
      <c r="Q29" s="67"/>
      <c r="R29" s="67"/>
    </row>
    <row r="30" spans="1:18" x14ac:dyDescent="0.3">
      <c r="A30" s="320" t="s">
        <v>60</v>
      </c>
      <c r="B30" s="321"/>
      <c r="C30" s="175"/>
      <c r="D30" s="25"/>
      <c r="E30" s="16"/>
      <c r="F30" s="313" t="s">
        <v>12</v>
      </c>
      <c r="G30" s="314"/>
      <c r="H30" s="30">
        <f>H29-H28</f>
        <v>248850</v>
      </c>
      <c r="I30" s="16"/>
      <c r="J30" s="256" t="s">
        <v>40</v>
      </c>
      <c r="K30" s="190" t="s">
        <v>40</v>
      </c>
      <c r="M30" s="9" t="s">
        <v>40</v>
      </c>
      <c r="N30" s="67" t="s">
        <v>55</v>
      </c>
      <c r="O30" s="67" t="s">
        <v>55</v>
      </c>
      <c r="P30" s="67"/>
      <c r="Q30" s="67"/>
      <c r="R30" s="67"/>
    </row>
    <row r="31" spans="1:18" ht="15.75" customHeight="1" x14ac:dyDescent="0.3">
      <c r="A31" s="322" t="s">
        <v>78</v>
      </c>
      <c r="B31" s="323"/>
      <c r="C31" s="324"/>
      <c r="D31" s="16"/>
      <c r="E31" s="16"/>
      <c r="F31" s="313" t="s">
        <v>61</v>
      </c>
      <c r="G31" s="314"/>
      <c r="H31" s="6"/>
      <c r="I31" s="16"/>
      <c r="J31" s="28" t="s">
        <v>40</v>
      </c>
      <c r="K31" s="9" t="s">
        <v>40</v>
      </c>
      <c r="L31" s="9" t="s">
        <v>52</v>
      </c>
      <c r="M31" s="28" t="s">
        <v>40</v>
      </c>
      <c r="N31" s="9" t="s">
        <v>40</v>
      </c>
      <c r="O31" s="138"/>
      <c r="P31" s="124"/>
      <c r="Q31"/>
      <c r="R31"/>
    </row>
    <row r="32" spans="1:18" ht="39" customHeight="1" x14ac:dyDescent="0.3">
      <c r="A32" s="325"/>
      <c r="B32" s="326"/>
      <c r="C32" s="327"/>
      <c r="E32" s="16"/>
      <c r="F32" s="313" t="s">
        <v>13</v>
      </c>
      <c r="G32" s="314"/>
      <c r="H32" s="30">
        <f>H30</f>
        <v>248850</v>
      </c>
      <c r="I32" s="16"/>
      <c r="J32" s="16" t="s">
        <v>40</v>
      </c>
      <c r="K32" s="9" t="s">
        <v>40</v>
      </c>
      <c r="L32" s="119" t="s">
        <v>40</v>
      </c>
      <c r="M32" s="28"/>
      <c r="N32" s="67" t="s">
        <v>55</v>
      </c>
      <c r="O32" s="9" t="s">
        <v>40</v>
      </c>
      <c r="P32"/>
      <c r="Q32"/>
      <c r="R32"/>
    </row>
    <row r="33" spans="1:18" ht="60" customHeight="1" x14ac:dyDescent="0.3">
      <c r="A33" s="9" t="s">
        <v>74</v>
      </c>
      <c r="B33" s="9" t="s">
        <v>77</v>
      </c>
      <c r="D33" s="9" t="s">
        <v>68</v>
      </c>
      <c r="F33" s="29"/>
      <c r="J33" s="9" t="s">
        <v>40</v>
      </c>
      <c r="M33" s="9" t="s">
        <v>40</v>
      </c>
      <c r="N33" s="67"/>
      <c r="O33" s="67"/>
      <c r="P33" s="67"/>
      <c r="Q33" s="67"/>
      <c r="R33" s="67"/>
    </row>
    <row r="34" spans="1:18" ht="15.75" customHeight="1" x14ac:dyDescent="0.3">
      <c r="F34" s="9" t="s">
        <v>54</v>
      </c>
      <c r="J34" s="9" t="s">
        <v>40</v>
      </c>
      <c r="L34" s="9" t="s">
        <v>55</v>
      </c>
      <c r="N34" s="67" t="s">
        <v>40</v>
      </c>
      <c r="O34" s="77"/>
      <c r="P34" s="67"/>
      <c r="Q34" s="67"/>
      <c r="R34" s="67"/>
    </row>
    <row r="35" spans="1:18" x14ac:dyDescent="0.3">
      <c r="A35" s="9" t="s">
        <v>55</v>
      </c>
      <c r="B35" s="9" t="s">
        <v>56</v>
      </c>
      <c r="F35" s="23"/>
      <c r="J35" s="9" t="s">
        <v>55</v>
      </c>
      <c r="N35" s="67"/>
      <c r="P35" s="67"/>
      <c r="Q35"/>
      <c r="R35"/>
    </row>
    <row r="36" spans="1:18" x14ac:dyDescent="0.3">
      <c r="C36" s="148" t="s">
        <v>40</v>
      </c>
      <c r="J36" s="9" t="s">
        <v>52</v>
      </c>
      <c r="N36" s="67"/>
      <c r="P36"/>
      <c r="Q36"/>
      <c r="R36"/>
    </row>
    <row r="37" spans="1:18" x14ac:dyDescent="0.3">
      <c r="L37" s="9" t="s">
        <v>40</v>
      </c>
      <c r="N37" s="77"/>
      <c r="O37" s="67"/>
      <c r="P37" s="68"/>
      <c r="Q37"/>
      <c r="R37"/>
    </row>
    <row r="38" spans="1:18" x14ac:dyDescent="0.3">
      <c r="H38" s="9" t="s">
        <v>40</v>
      </c>
      <c r="O38" s="67"/>
      <c r="P38" s="69"/>
      <c r="Q38"/>
      <c r="R38"/>
    </row>
    <row r="39" spans="1:18" x14ac:dyDescent="0.3">
      <c r="O39" s="67"/>
      <c r="P39" s="70"/>
      <c r="Q39"/>
      <c r="R39"/>
    </row>
    <row r="40" spans="1:18" x14ac:dyDescent="0.3">
      <c r="O40" s="67"/>
      <c r="P40" s="70"/>
      <c r="Q40"/>
      <c r="R40"/>
    </row>
    <row r="41" spans="1:18" x14ac:dyDescent="0.3">
      <c r="O41" s="67"/>
      <c r="P41" s="70"/>
      <c r="Q41"/>
      <c r="R41"/>
    </row>
    <row r="42" spans="1:18" x14ac:dyDescent="0.3">
      <c r="O42" s="67"/>
      <c r="P42" s="70"/>
      <c r="Q42"/>
      <c r="R42"/>
    </row>
    <row r="43" spans="1:18" x14ac:dyDescent="0.3">
      <c r="O43" s="318"/>
      <c r="P43" s="318"/>
      <c r="Q43"/>
      <c r="R43"/>
    </row>
    <row r="44" spans="1:18" ht="23.25" x14ac:dyDescent="0.3">
      <c r="O44" s="319"/>
      <c r="P44" s="319"/>
      <c r="Q44"/>
      <c r="R44"/>
    </row>
    <row r="45" spans="1:18" ht="23.25" x14ac:dyDescent="0.3">
      <c r="O45" s="319"/>
      <c r="P45" s="319"/>
      <c r="Q45"/>
      <c r="R45"/>
    </row>
    <row r="46" spans="1:18" x14ac:dyDescent="0.3">
      <c r="O46" s="78"/>
      <c r="P46" s="79"/>
      <c r="Q46" s="78"/>
      <c r="R46"/>
    </row>
    <row r="1037" spans="4:9" x14ac:dyDescent="0.3">
      <c r="F1037" s="9">
        <v>20000</v>
      </c>
    </row>
    <row r="1038" spans="4:9" x14ac:dyDescent="0.3">
      <c r="D1038" s="9" t="s">
        <v>25</v>
      </c>
      <c r="E1038" s="9" t="s">
        <v>7</v>
      </c>
      <c r="F1038" s="9">
        <v>10500</v>
      </c>
      <c r="I1038" s="9" t="s">
        <v>41</v>
      </c>
    </row>
    <row r="1039" spans="4:9" x14ac:dyDescent="0.3">
      <c r="D1039" s="9" t="s">
        <v>25</v>
      </c>
      <c r="E1039" s="9" t="s">
        <v>7</v>
      </c>
      <c r="F1039" s="9">
        <v>15000</v>
      </c>
      <c r="I1039" s="9" t="s">
        <v>41</v>
      </c>
    </row>
    <row r="1040" spans="4:9" x14ac:dyDescent="0.3">
      <c r="D1040" s="9" t="s">
        <v>25</v>
      </c>
      <c r="E1040" s="9" t="s">
        <v>7</v>
      </c>
      <c r="F1040" s="9">
        <v>5000</v>
      </c>
      <c r="I1040" s="9" t="s">
        <v>41</v>
      </c>
    </row>
    <row r="1041" spans="6:9" x14ac:dyDescent="0.3">
      <c r="F1041" s="9">
        <v>50000</v>
      </c>
      <c r="I1041" s="9" t="s">
        <v>41</v>
      </c>
    </row>
    <row r="1042" spans="6:9" x14ac:dyDescent="0.3">
      <c r="F1042" s="9">
        <v>10000</v>
      </c>
      <c r="I1042" s="9" t="s">
        <v>41</v>
      </c>
    </row>
    <row r="1043" spans="6:9" x14ac:dyDescent="0.3">
      <c r="F1043" s="9">
        <v>5400</v>
      </c>
      <c r="I1043" s="9" t="s">
        <v>41</v>
      </c>
    </row>
    <row r="1044" spans="6:9" x14ac:dyDescent="0.3">
      <c r="F1044" s="9">
        <v>54200</v>
      </c>
      <c r="I1044" s="9" t="s">
        <v>41</v>
      </c>
    </row>
    <row r="1045" spans="6:9" x14ac:dyDescent="0.3">
      <c r="F1045" s="9">
        <v>5000</v>
      </c>
      <c r="I1045" s="9" t="s">
        <v>41</v>
      </c>
    </row>
    <row r="1046" spans="6:9" x14ac:dyDescent="0.3">
      <c r="F1046" s="9">
        <v>30000</v>
      </c>
      <c r="I1046" s="9" t="s">
        <v>41</v>
      </c>
    </row>
    <row r="1047" spans="6:9" x14ac:dyDescent="0.3">
      <c r="F1047" s="9">
        <v>31500</v>
      </c>
      <c r="I1047" s="9" t="s">
        <v>41</v>
      </c>
    </row>
    <row r="1048" spans="6:9" x14ac:dyDescent="0.3">
      <c r="F1048" s="9">
        <v>55000</v>
      </c>
      <c r="I1048" s="9" t="s">
        <v>41</v>
      </c>
    </row>
    <row r="1049" spans="6:9" x14ac:dyDescent="0.3">
      <c r="F1049" s="9">
        <v>9500</v>
      </c>
      <c r="I1049" s="9" t="s">
        <v>41</v>
      </c>
    </row>
    <row r="1050" spans="6:9" x14ac:dyDescent="0.3">
      <c r="F1050" s="9">
        <v>200000</v>
      </c>
      <c r="I1050" s="9" t="s">
        <v>41</v>
      </c>
    </row>
    <row r="1051" spans="6:9" x14ac:dyDescent="0.3">
      <c r="F1051" s="9">
        <v>10000</v>
      </c>
      <c r="I1051" s="9" t="s">
        <v>41</v>
      </c>
    </row>
    <row r="1052" spans="6:9" x14ac:dyDescent="0.3">
      <c r="F1052" s="9">
        <v>5000</v>
      </c>
      <c r="I1052" s="9" t="s">
        <v>41</v>
      </c>
    </row>
    <row r="1053" spans="6:9" x14ac:dyDescent="0.3">
      <c r="F1053" s="9">
        <v>2200</v>
      </c>
      <c r="I1053" s="9" t="s">
        <v>41</v>
      </c>
    </row>
    <row r="1054" spans="6:9" x14ac:dyDescent="0.3">
      <c r="F1054" s="9">
        <v>3200</v>
      </c>
      <c r="I1054" s="9" t="s">
        <v>41</v>
      </c>
    </row>
    <row r="1055" spans="6:9" x14ac:dyDescent="0.3">
      <c r="F1055" s="9">
        <v>6500</v>
      </c>
      <c r="I1055" s="9" t="s">
        <v>41</v>
      </c>
    </row>
    <row r="1056" spans="6:9" x14ac:dyDescent="0.3">
      <c r="F1056" s="9">
        <v>20000</v>
      </c>
      <c r="I1056" s="9" t="s">
        <v>41</v>
      </c>
    </row>
    <row r="1057" spans="6:9" x14ac:dyDescent="0.3">
      <c r="F1057" s="9">
        <v>20000</v>
      </c>
      <c r="I1057" s="9" t="s">
        <v>41</v>
      </c>
    </row>
    <row r="1058" spans="6:9" x14ac:dyDescent="0.3">
      <c r="I1058" s="9" t="s">
        <v>41</v>
      </c>
    </row>
    <row r="1059" spans="6:9" x14ac:dyDescent="0.3">
      <c r="I1059" s="9" t="s">
        <v>41</v>
      </c>
    </row>
    <row r="1060" spans="6:9" x14ac:dyDescent="0.3">
      <c r="I1060" s="9" t="s">
        <v>41</v>
      </c>
    </row>
    <row r="1061" spans="6:9" x14ac:dyDescent="0.3">
      <c r="I1061" s="9" t="s">
        <v>41</v>
      </c>
    </row>
    <row r="1062" spans="6:9" x14ac:dyDescent="0.3">
      <c r="I1062" s="9" t="s">
        <v>41</v>
      </c>
    </row>
    <row r="1063" spans="6:9" x14ac:dyDescent="0.3">
      <c r="I1063" s="9" t="s">
        <v>41</v>
      </c>
    </row>
    <row r="1064" spans="6:9" x14ac:dyDescent="0.3">
      <c r="I1064" s="9" t="s">
        <v>41</v>
      </c>
    </row>
    <row r="1065" spans="6:9" x14ac:dyDescent="0.3">
      <c r="I1065" s="9" t="s">
        <v>41</v>
      </c>
    </row>
    <row r="1066" spans="6:9" x14ac:dyDescent="0.3">
      <c r="I1066" s="9" t="s">
        <v>41</v>
      </c>
    </row>
    <row r="1067" spans="6:9" x14ac:dyDescent="0.3">
      <c r="I1067" s="9" t="s">
        <v>41</v>
      </c>
    </row>
    <row r="1068" spans="6:9" x14ac:dyDescent="0.3">
      <c r="I1068" s="9" t="s">
        <v>41</v>
      </c>
    </row>
    <row r="1069" spans="6:9" x14ac:dyDescent="0.3">
      <c r="I1069" s="9" t="s">
        <v>41</v>
      </c>
    </row>
    <row r="1070" spans="6:9" x14ac:dyDescent="0.3">
      <c r="I1070" s="9" t="s">
        <v>41</v>
      </c>
    </row>
    <row r="1071" spans="6:9" x14ac:dyDescent="0.3">
      <c r="I1071" s="9" t="s">
        <v>41</v>
      </c>
    </row>
    <row r="1072" spans="6:9" x14ac:dyDescent="0.3">
      <c r="I1072" s="9" t="s">
        <v>41</v>
      </c>
    </row>
    <row r="1073" spans="9:9" x14ac:dyDescent="0.3">
      <c r="I1073" s="9" t="s">
        <v>41</v>
      </c>
    </row>
    <row r="1074" spans="9:9" x14ac:dyDescent="0.3">
      <c r="I1074" s="9" t="s">
        <v>41</v>
      </c>
    </row>
    <row r="1075" spans="9:9" x14ac:dyDescent="0.3">
      <c r="I1075" s="9" t="s">
        <v>41</v>
      </c>
    </row>
    <row r="1076" spans="9:9" x14ac:dyDescent="0.3">
      <c r="I1076" s="9" t="s">
        <v>41</v>
      </c>
    </row>
    <row r="1077" spans="9:9" x14ac:dyDescent="0.3">
      <c r="I1077" s="9" t="s">
        <v>41</v>
      </c>
    </row>
    <row r="1078" spans="9:9" x14ac:dyDescent="0.3">
      <c r="I1078" s="9" t="s">
        <v>41</v>
      </c>
    </row>
    <row r="3072" spans="6:6" x14ac:dyDescent="0.3">
      <c r="F3072" s="9">
        <v>5350</v>
      </c>
    </row>
    <row r="3073" spans="6:6" x14ac:dyDescent="0.3">
      <c r="F3073" s="9">
        <v>10000</v>
      </c>
    </row>
    <row r="3074" spans="6:6" x14ac:dyDescent="0.3">
      <c r="F3074" s="9">
        <v>20900</v>
      </c>
    </row>
    <row r="3075" spans="6:6" x14ac:dyDescent="0.3">
      <c r="F3075" s="9">
        <v>50000</v>
      </c>
    </row>
    <row r="3076" spans="6:6" x14ac:dyDescent="0.3">
      <c r="F3076" s="9">
        <v>10600</v>
      </c>
    </row>
    <row r="3077" spans="6:6" x14ac:dyDescent="0.3">
      <c r="F3077" s="9">
        <v>1400</v>
      </c>
    </row>
    <row r="3078" spans="6:6" x14ac:dyDescent="0.3">
      <c r="F3078" s="9">
        <v>10000</v>
      </c>
    </row>
    <row r="3079" spans="6:6" x14ac:dyDescent="0.3">
      <c r="F3079" s="9">
        <v>100000</v>
      </c>
    </row>
    <row r="3080" spans="6:6" x14ac:dyDescent="0.3">
      <c r="F3080" s="9">
        <v>103000</v>
      </c>
    </row>
    <row r="3081" spans="6:6" x14ac:dyDescent="0.3">
      <c r="F3081" s="9">
        <v>6000</v>
      </c>
    </row>
    <row r="3082" spans="6:6" x14ac:dyDescent="0.3">
      <c r="F3082" s="9">
        <v>1000</v>
      </c>
    </row>
    <row r="3083" spans="6:6" x14ac:dyDescent="0.3">
      <c r="F3083" s="9">
        <v>20500</v>
      </c>
    </row>
    <row r="3084" spans="6:6" x14ac:dyDescent="0.3">
      <c r="F3084" s="9">
        <v>1000</v>
      </c>
    </row>
    <row r="3085" spans="6:6" x14ac:dyDescent="0.3">
      <c r="F3085" s="9">
        <v>500</v>
      </c>
    </row>
    <row r="3086" spans="6:6" x14ac:dyDescent="0.3">
      <c r="F3086" s="9">
        <v>4500</v>
      </c>
    </row>
    <row r="3087" spans="6:6" x14ac:dyDescent="0.3">
      <c r="F3087" s="9">
        <v>10000</v>
      </c>
    </row>
    <row r="3088" spans="6:6" x14ac:dyDescent="0.3">
      <c r="F3088" s="9">
        <v>10600</v>
      </c>
    </row>
    <row r="3089" spans="4:6" x14ac:dyDescent="0.3">
      <c r="F3089" s="9">
        <v>26500</v>
      </c>
    </row>
    <row r="3090" spans="4:6" x14ac:dyDescent="0.3">
      <c r="F3090" s="9">
        <v>17500</v>
      </c>
    </row>
    <row r="3091" spans="4:6" x14ac:dyDescent="0.3">
      <c r="F3091" s="9">
        <v>20000</v>
      </c>
    </row>
    <row r="3092" spans="4:6" x14ac:dyDescent="0.3">
      <c r="F3092" s="9">
        <v>200000</v>
      </c>
    </row>
    <row r="3093" spans="4:6" x14ac:dyDescent="0.3">
      <c r="F3093" s="9">
        <v>30000</v>
      </c>
    </row>
    <row r="3094" spans="4:6" x14ac:dyDescent="0.3">
      <c r="F3094" s="9">
        <v>5000</v>
      </c>
    </row>
    <row r="3095" spans="4:6" x14ac:dyDescent="0.3">
      <c r="D3095" s="9" t="s">
        <v>25</v>
      </c>
      <c r="E3095" s="9" t="s">
        <v>7</v>
      </c>
      <c r="F3095" s="9">
        <v>10000</v>
      </c>
    </row>
    <row r="3097" spans="4:6" x14ac:dyDescent="0.3">
      <c r="D3097" s="9" t="s">
        <v>25</v>
      </c>
      <c r="E3097" s="9" t="s">
        <v>7</v>
      </c>
      <c r="F3097" s="9">
        <v>5000</v>
      </c>
    </row>
    <row r="3098" spans="4:6" x14ac:dyDescent="0.3">
      <c r="D3098" s="9" t="s">
        <v>25</v>
      </c>
      <c r="E3098" s="9" t="s">
        <v>6</v>
      </c>
      <c r="F3098" s="9">
        <v>25000</v>
      </c>
    </row>
    <row r="3099" spans="4:6" x14ac:dyDescent="0.3">
      <c r="D3099" s="9" t="s">
        <v>25</v>
      </c>
      <c r="E3099" s="9" t="s">
        <v>6</v>
      </c>
      <c r="F3099" s="9">
        <v>5400</v>
      </c>
    </row>
    <row r="3100" spans="4:6" x14ac:dyDescent="0.3">
      <c r="D3100" s="9" t="s">
        <v>25</v>
      </c>
      <c r="E3100" s="9" t="s">
        <v>6</v>
      </c>
      <c r="F3100" s="9">
        <v>24500</v>
      </c>
    </row>
    <row r="3101" spans="4:6" x14ac:dyDescent="0.3">
      <c r="D3101" s="9" t="s">
        <v>24</v>
      </c>
      <c r="E3101" s="9" t="s">
        <v>7</v>
      </c>
      <c r="F3101" s="9">
        <v>5000</v>
      </c>
    </row>
    <row r="3102" spans="4:6" x14ac:dyDescent="0.3">
      <c r="D3102" s="9" t="s">
        <v>25</v>
      </c>
      <c r="E3102" s="9" t="s">
        <v>6</v>
      </c>
      <c r="F3102" s="9">
        <v>5000</v>
      </c>
    </row>
    <row r="3103" spans="4:6" x14ac:dyDescent="0.3">
      <c r="D3103" s="9" t="s">
        <v>25</v>
      </c>
      <c r="E3103" s="9" t="s">
        <v>7</v>
      </c>
      <c r="F3103" s="9">
        <v>1500</v>
      </c>
    </row>
    <row r="3104" spans="4:6" x14ac:dyDescent="0.3">
      <c r="D3104" s="9" t="s">
        <v>25</v>
      </c>
      <c r="E3104" s="9" t="s">
        <v>7</v>
      </c>
      <c r="F3104" s="9">
        <v>20000</v>
      </c>
    </row>
    <row r="3105" spans="4:6" x14ac:dyDescent="0.3">
      <c r="D3105" s="9" t="s">
        <v>25</v>
      </c>
      <c r="E3105" s="9" t="s">
        <v>7</v>
      </c>
      <c r="F3105" s="9">
        <v>60000</v>
      </c>
    </row>
    <row r="3106" spans="4:6" x14ac:dyDescent="0.3">
      <c r="D3106" s="9" t="s">
        <v>25</v>
      </c>
      <c r="E3106" s="9" t="s">
        <v>7</v>
      </c>
      <c r="F3106" s="9">
        <v>10000</v>
      </c>
    </row>
    <row r="3107" spans="4:6" x14ac:dyDescent="0.3">
      <c r="D3107" s="9" t="s">
        <v>49</v>
      </c>
      <c r="E3107" s="9" t="s">
        <v>6</v>
      </c>
      <c r="F3107" s="9">
        <v>1000</v>
      </c>
    </row>
    <row r="3108" spans="4:6" x14ac:dyDescent="0.3">
      <c r="D3108" s="9" t="s">
        <v>25</v>
      </c>
      <c r="E3108" s="9" t="s">
        <v>6</v>
      </c>
      <c r="F3108" s="9">
        <v>3000</v>
      </c>
    </row>
    <row r="3109" spans="4:6" x14ac:dyDescent="0.3">
      <c r="D3109" s="9" t="s">
        <v>25</v>
      </c>
      <c r="E3109" s="9" t="s">
        <v>7</v>
      </c>
      <c r="F3109" s="9">
        <v>45000</v>
      </c>
    </row>
    <row r="4749" spans="4:6" x14ac:dyDescent="0.3">
      <c r="D4749" s="9" t="s">
        <v>25</v>
      </c>
      <c r="E4749" s="9" t="s">
        <v>6</v>
      </c>
      <c r="F4749" s="9">
        <v>13200</v>
      </c>
    </row>
    <row r="4750" spans="4:6" x14ac:dyDescent="0.3">
      <c r="D4750" s="9" t="s">
        <v>24</v>
      </c>
      <c r="E4750" s="9" t="s">
        <v>7</v>
      </c>
      <c r="F4750" s="9">
        <v>30100</v>
      </c>
    </row>
    <row r="4751" spans="4:6" x14ac:dyDescent="0.3">
      <c r="D4751" s="9" t="s">
        <v>25</v>
      </c>
      <c r="E4751" s="9" t="s">
        <v>6</v>
      </c>
      <c r="F4751" s="9">
        <v>8000</v>
      </c>
    </row>
    <row r="4752" spans="4:6" x14ac:dyDescent="0.3">
      <c r="D4752" s="9" t="s">
        <v>24</v>
      </c>
      <c r="E4752" s="9" t="s">
        <v>6</v>
      </c>
      <c r="F4752" s="9">
        <v>5400</v>
      </c>
    </row>
    <row r="4753" spans="4:6" x14ac:dyDescent="0.3">
      <c r="D4753" s="9" t="s">
        <v>25</v>
      </c>
      <c r="E4753" s="9" t="s">
        <v>6</v>
      </c>
      <c r="F4753" s="9">
        <v>5500</v>
      </c>
    </row>
    <row r="4754" spans="4:6" x14ac:dyDescent="0.3">
      <c r="D4754" s="9" t="s">
        <v>24</v>
      </c>
      <c r="E4754" s="9" t="s">
        <v>7</v>
      </c>
      <c r="F4754" s="9">
        <v>5000</v>
      </c>
    </row>
    <row r="4755" spans="4:6" x14ac:dyDescent="0.3">
      <c r="D4755" s="9" t="s">
        <v>25</v>
      </c>
      <c r="E4755" s="9" t="s">
        <v>6</v>
      </c>
      <c r="F4755" s="9">
        <v>10500</v>
      </c>
    </row>
    <row r="4756" spans="4:6" x14ac:dyDescent="0.3">
      <c r="D4756" s="9" t="s">
        <v>24</v>
      </c>
      <c r="E4756" s="9" t="s">
        <v>7</v>
      </c>
      <c r="F4756" s="9">
        <v>2000</v>
      </c>
    </row>
    <row r="4757" spans="4:6" x14ac:dyDescent="0.3">
      <c r="D4757" s="9" t="s">
        <v>25</v>
      </c>
      <c r="E4757" s="9" t="s">
        <v>6</v>
      </c>
      <c r="F4757" s="9">
        <v>5000</v>
      </c>
    </row>
    <row r="4758" spans="4:6" x14ac:dyDescent="0.3">
      <c r="D4758" s="9" t="s">
        <v>25</v>
      </c>
      <c r="E4758" s="9" t="s">
        <v>6</v>
      </c>
      <c r="F4758" s="9">
        <v>5000</v>
      </c>
    </row>
    <row r="4759" spans="4:6" x14ac:dyDescent="0.3">
      <c r="D4759" s="9" t="s">
        <v>49</v>
      </c>
      <c r="E4759" s="9" t="s">
        <v>6</v>
      </c>
      <c r="F4759" s="9">
        <v>1000</v>
      </c>
    </row>
    <row r="4760" spans="4:6" x14ac:dyDescent="0.3">
      <c r="D4760" s="9" t="s">
        <v>25</v>
      </c>
      <c r="E4760" s="9" t="s">
        <v>7</v>
      </c>
      <c r="F4760" s="9">
        <v>3500</v>
      </c>
    </row>
    <row r="4761" spans="4:6" x14ac:dyDescent="0.3">
      <c r="D4761" s="9" t="s">
        <v>25</v>
      </c>
      <c r="E4761" s="9" t="s">
        <v>6</v>
      </c>
      <c r="F4761" s="9">
        <v>31400</v>
      </c>
    </row>
    <row r="4762" spans="4:6" x14ac:dyDescent="0.3">
      <c r="D4762" s="9" t="s">
        <v>25</v>
      </c>
      <c r="E4762" s="9" t="s">
        <v>7</v>
      </c>
      <c r="F4762" s="9">
        <v>5000</v>
      </c>
    </row>
    <row r="4763" spans="4:6" x14ac:dyDescent="0.3">
      <c r="D4763" s="9" t="s">
        <v>25</v>
      </c>
      <c r="E4763" s="9" t="s">
        <v>7</v>
      </c>
      <c r="F4763" s="9">
        <v>28000</v>
      </c>
    </row>
    <row r="4764" spans="4:6" x14ac:dyDescent="0.3">
      <c r="D4764" s="9" t="s">
        <v>24</v>
      </c>
      <c r="E4764" s="9" t="s">
        <v>7</v>
      </c>
      <c r="F4764" s="9">
        <v>5000</v>
      </c>
    </row>
    <row r="4765" spans="4:6" x14ac:dyDescent="0.3">
      <c r="D4765" s="9" t="s">
        <v>24</v>
      </c>
      <c r="E4765" s="9" t="s">
        <v>7</v>
      </c>
      <c r="F4765" s="9">
        <v>6000</v>
      </c>
    </row>
    <row r="4766" spans="4:6" x14ac:dyDescent="0.3">
      <c r="D4766" s="9" t="s">
        <v>25</v>
      </c>
      <c r="E4766" s="9" t="s">
        <v>7</v>
      </c>
      <c r="F4766" s="9">
        <v>10000</v>
      </c>
    </row>
    <row r="4767" spans="4:6" x14ac:dyDescent="0.3">
      <c r="D4767" s="9" t="s">
        <v>24</v>
      </c>
      <c r="E4767" s="9" t="s">
        <v>6</v>
      </c>
      <c r="F4767" s="9">
        <v>13400</v>
      </c>
    </row>
    <row r="4768" spans="4:6" x14ac:dyDescent="0.3">
      <c r="D4768" s="9" t="s">
        <v>24</v>
      </c>
      <c r="E4768" s="9" t="s">
        <v>6</v>
      </c>
      <c r="F4768" s="9">
        <v>103000</v>
      </c>
    </row>
    <row r="4769" spans="4:6" x14ac:dyDescent="0.3">
      <c r="D4769" s="9" t="s">
        <v>24</v>
      </c>
      <c r="E4769" s="9" t="s">
        <v>6</v>
      </c>
      <c r="F4769" s="9">
        <v>23500</v>
      </c>
    </row>
    <row r="4770" spans="4:6" x14ac:dyDescent="0.3">
      <c r="D4770" s="9" t="s">
        <v>25</v>
      </c>
      <c r="E4770" s="9" t="s">
        <v>6</v>
      </c>
      <c r="F4770" s="9">
        <v>8000</v>
      </c>
    </row>
    <row r="4771" spans="4:6" x14ac:dyDescent="0.3">
      <c r="D4771" s="9" t="s">
        <v>25</v>
      </c>
      <c r="E4771" s="9" t="s">
        <v>7</v>
      </c>
      <c r="F4771" s="9">
        <v>10000</v>
      </c>
    </row>
    <row r="4772" spans="4:6" x14ac:dyDescent="0.3">
      <c r="D4772" s="9" t="s">
        <v>25</v>
      </c>
      <c r="E4772" s="9" t="s">
        <v>7</v>
      </c>
      <c r="F4772" s="9">
        <v>2000</v>
      </c>
    </row>
    <row r="4773" spans="4:6" x14ac:dyDescent="0.3">
      <c r="D4773" s="9" t="s">
        <v>25</v>
      </c>
      <c r="E4773" s="9" t="s">
        <v>7</v>
      </c>
      <c r="F4773" s="9">
        <v>5500</v>
      </c>
    </row>
    <row r="4774" spans="4:6" x14ac:dyDescent="0.3">
      <c r="D4774" s="9" t="s">
        <v>49</v>
      </c>
      <c r="E4774" s="9" t="s">
        <v>6</v>
      </c>
      <c r="F4774" s="9">
        <v>2000</v>
      </c>
    </row>
    <row r="4775" spans="4:6" x14ac:dyDescent="0.3">
      <c r="D4775" s="9" t="s">
        <v>25</v>
      </c>
      <c r="E4775" s="9" t="s">
        <v>6</v>
      </c>
      <c r="F4775" s="9">
        <v>30000</v>
      </c>
    </row>
    <row r="4776" spans="4:6" x14ac:dyDescent="0.3">
      <c r="D4776" s="9" t="s">
        <v>49</v>
      </c>
      <c r="E4776" s="9" t="s">
        <v>6</v>
      </c>
      <c r="F4776" s="9">
        <v>1000</v>
      </c>
    </row>
    <row r="4777" spans="4:6" x14ac:dyDescent="0.3">
      <c r="D4777" s="9" t="s">
        <v>25</v>
      </c>
      <c r="E4777" s="9" t="s">
        <v>6</v>
      </c>
      <c r="F4777" s="9">
        <v>15000</v>
      </c>
    </row>
    <row r="4778" spans="4:6" x14ac:dyDescent="0.3">
      <c r="D4778" s="9" t="s">
        <v>25</v>
      </c>
      <c r="E4778" s="9" t="s">
        <v>6</v>
      </c>
      <c r="F4778" s="9">
        <v>1000</v>
      </c>
    </row>
    <row r="4779" spans="4:6" x14ac:dyDescent="0.3">
      <c r="D4779" s="9" t="s">
        <v>25</v>
      </c>
      <c r="E4779" s="9" t="s">
        <v>7</v>
      </c>
      <c r="F4779" s="9">
        <v>30000</v>
      </c>
    </row>
    <row r="4780" spans="4:6" x14ac:dyDescent="0.3">
      <c r="D4780" s="9" t="s">
        <v>25</v>
      </c>
      <c r="E4780" s="9" t="s">
        <v>6</v>
      </c>
      <c r="F4780" s="9">
        <v>5000</v>
      </c>
    </row>
    <row r="4781" spans="4:6" x14ac:dyDescent="0.3">
      <c r="D4781" s="9" t="s">
        <v>25</v>
      </c>
      <c r="E4781" s="9" t="s">
        <v>6</v>
      </c>
      <c r="F4781" s="9">
        <v>10500</v>
      </c>
    </row>
    <row r="4782" spans="4:6" x14ac:dyDescent="0.3">
      <c r="D4782" s="9" t="s">
        <v>25</v>
      </c>
      <c r="E4782" s="9" t="s">
        <v>6</v>
      </c>
      <c r="F4782" s="9">
        <v>20900</v>
      </c>
    </row>
    <row r="4783" spans="4:6" x14ac:dyDescent="0.3">
      <c r="D4783" s="9" t="s">
        <v>25</v>
      </c>
      <c r="E4783" s="9" t="s">
        <v>6</v>
      </c>
      <c r="F4783" s="9">
        <v>10500</v>
      </c>
    </row>
    <row r="4784" spans="4:6" x14ac:dyDescent="0.3">
      <c r="D4784" s="9" t="s">
        <v>25</v>
      </c>
      <c r="E4784" s="9" t="s">
        <v>7</v>
      </c>
      <c r="F4784" s="9">
        <v>25000</v>
      </c>
    </row>
    <row r="4785" spans="4:6" x14ac:dyDescent="0.3">
      <c r="D4785" s="9" t="s">
        <v>24</v>
      </c>
      <c r="E4785" s="9" t="s">
        <v>7</v>
      </c>
      <c r="F4785" s="9">
        <v>18000</v>
      </c>
    </row>
    <row r="4786" spans="4:6" x14ac:dyDescent="0.3">
      <c r="D4786" s="9" t="s">
        <v>24</v>
      </c>
      <c r="E4786" s="9" t="s">
        <v>7</v>
      </c>
      <c r="F4786" s="9">
        <v>4600</v>
      </c>
    </row>
    <row r="4787" spans="4:6" x14ac:dyDescent="0.3">
      <c r="D4787" s="9" t="s">
        <v>24</v>
      </c>
      <c r="E4787" s="9" t="s">
        <v>6</v>
      </c>
      <c r="F4787" s="9">
        <v>1100</v>
      </c>
    </row>
    <row r="4788" spans="4:6" x14ac:dyDescent="0.3">
      <c r="D4788" s="9" t="s">
        <v>25</v>
      </c>
      <c r="E4788" s="9" t="s">
        <v>6</v>
      </c>
      <c r="F4788" s="9">
        <v>7000</v>
      </c>
    </row>
    <row r="4789" spans="4:6" x14ac:dyDescent="0.3">
      <c r="D4789" s="9" t="s">
        <v>25</v>
      </c>
      <c r="E4789" s="9" t="s">
        <v>6</v>
      </c>
      <c r="F4789" s="9">
        <v>18500</v>
      </c>
    </row>
    <row r="4790" spans="4:6" x14ac:dyDescent="0.3">
      <c r="D4790" s="9" t="s">
        <v>25</v>
      </c>
      <c r="F4790" s="9">
        <v>500000</v>
      </c>
    </row>
    <row r="4791" spans="4:6" x14ac:dyDescent="0.3">
      <c r="D4791" s="9" t="s">
        <v>25</v>
      </c>
      <c r="E4791" s="9" t="s">
        <v>6</v>
      </c>
      <c r="F4791" s="9">
        <v>15000</v>
      </c>
    </row>
    <row r="4792" spans="4:6" x14ac:dyDescent="0.3">
      <c r="D4792" s="9" t="s">
        <v>24</v>
      </c>
      <c r="E4792" s="9" t="s">
        <v>6</v>
      </c>
      <c r="F4792" s="9">
        <v>10600</v>
      </c>
    </row>
    <row r="4793" spans="4:6" x14ac:dyDescent="0.3">
      <c r="D4793" s="9" t="s">
        <v>25</v>
      </c>
      <c r="E4793" s="9" t="s">
        <v>6</v>
      </c>
      <c r="F4793" s="9">
        <v>16400</v>
      </c>
    </row>
  </sheetData>
  <sheetProtection selectLockedCells="1"/>
  <dataConsolidate link="1">
    <dataRefs count="1">
      <dataRef name="$A$15+$A$16+$A$17"/>
    </dataRefs>
  </dataConsolidate>
  <customSheetViews>
    <customSheetView guid="{BCC8C31E-1C8F-4ACF-A3F3-919D68FF9211}" showPageBreaks="1" topLeftCell="A21">
      <selection activeCell="K22" sqref="K22"/>
      <pageMargins left="0.14000000000000001" right="0.14000000000000001" top="0.34" bottom="0.14000000000000001" header="0.31496062992125984" footer="0.31496062992125984"/>
      <pageSetup paperSize="9" orientation="landscape" r:id="rId1"/>
    </customSheetView>
    <customSheetView guid="{A1A8A1DE-D657-4788-8CB1-6D107BB1DEC3}">
      <selection activeCell="L29" sqref="K28:L29"/>
      <pageMargins left="0.14000000000000001" right="0.14000000000000001" top="0.34" bottom="0.14000000000000001" header="0.31496062992125984" footer="0.31496062992125984"/>
      <pageSetup paperSize="9" orientation="landscape" r:id="rId2"/>
    </customSheetView>
  </customSheetViews>
  <mergeCells count="35">
    <mergeCell ref="O43:P43"/>
    <mergeCell ref="O44:P44"/>
    <mergeCell ref="O45:P45"/>
    <mergeCell ref="A30:B30"/>
    <mergeCell ref="A31:C32"/>
    <mergeCell ref="F32:G32"/>
    <mergeCell ref="F30:G30"/>
    <mergeCell ref="F31:G31"/>
    <mergeCell ref="A29:B29"/>
    <mergeCell ref="F27:G27"/>
    <mergeCell ref="F29:G29"/>
    <mergeCell ref="C14:C16"/>
    <mergeCell ref="A27:B27"/>
    <mergeCell ref="A28:B28"/>
    <mergeCell ref="F28:G28"/>
    <mergeCell ref="L4:L5"/>
    <mergeCell ref="F7:G7"/>
    <mergeCell ref="J7:L7"/>
    <mergeCell ref="F9:G9"/>
    <mergeCell ref="H9:H10"/>
    <mergeCell ref="J4:K5"/>
    <mergeCell ref="C2:J2"/>
    <mergeCell ref="C17:C25"/>
    <mergeCell ref="A26:C26"/>
    <mergeCell ref="J25:K25"/>
    <mergeCell ref="J26:K26"/>
    <mergeCell ref="B4:C4"/>
    <mergeCell ref="B5:C5"/>
    <mergeCell ref="B6:C6"/>
    <mergeCell ref="B9:C9"/>
    <mergeCell ref="B12:C12"/>
    <mergeCell ref="A9:A10"/>
    <mergeCell ref="D9:E9"/>
    <mergeCell ref="J23:K23"/>
    <mergeCell ref="F11:G11"/>
  </mergeCells>
  <conditionalFormatting sqref="H32">
    <cfRule type="colorScale" priority="9">
      <colorScale>
        <cfvo type="min"/>
        <cfvo type="max"/>
        <color rgb="FFFFC000"/>
        <color rgb="FF92D050"/>
      </colorScale>
    </cfRule>
  </conditionalFormatting>
  <conditionalFormatting sqref="H30">
    <cfRule type="colorScale" priority="5">
      <colorScale>
        <cfvo type="min"/>
        <cfvo type="num" val="0"/>
        <color rgb="FFFF7128"/>
        <color rgb="FF92D050"/>
      </colorScale>
    </cfRule>
    <cfRule type="colorScale" priority="6">
      <colorScale>
        <cfvo type="num" val="-7.7777777777777705E+18"/>
        <cfvo type="num" val="7.7777777777777703E+32"/>
        <color rgb="FFFF7128"/>
        <color rgb="FF92D050"/>
      </colorScale>
    </cfRule>
    <cfRule type="cellIs" priority="7" operator="between">
      <formula>-7777777777777770</formula>
      <formula>7.77777777777777E+21</formula>
    </cfRule>
    <cfRule type="cellIs" priority="8" operator="between">
      <formula>-77777777777</formula>
      <formula>777777777777777</formula>
    </cfRule>
  </conditionalFormatting>
  <conditionalFormatting sqref="H32">
    <cfRule type="colorScale" priority="1">
      <colorScale>
        <cfvo type="min"/>
        <cfvo type="num" val="0"/>
        <color rgb="FFFF7128"/>
        <color rgb="FF92D050"/>
      </colorScale>
    </cfRule>
    <cfRule type="colorScale" priority="2">
      <colorScale>
        <cfvo type="num" val="-7.7777777777777705E+18"/>
        <cfvo type="num" val="7.7777777777777703E+32"/>
        <color rgb="FFFF7128"/>
        <color rgb="FF92D050"/>
      </colorScale>
    </cfRule>
    <cfRule type="cellIs" priority="3" operator="between">
      <formula>-7777777777777770</formula>
      <formula>7.77777777777777E+21</formula>
    </cfRule>
    <cfRule type="cellIs" priority="4" operator="between">
      <formula>-77777777777</formula>
      <formula>777777777777777</formula>
    </cfRule>
  </conditionalFormatting>
  <dataValidations count="3">
    <dataValidation type="list" allowBlank="1" showInputMessage="1" showErrorMessage="1" sqref="L4:L5" xr:uid="{00000000-0002-0000-0100-000000000000}">
      <formula1>DF4</formula1>
    </dataValidation>
    <dataValidation type="list" allowBlank="1" showInputMessage="1" showErrorMessage="1" sqref="D6:E6" xr:uid="{00000000-0002-0000-0100-000001000000}">
      <formula1>$CD$3:$CD$4</formula1>
    </dataValidation>
    <dataValidation type="list" allowBlank="1" showInputMessage="1" showErrorMessage="1" sqref="B6:C6" xr:uid="{00000000-0002-0000-0100-000002000000}">
      <formula1>$CD$3:$CD$5</formula1>
    </dataValidation>
  </dataValidations>
  <pageMargins left="0.14000000000000001" right="0.14000000000000001" top="0.34" bottom="0.14000000000000001" header="0.31496062992125984" footer="0.31496062992125984"/>
  <pageSetup paperSize="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6255"/>
  <sheetViews>
    <sheetView tabSelected="1" topLeftCell="A997" zoomScale="110" zoomScaleNormal="110" workbookViewId="0">
      <selection activeCell="D1107" sqref="D1107:D1108"/>
    </sheetView>
  </sheetViews>
  <sheetFormatPr baseColWidth="10" defaultRowHeight="15" x14ac:dyDescent="0.25"/>
  <cols>
    <col min="1" max="1" width="19.5703125" style="40" customWidth="1"/>
    <col min="2" max="3" width="14.28515625" style="47" bestFit="1" customWidth="1"/>
    <col min="4" max="4" width="17" style="40" customWidth="1"/>
    <col min="5" max="5" width="16.140625" style="40" bestFit="1" customWidth="1"/>
    <col min="6" max="6" width="13.5703125" style="40" customWidth="1"/>
    <col min="7" max="7" width="12.42578125" style="47" customWidth="1"/>
    <col min="8" max="8" width="18.85546875" style="47" bestFit="1" customWidth="1"/>
    <col min="9" max="9" width="15.42578125" style="40" bestFit="1" customWidth="1"/>
    <col min="10" max="10" width="11.42578125" style="40"/>
    <col min="11" max="11" width="12" style="40" customWidth="1"/>
    <col min="12" max="16384" width="11.42578125" style="40"/>
  </cols>
  <sheetData>
    <row r="1" spans="1:11" x14ac:dyDescent="0.25">
      <c r="A1" s="40">
        <v>7</v>
      </c>
      <c r="J1" s="55"/>
    </row>
    <row r="2" spans="1:11" x14ac:dyDescent="0.25">
      <c r="A2" s="37" t="s">
        <v>26</v>
      </c>
      <c r="B2" s="45" t="s">
        <v>27</v>
      </c>
      <c r="C2" s="45" t="s">
        <v>28</v>
      </c>
      <c r="D2" s="38" t="s">
        <v>29</v>
      </c>
      <c r="E2" s="38" t="s">
        <v>30</v>
      </c>
      <c r="F2" s="38" t="s">
        <v>31</v>
      </c>
      <c r="G2" s="45" t="s">
        <v>35</v>
      </c>
      <c r="H2" s="45" t="s">
        <v>36</v>
      </c>
      <c r="I2" s="39" t="s">
        <v>32</v>
      </c>
    </row>
    <row r="3" spans="1:11" x14ac:dyDescent="0.25">
      <c r="A3" s="113">
        <v>45389.490330439818</v>
      </c>
      <c r="B3" s="48">
        <f>IF(A3&lt;&gt;"",DATE(YEAR(TRANSACTIONS!$A3),MONTH(TRANSACTIONS!$A3),DAY(TRANSACTIONS!$A3)),"")</f>
        <v>45389</v>
      </c>
      <c r="C3" s="49">
        <f>IF(A3&lt;&gt;"",TIME(HOUR(TRANSACTIONS!$A3),MINUTE(TRANSACTIONS!$A3),SECOND(TRANSACTIONS!$A3)),"")</f>
        <v>0.49033564814814817</v>
      </c>
      <c r="D3" s="82" t="s">
        <v>62</v>
      </c>
      <c r="E3" s="88" t="s">
        <v>6</v>
      </c>
      <c r="F3" s="112">
        <v>1000</v>
      </c>
      <c r="G3" s="46"/>
      <c r="H3" s="46">
        <f>IFERROR(TRANSACTIONS!$F3+TRANSACTIONS!$G3,"")</f>
        <v>1000</v>
      </c>
      <c r="I3" s="44" t="s">
        <v>50</v>
      </c>
    </row>
    <row r="4" spans="1:11" x14ac:dyDescent="0.25">
      <c r="A4" s="41">
        <v>45389.495958333333</v>
      </c>
      <c r="B4" s="48">
        <f>IF(A4&lt;&gt;"",DATE(YEAR(TRANSACTIONS!$A4),MONTH(TRANSACTIONS!$A4),DAY(TRANSACTIONS!$A4)),"")</f>
        <v>45389</v>
      </c>
      <c r="C4" s="49">
        <f>IF(A4&lt;&gt;"",TIME(HOUR(TRANSACTIONS!$A4),MINUTE(TRANSACTIONS!$A4),SECOND(TRANSACTIONS!$A4)),"")</f>
        <v>0.49596064814814816</v>
      </c>
      <c r="D4" s="82" t="s">
        <v>62</v>
      </c>
      <c r="E4" s="88" t="s">
        <v>6</v>
      </c>
      <c r="F4" s="112">
        <v>30000</v>
      </c>
      <c r="G4" s="46"/>
      <c r="H4" s="46">
        <f>IFERROR(TRANSACTIONS!$F4+TRANSACTIONS!$G4,"")</f>
        <v>30000</v>
      </c>
      <c r="I4" s="57" t="s">
        <v>50</v>
      </c>
    </row>
    <row r="5" spans="1:11" x14ac:dyDescent="0.25">
      <c r="A5" s="41">
        <v>45389.497121064815</v>
      </c>
      <c r="B5" s="48">
        <f>IF(A5&lt;&gt;"",DATE(YEAR(TRANSACTIONS!$A5),MONTH(TRANSACTIONS!$A5),DAY(TRANSACTIONS!$A5)),"")</f>
        <v>45389</v>
      </c>
      <c r="C5" s="49">
        <f>IF(A5&lt;&gt;"",TIME(HOUR(TRANSACTIONS!$A5),MINUTE(TRANSACTIONS!$A5),SECOND(TRANSACTIONS!$A5)),"")</f>
        <v>0.4971180555555556</v>
      </c>
      <c r="D5" s="82" t="s">
        <v>62</v>
      </c>
      <c r="E5" s="88" t="s">
        <v>7</v>
      </c>
      <c r="F5" s="112">
        <v>8000</v>
      </c>
      <c r="G5" s="46"/>
      <c r="H5" s="46">
        <f>IFERROR(TRANSACTIONS!$F5+TRANSACTIONS!$G5,"")</f>
        <v>8000</v>
      </c>
      <c r="I5" s="57" t="s">
        <v>41</v>
      </c>
    </row>
    <row r="6" spans="1:11" x14ac:dyDescent="0.25">
      <c r="A6" s="41">
        <v>45389.49720740741</v>
      </c>
      <c r="B6" s="48">
        <f>IF(A6&lt;&gt;"",DATE(YEAR(TRANSACTIONS!$A6),MONTH(TRANSACTIONS!$A6),DAY(TRANSACTIONS!$A6)),"")</f>
        <v>45389</v>
      </c>
      <c r="C6" s="49">
        <f>IF(A6&lt;&gt;"",TIME(HOUR(TRANSACTIONS!$A6),MINUTE(TRANSACTIONS!$A6),SECOND(TRANSACTIONS!$A6)),"")</f>
        <v>0.49721064814814814</v>
      </c>
      <c r="D6" s="82" t="s">
        <v>62</v>
      </c>
      <c r="E6" s="88" t="s">
        <v>7</v>
      </c>
      <c r="F6" s="112">
        <v>10000</v>
      </c>
      <c r="G6" s="46"/>
      <c r="H6" s="46">
        <f>IFERROR(TRANSACTIONS!$F6+TRANSACTIONS!$G6,"")</f>
        <v>10000</v>
      </c>
      <c r="I6" s="57" t="s">
        <v>41</v>
      </c>
    </row>
    <row r="7" spans="1:11" hidden="1" x14ac:dyDescent="0.25">
      <c r="A7" s="41">
        <v>43907.403329745372</v>
      </c>
      <c r="B7" s="48">
        <f>IF(A7&lt;&gt;"",DATE(YEAR(TRANSACTIONS!$A7),MONTH(TRANSACTIONS!$A7),DAY(TRANSACTIONS!$A7)),"")</f>
        <v>43907</v>
      </c>
      <c r="C7" s="49">
        <f>IF(A7&lt;&gt;"",TIME(HOUR(TRANSACTIONS!$A7),MINUTE(TRANSACTIONS!$A7),SECOND(TRANSACTIONS!$A7)),"")</f>
        <v>0.40333333333333332</v>
      </c>
      <c r="D7" s="42" t="s">
        <v>24</v>
      </c>
      <c r="E7" s="40" t="s">
        <v>6</v>
      </c>
      <c r="F7" s="109">
        <v>10600</v>
      </c>
      <c r="G7" s="46" t="e">
        <f>IF(AND(A7&lt;&gt;"",F7&gt;1),IF(TRANSACTIONS!$E7=RAPPORTS!$F$9,0,IF(OR(TRANSACTIONS!$D7=RAPPORTS!$A$13,TRANSACTIONS!$D7=RAPPORTS!#REF!),VLOOKUP(TRANSACTIONS!$F7,FRAIS_D_ENVOI,3,TRUE),0)),"")</f>
        <v>#REF!</v>
      </c>
      <c r="H7" s="46" t="str">
        <f>IFERROR(TRANSACTIONS!$F7+TRANSACTIONS!$G7,"")</f>
        <v/>
      </c>
      <c r="I7" s="44"/>
    </row>
    <row r="8" spans="1:11" hidden="1" x14ac:dyDescent="0.25">
      <c r="A8" s="41">
        <v>43907.408136805556</v>
      </c>
      <c r="B8" s="48">
        <f>IF(A8&lt;&gt;"",DATE(YEAR(TRANSACTIONS!$A8),MONTH(TRANSACTIONS!$A8),DAY(TRANSACTIONS!$A8)),"")</f>
        <v>43907</v>
      </c>
      <c r="C8" s="49">
        <f>IF(A8&lt;&gt;"",TIME(HOUR(TRANSACTIONS!$A8),MINUTE(TRANSACTIONS!$A8),SECOND(TRANSACTIONS!$A8)),"")</f>
        <v>0.40813657407407411</v>
      </c>
      <c r="D8" s="42" t="s">
        <v>24</v>
      </c>
      <c r="E8" s="40" t="s">
        <v>6</v>
      </c>
      <c r="F8" s="109">
        <v>5400</v>
      </c>
      <c r="G8" s="46" t="e">
        <f>IF(AND(A8&lt;&gt;"",F8&gt;1),IF(TRANSACTIONS!$E8=RAPPORTS!$F$9,0,IF(OR(TRANSACTIONS!$D8=RAPPORTS!$A$13,TRANSACTIONS!$D8=RAPPORTS!#REF!),VLOOKUP(TRANSACTIONS!$F8,FRAIS_D_ENVOI,3,TRUE),0)),"")</f>
        <v>#REF!</v>
      </c>
      <c r="H8" s="46" t="str">
        <f>IFERROR(TRANSACTIONS!$F8+TRANSACTIONS!$G8,"")</f>
        <v/>
      </c>
      <c r="I8" s="44"/>
    </row>
    <row r="9" spans="1:11" hidden="1" x14ac:dyDescent="0.25">
      <c r="A9" s="41">
        <v>43907.424475231484</v>
      </c>
      <c r="B9" s="48">
        <f>IF(A9&lt;&gt;"",DATE(YEAR(TRANSACTIONS!$A9),MONTH(TRANSACTIONS!$A9),DAY(TRANSACTIONS!$A9)),"")</f>
        <v>43907</v>
      </c>
      <c r="C9" s="49">
        <f>IF(A9&lt;&gt;"",TIME(HOUR(TRANSACTIONS!$A9),MINUTE(TRANSACTIONS!$A9),SECOND(TRANSACTIONS!$A9)),"")</f>
        <v>0.42447916666666669</v>
      </c>
      <c r="D9" s="42" t="s">
        <v>24</v>
      </c>
      <c r="E9" s="40" t="s">
        <v>7</v>
      </c>
      <c r="F9" s="109">
        <v>4700</v>
      </c>
      <c r="G9" s="46">
        <f>IF(AND(A9&lt;&gt;"",F9&gt;1),IF(TRANSACTIONS!$E9=RAPPORTS!$F$9,0,IF(OR(TRANSACTIONS!$D9=RAPPORTS!$A$13,TRANSACTIONS!$D9=RAPPORTS!#REF!),VLOOKUP(TRANSACTIONS!$F9,FRAIS_D_ENVOI,3,TRUE),0)),"")</f>
        <v>0</v>
      </c>
      <c r="H9" s="46">
        <f>IFERROR(TRANSACTIONS!$F9+TRANSACTIONS!$G9,"")</f>
        <v>4700</v>
      </c>
      <c r="I9" s="44"/>
    </row>
    <row r="10" spans="1:11" hidden="1" x14ac:dyDescent="0.25">
      <c r="A10" s="41">
        <v>43907.427117361112</v>
      </c>
      <c r="B10" s="48">
        <f>IF(A10&lt;&gt;"",DATE(YEAR(TRANSACTIONS!$A10),MONTH(TRANSACTIONS!$A10),DAY(TRANSACTIONS!$A10)),"")</f>
        <v>43907</v>
      </c>
      <c r="C10" s="49">
        <f>IF(A10&lt;&gt;"",TIME(HOUR(TRANSACTIONS!$A10),MINUTE(TRANSACTIONS!$A10),SECOND(TRANSACTIONS!$A10)),"")</f>
        <v>0.42711805555555554</v>
      </c>
      <c r="D10" s="42" t="s">
        <v>25</v>
      </c>
      <c r="E10" s="40" t="s">
        <v>6</v>
      </c>
      <c r="F10" s="109">
        <v>3000</v>
      </c>
      <c r="G10" s="46" t="e">
        <f>IF(AND(A10&lt;&gt;"",F10&gt;1),IF(TRANSACTIONS!$E10=RAPPORTS!$F$9,0,IF(OR(TRANSACTIONS!$D10=RAPPORTS!$A$13,TRANSACTIONS!$D10=RAPPORTS!#REF!),VLOOKUP(TRANSACTIONS!$F10,FRAIS_D_ENVOI,3,TRUE),0)),"")</f>
        <v>#REF!</v>
      </c>
      <c r="H10" s="46" t="str">
        <f>IFERROR(TRANSACTIONS!$F10+TRANSACTIONS!$G10,"")</f>
        <v/>
      </c>
      <c r="I10" s="44"/>
    </row>
    <row r="11" spans="1:11" hidden="1" x14ac:dyDescent="0.25">
      <c r="A11" s="41">
        <v>43907.440504398146</v>
      </c>
      <c r="B11" s="48">
        <f>IF(A11&lt;&gt;"",DATE(YEAR(TRANSACTIONS!$A11),MONTH(TRANSACTIONS!$A11),DAY(TRANSACTIONS!$A11)),"")</f>
        <v>43907</v>
      </c>
      <c r="C11" s="49">
        <f>IF(A11&lt;&gt;"",TIME(HOUR(TRANSACTIONS!$A11),MINUTE(TRANSACTIONS!$A11),SECOND(TRANSACTIONS!$A11)),"")</f>
        <v>0.44050925925925927</v>
      </c>
      <c r="D11" s="42" t="s">
        <v>25</v>
      </c>
      <c r="E11" s="40" t="s">
        <v>7</v>
      </c>
      <c r="F11" s="109">
        <v>13000</v>
      </c>
      <c r="G11" s="46">
        <f>IF(AND(A11&lt;&gt;"",F11&gt;1),IF(TRANSACTIONS!$E11=RAPPORTS!$F$9,0,IF(OR(TRANSACTIONS!$D11=RAPPORTS!$A$13,TRANSACTIONS!$D11=RAPPORTS!#REF!),VLOOKUP(TRANSACTIONS!$F11,FRAIS_D_ENVOI,3,TRUE),0)),"")</f>
        <v>0</v>
      </c>
      <c r="H11" s="46">
        <f>IFERROR(TRANSACTIONS!$F11+TRANSACTIONS!$G11,"")</f>
        <v>13000</v>
      </c>
      <c r="I11" s="44"/>
    </row>
    <row r="12" spans="1:11" x14ac:dyDescent="0.25">
      <c r="A12" s="41">
        <v>45389.497714351855</v>
      </c>
      <c r="B12" s="48">
        <f>IF(A12&lt;&gt;"",DATE(YEAR(TRANSACTIONS!$A12),MONTH(TRANSACTIONS!$A12),DAY(TRANSACTIONS!$A12)),"")</f>
        <v>45389</v>
      </c>
      <c r="C12" s="49">
        <f>IF(A12&lt;&gt;"",TIME(HOUR(TRANSACTIONS!$A12),MINUTE(TRANSACTIONS!$A12),SECOND(TRANSACTIONS!$A12)),"")</f>
        <v>0.4977199074074074</v>
      </c>
      <c r="D12" s="82" t="s">
        <v>25</v>
      </c>
      <c r="E12" s="88" t="s">
        <v>7</v>
      </c>
      <c r="F12" s="112">
        <v>4000</v>
      </c>
      <c r="G12" s="46"/>
      <c r="H12" s="46">
        <f>IFERROR(TRANSACTIONS!$F12+TRANSACTIONS!$G12,"")</f>
        <v>4000</v>
      </c>
      <c r="I12" s="57" t="s">
        <v>41</v>
      </c>
    </row>
    <row r="13" spans="1:11" x14ac:dyDescent="0.25">
      <c r="A13" s="41">
        <v>45389.497725578702</v>
      </c>
      <c r="B13" s="48">
        <f>IF(A13&lt;&gt;"",DATE(YEAR(TRANSACTIONS!$A13),MONTH(TRANSACTIONS!$A13),DAY(TRANSACTIONS!$A13)),"")</f>
        <v>45389</v>
      </c>
      <c r="C13" s="49">
        <f>IF(A13&lt;&gt;"",TIME(HOUR(TRANSACTIONS!$A13),MINUTE(TRANSACTIONS!$A13),SECOND(TRANSACTIONS!$A13)),"")</f>
        <v>0.4977199074074074</v>
      </c>
      <c r="D13" s="82" t="s">
        <v>62</v>
      </c>
      <c r="E13" s="88" t="s">
        <v>7</v>
      </c>
      <c r="F13" s="112">
        <v>58000</v>
      </c>
      <c r="G13" s="46"/>
      <c r="H13" s="46">
        <f>IFERROR(TRANSACTIONS!$F13+TRANSACTIONS!$G13,"")</f>
        <v>58000</v>
      </c>
      <c r="I13" s="57" t="s">
        <v>41</v>
      </c>
    </row>
    <row r="14" spans="1:11" x14ac:dyDescent="0.25">
      <c r="A14" s="81">
        <v>45389.501120833331</v>
      </c>
      <c r="B14" s="83">
        <f>IF(A14&lt;&gt;"",DATE(YEAR(TRANSACTIONS!$A14),MONTH(TRANSACTIONS!$A14),DAY(TRANSACTIONS!$A14)),"")</f>
        <v>45389</v>
      </c>
      <c r="C14" s="84">
        <f>IF(A14&lt;&gt;"",TIME(HOUR(TRANSACTIONS!$A14),MINUTE(TRANSACTIONS!$A14),SECOND(TRANSACTIONS!$A14)),"")</f>
        <v>0.50112268518518521</v>
      </c>
      <c r="D14" s="82" t="s">
        <v>62</v>
      </c>
      <c r="E14" s="88" t="s">
        <v>6</v>
      </c>
      <c r="F14" s="112">
        <v>7000</v>
      </c>
      <c r="G14" s="86"/>
      <c r="H14" s="86">
        <f>IFERROR(TRANSACTIONS!$F14+TRANSACTIONS!$G14,"")</f>
        <v>7000</v>
      </c>
      <c r="I14" s="87" t="s">
        <v>41</v>
      </c>
      <c r="J14" s="88"/>
    </row>
    <row r="15" spans="1:11" x14ac:dyDescent="0.25">
      <c r="A15" s="41">
        <v>45389.511270601855</v>
      </c>
      <c r="B15" s="83">
        <f>IF(A15&lt;&gt;"",DATE(YEAR(TRANSACTIONS!$A15),MONTH(TRANSACTIONS!$A15),DAY(TRANSACTIONS!$A15)),"")</f>
        <v>45389</v>
      </c>
      <c r="C15" s="84">
        <f>IF(A15&lt;&gt;"",TIME(HOUR(TRANSACTIONS!$A15),MINUTE(TRANSACTIONS!$A15),SECOND(TRANSACTIONS!$A15)),"")</f>
        <v>0.51127314814814817</v>
      </c>
      <c r="D15" s="82" t="s">
        <v>62</v>
      </c>
      <c r="E15" s="88" t="s">
        <v>6</v>
      </c>
      <c r="F15" s="112">
        <v>5000</v>
      </c>
      <c r="G15" s="86"/>
      <c r="H15" s="86">
        <f>IFERROR(TRANSACTIONS!$F15+TRANSACTIONS!$G15,"")</f>
        <v>5000</v>
      </c>
      <c r="I15" s="87" t="s">
        <v>41</v>
      </c>
      <c r="J15" s="88"/>
      <c r="K15" s="88"/>
    </row>
    <row r="16" spans="1:11" x14ac:dyDescent="0.25">
      <c r="A16" s="41">
        <v>45389.511453703701</v>
      </c>
      <c r="B16" s="48">
        <f>IF(A16&lt;&gt;"",DATE(YEAR(TRANSACTIONS!$A16),MONTH(TRANSACTIONS!$A16),DAY(TRANSACTIONS!$A16)),"")</f>
        <v>45389</v>
      </c>
      <c r="C16" s="49">
        <f>IF(A16&lt;&gt;"",TIME(HOUR(TRANSACTIONS!$A16),MINUTE(TRANSACTIONS!$A16),SECOND(TRANSACTIONS!$A16)),"")</f>
        <v>0.51145833333333335</v>
      </c>
      <c r="D16" s="82" t="s">
        <v>62</v>
      </c>
      <c r="E16" s="88" t="s">
        <v>6</v>
      </c>
      <c r="F16" s="112">
        <v>35500</v>
      </c>
      <c r="G16" s="86"/>
      <c r="H16" s="86">
        <f>IFERROR(TRANSACTIONS!$F16+TRANSACTIONS!$G16,"")</f>
        <v>35500</v>
      </c>
      <c r="I16" s="87" t="s">
        <v>41</v>
      </c>
      <c r="J16" s="88"/>
      <c r="K16" s="88"/>
    </row>
    <row r="17" spans="1:11" x14ac:dyDescent="0.25">
      <c r="A17" s="41">
        <v>45389.511834837962</v>
      </c>
      <c r="B17" s="48">
        <f>IF(A17&lt;&gt;"",DATE(YEAR(TRANSACTIONS!$A17),MONTH(TRANSACTIONS!$A17),DAY(TRANSACTIONS!$A17)),"")</f>
        <v>45389</v>
      </c>
      <c r="C17" s="49">
        <f>IF(A17&lt;&gt;"",TIME(HOUR(TRANSACTIONS!$A17),MINUTE(TRANSACTIONS!$A17),SECOND(TRANSACTIONS!$A17)),"")</f>
        <v>0.51184027777777785</v>
      </c>
      <c r="D17" s="82" t="s">
        <v>25</v>
      </c>
      <c r="E17" s="88" t="s">
        <v>6</v>
      </c>
      <c r="F17" s="112">
        <v>27000</v>
      </c>
      <c r="G17" s="46"/>
      <c r="H17" s="46">
        <f>IFERROR(TRANSACTIONS!$F17+TRANSACTIONS!$G17,"")</f>
        <v>27000</v>
      </c>
      <c r="I17" s="57" t="s">
        <v>41</v>
      </c>
    </row>
    <row r="18" spans="1:11" x14ac:dyDescent="0.25">
      <c r="A18" s="41">
        <v>45389.512618171299</v>
      </c>
      <c r="B18" s="48">
        <f>IF(A18&lt;&gt;"",DATE(YEAR(TRANSACTIONS!$A18),MONTH(TRANSACTIONS!$A18),DAY(TRANSACTIONS!$A18)),"")</f>
        <v>45389</v>
      </c>
      <c r="C18" s="49">
        <f>IF(A18&lt;&gt;"",TIME(HOUR(TRANSACTIONS!$A18),MINUTE(TRANSACTIONS!$A18),SECOND(TRANSACTIONS!$A18)),"")</f>
        <v>0.51261574074074068</v>
      </c>
      <c r="D18" s="82" t="s">
        <v>62</v>
      </c>
      <c r="E18" s="88" t="s">
        <v>6</v>
      </c>
      <c r="F18" s="112">
        <v>5000</v>
      </c>
      <c r="G18" s="46"/>
      <c r="H18" s="46">
        <f>IFERROR(TRANSACTIONS!$F18+TRANSACTIONS!$G18,"")</f>
        <v>5000</v>
      </c>
      <c r="I18" s="57" t="s">
        <v>41</v>
      </c>
    </row>
    <row r="19" spans="1:11" x14ac:dyDescent="0.25">
      <c r="A19" s="41">
        <v>45389.513832870369</v>
      </c>
      <c r="B19" s="48">
        <f>IF(A19&lt;&gt;"",DATE(YEAR(TRANSACTIONS!$A19),MONTH(TRANSACTIONS!$A19),DAY(TRANSACTIONS!$A19)),"")</f>
        <v>45389</v>
      </c>
      <c r="C19" s="49">
        <f>IF(A19&lt;&gt;"",TIME(HOUR(TRANSACTIONS!$A19),MINUTE(TRANSACTIONS!$A19),SECOND(TRANSACTIONS!$A19)),"")</f>
        <v>0.51383101851851853</v>
      </c>
      <c r="D19" s="82" t="s">
        <v>62</v>
      </c>
      <c r="E19" s="88" t="s">
        <v>6</v>
      </c>
      <c r="F19" s="112">
        <v>500</v>
      </c>
      <c r="G19" s="46"/>
      <c r="H19" s="46">
        <f>IFERROR(TRANSACTIONS!$F19+TRANSACTIONS!$G19,"")</f>
        <v>500</v>
      </c>
      <c r="I19" s="57" t="s">
        <v>41</v>
      </c>
    </row>
    <row r="20" spans="1:11" x14ac:dyDescent="0.25">
      <c r="A20" s="41">
        <v>45389.533866782411</v>
      </c>
      <c r="B20" s="48">
        <f>IF(A20&lt;&gt;"",DATE(YEAR(TRANSACTIONS!$A20),MONTH(TRANSACTIONS!$A20),DAY(TRANSACTIONS!$A20)),"")</f>
        <v>45389</v>
      </c>
      <c r="C20" s="49">
        <f>IF(A20&lt;&gt;"",TIME(HOUR(TRANSACTIONS!$A20),MINUTE(TRANSACTIONS!$A20),SECOND(TRANSACTIONS!$A20)),"")</f>
        <v>0.53386574074074067</v>
      </c>
      <c r="D20" s="82" t="s">
        <v>62</v>
      </c>
      <c r="E20" s="88" t="s">
        <v>7</v>
      </c>
      <c r="F20" s="112">
        <v>7000</v>
      </c>
      <c r="G20" s="46"/>
      <c r="H20" s="46">
        <f>IFERROR(TRANSACTIONS!$F20+TRANSACTIONS!$G20,"")</f>
        <v>7000</v>
      </c>
      <c r="I20" s="57" t="s">
        <v>41</v>
      </c>
    </row>
    <row r="21" spans="1:11" x14ac:dyDescent="0.25">
      <c r="A21" s="41">
        <v>45389.533879282404</v>
      </c>
      <c r="B21" s="48">
        <f>IF(A21&lt;&gt;"",DATE(YEAR(TRANSACTIONS!$A21),MONTH(TRANSACTIONS!$A21),DAY(TRANSACTIONS!$A21)),"")</f>
        <v>45389</v>
      </c>
      <c r="C21" s="49">
        <f>IF(A21&lt;&gt;"",TIME(HOUR(TRANSACTIONS!$A21),MINUTE(TRANSACTIONS!$A21),SECOND(TRANSACTIONS!$A21)),"")</f>
        <v>0.53387731481481482</v>
      </c>
      <c r="D21" s="82" t="s">
        <v>62</v>
      </c>
      <c r="E21" s="88" t="s">
        <v>7</v>
      </c>
      <c r="F21" s="112">
        <v>100000</v>
      </c>
      <c r="G21" s="46"/>
      <c r="H21" s="46">
        <f>IFERROR(TRANSACTIONS!$F21+TRANSACTIONS!$G21,"")</f>
        <v>100000</v>
      </c>
      <c r="I21" s="57" t="s">
        <v>41</v>
      </c>
    </row>
    <row r="22" spans="1:11" hidden="1" x14ac:dyDescent="0.25">
      <c r="A22" s="41">
        <v>43907.540482523145</v>
      </c>
      <c r="B22" s="48">
        <f>IF(A22&lt;&gt;"",DATE(YEAR(TRANSACTIONS!$A22),MONTH(TRANSACTIONS!$A22),DAY(TRANSACTIONS!$A22)),"")</f>
        <v>43907</v>
      </c>
      <c r="C22" s="49">
        <f>IF(A22&lt;&gt;"",TIME(HOUR(TRANSACTIONS!$A22),MINUTE(TRANSACTIONS!$A22),SECOND(TRANSACTIONS!$A22)),"")</f>
        <v>0.54048611111111111</v>
      </c>
      <c r="D22" s="42" t="s">
        <v>25</v>
      </c>
      <c r="E22" s="40" t="s">
        <v>7</v>
      </c>
      <c r="F22" s="109">
        <v>5000</v>
      </c>
      <c r="G22" s="46">
        <f>IF(AND(A22&lt;&gt;"",F22&gt;1),IF(TRANSACTIONS!$E22=RAPPORTS!$F$9,0,IF(OR(TRANSACTIONS!$D22=RAPPORTS!$A$13,TRANSACTIONS!$D22=RAPPORTS!#REF!),VLOOKUP(TRANSACTIONS!$F22,FRAIS_D_ENVOI,3,TRUE),0)),"")</f>
        <v>0</v>
      </c>
      <c r="H22" s="46">
        <f>IFERROR(TRANSACTIONS!$F22+TRANSACTIONS!$G22,"")</f>
        <v>5000</v>
      </c>
      <c r="I22" s="44"/>
      <c r="K22" s="40">
        <v>108</v>
      </c>
    </row>
    <row r="23" spans="1:11" hidden="1" x14ac:dyDescent="0.25">
      <c r="A23" s="41">
        <v>43907.552304513891</v>
      </c>
      <c r="B23" s="48">
        <f>IF(A23&lt;&gt;"",DATE(YEAR(TRANSACTIONS!$A23),MONTH(TRANSACTIONS!$A23),DAY(TRANSACTIONS!$A23)),"")</f>
        <v>43907</v>
      </c>
      <c r="C23" s="49">
        <f>IF(A23&lt;&gt;"",TIME(HOUR(TRANSACTIONS!$A23),MINUTE(TRANSACTIONS!$A23),SECOND(TRANSACTIONS!$A23)),"")</f>
        <v>0.55230324074074078</v>
      </c>
      <c r="D23" s="42" t="s">
        <v>25</v>
      </c>
      <c r="E23" s="40" t="s">
        <v>7</v>
      </c>
      <c r="F23" s="109">
        <v>9000</v>
      </c>
      <c r="G23" s="46">
        <f>IF(AND(A23&lt;&gt;"",F23&gt;1),IF(TRANSACTIONS!$E23=RAPPORTS!$F$9,0,IF(OR(TRANSACTIONS!$D23=RAPPORTS!$A$13,TRANSACTIONS!$D23=RAPPORTS!#REF!),VLOOKUP(TRANSACTIONS!$F23,FRAIS_D_ENVOI,3,TRUE),0)),"")</f>
        <v>0</v>
      </c>
      <c r="H23" s="46">
        <f>IFERROR(TRANSACTIONS!$F23+TRANSACTIONS!$G23,"")</f>
        <v>9000</v>
      </c>
      <c r="I23" s="44"/>
    </row>
    <row r="24" spans="1:11" hidden="1" x14ac:dyDescent="0.25">
      <c r="A24" s="41">
        <v>43907.553173032407</v>
      </c>
      <c r="B24" s="48">
        <f>IF(A24&lt;&gt;"",DATE(YEAR(TRANSACTIONS!$A24),MONTH(TRANSACTIONS!$A24),DAY(TRANSACTIONS!$A24)),"")</f>
        <v>43907</v>
      </c>
      <c r="C24" s="49">
        <f>IF(A24&lt;&gt;"",TIME(HOUR(TRANSACTIONS!$A24),MINUTE(TRANSACTIONS!$A24),SECOND(TRANSACTIONS!$A24)),"")</f>
        <v>0.55317129629629636</v>
      </c>
      <c r="D24" s="42" t="s">
        <v>25</v>
      </c>
      <c r="E24" s="40" t="s">
        <v>7</v>
      </c>
      <c r="F24" s="109">
        <v>28600</v>
      </c>
      <c r="G24" s="46">
        <f>IF(AND(A24&lt;&gt;"",F24&gt;1),IF(TRANSACTIONS!$E24=RAPPORTS!$F$9,0,IF(OR(TRANSACTIONS!$D24=RAPPORTS!$A$13,TRANSACTIONS!$D24=RAPPORTS!#REF!),VLOOKUP(TRANSACTIONS!$F24,FRAIS_D_ENVOI,3,TRUE),0)),"")</f>
        <v>0</v>
      </c>
      <c r="H24" s="46">
        <f>IFERROR(TRANSACTIONS!$F24+TRANSACTIONS!$G24,"")</f>
        <v>28600</v>
      </c>
      <c r="I24" s="44"/>
      <c r="J24" s="40">
        <f t="shared" ref="J24:J67" si="0">IF(G24&lt;&gt;"",$J$1*G24,"")</f>
        <v>0</v>
      </c>
    </row>
    <row r="25" spans="1:11" hidden="1" x14ac:dyDescent="0.25">
      <c r="A25" s="41">
        <v>43907.558044328704</v>
      </c>
      <c r="B25" s="48">
        <f>IF(A25&lt;&gt;"",DATE(YEAR(TRANSACTIONS!$A25),MONTH(TRANSACTIONS!$A25),DAY(TRANSACTIONS!$A25)),"")</f>
        <v>43907</v>
      </c>
      <c r="C25" s="49">
        <f>IF(A25&lt;&gt;"",TIME(HOUR(TRANSACTIONS!$A25),MINUTE(TRANSACTIONS!$A25),SECOND(TRANSACTIONS!$A25)),"")</f>
        <v>0.55804398148148149</v>
      </c>
      <c r="D25" s="42" t="s">
        <v>25</v>
      </c>
      <c r="E25" s="40" t="s">
        <v>7</v>
      </c>
      <c r="F25" s="109">
        <v>5000</v>
      </c>
      <c r="G25" s="46">
        <f>IF(AND(A25&lt;&gt;"",F25&gt;1),IF(TRANSACTIONS!$E25=RAPPORTS!$F$9,0,IF(OR(TRANSACTIONS!$D25=RAPPORTS!$A$13,TRANSACTIONS!$D25=RAPPORTS!#REF!),VLOOKUP(TRANSACTIONS!$F25,FRAIS_D_ENVOI,3,TRUE),0)),"")</f>
        <v>0</v>
      </c>
      <c r="H25" s="46">
        <f>IFERROR(TRANSACTIONS!$F25+TRANSACTIONS!$G25,"")</f>
        <v>5000</v>
      </c>
      <c r="I25" s="44"/>
      <c r="J25" s="40">
        <f t="shared" si="0"/>
        <v>0</v>
      </c>
    </row>
    <row r="26" spans="1:11" hidden="1" x14ac:dyDescent="0.25">
      <c r="A26" s="41">
        <v>43907.558177893516</v>
      </c>
      <c r="B26" s="48">
        <f>IF(A26&lt;&gt;"",DATE(YEAR(TRANSACTIONS!$A26),MONTH(TRANSACTIONS!$A26),DAY(TRANSACTIONS!$A26)),"")</f>
        <v>43907</v>
      </c>
      <c r="C26" s="49">
        <f>IF(A26&lt;&gt;"",TIME(HOUR(TRANSACTIONS!$A26),MINUTE(TRANSACTIONS!$A26),SECOND(TRANSACTIONS!$A26)),"")</f>
        <v>0.5581828703703704</v>
      </c>
      <c r="D26" s="42" t="s">
        <v>25</v>
      </c>
      <c r="E26" s="40" t="s">
        <v>7</v>
      </c>
      <c r="F26" s="109">
        <v>2800</v>
      </c>
      <c r="G26" s="46">
        <f>IF(AND(A26&lt;&gt;"",F26&gt;1),IF(TRANSACTIONS!$E26=RAPPORTS!$F$9,0,IF(OR(TRANSACTIONS!$D26=RAPPORTS!$A$13,TRANSACTIONS!$D26=RAPPORTS!#REF!),VLOOKUP(TRANSACTIONS!$F26,FRAIS_D_ENVOI,3,TRUE),0)),"")</f>
        <v>0</v>
      </c>
      <c r="H26" s="46">
        <f>IFERROR(TRANSACTIONS!$F26+TRANSACTIONS!$G26,"")</f>
        <v>2800</v>
      </c>
      <c r="I26" s="44"/>
      <c r="J26" s="40">
        <f t="shared" si="0"/>
        <v>0</v>
      </c>
    </row>
    <row r="27" spans="1:11" hidden="1" x14ac:dyDescent="0.25">
      <c r="A27" s="41">
        <v>43907.575288310189</v>
      </c>
      <c r="B27" s="48">
        <f>IF(A27&lt;&gt;"",DATE(YEAR(TRANSACTIONS!$A27),MONTH(TRANSACTIONS!$A27),DAY(TRANSACTIONS!$A27)),"")</f>
        <v>43907</v>
      </c>
      <c r="C27" s="49">
        <f>IF(A27&lt;&gt;"",TIME(HOUR(TRANSACTIONS!$A27),MINUTE(TRANSACTIONS!$A27),SECOND(TRANSACTIONS!$A27)),"")</f>
        <v>0.57528935185185182</v>
      </c>
      <c r="D27" s="42" t="s">
        <v>25</v>
      </c>
      <c r="E27" s="40" t="s">
        <v>6</v>
      </c>
      <c r="F27" s="109">
        <v>15700</v>
      </c>
      <c r="G27" s="46" t="e">
        <f>IF(AND(A27&lt;&gt;"",F27&gt;1),IF(TRANSACTIONS!$E27=RAPPORTS!$F$9,0,IF(OR(TRANSACTIONS!$D27=RAPPORTS!$A$13,TRANSACTIONS!$D27=RAPPORTS!#REF!),VLOOKUP(TRANSACTIONS!$F27,FRAIS_D_ENVOI,3,TRUE),0)),"")</f>
        <v>#REF!</v>
      </c>
      <c r="H27" s="46" t="str">
        <f>IFERROR(TRANSACTIONS!$F27+TRANSACTIONS!$G27,"")</f>
        <v/>
      </c>
      <c r="I27" s="44"/>
      <c r="J27" s="40" t="e">
        <f t="shared" si="0"/>
        <v>#REF!</v>
      </c>
    </row>
    <row r="28" spans="1:11" hidden="1" x14ac:dyDescent="0.25">
      <c r="A28" s="41">
        <v>43907.580820717594</v>
      </c>
      <c r="B28" s="48">
        <f>IF(A28&lt;&gt;"",DATE(YEAR(TRANSACTIONS!$A28),MONTH(TRANSACTIONS!$A28),DAY(TRANSACTIONS!$A28)),"")</f>
        <v>43907</v>
      </c>
      <c r="C28" s="49">
        <f>IF(A28&lt;&gt;"",TIME(HOUR(TRANSACTIONS!$A28),MINUTE(TRANSACTIONS!$A28),SECOND(TRANSACTIONS!$A28)),"")</f>
        <v>0.58082175925925927</v>
      </c>
      <c r="D28" s="42" t="s">
        <v>25</v>
      </c>
      <c r="E28" s="40" t="s">
        <v>6</v>
      </c>
      <c r="F28" s="109">
        <v>10500</v>
      </c>
      <c r="G28" s="46" t="e">
        <f>IF(AND(A28&lt;&gt;"",F28&gt;1),IF(TRANSACTIONS!$E28=RAPPORTS!$F$9,0,IF(OR(TRANSACTIONS!$D28=RAPPORTS!$A$13,TRANSACTIONS!$D28=RAPPORTS!#REF!),VLOOKUP(TRANSACTIONS!$F28,FRAIS_D_ENVOI,3,TRUE),0)),"")</f>
        <v>#REF!</v>
      </c>
      <c r="H28" s="46" t="str">
        <f>IFERROR(TRANSACTIONS!$F28+TRANSACTIONS!$G28,"")</f>
        <v/>
      </c>
      <c r="I28" s="44"/>
      <c r="J28" s="40" t="e">
        <f t="shared" si="0"/>
        <v>#REF!</v>
      </c>
    </row>
    <row r="29" spans="1:11" hidden="1" x14ac:dyDescent="0.25">
      <c r="A29" s="41">
        <v>43907.632203356479</v>
      </c>
      <c r="B29" s="48">
        <f>IF(A29&lt;&gt;"",DATE(YEAR(TRANSACTIONS!$A29),MONTH(TRANSACTIONS!$A29),DAY(TRANSACTIONS!$A29)),"")</f>
        <v>43907</v>
      </c>
      <c r="C29" s="49">
        <f>IF(A29&lt;&gt;"",TIME(HOUR(TRANSACTIONS!$A29),MINUTE(TRANSACTIONS!$A29),SECOND(TRANSACTIONS!$A29)),"")</f>
        <v>0.63219907407407405</v>
      </c>
      <c r="D29" s="42" t="s">
        <v>25</v>
      </c>
      <c r="E29" s="40" t="s">
        <v>6</v>
      </c>
      <c r="F29" s="109">
        <v>10000</v>
      </c>
      <c r="G29" s="46" t="e">
        <f>IF(AND(A29&lt;&gt;"",F29&gt;1),IF(TRANSACTIONS!$E29=RAPPORTS!$F$9,0,IF(OR(TRANSACTIONS!$D29=RAPPORTS!$A$13,TRANSACTIONS!$D29=RAPPORTS!#REF!),VLOOKUP(TRANSACTIONS!$F29,FRAIS_D_ENVOI,3,TRUE),0)),"")</f>
        <v>#REF!</v>
      </c>
      <c r="H29" s="46" t="str">
        <f>IFERROR(TRANSACTIONS!$F29+TRANSACTIONS!$G29,"")</f>
        <v/>
      </c>
      <c r="I29" s="44"/>
      <c r="J29" s="40" t="e">
        <f t="shared" si="0"/>
        <v>#REF!</v>
      </c>
    </row>
    <row r="30" spans="1:11" x14ac:dyDescent="0.25">
      <c r="A30" s="41">
        <v>45389.533890393519</v>
      </c>
      <c r="B30" s="48">
        <f>IF(A30&lt;&gt;"",DATE(YEAR(TRANSACTIONS!$A30),MONTH(TRANSACTIONS!$A30),DAY(TRANSACTIONS!$A30)),"")</f>
        <v>45389</v>
      </c>
      <c r="C30" s="49">
        <f>IF(A30&lt;&gt;"",TIME(HOUR(TRANSACTIONS!$A30),MINUTE(TRANSACTIONS!$A30),SECOND(TRANSACTIONS!$A30)),"")</f>
        <v>0.53388888888888886</v>
      </c>
      <c r="D30" s="82" t="s">
        <v>62</v>
      </c>
      <c r="E30" s="88" t="s">
        <v>7</v>
      </c>
      <c r="F30" s="112">
        <v>155000</v>
      </c>
      <c r="G30" s="46"/>
      <c r="H30" s="46">
        <f>IFERROR(TRANSACTIONS!$F30+TRANSACTIONS!$G30,"")</f>
        <v>155000</v>
      </c>
      <c r="I30" s="57" t="s">
        <v>41</v>
      </c>
      <c r="J30" s="40" t="str">
        <f t="shared" si="0"/>
        <v/>
      </c>
    </row>
    <row r="31" spans="1:11" x14ac:dyDescent="0.25">
      <c r="A31" s="41">
        <v>45389.533961805559</v>
      </c>
      <c r="B31" s="48">
        <f>IF(A31&lt;&gt;"",DATE(YEAR(TRANSACTIONS!$A31),MONTH(TRANSACTIONS!$A31),DAY(TRANSACTIONS!$A31)),"")</f>
        <v>45389</v>
      </c>
      <c r="C31" s="49">
        <f>IF(A31&lt;&gt;"",TIME(HOUR(TRANSACTIONS!$A31),MINUTE(TRANSACTIONS!$A31),SECOND(TRANSACTIONS!$A31)),"")</f>
        <v>0.53395833333333331</v>
      </c>
      <c r="D31" s="82" t="s">
        <v>62</v>
      </c>
      <c r="E31" s="88" t="s">
        <v>6</v>
      </c>
      <c r="F31" s="112">
        <v>10000</v>
      </c>
      <c r="G31" s="46"/>
      <c r="H31" s="46">
        <f>IFERROR(TRANSACTIONS!$F31+TRANSACTIONS!$G31,"")</f>
        <v>10000</v>
      </c>
      <c r="I31" s="57" t="s">
        <v>41</v>
      </c>
      <c r="J31" s="40" t="str">
        <f t="shared" si="0"/>
        <v/>
      </c>
    </row>
    <row r="32" spans="1:11" hidden="1" x14ac:dyDescent="0.25">
      <c r="A32" s="41">
        <v>43907.646248726851</v>
      </c>
      <c r="B32" s="48">
        <f>IF(A32&lt;&gt;"",DATE(YEAR(TRANSACTIONS!$A32),MONTH(TRANSACTIONS!$A32),DAY(TRANSACTIONS!$A32)),"")</f>
        <v>43907</v>
      </c>
      <c r="C32" s="49">
        <f>IF(A32&lt;&gt;"",TIME(HOUR(TRANSACTIONS!$A32),MINUTE(TRANSACTIONS!$A32),SECOND(TRANSACTIONS!$A32)),"")</f>
        <v>0.64624999999999999</v>
      </c>
      <c r="D32" s="42" t="s">
        <v>25</v>
      </c>
      <c r="E32" s="40" t="s">
        <v>6</v>
      </c>
      <c r="F32" s="109">
        <v>30000</v>
      </c>
      <c r="G32" s="46" t="e">
        <f>IF(AND(A32&lt;&gt;"",F32&gt;1),IF(TRANSACTIONS!$E32=RAPPORTS!$F$9,0,IF(OR(TRANSACTIONS!$D32=RAPPORTS!$A$13,TRANSACTIONS!$D32=RAPPORTS!#REF!),VLOOKUP(TRANSACTIONS!$F32,FRAIS_D_ENVOI,3,TRUE),0)),"")</f>
        <v>#REF!</v>
      </c>
      <c r="H32" s="46" t="str">
        <f>IFERROR(TRANSACTIONS!$F32+TRANSACTIONS!$G32,"")</f>
        <v/>
      </c>
      <c r="I32" s="44"/>
      <c r="J32" s="40" t="e">
        <f t="shared" si="0"/>
        <v>#REF!</v>
      </c>
    </row>
    <row r="33" spans="1:10" hidden="1" x14ac:dyDescent="0.25">
      <c r="A33" s="41">
        <v>43907.647077662034</v>
      </c>
      <c r="B33" s="48">
        <f>IF(A33&lt;&gt;"",DATE(YEAR(TRANSACTIONS!$A33),MONTH(TRANSACTIONS!$A33),DAY(TRANSACTIONS!$A33)),"")</f>
        <v>43907</v>
      </c>
      <c r="C33" s="49">
        <f>IF(A33&lt;&gt;"",TIME(HOUR(TRANSACTIONS!$A33),MINUTE(TRANSACTIONS!$A33),SECOND(TRANSACTIONS!$A33)),"")</f>
        <v>0.64708333333333334</v>
      </c>
      <c r="D33" s="42" t="s">
        <v>25</v>
      </c>
      <c r="E33" s="40" t="s">
        <v>6</v>
      </c>
      <c r="F33" s="109">
        <v>2500</v>
      </c>
      <c r="G33" s="46" t="e">
        <f>IF(AND(A33&lt;&gt;"",F33&gt;1),IF(TRANSACTIONS!$E33=RAPPORTS!$F$9,0,IF(OR(TRANSACTIONS!$D33=RAPPORTS!$A$13,TRANSACTIONS!$D33=RAPPORTS!#REF!),VLOOKUP(TRANSACTIONS!$F33,FRAIS_D_ENVOI,3,TRUE),0)),"")</f>
        <v>#REF!</v>
      </c>
      <c r="H33" s="46" t="str">
        <f>IFERROR(TRANSACTIONS!$F33+TRANSACTIONS!$G33,"")</f>
        <v/>
      </c>
      <c r="I33" s="44"/>
      <c r="J33" s="40" t="e">
        <f t="shared" si="0"/>
        <v>#REF!</v>
      </c>
    </row>
    <row r="34" spans="1:10" x14ac:dyDescent="0.25">
      <c r="A34" s="41">
        <v>45389.533970601849</v>
      </c>
      <c r="B34" s="48">
        <f>IF(A34&lt;&gt;"",DATE(YEAR(TRANSACTIONS!$A34),MONTH(TRANSACTIONS!$A34),DAY(TRANSACTIONS!$A34)),"")</f>
        <v>45389</v>
      </c>
      <c r="C34" s="49">
        <f>IF(A34&lt;&gt;"",TIME(HOUR(TRANSACTIONS!$A34),MINUTE(TRANSACTIONS!$A34),SECOND(TRANSACTIONS!$A34)),"")</f>
        <v>0.53396990740740746</v>
      </c>
      <c r="D34" s="82" t="s">
        <v>62</v>
      </c>
      <c r="E34" s="88" t="s">
        <v>6</v>
      </c>
      <c r="F34" s="112">
        <v>30500</v>
      </c>
      <c r="G34" s="46"/>
      <c r="H34" s="46">
        <f>IFERROR(TRANSACTIONS!$F34+TRANSACTIONS!$G34,"")</f>
        <v>30500</v>
      </c>
      <c r="I34" s="57" t="s">
        <v>41</v>
      </c>
      <c r="J34" s="40" t="str">
        <f t="shared" si="0"/>
        <v/>
      </c>
    </row>
    <row r="35" spans="1:10" hidden="1" x14ac:dyDescent="0.25">
      <c r="A35" s="41">
        <v>43907.655084375001</v>
      </c>
      <c r="B35" s="48">
        <f>IF(A35&lt;&gt;"",DATE(YEAR(TRANSACTIONS!$A35),MONTH(TRANSACTIONS!$A35),DAY(TRANSACTIONS!$A35)),"")</f>
        <v>43907</v>
      </c>
      <c r="C35" s="49">
        <f>IF(A35&lt;&gt;"",TIME(HOUR(TRANSACTIONS!$A35),MINUTE(TRANSACTIONS!$A35),SECOND(TRANSACTIONS!$A35)),"")</f>
        <v>0.65508101851851852</v>
      </c>
      <c r="D35" s="42" t="s">
        <v>24</v>
      </c>
      <c r="E35" s="40" t="s">
        <v>6</v>
      </c>
      <c r="F35" s="109">
        <v>21000</v>
      </c>
      <c r="G35" s="46" t="e">
        <f>IF(AND(A35&lt;&gt;"",F35&gt;1),IF(TRANSACTIONS!$E35=RAPPORTS!$F$9,0,IF(OR(TRANSACTIONS!$D35=RAPPORTS!$A$13,TRANSACTIONS!$D35=RAPPORTS!#REF!),VLOOKUP(TRANSACTIONS!$F35,FRAIS_D_ENVOI,3,TRUE),0)),"")</f>
        <v>#REF!</v>
      </c>
      <c r="H35" s="46" t="str">
        <f>IFERROR(TRANSACTIONS!$F35+TRANSACTIONS!$G35,"")</f>
        <v/>
      </c>
      <c r="I35" s="44"/>
      <c r="J35" s="40" t="e">
        <f t="shared" si="0"/>
        <v>#REF!</v>
      </c>
    </row>
    <row r="36" spans="1:10" x14ac:dyDescent="0.25">
      <c r="A36" s="41">
        <v>45389.534989004627</v>
      </c>
      <c r="B36" s="48">
        <f>IF(A36&lt;&gt;"",DATE(YEAR(TRANSACTIONS!$A36),MONTH(TRANSACTIONS!$A36),DAY(TRANSACTIONS!$A36)),"")</f>
        <v>45389</v>
      </c>
      <c r="C36" s="49">
        <f>IF(A36&lt;&gt;"",TIME(HOUR(TRANSACTIONS!$A36),MINUTE(TRANSACTIONS!$A36),SECOND(TRANSACTIONS!$A36)),"")</f>
        <v>0.53498842592592599</v>
      </c>
      <c r="D36" s="82" t="s">
        <v>62</v>
      </c>
      <c r="E36" s="88" t="s">
        <v>7</v>
      </c>
      <c r="F36" s="112">
        <v>10000</v>
      </c>
      <c r="G36" s="46"/>
      <c r="H36" s="46">
        <f>IFERROR(TRANSACTIONS!$F36+TRANSACTIONS!$G36,"")</f>
        <v>10000</v>
      </c>
      <c r="I36" s="57" t="s">
        <v>50</v>
      </c>
      <c r="J36" s="40" t="str">
        <f t="shared" si="0"/>
        <v/>
      </c>
    </row>
    <row r="37" spans="1:10" hidden="1" x14ac:dyDescent="0.25">
      <c r="A37" s="41">
        <v>43907.66363171296</v>
      </c>
      <c r="B37" s="48">
        <f>IF(A37&lt;&gt;"",DATE(YEAR(TRANSACTIONS!$A37),MONTH(TRANSACTIONS!$A37),DAY(TRANSACTIONS!$A37)),"")</f>
        <v>43907</v>
      </c>
      <c r="C37" s="49">
        <f>IF(A37&lt;&gt;"",TIME(HOUR(TRANSACTIONS!$A37),MINUTE(TRANSACTIONS!$A37),SECOND(TRANSACTIONS!$A37)),"")</f>
        <v>0.66363425925925923</v>
      </c>
      <c r="D37" s="42" t="s">
        <v>24</v>
      </c>
      <c r="E37" s="40" t="s">
        <v>6</v>
      </c>
      <c r="F37" s="109">
        <v>30000</v>
      </c>
      <c r="G37" s="46" t="e">
        <f>IF(AND(A37&lt;&gt;"",F37&gt;1),IF(TRANSACTIONS!$E37=RAPPORTS!$F$9,0,IF(OR(TRANSACTIONS!$D37=RAPPORTS!$A$13,TRANSACTIONS!$D37=RAPPORTS!#REF!),VLOOKUP(TRANSACTIONS!$F37,FRAIS_D_ENVOI,3,TRUE),0)),"")</f>
        <v>#REF!</v>
      </c>
      <c r="H37" s="46" t="str">
        <f>IFERROR(TRANSACTIONS!$F37+TRANSACTIONS!$G37,"")</f>
        <v/>
      </c>
      <c r="I37" s="44"/>
      <c r="J37" s="40" t="e">
        <f t="shared" si="0"/>
        <v>#REF!</v>
      </c>
    </row>
    <row r="38" spans="1:10" hidden="1" x14ac:dyDescent="0.25">
      <c r="A38" s="41">
        <v>43907.672763541668</v>
      </c>
      <c r="B38" s="48">
        <f>IF(A38&lt;&gt;"",DATE(YEAR(TRANSACTIONS!$A38),MONTH(TRANSACTIONS!$A38),DAY(TRANSACTIONS!$A38)),"")</f>
        <v>43907</v>
      </c>
      <c r="C38" s="49">
        <f>IF(A38&lt;&gt;"",TIME(HOUR(TRANSACTIONS!$A38),MINUTE(TRANSACTIONS!$A38),SECOND(TRANSACTIONS!$A38)),"")</f>
        <v>0.67276620370370377</v>
      </c>
      <c r="D38" s="42" t="s">
        <v>25</v>
      </c>
      <c r="E38" s="40" t="s">
        <v>7</v>
      </c>
      <c r="F38" s="109">
        <v>10000</v>
      </c>
      <c r="G38" s="46">
        <f>IF(AND(A38&lt;&gt;"",F38&gt;1),IF(TRANSACTIONS!$E38=RAPPORTS!$F$9,0,IF(OR(TRANSACTIONS!$D38=RAPPORTS!$A$13,TRANSACTIONS!$D38=RAPPORTS!#REF!),VLOOKUP(TRANSACTIONS!$F38,FRAIS_D_ENVOI,3,TRUE),0)),"")</f>
        <v>0</v>
      </c>
      <c r="H38" s="46">
        <f>IFERROR(TRANSACTIONS!$F38+TRANSACTIONS!$G38,"")</f>
        <v>10000</v>
      </c>
      <c r="I38" s="44"/>
      <c r="J38" s="40">
        <f t="shared" si="0"/>
        <v>0</v>
      </c>
    </row>
    <row r="39" spans="1:10" hidden="1" x14ac:dyDescent="0.25">
      <c r="A39" s="41">
        <v>43907.673452777781</v>
      </c>
      <c r="B39" s="48">
        <f>IF(A39&lt;&gt;"",DATE(YEAR(TRANSACTIONS!$A39),MONTH(TRANSACTIONS!$A39),DAY(TRANSACTIONS!$A39)),"")</f>
        <v>43907</v>
      </c>
      <c r="C39" s="49">
        <f>IF(A39&lt;&gt;"",TIME(HOUR(TRANSACTIONS!$A39),MINUTE(TRANSACTIONS!$A39),SECOND(TRANSACTIONS!$A39)),"")</f>
        <v>0.67344907407407406</v>
      </c>
      <c r="D39" s="42" t="s">
        <v>25</v>
      </c>
      <c r="E39" s="40" t="s">
        <v>7</v>
      </c>
      <c r="F39" s="109">
        <v>7000</v>
      </c>
      <c r="G39" s="46">
        <f>IF(AND(A39&lt;&gt;"",F39&gt;1),IF(TRANSACTIONS!$E39=RAPPORTS!$F$9,0,IF(OR(TRANSACTIONS!$D39=RAPPORTS!$A$13,TRANSACTIONS!$D39=RAPPORTS!#REF!),VLOOKUP(TRANSACTIONS!$F39,FRAIS_D_ENVOI,3,TRUE),0)),"")</f>
        <v>0</v>
      </c>
      <c r="H39" s="46">
        <f>IFERROR(TRANSACTIONS!$F39+TRANSACTIONS!$G39,"")</f>
        <v>7000</v>
      </c>
      <c r="I39" s="44"/>
      <c r="J39" s="40">
        <f t="shared" si="0"/>
        <v>0</v>
      </c>
    </row>
    <row r="40" spans="1:10" hidden="1" x14ac:dyDescent="0.25">
      <c r="A40" s="41">
        <v>43907.673527662038</v>
      </c>
      <c r="B40" s="48">
        <f>IF(A40&lt;&gt;"",DATE(YEAR(TRANSACTIONS!$A40),MONTH(TRANSACTIONS!$A40),DAY(TRANSACTIONS!$A40)),"")</f>
        <v>43907</v>
      </c>
      <c r="C40" s="49">
        <f>IF(A40&lt;&gt;"",TIME(HOUR(TRANSACTIONS!$A40),MINUTE(TRANSACTIONS!$A40),SECOND(TRANSACTIONS!$A40)),"")</f>
        <v>0.67353009259259267</v>
      </c>
      <c r="D40" s="42" t="s">
        <v>25</v>
      </c>
      <c r="E40" s="40" t="s">
        <v>6</v>
      </c>
      <c r="F40" s="109">
        <v>3000</v>
      </c>
      <c r="G40" s="46" t="e">
        <f>IF(AND(A40&lt;&gt;"",F40&gt;1),IF(TRANSACTIONS!$E40=RAPPORTS!$F$9,0,IF(OR(TRANSACTIONS!$D40=RAPPORTS!$A$13,TRANSACTIONS!$D40=RAPPORTS!#REF!),VLOOKUP(TRANSACTIONS!$F40,FRAIS_D_ENVOI,3,TRUE),0)),"")</f>
        <v>#REF!</v>
      </c>
      <c r="H40" s="46" t="str">
        <f>IFERROR(TRANSACTIONS!$F40+TRANSACTIONS!$G40,"")</f>
        <v/>
      </c>
      <c r="I40" s="44"/>
      <c r="J40" s="40" t="e">
        <f t="shared" si="0"/>
        <v>#REF!</v>
      </c>
    </row>
    <row r="41" spans="1:10" hidden="1" x14ac:dyDescent="0.25">
      <c r="A41" s="41">
        <v>43907.674311805553</v>
      </c>
      <c r="B41" s="48">
        <f>IF(A41&lt;&gt;"",DATE(YEAR(TRANSACTIONS!$A41),MONTH(TRANSACTIONS!$A41),DAY(TRANSACTIONS!$A41)),"")</f>
        <v>43907</v>
      </c>
      <c r="C41" s="49">
        <f>IF(A41&lt;&gt;"",TIME(HOUR(TRANSACTIONS!$A41),MINUTE(TRANSACTIONS!$A41),SECOND(TRANSACTIONS!$A41)),"")</f>
        <v>0.67431712962962964</v>
      </c>
      <c r="D41" s="42" t="s">
        <v>25</v>
      </c>
      <c r="E41" s="40" t="s">
        <v>7</v>
      </c>
      <c r="F41" s="109">
        <v>8000</v>
      </c>
      <c r="G41" s="46">
        <f>IF(AND(A41&lt;&gt;"",F41&gt;1),IF(TRANSACTIONS!$E41=RAPPORTS!$F$9,0,IF(OR(TRANSACTIONS!$D41=RAPPORTS!$A$13,TRANSACTIONS!$D41=RAPPORTS!#REF!),VLOOKUP(TRANSACTIONS!$F41,FRAIS_D_ENVOI,3,TRUE),0)),"")</f>
        <v>0</v>
      </c>
      <c r="H41" s="46">
        <f>IFERROR(TRANSACTIONS!$F41+TRANSACTIONS!$G41,"")</f>
        <v>8000</v>
      </c>
      <c r="I41" s="44"/>
      <c r="J41" s="40">
        <f t="shared" si="0"/>
        <v>0</v>
      </c>
    </row>
    <row r="42" spans="1:10" hidden="1" x14ac:dyDescent="0.25">
      <c r="A42" s="41">
        <v>43907.681785185188</v>
      </c>
      <c r="B42" s="48">
        <f>IF(A42&lt;&gt;"",DATE(YEAR(TRANSACTIONS!$A42),MONTH(TRANSACTIONS!$A42),DAY(TRANSACTIONS!$A42)),"")</f>
        <v>43907</v>
      </c>
      <c r="C42" s="49">
        <f>IF(A42&lt;&gt;"",TIME(HOUR(TRANSACTIONS!$A42),MINUTE(TRANSACTIONS!$A42),SECOND(TRANSACTIONS!$A42)),"")</f>
        <v>0.68178240740740748</v>
      </c>
      <c r="D42" s="42" t="s">
        <v>24</v>
      </c>
      <c r="E42" s="40" t="s">
        <v>7</v>
      </c>
      <c r="F42" s="109">
        <v>5000</v>
      </c>
      <c r="G42" s="46">
        <f>IF(AND(A42&lt;&gt;"",F42&gt;1),IF(TRANSACTIONS!$E42=RAPPORTS!$F$9,0,IF(OR(TRANSACTIONS!$D42=RAPPORTS!$A$13,TRANSACTIONS!$D42=RAPPORTS!#REF!),VLOOKUP(TRANSACTIONS!$F42,FRAIS_D_ENVOI,3,TRUE),0)),"")</f>
        <v>0</v>
      </c>
      <c r="H42" s="46">
        <f>IFERROR(TRANSACTIONS!$F42+TRANSACTIONS!$G42,"")</f>
        <v>5000</v>
      </c>
      <c r="I42" s="44"/>
      <c r="J42" s="40">
        <f t="shared" si="0"/>
        <v>0</v>
      </c>
    </row>
    <row r="43" spans="1:10" hidden="1" x14ac:dyDescent="0.25">
      <c r="A43" s="41">
        <v>43907.684728703702</v>
      </c>
      <c r="B43" s="48">
        <f>IF(A43&lt;&gt;"",DATE(YEAR(TRANSACTIONS!$A43),MONTH(TRANSACTIONS!$A43),DAY(TRANSACTIONS!$A43)),"")</f>
        <v>43907</v>
      </c>
      <c r="C43" s="49">
        <f>IF(A43&lt;&gt;"",TIME(HOUR(TRANSACTIONS!$A43),MINUTE(TRANSACTIONS!$A43),SECOND(TRANSACTIONS!$A43)),"")</f>
        <v>0.68473379629629638</v>
      </c>
      <c r="D43" s="42" t="s">
        <v>25</v>
      </c>
      <c r="E43" s="40" t="s">
        <v>7</v>
      </c>
      <c r="F43" s="109">
        <v>1500</v>
      </c>
      <c r="G43" s="46">
        <f>IF(AND(A43&lt;&gt;"",F43&gt;1),IF(TRANSACTIONS!$E43=RAPPORTS!$F$9,0,IF(OR(TRANSACTIONS!$D43=RAPPORTS!$A$13,TRANSACTIONS!$D43=RAPPORTS!#REF!),VLOOKUP(TRANSACTIONS!$F43,FRAIS_D_ENVOI,3,TRUE),0)),"")</f>
        <v>0</v>
      </c>
      <c r="H43" s="46">
        <f>IFERROR(TRANSACTIONS!$F43+TRANSACTIONS!$G43,"")</f>
        <v>1500</v>
      </c>
      <c r="I43" s="44"/>
      <c r="J43" s="40">
        <f t="shared" si="0"/>
        <v>0</v>
      </c>
    </row>
    <row r="44" spans="1:10" hidden="1" x14ac:dyDescent="0.25">
      <c r="A44" s="41">
        <v>43907.689982291668</v>
      </c>
      <c r="B44" s="48">
        <f>IF(A44&lt;&gt;"",DATE(YEAR(TRANSACTIONS!$A44),MONTH(TRANSACTIONS!$A44),DAY(TRANSACTIONS!$A44)),"")</f>
        <v>43907</v>
      </c>
      <c r="C44" s="49">
        <f>IF(A44&lt;&gt;"",TIME(HOUR(TRANSACTIONS!$A44),MINUTE(TRANSACTIONS!$A44),SECOND(TRANSACTIONS!$A44)),"")</f>
        <v>0.68997685185185187</v>
      </c>
      <c r="D44" s="42" t="s">
        <v>25</v>
      </c>
      <c r="E44" s="40" t="s">
        <v>6</v>
      </c>
      <c r="F44" s="109">
        <v>150000</v>
      </c>
      <c r="G44" s="46" t="e">
        <f>IF(AND(A44&lt;&gt;"",F44&gt;1),IF(TRANSACTIONS!$E44=RAPPORTS!$F$9,0,IF(OR(TRANSACTIONS!$D44=RAPPORTS!$A$13,TRANSACTIONS!$D44=RAPPORTS!#REF!),VLOOKUP(TRANSACTIONS!$F44,FRAIS_D_ENVOI,3,TRUE),0)),"")</f>
        <v>#REF!</v>
      </c>
      <c r="H44" s="46" t="str">
        <f>IFERROR(TRANSACTIONS!$F44+TRANSACTIONS!$G44,"")</f>
        <v/>
      </c>
      <c r="I44" s="44"/>
      <c r="J44" s="40" t="e">
        <f t="shared" si="0"/>
        <v>#REF!</v>
      </c>
    </row>
    <row r="45" spans="1:10" hidden="1" x14ac:dyDescent="0.25">
      <c r="A45" s="41">
        <v>43907.694268749998</v>
      </c>
      <c r="B45" s="48">
        <f>IF(A45&lt;&gt;"",DATE(YEAR(TRANSACTIONS!$A45),MONTH(TRANSACTIONS!$A45),DAY(TRANSACTIONS!$A45)),"")</f>
        <v>43907</v>
      </c>
      <c r="C45" s="49">
        <f>IF(A45&lt;&gt;"",TIME(HOUR(TRANSACTIONS!$A45),MINUTE(TRANSACTIONS!$A45),SECOND(TRANSACTIONS!$A45)),"")</f>
        <v>0.69427083333333339</v>
      </c>
      <c r="D45" s="42" t="s">
        <v>25</v>
      </c>
      <c r="E45" s="40" t="s">
        <v>7</v>
      </c>
      <c r="F45" s="109">
        <v>10000</v>
      </c>
      <c r="G45" s="46">
        <f>IF(AND(A45&lt;&gt;"",F45&gt;1),IF(TRANSACTIONS!$E45=RAPPORTS!$F$9,0,IF(OR(TRANSACTIONS!$D45=RAPPORTS!$A$13,TRANSACTIONS!$D45=RAPPORTS!#REF!),VLOOKUP(TRANSACTIONS!$F45,FRAIS_D_ENVOI,3,TRUE),0)),"")</f>
        <v>0</v>
      </c>
      <c r="H45" s="46">
        <f>IFERROR(TRANSACTIONS!$F45+TRANSACTIONS!$G45,"")</f>
        <v>10000</v>
      </c>
      <c r="I45" s="44"/>
      <c r="J45" s="40">
        <f t="shared" si="0"/>
        <v>0</v>
      </c>
    </row>
    <row r="46" spans="1:10" hidden="1" x14ac:dyDescent="0.25">
      <c r="A46" s="41">
        <v>43907.69448784722</v>
      </c>
      <c r="B46" s="48">
        <f>IF(A46&lt;&gt;"",DATE(YEAR(TRANSACTIONS!$A46),MONTH(TRANSACTIONS!$A46),DAY(TRANSACTIONS!$A46)),"")</f>
        <v>43907</v>
      </c>
      <c r="C46" s="49">
        <f>IF(A46&lt;&gt;"",TIME(HOUR(TRANSACTIONS!$A46),MINUTE(TRANSACTIONS!$A46),SECOND(TRANSACTIONS!$A46)),"")</f>
        <v>0.6944907407407408</v>
      </c>
      <c r="D46" s="42" t="s">
        <v>25</v>
      </c>
      <c r="E46" s="40" t="s">
        <v>6</v>
      </c>
      <c r="F46" s="109">
        <v>10000</v>
      </c>
      <c r="G46" s="46" t="e">
        <f>IF(AND(A46&lt;&gt;"",F46&gt;1),IF(TRANSACTIONS!$E46=RAPPORTS!$F$9,0,IF(OR(TRANSACTIONS!$D46=RAPPORTS!$A$13,TRANSACTIONS!$D46=RAPPORTS!#REF!),VLOOKUP(TRANSACTIONS!$F46,FRAIS_D_ENVOI,3,TRUE),0)),"")</f>
        <v>#REF!</v>
      </c>
      <c r="H46" s="46" t="str">
        <f>IFERROR(TRANSACTIONS!$F46+TRANSACTIONS!$G46,"")</f>
        <v/>
      </c>
      <c r="I46" s="44"/>
      <c r="J46" s="40" t="e">
        <f t="shared" si="0"/>
        <v>#REF!</v>
      </c>
    </row>
    <row r="47" spans="1:10" hidden="1" x14ac:dyDescent="0.25">
      <c r="A47" s="41">
        <v>43907.716295601851</v>
      </c>
      <c r="B47" s="48">
        <f>IF(A47&lt;&gt;"",DATE(YEAR(TRANSACTIONS!$A47),MONTH(TRANSACTIONS!$A47),DAY(TRANSACTIONS!$A47)),"")</f>
        <v>43907</v>
      </c>
      <c r="C47" s="49">
        <f>IF(A47&lt;&gt;"",TIME(HOUR(TRANSACTIONS!$A47),MINUTE(TRANSACTIONS!$A47),SECOND(TRANSACTIONS!$A47)),"")</f>
        <v>0.71629629629629632</v>
      </c>
      <c r="D47" s="42" t="s">
        <v>25</v>
      </c>
      <c r="E47" s="40" t="s">
        <v>7</v>
      </c>
      <c r="F47" s="109">
        <v>2000</v>
      </c>
      <c r="G47" s="46">
        <f>IF(AND(A47&lt;&gt;"",F47&gt;1),IF(TRANSACTIONS!$E47=RAPPORTS!$F$9,0,IF(OR(TRANSACTIONS!$D47=RAPPORTS!$A$13,TRANSACTIONS!$D47=RAPPORTS!#REF!),VLOOKUP(TRANSACTIONS!$F47,FRAIS_D_ENVOI,3,TRUE),0)),"")</f>
        <v>0</v>
      </c>
      <c r="H47" s="46">
        <f>IFERROR(TRANSACTIONS!$F47+TRANSACTIONS!$G47,"")</f>
        <v>2000</v>
      </c>
      <c r="I47" s="44"/>
      <c r="J47" s="40">
        <f t="shared" si="0"/>
        <v>0</v>
      </c>
    </row>
    <row r="48" spans="1:10" hidden="1" x14ac:dyDescent="0.25">
      <c r="A48" s="41">
        <v>43907.726559374998</v>
      </c>
      <c r="B48" s="48">
        <f>IF(A48&lt;&gt;"",DATE(YEAR(TRANSACTIONS!$A48),MONTH(TRANSACTIONS!$A48),DAY(TRANSACTIONS!$A48)),"")</f>
        <v>43907</v>
      </c>
      <c r="C48" s="49">
        <f>IF(A48&lt;&gt;"",TIME(HOUR(TRANSACTIONS!$A48),MINUTE(TRANSACTIONS!$A48),SECOND(TRANSACTIONS!$A48)),"")</f>
        <v>0.7265625</v>
      </c>
      <c r="D48" s="42" t="s">
        <v>25</v>
      </c>
      <c r="E48" s="40" t="s">
        <v>6</v>
      </c>
      <c r="F48" s="109">
        <v>50000</v>
      </c>
      <c r="G48" s="46" t="e">
        <f>IF(AND(A48&lt;&gt;"",F48&gt;1),IF(TRANSACTIONS!$E48=RAPPORTS!$F$9,0,IF(OR(TRANSACTIONS!$D48=RAPPORTS!$A$13,TRANSACTIONS!$D48=RAPPORTS!#REF!),VLOOKUP(TRANSACTIONS!$F48,FRAIS_D_ENVOI,3,TRUE),0)),"")</f>
        <v>#REF!</v>
      </c>
      <c r="H48" s="46" t="str">
        <f>IFERROR(TRANSACTIONS!$F48+TRANSACTIONS!$G48,"")</f>
        <v/>
      </c>
      <c r="I48" s="44"/>
      <c r="J48" s="40" t="e">
        <f t="shared" si="0"/>
        <v>#REF!</v>
      </c>
    </row>
    <row r="49" spans="1:10" hidden="1" x14ac:dyDescent="0.25">
      <c r="A49" s="41">
        <v>43907.731198726855</v>
      </c>
      <c r="B49" s="48">
        <f>IF(A49&lt;&gt;"",DATE(YEAR(TRANSACTIONS!$A49),MONTH(TRANSACTIONS!$A49),DAY(TRANSACTIONS!$A49)),"")</f>
        <v>43907</v>
      </c>
      <c r="C49" s="49">
        <f>IF(A49&lt;&gt;"",TIME(HOUR(TRANSACTIONS!$A49),MINUTE(TRANSACTIONS!$A49),SECOND(TRANSACTIONS!$A49)),"")</f>
        <v>0.73120370370370369</v>
      </c>
      <c r="D49" s="42" t="s">
        <v>25</v>
      </c>
      <c r="E49" s="40" t="s">
        <v>7</v>
      </c>
      <c r="F49" s="109">
        <v>15000</v>
      </c>
      <c r="G49" s="46">
        <f>IF(AND(A49&lt;&gt;"",F49&gt;1),IF(TRANSACTIONS!$E49=RAPPORTS!$F$9,0,IF(OR(TRANSACTIONS!$D49=RAPPORTS!$A$13,TRANSACTIONS!$D49=RAPPORTS!#REF!),VLOOKUP(TRANSACTIONS!$F49,FRAIS_D_ENVOI,3,TRUE),0)),"")</f>
        <v>0</v>
      </c>
      <c r="H49" s="46">
        <f>IFERROR(TRANSACTIONS!$F49+TRANSACTIONS!$G49,"")</f>
        <v>15000</v>
      </c>
      <c r="I49" s="44"/>
      <c r="J49" s="40">
        <f t="shared" si="0"/>
        <v>0</v>
      </c>
    </row>
    <row r="50" spans="1:10" hidden="1" x14ac:dyDescent="0.25">
      <c r="A50" s="41">
        <v>43907.732697453706</v>
      </c>
      <c r="B50" s="48">
        <f>IF(A50&lt;&gt;"",DATE(YEAR(TRANSACTIONS!$A50),MONTH(TRANSACTIONS!$A50),DAY(TRANSACTIONS!$A50)),"")</f>
        <v>43907</v>
      </c>
      <c r="C50" s="49">
        <f>IF(A50&lt;&gt;"",TIME(HOUR(TRANSACTIONS!$A50),MINUTE(TRANSACTIONS!$A50),SECOND(TRANSACTIONS!$A50)),"")</f>
        <v>0.73269675925925926</v>
      </c>
      <c r="D50" s="42" t="s">
        <v>25</v>
      </c>
      <c r="E50" s="40" t="s">
        <v>7</v>
      </c>
      <c r="F50" s="109">
        <v>5000</v>
      </c>
      <c r="G50" s="46">
        <f>IF(AND(A50&lt;&gt;"",F50&gt;1),IF(TRANSACTIONS!$E50=RAPPORTS!$F$9,0,IF(OR(TRANSACTIONS!$D50=RAPPORTS!$A$13,TRANSACTIONS!$D50=RAPPORTS!#REF!),VLOOKUP(TRANSACTIONS!$F50,FRAIS_D_ENVOI,3,TRUE),0)),"")</f>
        <v>0</v>
      </c>
      <c r="H50" s="46">
        <f>IFERROR(TRANSACTIONS!$F50+TRANSACTIONS!$G50,"")</f>
        <v>5000</v>
      </c>
      <c r="I50" s="44"/>
      <c r="J50" s="40">
        <f t="shared" si="0"/>
        <v>0</v>
      </c>
    </row>
    <row r="51" spans="1:10" hidden="1" x14ac:dyDescent="0.25">
      <c r="A51" s="41">
        <v>43907.746188078701</v>
      </c>
      <c r="B51" s="48">
        <f>IF(A51&lt;&gt;"",DATE(YEAR(TRANSACTIONS!$A51),MONTH(TRANSACTIONS!$A51),DAY(TRANSACTIONS!$A51)),"")</f>
        <v>43907</v>
      </c>
      <c r="C51" s="49">
        <f>IF(A51&lt;&gt;"",TIME(HOUR(TRANSACTIONS!$A51),MINUTE(TRANSACTIONS!$A51),SECOND(TRANSACTIONS!$A51)),"")</f>
        <v>0.74619212962962955</v>
      </c>
      <c r="D51" s="42" t="s">
        <v>25</v>
      </c>
      <c r="E51" s="40" t="s">
        <v>7</v>
      </c>
      <c r="F51" s="109">
        <v>19000</v>
      </c>
      <c r="G51" s="46">
        <f>IF(AND(A51&lt;&gt;"",F51&gt;1),IF(TRANSACTIONS!$E51=RAPPORTS!$F$9,0,IF(OR(TRANSACTIONS!$D51=RAPPORTS!$A$13,TRANSACTIONS!$D51=RAPPORTS!#REF!),VLOOKUP(TRANSACTIONS!$F51,FRAIS_D_ENVOI,3,TRUE),0)),"")</f>
        <v>0</v>
      </c>
      <c r="H51" s="46">
        <f>IFERROR(TRANSACTIONS!$F51+TRANSACTIONS!$G51,"")</f>
        <v>19000</v>
      </c>
      <c r="I51" s="44"/>
      <c r="J51" s="40">
        <f t="shared" si="0"/>
        <v>0</v>
      </c>
    </row>
    <row r="52" spans="1:10" hidden="1" x14ac:dyDescent="0.25">
      <c r="A52" s="41">
        <v>43907.746315046294</v>
      </c>
      <c r="B52" s="48">
        <f>IF(A52&lt;&gt;"",DATE(YEAR(TRANSACTIONS!$A52),MONTH(TRANSACTIONS!$A52),DAY(TRANSACTIONS!$A52)),"")</f>
        <v>43907</v>
      </c>
      <c r="C52" s="49">
        <f>IF(A52&lt;&gt;"",TIME(HOUR(TRANSACTIONS!$A52),MINUTE(TRANSACTIONS!$A52),SECOND(TRANSACTIONS!$A52)),"")</f>
        <v>0.74631944444444442</v>
      </c>
      <c r="D52" s="42" t="s">
        <v>25</v>
      </c>
      <c r="E52" s="40" t="s">
        <v>6</v>
      </c>
      <c r="F52" s="109">
        <v>256000</v>
      </c>
      <c r="G52" s="46" t="e">
        <f>IF(AND(A52&lt;&gt;"",F52&gt;1),IF(TRANSACTIONS!$E52=RAPPORTS!$F$9,0,IF(OR(TRANSACTIONS!$D52=RAPPORTS!$A$13,TRANSACTIONS!$D52=RAPPORTS!#REF!),VLOOKUP(TRANSACTIONS!$F52,FRAIS_D_ENVOI,3,TRUE),0)),"")</f>
        <v>#REF!</v>
      </c>
      <c r="H52" s="46" t="str">
        <f>IFERROR(TRANSACTIONS!$F52+TRANSACTIONS!$G52,"")</f>
        <v/>
      </c>
      <c r="I52" s="44"/>
      <c r="J52" s="40" t="e">
        <f t="shared" si="0"/>
        <v>#REF!</v>
      </c>
    </row>
    <row r="53" spans="1:10" hidden="1" x14ac:dyDescent="0.25">
      <c r="A53" s="41">
        <v>43907.746547685187</v>
      </c>
      <c r="B53" s="48">
        <f>IF(A53&lt;&gt;"",DATE(YEAR(TRANSACTIONS!$A53),MONTH(TRANSACTIONS!$A53),DAY(TRANSACTIONS!$A53)),"")</f>
        <v>43907</v>
      </c>
      <c r="C53" s="49">
        <f>IF(A53&lt;&gt;"",TIME(HOUR(TRANSACTIONS!$A53),MINUTE(TRANSACTIONS!$A53),SECOND(TRANSACTIONS!$A53)),"")</f>
        <v>0.74655092592592587</v>
      </c>
      <c r="D53" s="42" t="s">
        <v>25</v>
      </c>
      <c r="E53" s="40" t="s">
        <v>6</v>
      </c>
      <c r="F53" s="109">
        <v>75000</v>
      </c>
      <c r="G53" s="46" t="e">
        <f>IF(AND(A53&lt;&gt;"",F53&gt;1),IF(TRANSACTIONS!$E53=RAPPORTS!$F$9,0,IF(OR(TRANSACTIONS!$D53=RAPPORTS!$A$13,TRANSACTIONS!$D53=RAPPORTS!#REF!),VLOOKUP(TRANSACTIONS!$F53,FRAIS_D_ENVOI,3,TRUE),0)),"")</f>
        <v>#REF!</v>
      </c>
      <c r="H53" s="46" t="str">
        <f>IFERROR(TRANSACTIONS!$F53+TRANSACTIONS!$G53,"")</f>
        <v/>
      </c>
      <c r="I53" s="44"/>
      <c r="J53" s="40" t="e">
        <f t="shared" si="0"/>
        <v>#REF!</v>
      </c>
    </row>
    <row r="54" spans="1:10" hidden="1" x14ac:dyDescent="0.25">
      <c r="A54" s="41"/>
      <c r="B54" s="48" t="str">
        <f>IF(A54&lt;&gt;"",DATE(YEAR(TRANSACTIONS!$A54),MONTH(TRANSACTIONS!$A54),DAY(TRANSACTIONS!$A54)),"")</f>
        <v/>
      </c>
      <c r="C54" s="49" t="str">
        <f>IF(A54&lt;&gt;"",TIME(HOUR(TRANSACTIONS!$A54),MINUTE(TRANSACTIONS!$A54),SECOND(TRANSACTIONS!$A54)),"")</f>
        <v/>
      </c>
      <c r="D54" s="42"/>
      <c r="E54" s="40" t="s">
        <v>6</v>
      </c>
      <c r="F54" s="109">
        <v>35000</v>
      </c>
      <c r="G54" s="46" t="str">
        <f>IF(AND(A54&lt;&gt;"",F54&gt;1),IF(TRANSACTIONS!$E54=RAPPORTS!$F$9,0,IF(OR(TRANSACTIONS!$D54=RAPPORTS!$A$13,TRANSACTIONS!$D54=RAPPORTS!#REF!),VLOOKUP(TRANSACTIONS!$F54,FRAIS_D_ENVOI,3,TRUE),0)),"")</f>
        <v/>
      </c>
      <c r="H54" s="46" t="str">
        <f>IFERROR(TRANSACTIONS!$F54+TRANSACTIONS!$G54,"")</f>
        <v/>
      </c>
      <c r="I54" s="44"/>
      <c r="J54" s="40" t="str">
        <f t="shared" si="0"/>
        <v/>
      </c>
    </row>
    <row r="55" spans="1:10" hidden="1" x14ac:dyDescent="0.25">
      <c r="A55" s="41"/>
      <c r="B55" s="48" t="str">
        <f>IF(A55&lt;&gt;"",DATE(YEAR(TRANSACTIONS!$A55),MONTH(TRANSACTIONS!$A55),DAY(TRANSACTIONS!$A55)),"")</f>
        <v/>
      </c>
      <c r="C55" s="49" t="str">
        <f>IF(A55&lt;&gt;"",TIME(HOUR(TRANSACTIONS!$A55),MINUTE(TRANSACTIONS!$A55),SECOND(TRANSACTIONS!$A55)),"")</f>
        <v/>
      </c>
      <c r="D55" s="42"/>
      <c r="F55" s="43"/>
      <c r="G55" s="46" t="str">
        <f>IF(AND(A55&lt;&gt;"",F55&gt;1),IF(TRANSACTIONS!$E55=RAPPORTS!$F$9,0,IF(OR(TRANSACTIONS!$D55=RAPPORTS!$A$13,TRANSACTIONS!$D55=RAPPORTS!#REF!),VLOOKUP(TRANSACTIONS!$F55,FRAIS_D_ENVOI,3,TRUE),0)),"")</f>
        <v/>
      </c>
      <c r="H55" s="46" t="str">
        <f>IFERROR(TRANSACTIONS!$F55+TRANSACTIONS!$G55,"")</f>
        <v/>
      </c>
      <c r="I55" s="44"/>
      <c r="J55" s="40" t="str">
        <f t="shared" si="0"/>
        <v/>
      </c>
    </row>
    <row r="56" spans="1:10" hidden="1" x14ac:dyDescent="0.25">
      <c r="A56" s="41"/>
      <c r="B56" s="48" t="str">
        <f>IF(A56&lt;&gt;"",DATE(YEAR(TRANSACTIONS!$A56),MONTH(TRANSACTIONS!$A56),DAY(TRANSACTIONS!$A56)),"")</f>
        <v/>
      </c>
      <c r="C56" s="49" t="str">
        <f>IF(A56&lt;&gt;"",TIME(HOUR(TRANSACTIONS!$A56),MINUTE(TRANSACTIONS!$A56),SECOND(TRANSACTIONS!$A56)),"")</f>
        <v/>
      </c>
      <c r="D56" s="42"/>
      <c r="E56" s="42"/>
      <c r="F56" s="43"/>
      <c r="G56" s="46" t="str">
        <f>IF(AND(A56&lt;&gt;"",F56&gt;1),IF(TRANSACTIONS!$E56=RAPPORTS!$F$9,0,IF(OR(TRANSACTIONS!$D56=RAPPORTS!$A$13,TRANSACTIONS!$D56=RAPPORTS!#REF!),VLOOKUP(TRANSACTIONS!$F56,FRAIS_D_ENVOI,3,TRUE),0)),"")</f>
        <v/>
      </c>
      <c r="H56" s="46" t="str">
        <f>IFERROR(TRANSACTIONS!$F56+TRANSACTIONS!$G56,"")</f>
        <v/>
      </c>
      <c r="I56" s="44"/>
      <c r="J56" s="40" t="str">
        <f t="shared" si="0"/>
        <v/>
      </c>
    </row>
    <row r="57" spans="1:10" hidden="1" x14ac:dyDescent="0.25">
      <c r="A57" s="41"/>
      <c r="B57" s="48" t="str">
        <f>IF(A57&lt;&gt;"",DATE(YEAR(TRANSACTIONS!$A57),MONTH(TRANSACTIONS!$A57),DAY(TRANSACTIONS!$A57)),"")</f>
        <v/>
      </c>
      <c r="C57" s="49" t="str">
        <f>IF(A57&lt;&gt;"",TIME(HOUR(TRANSACTIONS!$A57),MINUTE(TRANSACTIONS!$A57),SECOND(TRANSACTIONS!$A57)),"")</f>
        <v/>
      </c>
      <c r="D57" s="42"/>
      <c r="E57" s="42"/>
      <c r="F57" s="43"/>
      <c r="G57" s="46" t="str">
        <f>IF(AND(A57&lt;&gt;"",F57&gt;1),IF(TRANSACTIONS!$E57=RAPPORTS!$F$9,0,IF(OR(TRANSACTIONS!$D57=RAPPORTS!$A$13,TRANSACTIONS!$D57=RAPPORTS!#REF!),VLOOKUP(TRANSACTIONS!$F57,FRAIS_D_ENVOI,3,TRUE),0)),"")</f>
        <v/>
      </c>
      <c r="H57" s="46" t="str">
        <f>IFERROR(TRANSACTIONS!$F57+TRANSACTIONS!$G57,"")</f>
        <v/>
      </c>
      <c r="I57" s="44"/>
      <c r="J57" s="40" t="str">
        <f t="shared" si="0"/>
        <v/>
      </c>
    </row>
    <row r="58" spans="1:10" hidden="1" x14ac:dyDescent="0.25">
      <c r="A58" s="41"/>
      <c r="B58" s="48" t="str">
        <f>IF(A58&lt;&gt;"",DATE(YEAR(TRANSACTIONS!$A58),MONTH(TRANSACTIONS!$A58),DAY(TRANSACTIONS!$A58)),"")</f>
        <v/>
      </c>
      <c r="C58" s="49" t="str">
        <f>IF(A58&lt;&gt;"",TIME(HOUR(TRANSACTIONS!$A58),MINUTE(TRANSACTIONS!$A58),SECOND(TRANSACTIONS!$A58)),"")</f>
        <v/>
      </c>
      <c r="D58" s="42"/>
      <c r="E58" s="42"/>
      <c r="F58" s="43"/>
      <c r="G58" s="46" t="str">
        <f>IF(AND(A58&lt;&gt;"",F58&gt;1),IF(TRANSACTIONS!$E58=RAPPORTS!$F$9,0,IF(OR(TRANSACTIONS!$D58=RAPPORTS!$A$13,TRANSACTIONS!$D58=RAPPORTS!#REF!),VLOOKUP(TRANSACTIONS!$F58,FRAIS_D_ENVOI,3,TRUE),0)),"")</f>
        <v/>
      </c>
      <c r="H58" s="46" t="str">
        <f>IFERROR(TRANSACTIONS!$F58+TRANSACTIONS!$G58,"")</f>
        <v/>
      </c>
      <c r="I58" s="44"/>
      <c r="J58" s="40" t="str">
        <f t="shared" si="0"/>
        <v/>
      </c>
    </row>
    <row r="59" spans="1:10" hidden="1" x14ac:dyDescent="0.25">
      <c r="A59" s="41"/>
      <c r="B59" s="48" t="str">
        <f>IF(A59&lt;&gt;"",DATE(YEAR(TRANSACTIONS!$A59),MONTH(TRANSACTIONS!$A59),DAY(TRANSACTIONS!$A59)),"")</f>
        <v/>
      </c>
      <c r="C59" s="49" t="str">
        <f>IF(A59&lt;&gt;"",TIME(HOUR(TRANSACTIONS!$A59),MINUTE(TRANSACTIONS!$A59),SECOND(TRANSACTIONS!$A59)),"")</f>
        <v/>
      </c>
      <c r="D59" s="42"/>
      <c r="E59" s="42"/>
      <c r="F59" s="43"/>
      <c r="G59" s="46" t="str">
        <f>IF(AND(A59&lt;&gt;"",F59&gt;1),IF(TRANSACTIONS!$E59=RAPPORTS!$F$9,0,IF(OR(TRANSACTIONS!$D59=RAPPORTS!$A$13,TRANSACTIONS!$D59=RAPPORTS!#REF!),VLOOKUP(TRANSACTIONS!$F59,FRAIS_D_ENVOI,3,TRUE),0)),"")</f>
        <v/>
      </c>
      <c r="H59" s="46" t="str">
        <f>IFERROR(TRANSACTIONS!$F59+TRANSACTIONS!$G59,"")</f>
        <v/>
      </c>
      <c r="I59" s="44"/>
      <c r="J59" s="40" t="str">
        <f t="shared" si="0"/>
        <v/>
      </c>
    </row>
    <row r="60" spans="1:10" hidden="1" x14ac:dyDescent="0.25">
      <c r="A60" s="41"/>
      <c r="B60" s="48" t="str">
        <f>IF(A60&lt;&gt;"",DATE(YEAR(TRANSACTIONS!$A60),MONTH(TRANSACTIONS!$A60),DAY(TRANSACTIONS!$A60)),"")</f>
        <v/>
      </c>
      <c r="C60" s="49" t="str">
        <f>IF(A60&lt;&gt;"",TIME(HOUR(TRANSACTIONS!$A60),MINUTE(TRANSACTIONS!$A60),SECOND(TRANSACTIONS!$A60)),"")</f>
        <v/>
      </c>
      <c r="D60" s="42"/>
      <c r="E60" s="42"/>
      <c r="F60" s="43"/>
      <c r="G60" s="46" t="str">
        <f>IF(AND(A60&lt;&gt;"",F60&gt;1),IF(TRANSACTIONS!$E60=RAPPORTS!$F$9,0,IF(OR(TRANSACTIONS!$D60=RAPPORTS!$A$13,TRANSACTIONS!$D60=RAPPORTS!#REF!),VLOOKUP(TRANSACTIONS!$F60,FRAIS_D_ENVOI,3,TRUE),0)),"")</f>
        <v/>
      </c>
      <c r="H60" s="46" t="str">
        <f>IFERROR(TRANSACTIONS!$F60+TRANSACTIONS!$G60,"")</f>
        <v/>
      </c>
      <c r="I60" s="44"/>
      <c r="J60" s="40" t="str">
        <f t="shared" si="0"/>
        <v/>
      </c>
    </row>
    <row r="61" spans="1:10" hidden="1" x14ac:dyDescent="0.25">
      <c r="A61" s="41"/>
      <c r="B61" s="48" t="str">
        <f>IF(A61&lt;&gt;"",DATE(YEAR(TRANSACTIONS!$A61),MONTH(TRANSACTIONS!$A61),DAY(TRANSACTIONS!$A61)),"")</f>
        <v/>
      </c>
      <c r="C61" s="49" t="str">
        <f>IF(A61&lt;&gt;"",TIME(HOUR(TRANSACTIONS!$A61),MINUTE(TRANSACTIONS!$A61),SECOND(TRANSACTIONS!$A61)),"")</f>
        <v/>
      </c>
      <c r="D61" s="42"/>
      <c r="E61" s="42"/>
      <c r="F61" s="43"/>
      <c r="G61" s="46" t="str">
        <f>IF(AND(A61&lt;&gt;"",F61&gt;1),IF(TRANSACTIONS!$E61=RAPPORTS!$F$9,0,IF(OR(TRANSACTIONS!$D61=RAPPORTS!$A$13,TRANSACTIONS!$D61=RAPPORTS!#REF!),VLOOKUP(TRANSACTIONS!$F61,FRAIS_D_ENVOI,3,TRUE),0)),"")</f>
        <v/>
      </c>
      <c r="H61" s="46" t="str">
        <f>IFERROR(TRANSACTIONS!$F61+TRANSACTIONS!$G61,"")</f>
        <v/>
      </c>
      <c r="I61" s="44"/>
      <c r="J61" s="40" t="str">
        <f t="shared" si="0"/>
        <v/>
      </c>
    </row>
    <row r="62" spans="1:10" hidden="1" x14ac:dyDescent="0.25">
      <c r="A62" s="41"/>
      <c r="B62" s="48" t="str">
        <f>IF(A62&lt;&gt;"",DATE(YEAR(TRANSACTIONS!$A62),MONTH(TRANSACTIONS!$A62),DAY(TRANSACTIONS!$A62)),"")</f>
        <v/>
      </c>
      <c r="C62" s="49" t="str">
        <f>IF(A62&lt;&gt;"",TIME(HOUR(TRANSACTIONS!$A62),MINUTE(TRANSACTIONS!$A62),SECOND(TRANSACTIONS!$A62)),"")</f>
        <v/>
      </c>
      <c r="D62" s="42"/>
      <c r="E62" s="42"/>
      <c r="F62" s="43"/>
      <c r="G62" s="46" t="str">
        <f>IF(AND(A62&lt;&gt;"",F62&gt;1),IF(TRANSACTIONS!$E62=RAPPORTS!$F$9,0,IF(OR(TRANSACTIONS!$D62=RAPPORTS!$A$13,TRANSACTIONS!$D62=RAPPORTS!#REF!),VLOOKUP(TRANSACTIONS!$F62,FRAIS_D_ENVOI,3,TRUE),0)),"")</f>
        <v/>
      </c>
      <c r="H62" s="46" t="str">
        <f>IFERROR(TRANSACTIONS!$F62+TRANSACTIONS!$G62,"")</f>
        <v/>
      </c>
      <c r="I62" s="44"/>
      <c r="J62" s="40" t="str">
        <f t="shared" si="0"/>
        <v/>
      </c>
    </row>
    <row r="63" spans="1:10" hidden="1" x14ac:dyDescent="0.25">
      <c r="A63" s="41"/>
      <c r="B63" s="48" t="str">
        <f>IF(A63&lt;&gt;"",DATE(YEAR(TRANSACTIONS!$A63),MONTH(TRANSACTIONS!$A63),DAY(TRANSACTIONS!$A63)),"")</f>
        <v/>
      </c>
      <c r="C63" s="49" t="str">
        <f>IF(A63&lt;&gt;"",TIME(HOUR(TRANSACTIONS!$A63),MINUTE(TRANSACTIONS!$A63),SECOND(TRANSACTIONS!$A63)),"")</f>
        <v/>
      </c>
      <c r="D63" s="42"/>
      <c r="E63" s="42"/>
      <c r="F63" s="43"/>
      <c r="G63" s="46" t="str">
        <f>IF(AND(A63&lt;&gt;"",F63&gt;1),IF(TRANSACTIONS!$E63=RAPPORTS!$F$9,0,IF(OR(TRANSACTIONS!$D63=RAPPORTS!$A$13,TRANSACTIONS!$D63=RAPPORTS!#REF!),VLOOKUP(TRANSACTIONS!$F63,FRAIS_D_ENVOI,3,TRUE),0)),"")</f>
        <v/>
      </c>
      <c r="H63" s="46" t="str">
        <f>IFERROR(TRANSACTIONS!$F63+TRANSACTIONS!$G63,"")</f>
        <v/>
      </c>
      <c r="I63" s="44"/>
      <c r="J63" s="40" t="str">
        <f t="shared" si="0"/>
        <v/>
      </c>
    </row>
    <row r="64" spans="1:10" hidden="1" x14ac:dyDescent="0.25">
      <c r="A64" s="41"/>
      <c r="B64" s="48" t="str">
        <f>IF(A64&lt;&gt;"",DATE(YEAR(TRANSACTIONS!$A64),MONTH(TRANSACTIONS!$A64),DAY(TRANSACTIONS!$A64)),"")</f>
        <v/>
      </c>
      <c r="C64" s="49" t="str">
        <f>IF(A64&lt;&gt;"",TIME(HOUR(TRANSACTIONS!$A64),MINUTE(TRANSACTIONS!$A64),SECOND(TRANSACTIONS!$A64)),"")</f>
        <v/>
      </c>
      <c r="D64" s="42"/>
      <c r="E64" s="42"/>
      <c r="F64" s="43"/>
      <c r="G64" s="46" t="str">
        <f>IF(AND(A64&lt;&gt;"",F64&gt;1),IF(TRANSACTIONS!$E64=RAPPORTS!$F$9,0,IF(OR(TRANSACTIONS!$D64=RAPPORTS!$A$13,TRANSACTIONS!$D64=RAPPORTS!#REF!),VLOOKUP(TRANSACTIONS!$F64,FRAIS_D_ENVOI,3,TRUE),0)),"")</f>
        <v/>
      </c>
      <c r="H64" s="46" t="str">
        <f>IFERROR(TRANSACTIONS!$F64+TRANSACTIONS!$G64,"")</f>
        <v/>
      </c>
      <c r="I64" s="44"/>
      <c r="J64" s="40" t="str">
        <f t="shared" si="0"/>
        <v/>
      </c>
    </row>
    <row r="65" spans="1:10" hidden="1" x14ac:dyDescent="0.25">
      <c r="A65" s="41"/>
      <c r="B65" s="48" t="str">
        <f>IF(A65&lt;&gt;"",DATE(YEAR(TRANSACTIONS!$A65),MONTH(TRANSACTIONS!$A65),DAY(TRANSACTIONS!$A65)),"")</f>
        <v/>
      </c>
      <c r="C65" s="49" t="str">
        <f>IF(A65&lt;&gt;"",TIME(HOUR(TRANSACTIONS!$A65),MINUTE(TRANSACTIONS!$A65),SECOND(TRANSACTIONS!$A65)),"")</f>
        <v/>
      </c>
      <c r="D65" s="42"/>
      <c r="E65" s="42"/>
      <c r="F65" s="43"/>
      <c r="G65" s="46" t="str">
        <f>IF(AND(A65&lt;&gt;"",F65&gt;1),IF(TRANSACTIONS!$E65=RAPPORTS!$F$9,0,IF(OR(TRANSACTIONS!$D65=RAPPORTS!$A$13,TRANSACTIONS!$D65=RAPPORTS!#REF!),VLOOKUP(TRANSACTIONS!$F65,FRAIS_D_ENVOI,3,TRUE),0)),"")</f>
        <v/>
      </c>
      <c r="H65" s="46" t="str">
        <f>IFERROR(TRANSACTIONS!$F65+TRANSACTIONS!$G65,"")</f>
        <v/>
      </c>
      <c r="I65" s="44"/>
      <c r="J65" s="40" t="str">
        <f t="shared" si="0"/>
        <v/>
      </c>
    </row>
    <row r="66" spans="1:10" hidden="1" x14ac:dyDescent="0.25">
      <c r="A66" s="41"/>
      <c r="B66" s="48" t="str">
        <f>IF(A66&lt;&gt;"",DATE(YEAR(TRANSACTIONS!$A66),MONTH(TRANSACTIONS!$A66),DAY(TRANSACTIONS!$A66)),"")</f>
        <v/>
      </c>
      <c r="C66" s="49" t="str">
        <f>IF(A66&lt;&gt;"",TIME(HOUR(TRANSACTIONS!$A66),MINUTE(TRANSACTIONS!$A66),SECOND(TRANSACTIONS!$A66)),"")</f>
        <v/>
      </c>
      <c r="D66" s="42"/>
      <c r="E66" s="42"/>
      <c r="F66" s="43"/>
      <c r="G66" s="46" t="str">
        <f>IF(AND(A66&lt;&gt;"",F66&gt;1),IF(TRANSACTIONS!$E66=RAPPORTS!$F$9,0,IF(OR(TRANSACTIONS!$D66=RAPPORTS!$A$13,TRANSACTIONS!$D66=RAPPORTS!#REF!),VLOOKUP(TRANSACTIONS!$F66,FRAIS_D_ENVOI,3,TRUE),0)),"")</f>
        <v/>
      </c>
      <c r="H66" s="46" t="str">
        <f>IFERROR(TRANSACTIONS!$F66+TRANSACTIONS!$G66,"")</f>
        <v/>
      </c>
      <c r="I66" s="44"/>
      <c r="J66" s="40" t="str">
        <f t="shared" si="0"/>
        <v/>
      </c>
    </row>
    <row r="67" spans="1:10" hidden="1" x14ac:dyDescent="0.25">
      <c r="A67" s="41"/>
      <c r="B67" s="48" t="str">
        <f>IF(A67&lt;&gt;"",DATE(YEAR(TRANSACTIONS!$A67),MONTH(TRANSACTIONS!$A67),DAY(TRANSACTIONS!$A67)),"")</f>
        <v/>
      </c>
      <c r="C67" s="49" t="str">
        <f>IF(A67&lt;&gt;"",TIME(HOUR(TRANSACTIONS!$A67),MINUTE(TRANSACTIONS!$A67),SECOND(TRANSACTIONS!$A67)),"")</f>
        <v/>
      </c>
      <c r="D67" s="42"/>
      <c r="E67" s="42"/>
      <c r="F67" s="43"/>
      <c r="G67" s="46" t="str">
        <f>IF(AND(A67&lt;&gt;"",F67&gt;1),IF(TRANSACTIONS!$E67=RAPPORTS!$F$9,0,IF(OR(TRANSACTIONS!$D67=RAPPORTS!$A$13,TRANSACTIONS!$D67=RAPPORTS!#REF!),VLOOKUP(TRANSACTIONS!$F67,FRAIS_D_ENVOI,3,TRUE),0)),"")</f>
        <v/>
      </c>
      <c r="H67" s="46" t="str">
        <f>IFERROR(TRANSACTIONS!$F67+TRANSACTIONS!$G67,"")</f>
        <v/>
      </c>
      <c r="I67" s="44"/>
      <c r="J67" s="40" t="str">
        <f t="shared" si="0"/>
        <v/>
      </c>
    </row>
    <row r="68" spans="1:10" hidden="1" x14ac:dyDescent="0.25">
      <c r="A68" s="41"/>
      <c r="B68" s="48" t="str">
        <f>IF(A68&lt;&gt;"",DATE(YEAR(TRANSACTIONS!$A68),MONTH(TRANSACTIONS!$A68),DAY(TRANSACTIONS!$A68)),"")</f>
        <v/>
      </c>
      <c r="C68" s="49" t="str">
        <f>IF(A68&lt;&gt;"",TIME(HOUR(TRANSACTIONS!$A68),MINUTE(TRANSACTIONS!$A68),SECOND(TRANSACTIONS!$A68)),"")</f>
        <v/>
      </c>
      <c r="D68" s="42"/>
      <c r="E68" s="42"/>
      <c r="F68" s="43"/>
      <c r="G68" s="46" t="str">
        <f>IF(AND(A68&lt;&gt;"",F68&gt;1),IF(TRANSACTIONS!$E68=RAPPORTS!$F$9,0,IF(OR(TRANSACTIONS!$D68=RAPPORTS!$A$13,TRANSACTIONS!$D68=RAPPORTS!#REF!),VLOOKUP(TRANSACTIONS!$F68,FRAIS_D_ENVOI,3,TRUE),0)),"")</f>
        <v/>
      </c>
      <c r="H68" s="46" t="str">
        <f>IFERROR(TRANSACTIONS!$F68+TRANSACTIONS!$G68,"")</f>
        <v/>
      </c>
      <c r="I68" s="44"/>
      <c r="J68" s="40" t="str">
        <f t="shared" ref="J68:J131" si="1">IF(G68&lt;&gt;"",$J$1*G68,"")</f>
        <v/>
      </c>
    </row>
    <row r="69" spans="1:10" hidden="1" x14ac:dyDescent="0.25">
      <c r="A69" s="41"/>
      <c r="B69" s="48" t="str">
        <f>IF(A69&lt;&gt;"",DATE(YEAR(TRANSACTIONS!$A69),MONTH(TRANSACTIONS!$A69),DAY(TRANSACTIONS!$A69)),"")</f>
        <v/>
      </c>
      <c r="C69" s="49" t="str">
        <f>IF(A69&lt;&gt;"",TIME(HOUR(TRANSACTIONS!$A69),MINUTE(TRANSACTIONS!$A69),SECOND(TRANSACTIONS!$A69)),"")</f>
        <v/>
      </c>
      <c r="D69" s="42"/>
      <c r="E69" s="42"/>
      <c r="F69" s="43"/>
      <c r="G69" s="46" t="str">
        <f>IF(AND(A69&lt;&gt;"",F69&gt;1),IF(TRANSACTIONS!$E69=RAPPORTS!$F$9,0,IF(OR(TRANSACTIONS!$D69=RAPPORTS!$A$13,TRANSACTIONS!$D69=RAPPORTS!#REF!),VLOOKUP(TRANSACTIONS!$F69,FRAIS_D_ENVOI,3,TRUE),0)),"")</f>
        <v/>
      </c>
      <c r="H69" s="46" t="str">
        <f>IFERROR(TRANSACTIONS!$F69+TRANSACTIONS!$G69,"")</f>
        <v/>
      </c>
      <c r="I69" s="44"/>
      <c r="J69" s="40" t="str">
        <f t="shared" si="1"/>
        <v/>
      </c>
    </row>
    <row r="70" spans="1:10" hidden="1" x14ac:dyDescent="0.25">
      <c r="A70" s="41"/>
      <c r="B70" s="48" t="str">
        <f>IF(A70&lt;&gt;"",DATE(YEAR(TRANSACTIONS!$A70),MONTH(TRANSACTIONS!$A70),DAY(TRANSACTIONS!$A70)),"")</f>
        <v/>
      </c>
      <c r="C70" s="49" t="str">
        <f>IF(A70&lt;&gt;"",TIME(HOUR(TRANSACTIONS!$A70),MINUTE(TRANSACTIONS!$A70),SECOND(TRANSACTIONS!$A70)),"")</f>
        <v/>
      </c>
      <c r="D70" s="42"/>
      <c r="E70" s="42"/>
      <c r="F70" s="43"/>
      <c r="G70" s="46" t="str">
        <f>IF(AND(A70&lt;&gt;"",F70&gt;1),IF(TRANSACTIONS!$E70=RAPPORTS!$F$9,0,IF(OR(TRANSACTIONS!$D70=RAPPORTS!$A$13,TRANSACTIONS!$D70=RAPPORTS!#REF!),VLOOKUP(TRANSACTIONS!$F70,FRAIS_D_ENVOI,3,TRUE),0)),"")</f>
        <v/>
      </c>
      <c r="H70" s="46" t="str">
        <f>IFERROR(TRANSACTIONS!$F70+TRANSACTIONS!$G70,"")</f>
        <v/>
      </c>
      <c r="I70" s="44"/>
      <c r="J70" s="40" t="str">
        <f t="shared" si="1"/>
        <v/>
      </c>
    </row>
    <row r="71" spans="1:10" hidden="1" x14ac:dyDescent="0.25">
      <c r="A71" s="41"/>
      <c r="B71" s="48" t="str">
        <f>IF(A71&lt;&gt;"",DATE(YEAR(TRANSACTIONS!$A71),MONTH(TRANSACTIONS!$A71),DAY(TRANSACTIONS!$A71)),"")</f>
        <v/>
      </c>
      <c r="C71" s="49" t="str">
        <f>IF(A71&lt;&gt;"",TIME(HOUR(TRANSACTIONS!$A71),MINUTE(TRANSACTIONS!$A71),SECOND(TRANSACTIONS!$A71)),"")</f>
        <v/>
      </c>
      <c r="D71" s="42"/>
      <c r="E71" s="42"/>
      <c r="F71" s="43"/>
      <c r="G71" s="46" t="str">
        <f>IF(AND(A71&lt;&gt;"",F71&gt;1),IF(TRANSACTIONS!$E71=RAPPORTS!$F$9,0,IF(OR(TRANSACTIONS!$D71=RAPPORTS!$A$13,TRANSACTIONS!$D71=RAPPORTS!#REF!),VLOOKUP(TRANSACTIONS!$F71,FRAIS_D_ENVOI,3,TRUE),0)),"")</f>
        <v/>
      </c>
      <c r="H71" s="46" t="str">
        <f>IFERROR(TRANSACTIONS!$F71+TRANSACTIONS!$G71,"")</f>
        <v/>
      </c>
      <c r="I71" s="44"/>
      <c r="J71" s="40" t="str">
        <f t="shared" si="1"/>
        <v/>
      </c>
    </row>
    <row r="72" spans="1:10" hidden="1" x14ac:dyDescent="0.25">
      <c r="A72" s="41"/>
      <c r="B72" s="48" t="str">
        <f>IF(A72&lt;&gt;"",DATE(YEAR(TRANSACTIONS!$A72),MONTH(TRANSACTIONS!$A72),DAY(TRANSACTIONS!$A72)),"")</f>
        <v/>
      </c>
      <c r="C72" s="49" t="str">
        <f>IF(A72&lt;&gt;"",TIME(HOUR(TRANSACTIONS!$A72),MINUTE(TRANSACTIONS!$A72),SECOND(TRANSACTIONS!$A72)),"")</f>
        <v/>
      </c>
      <c r="D72" s="42"/>
      <c r="E72" s="42"/>
      <c r="F72" s="43"/>
      <c r="G72" s="46" t="str">
        <f>IF(AND(A72&lt;&gt;"",F72&gt;1),IF(TRANSACTIONS!$E72=RAPPORTS!$F$9,0,IF(OR(TRANSACTIONS!$D72=RAPPORTS!$A$13,TRANSACTIONS!$D72=RAPPORTS!#REF!),VLOOKUP(TRANSACTIONS!$F72,FRAIS_D_ENVOI,3,TRUE),0)),"")</f>
        <v/>
      </c>
      <c r="H72" s="46" t="str">
        <f>IFERROR(TRANSACTIONS!$F72+TRANSACTIONS!$G72,"")</f>
        <v/>
      </c>
      <c r="I72" s="44"/>
      <c r="J72" s="40" t="str">
        <f t="shared" si="1"/>
        <v/>
      </c>
    </row>
    <row r="73" spans="1:10" hidden="1" x14ac:dyDescent="0.25">
      <c r="A73" s="41"/>
      <c r="B73" s="48" t="str">
        <f>IF(A73&lt;&gt;"",DATE(YEAR(TRANSACTIONS!$A73),MONTH(TRANSACTIONS!$A73),DAY(TRANSACTIONS!$A73)),"")</f>
        <v/>
      </c>
      <c r="C73" s="49" t="str">
        <f>IF(A73&lt;&gt;"",TIME(HOUR(TRANSACTIONS!$A73),MINUTE(TRANSACTIONS!$A73),SECOND(TRANSACTIONS!$A73)),"")</f>
        <v/>
      </c>
      <c r="D73" s="42"/>
      <c r="E73" s="42"/>
      <c r="F73" s="43"/>
      <c r="G73" s="46" t="str">
        <f>IF(AND(A73&lt;&gt;"",F73&gt;1),IF(TRANSACTIONS!$E73=RAPPORTS!$F$9,0,IF(OR(TRANSACTIONS!$D73=RAPPORTS!$A$13,TRANSACTIONS!$D73=RAPPORTS!#REF!),VLOOKUP(TRANSACTIONS!$F73,FRAIS_D_ENVOI,3,TRUE),0)),"")</f>
        <v/>
      </c>
      <c r="H73" s="46" t="str">
        <f>IFERROR(TRANSACTIONS!$F73+TRANSACTIONS!$G73,"")</f>
        <v/>
      </c>
      <c r="I73" s="44"/>
      <c r="J73" s="40" t="str">
        <f t="shared" si="1"/>
        <v/>
      </c>
    </row>
    <row r="74" spans="1:10" hidden="1" x14ac:dyDescent="0.25">
      <c r="A74" s="41"/>
      <c r="B74" s="48" t="str">
        <f>IF(A74&lt;&gt;"",DATE(YEAR(TRANSACTIONS!$A74),MONTH(TRANSACTIONS!$A74),DAY(TRANSACTIONS!$A74)),"")</f>
        <v/>
      </c>
      <c r="C74" s="49" t="str">
        <f>IF(A74&lt;&gt;"",TIME(HOUR(TRANSACTIONS!$A74),MINUTE(TRANSACTIONS!$A74),SECOND(TRANSACTIONS!$A74)),"")</f>
        <v/>
      </c>
      <c r="D74" s="42"/>
      <c r="E74" s="42"/>
      <c r="F74" s="43"/>
      <c r="G74" s="46" t="str">
        <f>IF(AND(A74&lt;&gt;"",F74&gt;1),IF(TRANSACTIONS!$E74=RAPPORTS!$F$9,0,IF(OR(TRANSACTIONS!$D74=RAPPORTS!$A$13,TRANSACTIONS!$D74=RAPPORTS!#REF!),VLOOKUP(TRANSACTIONS!$F74,FRAIS_D_ENVOI,3,TRUE),0)),"")</f>
        <v/>
      </c>
      <c r="H74" s="46" t="str">
        <f>IFERROR(TRANSACTIONS!$F74+TRANSACTIONS!$G74,"")</f>
        <v/>
      </c>
      <c r="I74" s="44"/>
      <c r="J74" s="40" t="str">
        <f t="shared" si="1"/>
        <v/>
      </c>
    </row>
    <row r="75" spans="1:10" hidden="1" x14ac:dyDescent="0.25">
      <c r="A75" s="41"/>
      <c r="B75" s="48" t="str">
        <f>IF(A75&lt;&gt;"",DATE(YEAR(TRANSACTIONS!$A75),MONTH(TRANSACTIONS!$A75),DAY(TRANSACTIONS!$A75)),"")</f>
        <v/>
      </c>
      <c r="C75" s="49" t="str">
        <f>IF(A75&lt;&gt;"",TIME(HOUR(TRANSACTIONS!$A75),MINUTE(TRANSACTIONS!$A75),SECOND(TRANSACTIONS!$A75)),"")</f>
        <v/>
      </c>
      <c r="D75" s="42"/>
      <c r="E75" s="42"/>
      <c r="F75" s="43"/>
      <c r="G75" s="46" t="str">
        <f>IF(AND(A75&lt;&gt;"",F75&gt;1),IF(TRANSACTIONS!$E75=RAPPORTS!$F$9,0,IF(OR(TRANSACTIONS!$D75=RAPPORTS!$A$13,TRANSACTIONS!$D75=RAPPORTS!#REF!),VLOOKUP(TRANSACTIONS!$F75,FRAIS_D_ENVOI,3,TRUE),0)),"")</f>
        <v/>
      </c>
      <c r="H75" s="46" t="str">
        <f>IFERROR(TRANSACTIONS!$F75+TRANSACTIONS!$G75,"")</f>
        <v/>
      </c>
      <c r="I75" s="44"/>
      <c r="J75" s="40" t="str">
        <f t="shared" si="1"/>
        <v/>
      </c>
    </row>
    <row r="76" spans="1:10" hidden="1" x14ac:dyDescent="0.25">
      <c r="A76" s="41"/>
      <c r="B76" s="48" t="str">
        <f>IF(A76&lt;&gt;"",DATE(YEAR(TRANSACTIONS!$A76),MONTH(TRANSACTIONS!$A76),DAY(TRANSACTIONS!$A76)),"")</f>
        <v/>
      </c>
      <c r="C76" s="49" t="str">
        <f>IF(A76&lt;&gt;"",TIME(HOUR(TRANSACTIONS!$A76),MINUTE(TRANSACTIONS!$A76),SECOND(TRANSACTIONS!$A76)),"")</f>
        <v/>
      </c>
      <c r="D76" s="42"/>
      <c r="E76" s="42"/>
      <c r="F76" s="43"/>
      <c r="G76" s="46" t="str">
        <f>IF(AND(A76&lt;&gt;"",F76&gt;1),IF(TRANSACTIONS!$E76=RAPPORTS!$F$9,0,IF(OR(TRANSACTIONS!$D76=RAPPORTS!$A$13,TRANSACTIONS!$D76=RAPPORTS!#REF!),VLOOKUP(TRANSACTIONS!$F76,FRAIS_D_ENVOI,3,TRUE),0)),"")</f>
        <v/>
      </c>
      <c r="H76" s="46" t="str">
        <f>IFERROR(TRANSACTIONS!$F76+TRANSACTIONS!$G76,"")</f>
        <v/>
      </c>
      <c r="I76" s="44"/>
      <c r="J76" s="40" t="str">
        <f t="shared" si="1"/>
        <v/>
      </c>
    </row>
    <row r="77" spans="1:10" hidden="1" x14ac:dyDescent="0.25">
      <c r="A77" s="41"/>
      <c r="B77" s="48" t="str">
        <f>IF(A77&lt;&gt;"",DATE(YEAR(TRANSACTIONS!$A77),MONTH(TRANSACTIONS!$A77),DAY(TRANSACTIONS!$A77)),"")</f>
        <v/>
      </c>
      <c r="C77" s="49" t="str">
        <f>IF(A77&lt;&gt;"",TIME(HOUR(TRANSACTIONS!$A77),MINUTE(TRANSACTIONS!$A77),SECOND(TRANSACTIONS!$A77)),"")</f>
        <v/>
      </c>
      <c r="D77" s="42"/>
      <c r="E77" s="42"/>
      <c r="F77" s="43"/>
      <c r="G77" s="46" t="str">
        <f>IF(AND(A77&lt;&gt;"",F77&gt;1),IF(TRANSACTIONS!$E77=RAPPORTS!$F$9,0,IF(OR(TRANSACTIONS!$D77=RAPPORTS!$A$13,TRANSACTIONS!$D77=RAPPORTS!#REF!),VLOOKUP(TRANSACTIONS!$F77,FRAIS_D_ENVOI,3,TRUE),0)),"")</f>
        <v/>
      </c>
      <c r="H77" s="46" t="str">
        <f>IFERROR(TRANSACTIONS!$F77+TRANSACTIONS!$G77,"")</f>
        <v/>
      </c>
      <c r="I77" s="44"/>
      <c r="J77" s="40" t="str">
        <f t="shared" si="1"/>
        <v/>
      </c>
    </row>
    <row r="78" spans="1:10" hidden="1" x14ac:dyDescent="0.25">
      <c r="A78" s="41"/>
      <c r="B78" s="48" t="str">
        <f>IF(A78&lt;&gt;"",DATE(YEAR(TRANSACTIONS!$A78),MONTH(TRANSACTIONS!$A78),DAY(TRANSACTIONS!$A78)),"")</f>
        <v/>
      </c>
      <c r="C78" s="49" t="str">
        <f>IF(A78&lt;&gt;"",TIME(HOUR(TRANSACTIONS!$A78),MINUTE(TRANSACTIONS!$A78),SECOND(TRANSACTIONS!$A78)),"")</f>
        <v/>
      </c>
      <c r="D78" s="42"/>
      <c r="E78" s="42"/>
      <c r="F78" s="43"/>
      <c r="G78" s="46" t="str">
        <f>IF(AND(A78&lt;&gt;"",F78&gt;1),IF(TRANSACTIONS!$E78=RAPPORTS!$F$9,0,IF(OR(TRANSACTIONS!$D78=RAPPORTS!$A$13,TRANSACTIONS!$D78=RAPPORTS!#REF!),VLOOKUP(TRANSACTIONS!$F78,FRAIS_D_ENVOI,3,TRUE),0)),"")</f>
        <v/>
      </c>
      <c r="H78" s="46" t="str">
        <f>IFERROR(TRANSACTIONS!$F78+TRANSACTIONS!$G78,"")</f>
        <v/>
      </c>
      <c r="I78" s="44"/>
      <c r="J78" s="40" t="str">
        <f t="shared" si="1"/>
        <v/>
      </c>
    </row>
    <row r="79" spans="1:10" hidden="1" x14ac:dyDescent="0.25">
      <c r="A79" s="41"/>
      <c r="B79" s="48" t="str">
        <f>IF(A79&lt;&gt;"",DATE(YEAR(TRANSACTIONS!$A79),MONTH(TRANSACTIONS!$A79),DAY(TRANSACTIONS!$A79)),"")</f>
        <v/>
      </c>
      <c r="C79" s="49" t="str">
        <f>IF(A79&lt;&gt;"",TIME(HOUR(TRANSACTIONS!$A79),MINUTE(TRANSACTIONS!$A79),SECOND(TRANSACTIONS!$A79)),"")</f>
        <v/>
      </c>
      <c r="D79" s="42"/>
      <c r="E79" s="42"/>
      <c r="F79" s="43"/>
      <c r="G79" s="46" t="str">
        <f>IF(AND(A79&lt;&gt;"",F79&gt;1),IF(TRANSACTIONS!$E79=RAPPORTS!$F$9,0,IF(OR(TRANSACTIONS!$D79=RAPPORTS!$A$13,TRANSACTIONS!$D79=RAPPORTS!#REF!),VLOOKUP(TRANSACTIONS!$F79,FRAIS_D_ENVOI,3,TRUE),0)),"")</f>
        <v/>
      </c>
      <c r="H79" s="46" t="str">
        <f>IFERROR(TRANSACTIONS!$F79+TRANSACTIONS!$G79,"")</f>
        <v/>
      </c>
      <c r="I79" s="44"/>
      <c r="J79" s="40" t="str">
        <f t="shared" si="1"/>
        <v/>
      </c>
    </row>
    <row r="80" spans="1:10" hidden="1" x14ac:dyDescent="0.25">
      <c r="A80" s="41"/>
      <c r="B80" s="48" t="str">
        <f>IF(A80&lt;&gt;"",DATE(YEAR(TRANSACTIONS!$A80),MONTH(TRANSACTIONS!$A80),DAY(TRANSACTIONS!$A80)),"")</f>
        <v/>
      </c>
      <c r="C80" s="49" t="str">
        <f>IF(A80&lt;&gt;"",TIME(HOUR(TRANSACTIONS!$A80),MINUTE(TRANSACTIONS!$A80),SECOND(TRANSACTIONS!$A80)),"")</f>
        <v/>
      </c>
      <c r="D80" s="42"/>
      <c r="E80" s="42"/>
      <c r="F80" s="43"/>
      <c r="G80" s="46" t="str">
        <f>IF(AND(A80&lt;&gt;"",F80&gt;1),IF(TRANSACTIONS!$E80=RAPPORTS!$F$9,0,IF(OR(TRANSACTIONS!$D80=RAPPORTS!$A$13,TRANSACTIONS!$D80=RAPPORTS!#REF!),VLOOKUP(TRANSACTIONS!$F80,FRAIS_D_ENVOI,3,TRUE),0)),"")</f>
        <v/>
      </c>
      <c r="H80" s="46" t="str">
        <f>IFERROR(TRANSACTIONS!$F80+TRANSACTIONS!$G80,"")</f>
        <v/>
      </c>
      <c r="I80" s="44"/>
      <c r="J80" s="40" t="str">
        <f t="shared" si="1"/>
        <v/>
      </c>
    </row>
    <row r="81" spans="1:10" hidden="1" x14ac:dyDescent="0.25">
      <c r="A81" s="41"/>
      <c r="B81" s="48" t="str">
        <f>IF(A81&lt;&gt;"",DATE(YEAR(TRANSACTIONS!$A81),MONTH(TRANSACTIONS!$A81),DAY(TRANSACTIONS!$A81)),"")</f>
        <v/>
      </c>
      <c r="C81" s="49" t="str">
        <f>IF(A81&lt;&gt;"",TIME(HOUR(TRANSACTIONS!$A81),MINUTE(TRANSACTIONS!$A81),SECOND(TRANSACTIONS!$A81)),"")</f>
        <v/>
      </c>
      <c r="D81" s="42"/>
      <c r="E81" s="42"/>
      <c r="F81" s="43"/>
      <c r="G81" s="46" t="str">
        <f>IF(AND(A81&lt;&gt;"",F81&gt;1),IF(TRANSACTIONS!$E81=RAPPORTS!$F$9,0,IF(OR(TRANSACTIONS!$D81=RAPPORTS!$A$13,TRANSACTIONS!$D81=RAPPORTS!#REF!),VLOOKUP(TRANSACTIONS!$F81,FRAIS_D_ENVOI,3,TRUE),0)),"")</f>
        <v/>
      </c>
      <c r="H81" s="46" t="str">
        <f>IFERROR(TRANSACTIONS!$F81+TRANSACTIONS!$G81,"")</f>
        <v/>
      </c>
      <c r="I81" s="44"/>
      <c r="J81" s="40" t="str">
        <f t="shared" si="1"/>
        <v/>
      </c>
    </row>
    <row r="82" spans="1:10" hidden="1" x14ac:dyDescent="0.25">
      <c r="A82" s="41"/>
      <c r="B82" s="48" t="str">
        <f>IF(A82&lt;&gt;"",DATE(YEAR(TRANSACTIONS!$A82),MONTH(TRANSACTIONS!$A82),DAY(TRANSACTIONS!$A82)),"")</f>
        <v/>
      </c>
      <c r="C82" s="49" t="str">
        <f>IF(A82&lt;&gt;"",TIME(HOUR(TRANSACTIONS!$A82),MINUTE(TRANSACTIONS!$A82),SECOND(TRANSACTIONS!$A82)),"")</f>
        <v/>
      </c>
      <c r="D82" s="42"/>
      <c r="E82" s="42"/>
      <c r="F82" s="43"/>
      <c r="G82" s="46" t="str">
        <f>IF(AND(A82&lt;&gt;"",F82&gt;1),IF(TRANSACTIONS!$E82=RAPPORTS!$F$9,0,IF(OR(TRANSACTIONS!$D82=RAPPORTS!$A$13,TRANSACTIONS!$D82=RAPPORTS!#REF!),VLOOKUP(TRANSACTIONS!$F82,FRAIS_D_ENVOI,3,TRUE),0)),"")</f>
        <v/>
      </c>
      <c r="H82" s="46" t="str">
        <f>IFERROR(TRANSACTIONS!$F82+TRANSACTIONS!$G82,"")</f>
        <v/>
      </c>
      <c r="I82" s="44"/>
      <c r="J82" s="40" t="str">
        <f t="shared" si="1"/>
        <v/>
      </c>
    </row>
    <row r="83" spans="1:10" hidden="1" x14ac:dyDescent="0.25">
      <c r="A83" s="41"/>
      <c r="B83" s="48" t="str">
        <f>IF(A83&lt;&gt;"",DATE(YEAR(TRANSACTIONS!$A83),MONTH(TRANSACTIONS!$A83),DAY(TRANSACTIONS!$A83)),"")</f>
        <v/>
      </c>
      <c r="C83" s="49" t="str">
        <f>IF(A83&lt;&gt;"",TIME(HOUR(TRANSACTIONS!$A83),MINUTE(TRANSACTIONS!$A83),SECOND(TRANSACTIONS!$A83)),"")</f>
        <v/>
      </c>
      <c r="D83" s="42"/>
      <c r="E83" s="42"/>
      <c r="F83" s="43"/>
      <c r="G83" s="46" t="str">
        <f>IF(AND(A83&lt;&gt;"",F83&gt;1),IF(TRANSACTIONS!$E83=RAPPORTS!$F$9,0,IF(OR(TRANSACTIONS!$D83=RAPPORTS!$A$13,TRANSACTIONS!$D83=RAPPORTS!#REF!),VLOOKUP(TRANSACTIONS!$F83,FRAIS_D_ENVOI,3,TRUE),0)),"")</f>
        <v/>
      </c>
      <c r="H83" s="46" t="str">
        <f>IFERROR(TRANSACTIONS!$F83+TRANSACTIONS!$G83,"")</f>
        <v/>
      </c>
      <c r="I83" s="44"/>
      <c r="J83" s="40" t="str">
        <f t="shared" si="1"/>
        <v/>
      </c>
    </row>
    <row r="84" spans="1:10" hidden="1" x14ac:dyDescent="0.25">
      <c r="A84" s="41"/>
      <c r="B84" s="48" t="str">
        <f>IF(A84&lt;&gt;"",DATE(YEAR(TRANSACTIONS!$A84),MONTH(TRANSACTIONS!$A84),DAY(TRANSACTIONS!$A84)),"")</f>
        <v/>
      </c>
      <c r="C84" s="49" t="str">
        <f>IF(A84&lt;&gt;"",TIME(HOUR(TRANSACTIONS!$A84),MINUTE(TRANSACTIONS!$A84),SECOND(TRANSACTIONS!$A84)),"")</f>
        <v/>
      </c>
      <c r="D84" s="42"/>
      <c r="E84" s="42"/>
      <c r="F84" s="43"/>
      <c r="G84" s="46" t="str">
        <f>IF(AND(A84&lt;&gt;"",F84&gt;1),IF(TRANSACTIONS!$E84=RAPPORTS!$F$9,0,IF(OR(TRANSACTIONS!$D84=RAPPORTS!$A$13,TRANSACTIONS!$D84=RAPPORTS!#REF!),VLOOKUP(TRANSACTIONS!$F84,FRAIS_D_ENVOI,3,TRUE),0)),"")</f>
        <v/>
      </c>
      <c r="H84" s="46" t="str">
        <f>IFERROR(TRANSACTIONS!$F84+TRANSACTIONS!$G84,"")</f>
        <v/>
      </c>
      <c r="I84" s="44"/>
      <c r="J84" s="40" t="str">
        <f t="shared" si="1"/>
        <v/>
      </c>
    </row>
    <row r="85" spans="1:10" hidden="1" x14ac:dyDescent="0.25">
      <c r="A85" s="41"/>
      <c r="B85" s="48" t="str">
        <f>IF(A85&lt;&gt;"",DATE(YEAR(TRANSACTIONS!$A85),MONTH(TRANSACTIONS!$A85),DAY(TRANSACTIONS!$A85)),"")</f>
        <v/>
      </c>
      <c r="C85" s="49" t="str">
        <f>IF(A85&lt;&gt;"",TIME(HOUR(TRANSACTIONS!$A85),MINUTE(TRANSACTIONS!$A85),SECOND(TRANSACTIONS!$A85)),"")</f>
        <v/>
      </c>
      <c r="D85" s="42"/>
      <c r="E85" s="42"/>
      <c r="F85" s="43"/>
      <c r="G85" s="46" t="str">
        <f>IF(AND(A85&lt;&gt;"",F85&gt;1),IF(TRANSACTIONS!$E85=RAPPORTS!$F$9,0,IF(OR(TRANSACTIONS!$D85=RAPPORTS!$A$13,TRANSACTIONS!$D85=RAPPORTS!#REF!),VLOOKUP(TRANSACTIONS!$F85,FRAIS_D_ENVOI,3,TRUE),0)),"")</f>
        <v/>
      </c>
      <c r="H85" s="46" t="str">
        <f>IFERROR(TRANSACTIONS!$F85+TRANSACTIONS!$G85,"")</f>
        <v/>
      </c>
      <c r="I85" s="44"/>
      <c r="J85" s="40" t="str">
        <f t="shared" si="1"/>
        <v/>
      </c>
    </row>
    <row r="86" spans="1:10" hidden="1" x14ac:dyDescent="0.25">
      <c r="A86" s="41"/>
      <c r="B86" s="48" t="str">
        <f>IF(A86&lt;&gt;"",DATE(YEAR(TRANSACTIONS!$A86),MONTH(TRANSACTIONS!$A86),DAY(TRANSACTIONS!$A86)),"")</f>
        <v/>
      </c>
      <c r="C86" s="49" t="str">
        <f>IF(A86&lt;&gt;"",TIME(HOUR(TRANSACTIONS!$A86),MINUTE(TRANSACTIONS!$A86),SECOND(TRANSACTIONS!$A86)),"")</f>
        <v/>
      </c>
      <c r="D86" s="42"/>
      <c r="E86" s="42"/>
      <c r="F86" s="43"/>
      <c r="G86" s="46" t="str">
        <f>IF(AND(A86&lt;&gt;"",F86&gt;1),IF(TRANSACTIONS!$E86=RAPPORTS!$F$9,0,IF(OR(TRANSACTIONS!$D86=RAPPORTS!$A$13,TRANSACTIONS!$D86=RAPPORTS!#REF!),VLOOKUP(TRANSACTIONS!$F86,FRAIS_D_ENVOI,3,TRUE),0)),"")</f>
        <v/>
      </c>
      <c r="H86" s="46" t="str">
        <f>IFERROR(TRANSACTIONS!$F86+TRANSACTIONS!$G86,"")</f>
        <v/>
      </c>
      <c r="I86" s="44"/>
      <c r="J86" s="40" t="str">
        <f t="shared" si="1"/>
        <v/>
      </c>
    </row>
    <row r="87" spans="1:10" hidden="1" x14ac:dyDescent="0.25">
      <c r="A87" s="41"/>
      <c r="B87" s="48" t="str">
        <f>IF(A87&lt;&gt;"",DATE(YEAR(TRANSACTIONS!$A87),MONTH(TRANSACTIONS!$A87),DAY(TRANSACTIONS!$A87)),"")</f>
        <v/>
      </c>
      <c r="C87" s="49" t="str">
        <f>IF(A87&lt;&gt;"",TIME(HOUR(TRANSACTIONS!$A87),MINUTE(TRANSACTIONS!$A87),SECOND(TRANSACTIONS!$A87)),"")</f>
        <v/>
      </c>
      <c r="D87" s="42"/>
      <c r="E87" s="42"/>
      <c r="F87" s="43"/>
      <c r="G87" s="46" t="str">
        <f>IF(AND(A87&lt;&gt;"",F87&gt;1),IF(TRANSACTIONS!$E87=RAPPORTS!$F$9,0,IF(OR(TRANSACTIONS!$D87=RAPPORTS!$A$13,TRANSACTIONS!$D87=RAPPORTS!#REF!),VLOOKUP(TRANSACTIONS!$F87,FRAIS_D_ENVOI,3,TRUE),0)),"")</f>
        <v/>
      </c>
      <c r="H87" s="46" t="str">
        <f>IFERROR(TRANSACTIONS!$F87+TRANSACTIONS!$G87,"")</f>
        <v/>
      </c>
      <c r="I87" s="44"/>
      <c r="J87" s="40" t="str">
        <f t="shared" si="1"/>
        <v/>
      </c>
    </row>
    <row r="88" spans="1:10" hidden="1" x14ac:dyDescent="0.25">
      <c r="A88" s="41"/>
      <c r="B88" s="48" t="str">
        <f>IF(A88&lt;&gt;"",DATE(YEAR(TRANSACTIONS!$A88),MONTH(TRANSACTIONS!$A88),DAY(TRANSACTIONS!$A88)),"")</f>
        <v/>
      </c>
      <c r="C88" s="49" t="str">
        <f>IF(A88&lt;&gt;"",TIME(HOUR(TRANSACTIONS!$A88),MINUTE(TRANSACTIONS!$A88),SECOND(TRANSACTIONS!$A88)),"")</f>
        <v/>
      </c>
      <c r="D88" s="42"/>
      <c r="E88" s="42"/>
      <c r="F88" s="43"/>
      <c r="G88" s="46" t="str">
        <f>IF(AND(A88&lt;&gt;"",F88&gt;1),IF(TRANSACTIONS!$E88=RAPPORTS!$F$9,0,IF(OR(TRANSACTIONS!$D88=RAPPORTS!$A$13,TRANSACTIONS!$D88=RAPPORTS!#REF!),VLOOKUP(TRANSACTIONS!$F88,FRAIS_D_ENVOI,3,TRUE),0)),"")</f>
        <v/>
      </c>
      <c r="H88" s="46" t="str">
        <f>IFERROR(TRANSACTIONS!$F88+TRANSACTIONS!$G88,"")</f>
        <v/>
      </c>
      <c r="I88" s="44"/>
      <c r="J88" s="40" t="str">
        <f t="shared" si="1"/>
        <v/>
      </c>
    </row>
    <row r="89" spans="1:10" hidden="1" x14ac:dyDescent="0.25">
      <c r="A89" s="41"/>
      <c r="B89" s="48" t="str">
        <f>IF(A89&lt;&gt;"",DATE(YEAR(TRANSACTIONS!$A89),MONTH(TRANSACTIONS!$A89),DAY(TRANSACTIONS!$A89)),"")</f>
        <v/>
      </c>
      <c r="C89" s="49" t="str">
        <f>IF(A89&lt;&gt;"",TIME(HOUR(TRANSACTIONS!$A89),MINUTE(TRANSACTIONS!$A89),SECOND(TRANSACTIONS!$A89)),"")</f>
        <v/>
      </c>
      <c r="D89" s="42"/>
      <c r="E89" s="42"/>
      <c r="F89" s="43"/>
      <c r="G89" s="46" t="str">
        <f>IF(AND(A89&lt;&gt;"",F89&gt;1),IF(TRANSACTIONS!$E89=RAPPORTS!$F$9,0,IF(OR(TRANSACTIONS!$D89=RAPPORTS!$A$13,TRANSACTIONS!$D89=RAPPORTS!#REF!),VLOOKUP(TRANSACTIONS!$F89,FRAIS_D_ENVOI,3,TRUE),0)),"")</f>
        <v/>
      </c>
      <c r="H89" s="46" t="str">
        <f>IFERROR(TRANSACTIONS!$F89+TRANSACTIONS!$G89,"")</f>
        <v/>
      </c>
      <c r="I89" s="44"/>
      <c r="J89" s="40" t="str">
        <f t="shared" si="1"/>
        <v/>
      </c>
    </row>
    <row r="90" spans="1:10" hidden="1" x14ac:dyDescent="0.25">
      <c r="A90" s="41"/>
      <c r="B90" s="48" t="str">
        <f>IF(A90&lt;&gt;"",DATE(YEAR(TRANSACTIONS!$A90),MONTH(TRANSACTIONS!$A90),DAY(TRANSACTIONS!$A90)),"")</f>
        <v/>
      </c>
      <c r="C90" s="49" t="str">
        <f>IF(A90&lt;&gt;"",TIME(HOUR(TRANSACTIONS!$A90),MINUTE(TRANSACTIONS!$A90),SECOND(TRANSACTIONS!$A90)),"")</f>
        <v/>
      </c>
      <c r="D90" s="42"/>
      <c r="E90" s="42"/>
      <c r="F90" s="43"/>
      <c r="G90" s="46" t="str">
        <f>IF(AND(A90&lt;&gt;"",F90&gt;1),IF(TRANSACTIONS!$E90=RAPPORTS!$F$9,0,IF(OR(TRANSACTIONS!$D90=RAPPORTS!$A$13,TRANSACTIONS!$D90=RAPPORTS!#REF!),VLOOKUP(TRANSACTIONS!$F90,FRAIS_D_ENVOI,3,TRUE),0)),"")</f>
        <v/>
      </c>
      <c r="H90" s="46" t="str">
        <f>IFERROR(TRANSACTIONS!$F90+TRANSACTIONS!$G90,"")</f>
        <v/>
      </c>
      <c r="I90" s="44"/>
      <c r="J90" s="40" t="str">
        <f t="shared" si="1"/>
        <v/>
      </c>
    </row>
    <row r="91" spans="1:10" hidden="1" x14ac:dyDescent="0.25">
      <c r="A91" s="41"/>
      <c r="B91" s="48" t="str">
        <f>IF(A91&lt;&gt;"",DATE(YEAR(TRANSACTIONS!$A91),MONTH(TRANSACTIONS!$A91),DAY(TRANSACTIONS!$A91)),"")</f>
        <v/>
      </c>
      <c r="C91" s="49" t="str">
        <f>IF(A91&lt;&gt;"",TIME(HOUR(TRANSACTIONS!$A91),MINUTE(TRANSACTIONS!$A91),SECOND(TRANSACTIONS!$A91)),"")</f>
        <v/>
      </c>
      <c r="D91" s="42"/>
      <c r="E91" s="42"/>
      <c r="F91" s="43"/>
      <c r="G91" s="46" t="str">
        <f>IF(AND(A91&lt;&gt;"",F91&gt;1),IF(TRANSACTIONS!$E91=RAPPORTS!$F$9,0,IF(OR(TRANSACTIONS!$D91=RAPPORTS!$A$13,TRANSACTIONS!$D91=RAPPORTS!#REF!),VLOOKUP(TRANSACTIONS!$F91,FRAIS_D_ENVOI,3,TRUE),0)),"")</f>
        <v/>
      </c>
      <c r="H91" s="46" t="str">
        <f>IFERROR(TRANSACTIONS!$F91+TRANSACTIONS!$G91,"")</f>
        <v/>
      </c>
      <c r="I91" s="44"/>
      <c r="J91" s="40" t="str">
        <f t="shared" si="1"/>
        <v/>
      </c>
    </row>
    <row r="92" spans="1:10" hidden="1" x14ac:dyDescent="0.25">
      <c r="A92" s="41"/>
      <c r="B92" s="48" t="str">
        <f>IF(A92&lt;&gt;"",DATE(YEAR(TRANSACTIONS!$A92),MONTH(TRANSACTIONS!$A92),DAY(TRANSACTIONS!$A92)),"")</f>
        <v/>
      </c>
      <c r="C92" s="49" t="str">
        <f>IF(A92&lt;&gt;"",TIME(HOUR(TRANSACTIONS!$A92),MINUTE(TRANSACTIONS!$A92),SECOND(TRANSACTIONS!$A92)),"")</f>
        <v/>
      </c>
      <c r="D92" s="42"/>
      <c r="E92" s="42"/>
      <c r="F92" s="43"/>
      <c r="G92" s="46" t="str">
        <f>IF(AND(A92&lt;&gt;"",F92&gt;1),IF(TRANSACTIONS!$E92=RAPPORTS!$F$9,0,IF(OR(TRANSACTIONS!$D92=RAPPORTS!$A$13,TRANSACTIONS!$D92=RAPPORTS!#REF!),VLOOKUP(TRANSACTIONS!$F92,FRAIS_D_ENVOI,3,TRUE),0)),"")</f>
        <v/>
      </c>
      <c r="H92" s="46" t="str">
        <f>IFERROR(TRANSACTIONS!$F92+TRANSACTIONS!$G92,"")</f>
        <v/>
      </c>
      <c r="I92" s="44"/>
      <c r="J92" s="40" t="str">
        <f t="shared" si="1"/>
        <v/>
      </c>
    </row>
    <row r="93" spans="1:10" hidden="1" x14ac:dyDescent="0.25">
      <c r="A93" s="41"/>
      <c r="B93" s="48" t="str">
        <f>IF(A93&lt;&gt;"",DATE(YEAR(TRANSACTIONS!$A93),MONTH(TRANSACTIONS!$A93),DAY(TRANSACTIONS!$A93)),"")</f>
        <v/>
      </c>
      <c r="C93" s="49" t="str">
        <f>IF(A93&lt;&gt;"",TIME(HOUR(TRANSACTIONS!$A93),MINUTE(TRANSACTIONS!$A93),SECOND(TRANSACTIONS!$A93)),"")</f>
        <v/>
      </c>
      <c r="D93" s="42"/>
      <c r="E93" s="42"/>
      <c r="F93" s="43"/>
      <c r="G93" s="46" t="str">
        <f>IF(AND(A93&lt;&gt;"",F93&gt;1),IF(TRANSACTIONS!$E93=RAPPORTS!$F$9,0,IF(OR(TRANSACTIONS!$D93=RAPPORTS!$A$13,TRANSACTIONS!$D93=RAPPORTS!#REF!),VLOOKUP(TRANSACTIONS!$F93,FRAIS_D_ENVOI,3,TRUE),0)),"")</f>
        <v/>
      </c>
      <c r="H93" s="46" t="str">
        <f>IFERROR(TRANSACTIONS!$F93+TRANSACTIONS!$G93,"")</f>
        <v/>
      </c>
      <c r="I93" s="44"/>
      <c r="J93" s="40" t="str">
        <f t="shared" si="1"/>
        <v/>
      </c>
    </row>
    <row r="94" spans="1:10" hidden="1" x14ac:dyDescent="0.25">
      <c r="A94" s="41"/>
      <c r="B94" s="48" t="str">
        <f>IF(A94&lt;&gt;"",DATE(YEAR(TRANSACTIONS!$A94),MONTH(TRANSACTIONS!$A94),DAY(TRANSACTIONS!$A94)),"")</f>
        <v/>
      </c>
      <c r="C94" s="49" t="str">
        <f>IF(A94&lt;&gt;"",TIME(HOUR(TRANSACTIONS!$A94),MINUTE(TRANSACTIONS!$A94),SECOND(TRANSACTIONS!$A94)),"")</f>
        <v/>
      </c>
      <c r="D94" s="42"/>
      <c r="E94" s="42"/>
      <c r="F94" s="43"/>
      <c r="G94" s="46" t="str">
        <f>IF(AND(A94&lt;&gt;"",F94&gt;1),IF(TRANSACTIONS!$E94=RAPPORTS!$F$9,0,IF(OR(TRANSACTIONS!$D94=RAPPORTS!$A$13,TRANSACTIONS!$D94=RAPPORTS!#REF!),VLOOKUP(TRANSACTIONS!$F94,FRAIS_D_ENVOI,3,TRUE),0)),"")</f>
        <v/>
      </c>
      <c r="H94" s="46" t="str">
        <f>IFERROR(TRANSACTIONS!$F94+TRANSACTIONS!$G94,"")</f>
        <v/>
      </c>
      <c r="I94" s="44"/>
      <c r="J94" s="40" t="str">
        <f t="shared" si="1"/>
        <v/>
      </c>
    </row>
    <row r="95" spans="1:10" hidden="1" x14ac:dyDescent="0.25">
      <c r="A95" s="41"/>
      <c r="B95" s="48" t="str">
        <f>IF(A95&lt;&gt;"",DATE(YEAR(TRANSACTIONS!$A95),MONTH(TRANSACTIONS!$A95),DAY(TRANSACTIONS!$A95)),"")</f>
        <v/>
      </c>
      <c r="C95" s="49" t="str">
        <f>IF(A95&lt;&gt;"",TIME(HOUR(TRANSACTIONS!$A95),MINUTE(TRANSACTIONS!$A95),SECOND(TRANSACTIONS!$A95)),"")</f>
        <v/>
      </c>
      <c r="D95" s="42"/>
      <c r="E95" s="42"/>
      <c r="F95" s="43"/>
      <c r="G95" s="46" t="str">
        <f>IF(AND(A95&lt;&gt;"",F95&gt;1),IF(TRANSACTIONS!$E95=RAPPORTS!$F$9,0,IF(OR(TRANSACTIONS!$D95=RAPPORTS!$A$13,TRANSACTIONS!$D95=RAPPORTS!#REF!),VLOOKUP(TRANSACTIONS!$F95,FRAIS_D_ENVOI,3,TRUE),0)),"")</f>
        <v/>
      </c>
      <c r="H95" s="46" t="str">
        <f>IFERROR(TRANSACTIONS!$F95+TRANSACTIONS!$G95,"")</f>
        <v/>
      </c>
      <c r="I95" s="44"/>
      <c r="J95" s="40" t="str">
        <f t="shared" si="1"/>
        <v/>
      </c>
    </row>
    <row r="96" spans="1:10" hidden="1" x14ac:dyDescent="0.25">
      <c r="A96" s="41"/>
      <c r="B96" s="48" t="str">
        <f>IF(A96&lt;&gt;"",DATE(YEAR(TRANSACTIONS!$A96),MONTH(TRANSACTIONS!$A96),DAY(TRANSACTIONS!$A96)),"")</f>
        <v/>
      </c>
      <c r="C96" s="49" t="str">
        <f>IF(A96&lt;&gt;"",TIME(HOUR(TRANSACTIONS!$A96),MINUTE(TRANSACTIONS!$A96),SECOND(TRANSACTIONS!$A96)),"")</f>
        <v/>
      </c>
      <c r="D96" s="42"/>
      <c r="E96" s="42"/>
      <c r="F96" s="43"/>
      <c r="G96" s="46" t="str">
        <f>IF(AND(A96&lt;&gt;"",F96&gt;1),IF(TRANSACTIONS!$E96=RAPPORTS!$F$9,0,IF(OR(TRANSACTIONS!$D96=RAPPORTS!$A$13,TRANSACTIONS!$D96=RAPPORTS!#REF!),VLOOKUP(TRANSACTIONS!$F96,FRAIS_D_ENVOI,3,TRUE),0)),"")</f>
        <v/>
      </c>
      <c r="H96" s="46" t="str">
        <f>IFERROR(TRANSACTIONS!$F96+TRANSACTIONS!$G96,"")</f>
        <v/>
      </c>
      <c r="I96" s="44"/>
      <c r="J96" s="40" t="str">
        <f t="shared" si="1"/>
        <v/>
      </c>
    </row>
    <row r="97" spans="1:10" hidden="1" x14ac:dyDescent="0.25">
      <c r="A97" s="41"/>
      <c r="B97" s="48" t="str">
        <f>IF(A97&lt;&gt;"",DATE(YEAR(TRANSACTIONS!$A97),MONTH(TRANSACTIONS!$A97),DAY(TRANSACTIONS!$A97)),"")</f>
        <v/>
      </c>
      <c r="C97" s="49" t="str">
        <f>IF(A97&lt;&gt;"",TIME(HOUR(TRANSACTIONS!$A97),MINUTE(TRANSACTIONS!$A97),SECOND(TRANSACTIONS!$A97)),"")</f>
        <v/>
      </c>
      <c r="D97" s="42"/>
      <c r="E97" s="42"/>
      <c r="F97" s="43"/>
      <c r="G97" s="46" t="str">
        <f>IF(AND(A97&lt;&gt;"",F97&gt;1),IF(TRANSACTIONS!$E97=RAPPORTS!$F$9,0,IF(OR(TRANSACTIONS!$D97=RAPPORTS!$A$13,TRANSACTIONS!$D97=RAPPORTS!#REF!),VLOOKUP(TRANSACTIONS!$F97,FRAIS_D_ENVOI,3,TRUE),0)),"")</f>
        <v/>
      </c>
      <c r="H97" s="46" t="str">
        <f>IFERROR(TRANSACTIONS!$F97+TRANSACTIONS!$G97,"")</f>
        <v/>
      </c>
      <c r="I97" s="44"/>
      <c r="J97" s="40" t="str">
        <f t="shared" si="1"/>
        <v/>
      </c>
    </row>
    <row r="98" spans="1:10" hidden="1" x14ac:dyDescent="0.25">
      <c r="A98" s="41"/>
      <c r="B98" s="48" t="str">
        <f>IF(A98&lt;&gt;"",DATE(YEAR(TRANSACTIONS!$A98),MONTH(TRANSACTIONS!$A98),DAY(TRANSACTIONS!$A98)),"")</f>
        <v/>
      </c>
      <c r="C98" s="49" t="str">
        <f>IF(A98&lt;&gt;"",TIME(HOUR(TRANSACTIONS!$A98),MINUTE(TRANSACTIONS!$A98),SECOND(TRANSACTIONS!$A98)),"")</f>
        <v/>
      </c>
      <c r="D98" s="42"/>
      <c r="E98" s="42"/>
      <c r="F98" s="43"/>
      <c r="G98" s="46" t="str">
        <f>IF(AND(A98&lt;&gt;"",F98&gt;1),IF(TRANSACTIONS!$E98=RAPPORTS!$F$9,0,IF(OR(TRANSACTIONS!$D98=RAPPORTS!$A$13,TRANSACTIONS!$D98=RAPPORTS!#REF!),VLOOKUP(TRANSACTIONS!$F98,FRAIS_D_ENVOI,3,TRUE),0)),"")</f>
        <v/>
      </c>
      <c r="H98" s="46" t="str">
        <f>IFERROR(TRANSACTIONS!$F98+TRANSACTIONS!$G98,"")</f>
        <v/>
      </c>
      <c r="I98" s="44"/>
      <c r="J98" s="40" t="str">
        <f t="shared" si="1"/>
        <v/>
      </c>
    </row>
    <row r="99" spans="1:10" hidden="1" x14ac:dyDescent="0.25">
      <c r="A99" s="41"/>
      <c r="B99" s="48" t="str">
        <f>IF(A99&lt;&gt;"",DATE(YEAR(TRANSACTIONS!$A99),MONTH(TRANSACTIONS!$A99),DAY(TRANSACTIONS!$A99)),"")</f>
        <v/>
      </c>
      <c r="C99" s="49" t="str">
        <f>IF(A99&lt;&gt;"",TIME(HOUR(TRANSACTIONS!$A99),MINUTE(TRANSACTIONS!$A99),SECOND(TRANSACTIONS!$A99)),"")</f>
        <v/>
      </c>
      <c r="D99" s="42"/>
      <c r="E99" s="42"/>
      <c r="F99" s="43"/>
      <c r="G99" s="46" t="str">
        <f>IF(AND(A99&lt;&gt;"",F99&gt;1),IF(TRANSACTIONS!$E99=RAPPORTS!$F$9,0,IF(OR(TRANSACTIONS!$D99=RAPPORTS!$A$13,TRANSACTIONS!$D99=RAPPORTS!#REF!),VLOOKUP(TRANSACTIONS!$F99,FRAIS_D_ENVOI,3,TRUE),0)),"")</f>
        <v/>
      </c>
      <c r="H99" s="46" t="str">
        <f>IFERROR(TRANSACTIONS!$F99+TRANSACTIONS!$G99,"")</f>
        <v/>
      </c>
      <c r="I99" s="44"/>
      <c r="J99" s="40" t="str">
        <f t="shared" si="1"/>
        <v/>
      </c>
    </row>
    <row r="100" spans="1:10" hidden="1" x14ac:dyDescent="0.25">
      <c r="A100" s="41"/>
      <c r="B100" s="48" t="str">
        <f>IF(A100&lt;&gt;"",DATE(YEAR(TRANSACTIONS!$A100),MONTH(TRANSACTIONS!$A100),DAY(TRANSACTIONS!$A100)),"")</f>
        <v/>
      </c>
      <c r="C100" s="49" t="str">
        <f>IF(A100&lt;&gt;"",TIME(HOUR(TRANSACTIONS!$A100),MINUTE(TRANSACTIONS!$A100),SECOND(TRANSACTIONS!$A100)),"")</f>
        <v/>
      </c>
      <c r="D100" s="42"/>
      <c r="E100" s="42"/>
      <c r="F100" s="43"/>
      <c r="G100" s="46" t="str">
        <f>IF(AND(A100&lt;&gt;"",F100&gt;1),IF(TRANSACTIONS!$E100=RAPPORTS!$F$9,0,IF(OR(TRANSACTIONS!$D100=RAPPORTS!$A$13,TRANSACTIONS!$D100=RAPPORTS!#REF!),VLOOKUP(TRANSACTIONS!$F100,FRAIS_D_ENVOI,3,TRUE),0)),"")</f>
        <v/>
      </c>
      <c r="H100" s="46" t="str">
        <f>IFERROR(TRANSACTIONS!$F100+TRANSACTIONS!$G100,"")</f>
        <v/>
      </c>
      <c r="I100" s="44"/>
      <c r="J100" s="40" t="str">
        <f t="shared" si="1"/>
        <v/>
      </c>
    </row>
    <row r="101" spans="1:10" hidden="1" x14ac:dyDescent="0.25">
      <c r="A101" s="41"/>
      <c r="B101" s="48" t="str">
        <f>IF(A101&lt;&gt;"",DATE(YEAR(TRANSACTIONS!$A101),MONTH(TRANSACTIONS!$A101),DAY(TRANSACTIONS!$A101)),"")</f>
        <v/>
      </c>
      <c r="C101" s="49" t="str">
        <f>IF(A101&lt;&gt;"",TIME(HOUR(TRANSACTIONS!$A101),MINUTE(TRANSACTIONS!$A101),SECOND(TRANSACTIONS!$A101)),"")</f>
        <v/>
      </c>
      <c r="D101" s="42"/>
      <c r="E101" s="42"/>
      <c r="F101" s="43"/>
      <c r="G101" s="46" t="str">
        <f>IF(AND(A101&lt;&gt;"",F101&gt;1),IF(TRANSACTIONS!$E101=RAPPORTS!$F$9,0,IF(OR(TRANSACTIONS!$D101=RAPPORTS!$A$13,TRANSACTIONS!$D101=RAPPORTS!#REF!),VLOOKUP(TRANSACTIONS!$F101,FRAIS_D_ENVOI,3,TRUE),0)),"")</f>
        <v/>
      </c>
      <c r="H101" s="46" t="str">
        <f>IFERROR(TRANSACTIONS!$F101+TRANSACTIONS!$G101,"")</f>
        <v/>
      </c>
      <c r="I101" s="44"/>
      <c r="J101" s="40" t="str">
        <f t="shared" si="1"/>
        <v/>
      </c>
    </row>
    <row r="102" spans="1:10" hidden="1" x14ac:dyDescent="0.25">
      <c r="A102" s="41"/>
      <c r="B102" s="48" t="str">
        <f>IF(A102&lt;&gt;"",DATE(YEAR(TRANSACTIONS!$A102),MONTH(TRANSACTIONS!$A102),DAY(TRANSACTIONS!$A102)),"")</f>
        <v/>
      </c>
      <c r="C102" s="49" t="str">
        <f>IF(A102&lt;&gt;"",TIME(HOUR(TRANSACTIONS!$A102),MINUTE(TRANSACTIONS!$A102),SECOND(TRANSACTIONS!$A102)),"")</f>
        <v/>
      </c>
      <c r="D102" s="42"/>
      <c r="E102" s="42"/>
      <c r="F102" s="43"/>
      <c r="G102" s="46" t="str">
        <f>IF(AND(A102&lt;&gt;"",F102&gt;1),IF(TRANSACTIONS!$E102=RAPPORTS!$F$9,0,IF(OR(TRANSACTIONS!$D102=RAPPORTS!$A$13,TRANSACTIONS!$D102=RAPPORTS!#REF!),VLOOKUP(TRANSACTIONS!$F102,FRAIS_D_ENVOI,3,TRUE),0)),"")</f>
        <v/>
      </c>
      <c r="H102" s="46" t="str">
        <f>IFERROR(TRANSACTIONS!$F102+TRANSACTIONS!$G102,"")</f>
        <v/>
      </c>
      <c r="I102" s="44"/>
      <c r="J102" s="40" t="str">
        <f t="shared" si="1"/>
        <v/>
      </c>
    </row>
    <row r="103" spans="1:10" hidden="1" x14ac:dyDescent="0.25">
      <c r="A103" s="41"/>
      <c r="B103" s="48" t="str">
        <f>IF(A103&lt;&gt;"",DATE(YEAR(TRANSACTIONS!$A103),MONTH(TRANSACTIONS!$A103),DAY(TRANSACTIONS!$A103)),"")</f>
        <v/>
      </c>
      <c r="C103" s="49" t="str">
        <f>IF(A103&lt;&gt;"",TIME(HOUR(TRANSACTIONS!$A103),MINUTE(TRANSACTIONS!$A103),SECOND(TRANSACTIONS!$A103)),"")</f>
        <v/>
      </c>
      <c r="D103" s="42"/>
      <c r="E103" s="42"/>
      <c r="F103" s="43"/>
      <c r="G103" s="46" t="str">
        <f>IF(AND(A103&lt;&gt;"",F103&gt;1),IF(TRANSACTIONS!$E103=RAPPORTS!$F$9,0,IF(OR(TRANSACTIONS!$D103=RAPPORTS!$A$13,TRANSACTIONS!$D103=RAPPORTS!#REF!),VLOOKUP(TRANSACTIONS!$F103,FRAIS_D_ENVOI,3,TRUE),0)),"")</f>
        <v/>
      </c>
      <c r="H103" s="46" t="str">
        <f>IFERROR(TRANSACTIONS!$F103+TRANSACTIONS!$G103,"")</f>
        <v/>
      </c>
      <c r="I103" s="44"/>
      <c r="J103" s="40" t="str">
        <f t="shared" si="1"/>
        <v/>
      </c>
    </row>
    <row r="104" spans="1:10" hidden="1" x14ac:dyDescent="0.25">
      <c r="A104" s="41"/>
      <c r="B104" s="48" t="str">
        <f>IF(A104&lt;&gt;"",DATE(YEAR(TRANSACTIONS!$A104),MONTH(TRANSACTIONS!$A104),DAY(TRANSACTIONS!$A104)),"")</f>
        <v/>
      </c>
      <c r="C104" s="49" t="str">
        <f>IF(A104&lt;&gt;"",TIME(HOUR(TRANSACTIONS!$A104),MINUTE(TRANSACTIONS!$A104),SECOND(TRANSACTIONS!$A104)),"")</f>
        <v/>
      </c>
      <c r="D104" s="42"/>
      <c r="E104" s="42"/>
      <c r="F104" s="43"/>
      <c r="G104" s="46" t="str">
        <f>IF(AND(A104&lt;&gt;"",F104&gt;1),IF(TRANSACTIONS!$E104=RAPPORTS!$F$9,0,IF(OR(TRANSACTIONS!$D104=RAPPORTS!$A$13,TRANSACTIONS!$D104=RAPPORTS!#REF!),VLOOKUP(TRANSACTIONS!$F104,FRAIS_D_ENVOI,3,TRUE),0)),"")</f>
        <v/>
      </c>
      <c r="H104" s="46" t="str">
        <f>IFERROR(TRANSACTIONS!$F104+TRANSACTIONS!$G104,"")</f>
        <v/>
      </c>
      <c r="I104" s="44"/>
      <c r="J104" s="40" t="str">
        <f t="shared" si="1"/>
        <v/>
      </c>
    </row>
    <row r="105" spans="1:10" hidden="1" x14ac:dyDescent="0.25">
      <c r="A105" s="41"/>
      <c r="B105" s="48" t="str">
        <f>IF(A105&lt;&gt;"",DATE(YEAR(TRANSACTIONS!$A105),MONTH(TRANSACTIONS!$A105),DAY(TRANSACTIONS!$A105)),"")</f>
        <v/>
      </c>
      <c r="C105" s="49" t="str">
        <f>IF(A105&lt;&gt;"",TIME(HOUR(TRANSACTIONS!$A105),MINUTE(TRANSACTIONS!$A105),SECOND(TRANSACTIONS!$A105)),"")</f>
        <v/>
      </c>
      <c r="D105" s="42"/>
      <c r="E105" s="42"/>
      <c r="F105" s="43"/>
      <c r="G105" s="46" t="str">
        <f>IF(AND(A105&lt;&gt;"",F105&gt;1),IF(TRANSACTIONS!$E105=RAPPORTS!$F$9,0,IF(OR(TRANSACTIONS!$D105=RAPPORTS!$A$13,TRANSACTIONS!$D105=RAPPORTS!#REF!),VLOOKUP(TRANSACTIONS!$F105,FRAIS_D_ENVOI,3,TRUE),0)),"")</f>
        <v/>
      </c>
      <c r="H105" s="46" t="str">
        <f>IFERROR(TRANSACTIONS!$F105+TRANSACTIONS!$G105,"")</f>
        <v/>
      </c>
      <c r="I105" s="44"/>
      <c r="J105" s="40" t="str">
        <f t="shared" si="1"/>
        <v/>
      </c>
    </row>
    <row r="106" spans="1:10" hidden="1" x14ac:dyDescent="0.25">
      <c r="A106" s="41"/>
      <c r="B106" s="48" t="str">
        <f>IF(A106&lt;&gt;"",DATE(YEAR(TRANSACTIONS!$A106),MONTH(TRANSACTIONS!$A106),DAY(TRANSACTIONS!$A106)),"")</f>
        <v/>
      </c>
      <c r="C106" s="49" t="str">
        <f>IF(A106&lt;&gt;"",TIME(HOUR(TRANSACTIONS!$A106),MINUTE(TRANSACTIONS!$A106),SECOND(TRANSACTIONS!$A106)),"")</f>
        <v/>
      </c>
      <c r="D106" s="42"/>
      <c r="E106" s="42"/>
      <c r="F106" s="43"/>
      <c r="G106" s="46" t="str">
        <f>IF(AND(A106&lt;&gt;"",F106&gt;1),IF(TRANSACTIONS!$E106=RAPPORTS!$F$9,0,IF(OR(TRANSACTIONS!$D106=RAPPORTS!$A$13,TRANSACTIONS!$D106=RAPPORTS!#REF!),VLOOKUP(TRANSACTIONS!$F106,FRAIS_D_ENVOI,3,TRUE),0)),"")</f>
        <v/>
      </c>
      <c r="H106" s="46" t="str">
        <f>IFERROR(TRANSACTIONS!$F106+TRANSACTIONS!$G106,"")</f>
        <v/>
      </c>
      <c r="I106" s="44"/>
      <c r="J106" s="40" t="str">
        <f t="shared" si="1"/>
        <v/>
      </c>
    </row>
    <row r="107" spans="1:10" hidden="1" x14ac:dyDescent="0.25">
      <c r="A107" s="41"/>
      <c r="B107" s="48" t="str">
        <f>IF(A107&lt;&gt;"",DATE(YEAR(TRANSACTIONS!$A107),MONTH(TRANSACTIONS!$A107),DAY(TRANSACTIONS!$A107)),"")</f>
        <v/>
      </c>
      <c r="C107" s="49" t="str">
        <f>IF(A107&lt;&gt;"",TIME(HOUR(TRANSACTIONS!$A107),MINUTE(TRANSACTIONS!$A107),SECOND(TRANSACTIONS!$A107)),"")</f>
        <v/>
      </c>
      <c r="D107" s="42"/>
      <c r="E107" s="42"/>
      <c r="F107" s="43"/>
      <c r="G107" s="46" t="str">
        <f>IF(AND(A107&lt;&gt;"",F107&gt;1),IF(TRANSACTIONS!$E107=RAPPORTS!$F$9,0,IF(OR(TRANSACTIONS!$D107=RAPPORTS!$A$13,TRANSACTIONS!$D107=RAPPORTS!#REF!),VLOOKUP(TRANSACTIONS!$F107,FRAIS_D_ENVOI,3,TRUE),0)),"")</f>
        <v/>
      </c>
      <c r="H107" s="46" t="str">
        <f>IFERROR(TRANSACTIONS!$F107+TRANSACTIONS!$G107,"")</f>
        <v/>
      </c>
      <c r="I107" s="44"/>
      <c r="J107" s="40" t="str">
        <f t="shared" si="1"/>
        <v/>
      </c>
    </row>
    <row r="108" spans="1:10" hidden="1" x14ac:dyDescent="0.25">
      <c r="A108" s="41"/>
      <c r="B108" s="48" t="str">
        <f>IF(A108&lt;&gt;"",DATE(YEAR(TRANSACTIONS!$A108),MONTH(TRANSACTIONS!$A108),DAY(TRANSACTIONS!$A108)),"")</f>
        <v/>
      </c>
      <c r="C108" s="49" t="str">
        <f>IF(A108&lt;&gt;"",TIME(HOUR(TRANSACTIONS!$A108),MINUTE(TRANSACTIONS!$A108),SECOND(TRANSACTIONS!$A108)),"")</f>
        <v/>
      </c>
      <c r="D108" s="42"/>
      <c r="E108" s="42"/>
      <c r="F108" s="43"/>
      <c r="G108" s="46" t="str">
        <f>IF(AND(A108&lt;&gt;"",F108&gt;1),IF(TRANSACTIONS!$E108=RAPPORTS!$F$9,0,IF(OR(TRANSACTIONS!$D108=RAPPORTS!$A$13,TRANSACTIONS!$D108=RAPPORTS!#REF!),VLOOKUP(TRANSACTIONS!$F108,FRAIS_D_ENVOI,3,TRUE),0)),"")</f>
        <v/>
      </c>
      <c r="H108" s="46" t="str">
        <f>IFERROR(TRANSACTIONS!$F108+TRANSACTIONS!$G108,"")</f>
        <v/>
      </c>
      <c r="I108" s="44"/>
      <c r="J108" s="40" t="str">
        <f t="shared" si="1"/>
        <v/>
      </c>
    </row>
    <row r="109" spans="1:10" hidden="1" x14ac:dyDescent="0.25">
      <c r="A109" s="41"/>
      <c r="B109" s="48" t="str">
        <f>IF(A109&lt;&gt;"",DATE(YEAR(TRANSACTIONS!$A109),MONTH(TRANSACTIONS!$A109),DAY(TRANSACTIONS!$A109)),"")</f>
        <v/>
      </c>
      <c r="C109" s="49" t="str">
        <f>IF(A109&lt;&gt;"",TIME(HOUR(TRANSACTIONS!$A109),MINUTE(TRANSACTIONS!$A109),SECOND(TRANSACTIONS!$A109)),"")</f>
        <v/>
      </c>
      <c r="D109" s="42"/>
      <c r="E109" s="42"/>
      <c r="F109" s="43"/>
      <c r="G109" s="46" t="str">
        <f>IF(AND(A109&lt;&gt;"",F109&gt;1),IF(TRANSACTIONS!$E109=RAPPORTS!$F$9,0,IF(OR(TRANSACTIONS!$D109=RAPPORTS!$A$13,TRANSACTIONS!$D109=RAPPORTS!#REF!),VLOOKUP(TRANSACTIONS!$F109,FRAIS_D_ENVOI,3,TRUE),0)),"")</f>
        <v/>
      </c>
      <c r="H109" s="46" t="str">
        <f>IFERROR(TRANSACTIONS!$F109+TRANSACTIONS!$G109,"")</f>
        <v/>
      </c>
      <c r="I109" s="44"/>
      <c r="J109" s="40" t="str">
        <f t="shared" si="1"/>
        <v/>
      </c>
    </row>
    <row r="110" spans="1:10" hidden="1" x14ac:dyDescent="0.25">
      <c r="A110" s="41"/>
      <c r="B110" s="48" t="str">
        <f>IF(A110&lt;&gt;"",DATE(YEAR(TRANSACTIONS!$A110),MONTH(TRANSACTIONS!$A110),DAY(TRANSACTIONS!$A110)),"")</f>
        <v/>
      </c>
      <c r="C110" s="49" t="str">
        <f>IF(A110&lt;&gt;"",TIME(HOUR(TRANSACTIONS!$A110),MINUTE(TRANSACTIONS!$A110),SECOND(TRANSACTIONS!$A110)),"")</f>
        <v/>
      </c>
      <c r="D110" s="42"/>
      <c r="E110" s="42"/>
      <c r="F110" s="43"/>
      <c r="G110" s="46" t="str">
        <f>IF(AND(A110&lt;&gt;"",F110&gt;1),IF(TRANSACTIONS!$E110=RAPPORTS!$F$9,0,IF(OR(TRANSACTIONS!$D110=RAPPORTS!$A$13,TRANSACTIONS!$D110=RAPPORTS!#REF!),VLOOKUP(TRANSACTIONS!$F110,FRAIS_D_ENVOI,3,TRUE),0)),"")</f>
        <v/>
      </c>
      <c r="H110" s="46" t="str">
        <f>IFERROR(TRANSACTIONS!$F110+TRANSACTIONS!$G110,"")</f>
        <v/>
      </c>
      <c r="I110" s="44"/>
      <c r="J110" s="40" t="str">
        <f t="shared" si="1"/>
        <v/>
      </c>
    </row>
    <row r="111" spans="1:10" hidden="1" x14ac:dyDescent="0.25">
      <c r="A111" s="41"/>
      <c r="B111" s="48" t="str">
        <f>IF(A111&lt;&gt;"",DATE(YEAR(TRANSACTIONS!$A111),MONTH(TRANSACTIONS!$A111),DAY(TRANSACTIONS!$A111)),"")</f>
        <v/>
      </c>
      <c r="C111" s="49" t="str">
        <f>IF(A111&lt;&gt;"",TIME(HOUR(TRANSACTIONS!$A111),MINUTE(TRANSACTIONS!$A111),SECOND(TRANSACTIONS!$A111)),"")</f>
        <v/>
      </c>
      <c r="D111" s="42"/>
      <c r="E111" s="42"/>
      <c r="F111" s="43"/>
      <c r="G111" s="46" t="str">
        <f>IF(AND(A111&lt;&gt;"",F111&gt;1),IF(TRANSACTIONS!$E111=RAPPORTS!$F$9,0,IF(OR(TRANSACTIONS!$D111=RAPPORTS!$A$13,TRANSACTIONS!$D111=RAPPORTS!#REF!),VLOOKUP(TRANSACTIONS!$F111,FRAIS_D_ENVOI,3,TRUE),0)),"")</f>
        <v/>
      </c>
      <c r="H111" s="46" t="str">
        <f>IFERROR(TRANSACTIONS!$F111+TRANSACTIONS!$G111,"")</f>
        <v/>
      </c>
      <c r="I111" s="44"/>
      <c r="J111" s="40" t="str">
        <f t="shared" si="1"/>
        <v/>
      </c>
    </row>
    <row r="112" spans="1:10" hidden="1" x14ac:dyDescent="0.25">
      <c r="A112" s="41"/>
      <c r="B112" s="48" t="str">
        <f>IF(A112&lt;&gt;"",DATE(YEAR(TRANSACTIONS!$A112),MONTH(TRANSACTIONS!$A112),DAY(TRANSACTIONS!$A112)),"")</f>
        <v/>
      </c>
      <c r="C112" s="49" t="str">
        <f>IF(A112&lt;&gt;"",TIME(HOUR(TRANSACTIONS!$A112),MINUTE(TRANSACTIONS!$A112),SECOND(TRANSACTIONS!$A112)),"")</f>
        <v/>
      </c>
      <c r="D112" s="42"/>
      <c r="E112" s="42"/>
      <c r="F112" s="43"/>
      <c r="G112" s="46" t="str">
        <f>IF(AND(A112&lt;&gt;"",F112&gt;1),IF(TRANSACTIONS!$E112=RAPPORTS!$F$9,0,IF(OR(TRANSACTIONS!$D112=RAPPORTS!$A$13,TRANSACTIONS!$D112=RAPPORTS!#REF!),VLOOKUP(TRANSACTIONS!$F112,FRAIS_D_ENVOI,3,TRUE),0)),"")</f>
        <v/>
      </c>
      <c r="H112" s="46" t="str">
        <f>IFERROR(TRANSACTIONS!$F112+TRANSACTIONS!$G112,"")</f>
        <v/>
      </c>
      <c r="I112" s="44"/>
      <c r="J112" s="40" t="str">
        <f t="shared" si="1"/>
        <v/>
      </c>
    </row>
    <row r="113" spans="1:10" hidden="1" x14ac:dyDescent="0.25">
      <c r="A113" s="41"/>
      <c r="B113" s="48" t="str">
        <f>IF(A113&lt;&gt;"",DATE(YEAR(TRANSACTIONS!$A113),MONTH(TRANSACTIONS!$A113),DAY(TRANSACTIONS!$A113)),"")</f>
        <v/>
      </c>
      <c r="C113" s="49" t="str">
        <f>IF(A113&lt;&gt;"",TIME(HOUR(TRANSACTIONS!$A113),MINUTE(TRANSACTIONS!$A113),SECOND(TRANSACTIONS!$A113)),"")</f>
        <v/>
      </c>
      <c r="D113" s="42"/>
      <c r="E113" s="42"/>
      <c r="F113" s="43"/>
      <c r="G113" s="46" t="str">
        <f>IF(AND(A113&lt;&gt;"",F113&gt;1),IF(TRANSACTIONS!$E113=RAPPORTS!$F$9,0,IF(OR(TRANSACTIONS!$D113=RAPPORTS!$A$13,TRANSACTIONS!$D113=RAPPORTS!#REF!),VLOOKUP(TRANSACTIONS!$F113,FRAIS_D_ENVOI,3,TRUE),0)),"")</f>
        <v/>
      </c>
      <c r="H113" s="46" t="str">
        <f>IFERROR(TRANSACTIONS!$F113+TRANSACTIONS!$G113,"")</f>
        <v/>
      </c>
      <c r="I113" s="44"/>
      <c r="J113" s="40" t="str">
        <f t="shared" si="1"/>
        <v/>
      </c>
    </row>
    <row r="114" spans="1:10" hidden="1" x14ac:dyDescent="0.25">
      <c r="A114" s="41"/>
      <c r="B114" s="48" t="str">
        <f>IF(A114&lt;&gt;"",DATE(YEAR(TRANSACTIONS!$A114),MONTH(TRANSACTIONS!$A114),DAY(TRANSACTIONS!$A114)),"")</f>
        <v/>
      </c>
      <c r="C114" s="49" t="str">
        <f>IF(A114&lt;&gt;"",TIME(HOUR(TRANSACTIONS!$A114),MINUTE(TRANSACTIONS!$A114),SECOND(TRANSACTIONS!$A114)),"")</f>
        <v/>
      </c>
      <c r="D114" s="42"/>
      <c r="E114" s="42"/>
      <c r="F114" s="43"/>
      <c r="G114" s="46" t="str">
        <f>IF(AND(A114&lt;&gt;"",F114&gt;1),IF(TRANSACTIONS!$E114=RAPPORTS!$F$9,0,IF(OR(TRANSACTIONS!$D114=RAPPORTS!$A$13,TRANSACTIONS!$D114=RAPPORTS!#REF!),VLOOKUP(TRANSACTIONS!$F114,FRAIS_D_ENVOI,3,TRUE),0)),"")</f>
        <v/>
      </c>
      <c r="H114" s="46" t="str">
        <f>IFERROR(TRANSACTIONS!$F114+TRANSACTIONS!$G114,"")</f>
        <v/>
      </c>
      <c r="I114" s="44"/>
      <c r="J114" s="40" t="str">
        <f t="shared" si="1"/>
        <v/>
      </c>
    </row>
    <row r="115" spans="1:10" hidden="1" x14ac:dyDescent="0.25">
      <c r="A115" s="41"/>
      <c r="B115" s="48" t="str">
        <f>IF(A115&lt;&gt;"",DATE(YEAR(TRANSACTIONS!$A115),MONTH(TRANSACTIONS!$A115),DAY(TRANSACTIONS!$A115)),"")</f>
        <v/>
      </c>
      <c r="C115" s="49" t="str">
        <f>IF(A115&lt;&gt;"",TIME(HOUR(TRANSACTIONS!$A115),MINUTE(TRANSACTIONS!$A115),SECOND(TRANSACTIONS!$A115)),"")</f>
        <v/>
      </c>
      <c r="D115" s="42"/>
      <c r="E115" s="42"/>
      <c r="F115" s="43"/>
      <c r="G115" s="46" t="str">
        <f>IF(AND(A115&lt;&gt;"",F115&gt;1),IF(TRANSACTIONS!$E115=RAPPORTS!$F$9,0,IF(OR(TRANSACTIONS!$D115=RAPPORTS!$A$13,TRANSACTIONS!$D115=RAPPORTS!#REF!),VLOOKUP(TRANSACTIONS!$F115,FRAIS_D_ENVOI,3,TRUE),0)),"")</f>
        <v/>
      </c>
      <c r="H115" s="46" t="str">
        <f>IFERROR(TRANSACTIONS!$F115+TRANSACTIONS!$G115,"")</f>
        <v/>
      </c>
      <c r="I115" s="44"/>
      <c r="J115" s="40" t="str">
        <f t="shared" si="1"/>
        <v/>
      </c>
    </row>
    <row r="116" spans="1:10" hidden="1" x14ac:dyDescent="0.25">
      <c r="A116" s="41"/>
      <c r="B116" s="48" t="str">
        <f>IF(A116&lt;&gt;"",DATE(YEAR(TRANSACTIONS!$A116),MONTH(TRANSACTIONS!$A116),DAY(TRANSACTIONS!$A116)),"")</f>
        <v/>
      </c>
      <c r="C116" s="49" t="str">
        <f>IF(A116&lt;&gt;"",TIME(HOUR(TRANSACTIONS!$A116),MINUTE(TRANSACTIONS!$A116),SECOND(TRANSACTIONS!$A116)),"")</f>
        <v/>
      </c>
      <c r="D116" s="42"/>
      <c r="E116" s="42"/>
      <c r="F116" s="43"/>
      <c r="G116" s="46" t="str">
        <f>IF(AND(A116&lt;&gt;"",F116&gt;1),IF(TRANSACTIONS!$E116=RAPPORTS!$F$9,0,IF(OR(TRANSACTIONS!$D116=RAPPORTS!$A$13,TRANSACTIONS!$D116=RAPPORTS!#REF!),VLOOKUP(TRANSACTIONS!$F116,FRAIS_D_ENVOI,3,TRUE),0)),"")</f>
        <v/>
      </c>
      <c r="H116" s="46" t="str">
        <f>IFERROR(TRANSACTIONS!$F116+TRANSACTIONS!$G116,"")</f>
        <v/>
      </c>
      <c r="I116" s="44"/>
      <c r="J116" s="40" t="str">
        <f t="shared" si="1"/>
        <v/>
      </c>
    </row>
    <row r="117" spans="1:10" hidden="1" x14ac:dyDescent="0.25">
      <c r="A117" s="41"/>
      <c r="B117" s="48" t="str">
        <f>IF(A117&lt;&gt;"",DATE(YEAR(TRANSACTIONS!$A117),MONTH(TRANSACTIONS!$A117),DAY(TRANSACTIONS!$A117)),"")</f>
        <v/>
      </c>
      <c r="C117" s="49" t="str">
        <f>IF(A117&lt;&gt;"",TIME(HOUR(TRANSACTIONS!$A117),MINUTE(TRANSACTIONS!$A117),SECOND(TRANSACTIONS!$A117)),"")</f>
        <v/>
      </c>
      <c r="D117" s="42"/>
      <c r="E117" s="42"/>
      <c r="F117" s="43"/>
      <c r="G117" s="46" t="str">
        <f>IF(AND(A117&lt;&gt;"",F117&gt;1),IF(TRANSACTIONS!$E117=RAPPORTS!$F$9,0,IF(OR(TRANSACTIONS!$D117=RAPPORTS!$A$13,TRANSACTIONS!$D117=RAPPORTS!#REF!),VLOOKUP(TRANSACTIONS!$F117,FRAIS_D_ENVOI,3,TRUE),0)),"")</f>
        <v/>
      </c>
      <c r="H117" s="46" t="str">
        <f>IFERROR(TRANSACTIONS!$F117+TRANSACTIONS!$G117,"")</f>
        <v/>
      </c>
      <c r="I117" s="44"/>
      <c r="J117" s="40" t="str">
        <f t="shared" si="1"/>
        <v/>
      </c>
    </row>
    <row r="118" spans="1:10" hidden="1" x14ac:dyDescent="0.25">
      <c r="A118" s="41"/>
      <c r="B118" s="48" t="str">
        <f>IF(A118&lt;&gt;"",DATE(YEAR(TRANSACTIONS!$A118),MONTH(TRANSACTIONS!$A118),DAY(TRANSACTIONS!$A118)),"")</f>
        <v/>
      </c>
      <c r="C118" s="49" t="str">
        <f>IF(A118&lt;&gt;"",TIME(HOUR(TRANSACTIONS!$A118),MINUTE(TRANSACTIONS!$A118),SECOND(TRANSACTIONS!$A118)),"")</f>
        <v/>
      </c>
      <c r="D118" s="42"/>
      <c r="E118" s="42"/>
      <c r="F118" s="43"/>
      <c r="G118" s="46" t="str">
        <f>IF(AND(A118&lt;&gt;"",F118&gt;1),IF(TRANSACTIONS!$E118=RAPPORTS!$F$9,0,IF(OR(TRANSACTIONS!$D118=RAPPORTS!$A$13,TRANSACTIONS!$D118=RAPPORTS!#REF!),VLOOKUP(TRANSACTIONS!$F118,FRAIS_D_ENVOI,3,TRUE),0)),"")</f>
        <v/>
      </c>
      <c r="H118" s="46" t="str">
        <f>IFERROR(TRANSACTIONS!$F118+TRANSACTIONS!$G118,"")</f>
        <v/>
      </c>
      <c r="I118" s="44"/>
      <c r="J118" s="40" t="str">
        <f t="shared" si="1"/>
        <v/>
      </c>
    </row>
    <row r="119" spans="1:10" hidden="1" x14ac:dyDescent="0.25">
      <c r="A119" s="41"/>
      <c r="B119" s="48" t="str">
        <f>IF(A119&lt;&gt;"",DATE(YEAR(TRANSACTIONS!$A119),MONTH(TRANSACTIONS!$A119),DAY(TRANSACTIONS!$A119)),"")</f>
        <v/>
      </c>
      <c r="C119" s="49" t="str">
        <f>IF(A119&lt;&gt;"",TIME(HOUR(TRANSACTIONS!$A119),MINUTE(TRANSACTIONS!$A119),SECOND(TRANSACTIONS!$A119)),"")</f>
        <v/>
      </c>
      <c r="D119" s="42"/>
      <c r="E119" s="42"/>
      <c r="F119" s="43"/>
      <c r="G119" s="46" t="str">
        <f>IF(AND(A119&lt;&gt;"",F119&gt;1),IF(TRANSACTIONS!$E119=RAPPORTS!$F$9,0,IF(OR(TRANSACTIONS!$D119=RAPPORTS!$A$13,TRANSACTIONS!$D119=RAPPORTS!#REF!),VLOOKUP(TRANSACTIONS!$F119,FRAIS_D_ENVOI,3,TRUE),0)),"")</f>
        <v/>
      </c>
      <c r="H119" s="46" t="str">
        <f>IFERROR(TRANSACTIONS!$F119+TRANSACTIONS!$G119,"")</f>
        <v/>
      </c>
      <c r="I119" s="44"/>
      <c r="J119" s="40" t="str">
        <f t="shared" si="1"/>
        <v/>
      </c>
    </row>
    <row r="120" spans="1:10" hidden="1" x14ac:dyDescent="0.25">
      <c r="A120" s="41"/>
      <c r="B120" s="48" t="str">
        <f>IF(A120&lt;&gt;"",DATE(YEAR(TRANSACTIONS!$A120),MONTH(TRANSACTIONS!$A120),DAY(TRANSACTIONS!$A120)),"")</f>
        <v/>
      </c>
      <c r="C120" s="49" t="str">
        <f>IF(A120&lt;&gt;"",TIME(HOUR(TRANSACTIONS!$A120),MINUTE(TRANSACTIONS!$A120),SECOND(TRANSACTIONS!$A120)),"")</f>
        <v/>
      </c>
      <c r="D120" s="42"/>
      <c r="E120" s="42"/>
      <c r="F120" s="43"/>
      <c r="G120" s="46" t="str">
        <f>IF(AND(A120&lt;&gt;"",F120&gt;1),IF(TRANSACTIONS!$E120=RAPPORTS!$F$9,0,IF(OR(TRANSACTIONS!$D120=RAPPORTS!$A$13,TRANSACTIONS!$D120=RAPPORTS!#REF!),VLOOKUP(TRANSACTIONS!$F120,FRAIS_D_ENVOI,3,TRUE),0)),"")</f>
        <v/>
      </c>
      <c r="H120" s="46" t="str">
        <f>IFERROR(TRANSACTIONS!$F120+TRANSACTIONS!$G120,"")</f>
        <v/>
      </c>
      <c r="I120" s="44"/>
      <c r="J120" s="40" t="str">
        <f t="shared" si="1"/>
        <v/>
      </c>
    </row>
    <row r="121" spans="1:10" hidden="1" x14ac:dyDescent="0.25">
      <c r="A121" s="41"/>
      <c r="B121" s="48" t="str">
        <f>IF(A121&lt;&gt;"",DATE(YEAR(TRANSACTIONS!$A121),MONTH(TRANSACTIONS!$A121),DAY(TRANSACTIONS!$A121)),"")</f>
        <v/>
      </c>
      <c r="C121" s="49" t="str">
        <f>IF(A121&lt;&gt;"",TIME(HOUR(TRANSACTIONS!$A121),MINUTE(TRANSACTIONS!$A121),SECOND(TRANSACTIONS!$A121)),"")</f>
        <v/>
      </c>
      <c r="D121" s="42"/>
      <c r="E121" s="42"/>
      <c r="F121" s="43"/>
      <c r="G121" s="46" t="str">
        <f>IF(AND(A121&lt;&gt;"",F121&gt;1),IF(TRANSACTIONS!$E121=RAPPORTS!$F$9,0,IF(OR(TRANSACTIONS!$D121=RAPPORTS!$A$13,TRANSACTIONS!$D121=RAPPORTS!#REF!),VLOOKUP(TRANSACTIONS!$F121,FRAIS_D_ENVOI,3,TRUE),0)),"")</f>
        <v/>
      </c>
      <c r="H121" s="46" t="str">
        <f>IFERROR(TRANSACTIONS!$F121+TRANSACTIONS!$G121,"")</f>
        <v/>
      </c>
      <c r="I121" s="44"/>
      <c r="J121" s="40" t="str">
        <f t="shared" si="1"/>
        <v/>
      </c>
    </row>
    <row r="122" spans="1:10" hidden="1" x14ac:dyDescent="0.25">
      <c r="A122" s="41"/>
      <c r="B122" s="48" t="str">
        <f>IF(A122&lt;&gt;"",DATE(YEAR(TRANSACTIONS!$A122),MONTH(TRANSACTIONS!$A122),DAY(TRANSACTIONS!$A122)),"")</f>
        <v/>
      </c>
      <c r="C122" s="49" t="str">
        <f>IF(A122&lt;&gt;"",TIME(HOUR(TRANSACTIONS!$A122),MINUTE(TRANSACTIONS!$A122),SECOND(TRANSACTIONS!$A122)),"")</f>
        <v/>
      </c>
      <c r="D122" s="42"/>
      <c r="E122" s="42"/>
      <c r="F122" s="43"/>
      <c r="G122" s="46" t="str">
        <f>IF(AND(A122&lt;&gt;"",F122&gt;1),IF(TRANSACTIONS!$E122=RAPPORTS!$F$9,0,IF(OR(TRANSACTIONS!$D122=RAPPORTS!$A$13,TRANSACTIONS!$D122=RAPPORTS!#REF!),VLOOKUP(TRANSACTIONS!$F122,FRAIS_D_ENVOI,3,TRUE),0)),"")</f>
        <v/>
      </c>
      <c r="H122" s="46" t="str">
        <f>IFERROR(TRANSACTIONS!$F122+TRANSACTIONS!$G122,"")</f>
        <v/>
      </c>
      <c r="I122" s="44"/>
      <c r="J122" s="40" t="str">
        <f t="shared" si="1"/>
        <v/>
      </c>
    </row>
    <row r="123" spans="1:10" hidden="1" x14ac:dyDescent="0.25">
      <c r="A123" s="41"/>
      <c r="B123" s="48" t="str">
        <f>IF(A123&lt;&gt;"",DATE(YEAR(TRANSACTIONS!$A123),MONTH(TRANSACTIONS!$A123),DAY(TRANSACTIONS!$A123)),"")</f>
        <v/>
      </c>
      <c r="C123" s="49" t="str">
        <f>IF(A123&lt;&gt;"",TIME(HOUR(TRANSACTIONS!$A123),MINUTE(TRANSACTIONS!$A123),SECOND(TRANSACTIONS!$A123)),"")</f>
        <v/>
      </c>
      <c r="D123" s="42"/>
      <c r="E123" s="42"/>
      <c r="F123" s="43"/>
      <c r="G123" s="46" t="str">
        <f>IF(AND(A123&lt;&gt;"",F123&gt;1),IF(TRANSACTIONS!$E123=RAPPORTS!$F$9,0,IF(OR(TRANSACTIONS!$D123=RAPPORTS!$A$13,TRANSACTIONS!$D123=RAPPORTS!#REF!),VLOOKUP(TRANSACTIONS!$F123,FRAIS_D_ENVOI,3,TRUE),0)),"")</f>
        <v/>
      </c>
      <c r="H123" s="46" t="str">
        <f>IFERROR(TRANSACTIONS!$F123+TRANSACTIONS!$G123,"")</f>
        <v/>
      </c>
      <c r="I123" s="44"/>
      <c r="J123" s="40" t="str">
        <f t="shared" si="1"/>
        <v/>
      </c>
    </row>
    <row r="124" spans="1:10" hidden="1" x14ac:dyDescent="0.25">
      <c r="A124" s="41"/>
      <c r="B124" s="48" t="str">
        <f>IF(A124&lt;&gt;"",DATE(YEAR(TRANSACTIONS!$A124),MONTH(TRANSACTIONS!$A124),DAY(TRANSACTIONS!$A124)),"")</f>
        <v/>
      </c>
      <c r="C124" s="49" t="str">
        <f>IF(A124&lt;&gt;"",TIME(HOUR(TRANSACTIONS!$A124),MINUTE(TRANSACTIONS!$A124),SECOND(TRANSACTIONS!$A124)),"")</f>
        <v/>
      </c>
      <c r="D124" s="42"/>
      <c r="E124" s="42"/>
      <c r="F124" s="43"/>
      <c r="G124" s="46" t="str">
        <f>IF(AND(A124&lt;&gt;"",F124&gt;1),IF(TRANSACTIONS!$E124=RAPPORTS!$F$9,0,IF(OR(TRANSACTIONS!$D124=RAPPORTS!$A$13,TRANSACTIONS!$D124=RAPPORTS!#REF!),VLOOKUP(TRANSACTIONS!$F124,FRAIS_D_ENVOI,3,TRUE),0)),"")</f>
        <v/>
      </c>
      <c r="H124" s="46" t="str">
        <f>IFERROR(TRANSACTIONS!$F124+TRANSACTIONS!$G124,"")</f>
        <v/>
      </c>
      <c r="I124" s="44"/>
      <c r="J124" s="40" t="str">
        <f t="shared" si="1"/>
        <v/>
      </c>
    </row>
    <row r="125" spans="1:10" hidden="1" x14ac:dyDescent="0.25">
      <c r="A125" s="41"/>
      <c r="B125" s="48" t="str">
        <f>IF(A125&lt;&gt;"",DATE(YEAR(TRANSACTIONS!$A125),MONTH(TRANSACTIONS!$A125),DAY(TRANSACTIONS!$A125)),"")</f>
        <v/>
      </c>
      <c r="C125" s="49" t="str">
        <f>IF(A125&lt;&gt;"",TIME(HOUR(TRANSACTIONS!$A125),MINUTE(TRANSACTIONS!$A125),SECOND(TRANSACTIONS!$A125)),"")</f>
        <v/>
      </c>
      <c r="D125" s="42"/>
      <c r="E125" s="42"/>
      <c r="F125" s="43"/>
      <c r="G125" s="46" t="str">
        <f>IF(AND(A125&lt;&gt;"",F125&gt;1),IF(TRANSACTIONS!$E125=RAPPORTS!$F$9,0,IF(OR(TRANSACTIONS!$D125=RAPPORTS!$A$13,TRANSACTIONS!$D125=RAPPORTS!#REF!),VLOOKUP(TRANSACTIONS!$F125,FRAIS_D_ENVOI,3,TRUE),0)),"")</f>
        <v/>
      </c>
      <c r="H125" s="46" t="str">
        <f>IFERROR(TRANSACTIONS!$F125+TRANSACTIONS!$G125,"")</f>
        <v/>
      </c>
      <c r="I125" s="44"/>
      <c r="J125" s="40" t="str">
        <f t="shared" si="1"/>
        <v/>
      </c>
    </row>
    <row r="126" spans="1:10" hidden="1" x14ac:dyDescent="0.25">
      <c r="A126" s="41"/>
      <c r="B126" s="48" t="str">
        <f>IF(A126&lt;&gt;"",DATE(YEAR(TRANSACTIONS!$A126),MONTH(TRANSACTIONS!$A126),DAY(TRANSACTIONS!$A126)),"")</f>
        <v/>
      </c>
      <c r="C126" s="49" t="str">
        <f>IF(A126&lt;&gt;"",TIME(HOUR(TRANSACTIONS!$A126),MINUTE(TRANSACTIONS!$A126),SECOND(TRANSACTIONS!$A126)),"")</f>
        <v/>
      </c>
      <c r="D126" s="42"/>
      <c r="E126" s="42"/>
      <c r="F126" s="43"/>
      <c r="G126" s="46" t="str">
        <f>IF(AND(A126&lt;&gt;"",F126&gt;1),IF(TRANSACTIONS!$E126=RAPPORTS!$F$9,0,IF(OR(TRANSACTIONS!$D126=RAPPORTS!$A$13,TRANSACTIONS!$D126=RAPPORTS!#REF!),VLOOKUP(TRANSACTIONS!$F126,FRAIS_D_ENVOI,3,TRUE),0)),"")</f>
        <v/>
      </c>
      <c r="H126" s="46" t="str">
        <f>IFERROR(TRANSACTIONS!$F126+TRANSACTIONS!$G126,"")</f>
        <v/>
      </c>
      <c r="I126" s="44"/>
      <c r="J126" s="40" t="str">
        <f t="shared" si="1"/>
        <v/>
      </c>
    </row>
    <row r="127" spans="1:10" hidden="1" x14ac:dyDescent="0.25">
      <c r="A127" s="41"/>
      <c r="B127" s="48" t="str">
        <f>IF(A127&lt;&gt;"",DATE(YEAR(TRANSACTIONS!$A127),MONTH(TRANSACTIONS!$A127),DAY(TRANSACTIONS!$A127)),"")</f>
        <v/>
      </c>
      <c r="C127" s="49" t="str">
        <f>IF(A127&lt;&gt;"",TIME(HOUR(TRANSACTIONS!$A127),MINUTE(TRANSACTIONS!$A127),SECOND(TRANSACTIONS!$A127)),"")</f>
        <v/>
      </c>
      <c r="D127" s="42"/>
      <c r="E127" s="42"/>
      <c r="F127" s="43"/>
      <c r="G127" s="46" t="str">
        <f>IF(AND(A127&lt;&gt;"",F127&gt;1),IF(TRANSACTIONS!$E127=RAPPORTS!$F$9,0,IF(OR(TRANSACTIONS!$D127=RAPPORTS!$A$13,TRANSACTIONS!$D127=RAPPORTS!#REF!),VLOOKUP(TRANSACTIONS!$F127,FRAIS_D_ENVOI,3,TRUE),0)),"")</f>
        <v/>
      </c>
      <c r="H127" s="46" t="str">
        <f>IFERROR(TRANSACTIONS!$F127+TRANSACTIONS!$G127,"")</f>
        <v/>
      </c>
      <c r="I127" s="44"/>
      <c r="J127" s="40" t="str">
        <f t="shared" si="1"/>
        <v/>
      </c>
    </row>
    <row r="128" spans="1:10" hidden="1" x14ac:dyDescent="0.25">
      <c r="A128" s="41"/>
      <c r="B128" s="48" t="str">
        <f>IF(A128&lt;&gt;"",DATE(YEAR(TRANSACTIONS!$A128),MONTH(TRANSACTIONS!$A128),DAY(TRANSACTIONS!$A128)),"")</f>
        <v/>
      </c>
      <c r="C128" s="49" t="str">
        <f>IF(A128&lt;&gt;"",TIME(HOUR(TRANSACTIONS!$A128),MINUTE(TRANSACTIONS!$A128),SECOND(TRANSACTIONS!$A128)),"")</f>
        <v/>
      </c>
      <c r="D128" s="42"/>
      <c r="E128" s="42"/>
      <c r="F128" s="43"/>
      <c r="G128" s="46" t="str">
        <f>IF(AND(A128&lt;&gt;"",F128&gt;1),IF(TRANSACTIONS!$E128=RAPPORTS!$F$9,0,IF(OR(TRANSACTIONS!$D128=RAPPORTS!$A$13,TRANSACTIONS!$D128=RAPPORTS!#REF!),VLOOKUP(TRANSACTIONS!$F128,FRAIS_D_ENVOI,3,TRUE),0)),"")</f>
        <v/>
      </c>
      <c r="H128" s="46" t="str">
        <f>IFERROR(TRANSACTIONS!$F128+TRANSACTIONS!$G128,"")</f>
        <v/>
      </c>
      <c r="I128" s="44"/>
      <c r="J128" s="40" t="str">
        <f t="shared" si="1"/>
        <v/>
      </c>
    </row>
    <row r="129" spans="1:10" hidden="1" x14ac:dyDescent="0.25">
      <c r="A129" s="41"/>
      <c r="B129" s="48" t="str">
        <f>IF(A129&lt;&gt;"",DATE(YEAR(TRANSACTIONS!$A129),MONTH(TRANSACTIONS!$A129),DAY(TRANSACTIONS!$A129)),"")</f>
        <v/>
      </c>
      <c r="C129" s="49" t="str">
        <f>IF(A129&lt;&gt;"",TIME(HOUR(TRANSACTIONS!$A129),MINUTE(TRANSACTIONS!$A129),SECOND(TRANSACTIONS!$A129)),"")</f>
        <v/>
      </c>
      <c r="D129" s="42"/>
      <c r="E129" s="42"/>
      <c r="F129" s="43"/>
      <c r="G129" s="46" t="str">
        <f>IF(AND(A129&lt;&gt;"",F129&gt;1),IF(TRANSACTIONS!$E129=RAPPORTS!$F$9,0,IF(OR(TRANSACTIONS!$D129=RAPPORTS!$A$13,TRANSACTIONS!$D129=RAPPORTS!#REF!),VLOOKUP(TRANSACTIONS!$F129,FRAIS_D_ENVOI,3,TRUE),0)),"")</f>
        <v/>
      </c>
      <c r="H129" s="46" t="str">
        <f>IFERROR(TRANSACTIONS!$F129+TRANSACTIONS!$G129,"")</f>
        <v/>
      </c>
      <c r="I129" s="44"/>
      <c r="J129" s="40" t="str">
        <f t="shared" si="1"/>
        <v/>
      </c>
    </row>
    <row r="130" spans="1:10" hidden="1" x14ac:dyDescent="0.25">
      <c r="A130" s="41"/>
      <c r="B130" s="48" t="str">
        <f>IF(A130&lt;&gt;"",DATE(YEAR(TRANSACTIONS!$A130),MONTH(TRANSACTIONS!$A130),DAY(TRANSACTIONS!$A130)),"")</f>
        <v/>
      </c>
      <c r="C130" s="49" t="str">
        <f>IF(A130&lt;&gt;"",TIME(HOUR(TRANSACTIONS!$A130),MINUTE(TRANSACTIONS!$A130),SECOND(TRANSACTIONS!$A130)),"")</f>
        <v/>
      </c>
      <c r="D130" s="42"/>
      <c r="E130" s="42"/>
      <c r="F130" s="43"/>
      <c r="G130" s="46" t="str">
        <f>IF(AND(A130&lt;&gt;"",F130&gt;1),IF(TRANSACTIONS!$E130=RAPPORTS!$F$9,0,IF(OR(TRANSACTIONS!$D130=RAPPORTS!$A$13,TRANSACTIONS!$D130=RAPPORTS!#REF!),VLOOKUP(TRANSACTIONS!$F130,FRAIS_D_ENVOI,3,TRUE),0)),"")</f>
        <v/>
      </c>
      <c r="H130" s="46" t="str">
        <f>IFERROR(TRANSACTIONS!$F130+TRANSACTIONS!$G130,"")</f>
        <v/>
      </c>
      <c r="I130" s="44"/>
      <c r="J130" s="40" t="str">
        <f t="shared" si="1"/>
        <v/>
      </c>
    </row>
    <row r="131" spans="1:10" hidden="1" x14ac:dyDescent="0.25">
      <c r="A131" s="41"/>
      <c r="B131" s="48" t="str">
        <f>IF(A131&lt;&gt;"",DATE(YEAR(TRANSACTIONS!$A131),MONTH(TRANSACTIONS!$A131),DAY(TRANSACTIONS!$A131)),"")</f>
        <v/>
      </c>
      <c r="C131" s="49" t="str">
        <f>IF(A131&lt;&gt;"",TIME(HOUR(TRANSACTIONS!$A131),MINUTE(TRANSACTIONS!$A131),SECOND(TRANSACTIONS!$A131)),"")</f>
        <v/>
      </c>
      <c r="D131" s="42"/>
      <c r="E131" s="42"/>
      <c r="F131" s="43"/>
      <c r="G131" s="46" t="str">
        <f>IF(AND(A131&lt;&gt;"",F131&gt;1),IF(TRANSACTIONS!$E131=RAPPORTS!$F$9,0,IF(OR(TRANSACTIONS!$D131=RAPPORTS!$A$13,TRANSACTIONS!$D131=RAPPORTS!#REF!),VLOOKUP(TRANSACTIONS!$F131,FRAIS_D_ENVOI,3,TRUE),0)),"")</f>
        <v/>
      </c>
      <c r="H131" s="46" t="str">
        <f>IFERROR(TRANSACTIONS!$F131+TRANSACTIONS!$G131,"")</f>
        <v/>
      </c>
      <c r="I131" s="44"/>
      <c r="J131" s="40" t="str">
        <f t="shared" si="1"/>
        <v/>
      </c>
    </row>
    <row r="132" spans="1:10" hidden="1" x14ac:dyDescent="0.25">
      <c r="A132" s="41"/>
      <c r="B132" s="48" t="str">
        <f>IF(A132&lt;&gt;"",DATE(YEAR(TRANSACTIONS!$A132),MONTH(TRANSACTIONS!$A132),DAY(TRANSACTIONS!$A132)),"")</f>
        <v/>
      </c>
      <c r="C132" s="49" t="str">
        <f>IF(A132&lt;&gt;"",TIME(HOUR(TRANSACTIONS!$A132),MINUTE(TRANSACTIONS!$A132),SECOND(TRANSACTIONS!$A132)),"")</f>
        <v/>
      </c>
      <c r="D132" s="42"/>
      <c r="E132" s="42"/>
      <c r="F132" s="43"/>
      <c r="G132" s="46" t="str">
        <f>IF(AND(A132&lt;&gt;"",F132&gt;1),IF(TRANSACTIONS!$E132=RAPPORTS!$F$9,0,IF(OR(TRANSACTIONS!$D132=RAPPORTS!$A$13,TRANSACTIONS!$D132=RAPPORTS!#REF!),VLOOKUP(TRANSACTIONS!$F132,FRAIS_D_ENVOI,3,TRUE),0)),"")</f>
        <v/>
      </c>
      <c r="H132" s="46" t="str">
        <f>IFERROR(TRANSACTIONS!$F132+TRANSACTIONS!$G132,"")</f>
        <v/>
      </c>
      <c r="I132" s="44"/>
      <c r="J132" s="40" t="str">
        <f t="shared" ref="J132:J195" si="2">IF(G132&lt;&gt;"",$J$1*G132,"")</f>
        <v/>
      </c>
    </row>
    <row r="133" spans="1:10" hidden="1" x14ac:dyDescent="0.25">
      <c r="A133" s="41"/>
      <c r="B133" s="48" t="str">
        <f>IF(A133&lt;&gt;"",DATE(YEAR(TRANSACTIONS!$A133),MONTH(TRANSACTIONS!$A133),DAY(TRANSACTIONS!$A133)),"")</f>
        <v/>
      </c>
      <c r="C133" s="49" t="str">
        <f>IF(A133&lt;&gt;"",TIME(HOUR(TRANSACTIONS!$A133),MINUTE(TRANSACTIONS!$A133),SECOND(TRANSACTIONS!$A133)),"")</f>
        <v/>
      </c>
      <c r="D133" s="42"/>
      <c r="E133" s="42"/>
      <c r="F133" s="43"/>
      <c r="G133" s="46" t="str">
        <f>IF(AND(A133&lt;&gt;"",F133&gt;1),IF(TRANSACTIONS!$E133=RAPPORTS!$F$9,0,IF(OR(TRANSACTIONS!$D133=RAPPORTS!$A$13,TRANSACTIONS!$D133=RAPPORTS!#REF!),VLOOKUP(TRANSACTIONS!$F133,FRAIS_D_ENVOI,3,TRUE),0)),"")</f>
        <v/>
      </c>
      <c r="H133" s="46" t="str">
        <f>IFERROR(TRANSACTIONS!$F133+TRANSACTIONS!$G133,"")</f>
        <v/>
      </c>
      <c r="I133" s="44"/>
      <c r="J133" s="40" t="str">
        <f t="shared" si="2"/>
        <v/>
      </c>
    </row>
    <row r="134" spans="1:10" hidden="1" x14ac:dyDescent="0.25">
      <c r="A134" s="41"/>
      <c r="B134" s="48" t="str">
        <f>IF(A134&lt;&gt;"",DATE(YEAR(TRANSACTIONS!$A134),MONTH(TRANSACTIONS!$A134),DAY(TRANSACTIONS!$A134)),"")</f>
        <v/>
      </c>
      <c r="C134" s="49" t="str">
        <f>IF(A134&lt;&gt;"",TIME(HOUR(TRANSACTIONS!$A134),MINUTE(TRANSACTIONS!$A134),SECOND(TRANSACTIONS!$A134)),"")</f>
        <v/>
      </c>
      <c r="D134" s="42"/>
      <c r="E134" s="42"/>
      <c r="F134" s="43"/>
      <c r="G134" s="46" t="str">
        <f>IF(AND(A134&lt;&gt;"",F134&gt;1),IF(TRANSACTIONS!$E134=RAPPORTS!$F$9,0,IF(OR(TRANSACTIONS!$D134=RAPPORTS!$A$13,TRANSACTIONS!$D134=RAPPORTS!#REF!),VLOOKUP(TRANSACTIONS!$F134,FRAIS_D_ENVOI,3,TRUE),0)),"")</f>
        <v/>
      </c>
      <c r="H134" s="46" t="str">
        <f>IFERROR(TRANSACTIONS!$F134+TRANSACTIONS!$G134,"")</f>
        <v/>
      </c>
      <c r="I134" s="44"/>
      <c r="J134" s="40" t="str">
        <f t="shared" si="2"/>
        <v/>
      </c>
    </row>
    <row r="135" spans="1:10" hidden="1" x14ac:dyDescent="0.25">
      <c r="A135" s="41"/>
      <c r="B135" s="48" t="str">
        <f>IF(A135&lt;&gt;"",DATE(YEAR(TRANSACTIONS!$A135),MONTH(TRANSACTIONS!$A135),DAY(TRANSACTIONS!$A135)),"")</f>
        <v/>
      </c>
      <c r="C135" s="49" t="str">
        <f>IF(A135&lt;&gt;"",TIME(HOUR(TRANSACTIONS!$A135),MINUTE(TRANSACTIONS!$A135),SECOND(TRANSACTIONS!$A135)),"")</f>
        <v/>
      </c>
      <c r="D135" s="42"/>
      <c r="E135" s="42"/>
      <c r="F135" s="43"/>
      <c r="G135" s="46" t="str">
        <f>IF(AND(A135&lt;&gt;"",F135&gt;1),IF(TRANSACTIONS!$E135=RAPPORTS!$F$9,0,IF(OR(TRANSACTIONS!$D135=RAPPORTS!$A$13,TRANSACTIONS!$D135=RAPPORTS!#REF!),VLOOKUP(TRANSACTIONS!$F135,FRAIS_D_ENVOI,3,TRUE),0)),"")</f>
        <v/>
      </c>
      <c r="H135" s="46" t="str">
        <f>IFERROR(TRANSACTIONS!$F135+TRANSACTIONS!$G135,"")</f>
        <v/>
      </c>
      <c r="I135" s="44"/>
      <c r="J135" s="40" t="str">
        <f t="shared" si="2"/>
        <v/>
      </c>
    </row>
    <row r="136" spans="1:10" hidden="1" x14ac:dyDescent="0.25">
      <c r="A136" s="41"/>
      <c r="B136" s="48" t="str">
        <f>IF(A136&lt;&gt;"",DATE(YEAR(TRANSACTIONS!$A136),MONTH(TRANSACTIONS!$A136),DAY(TRANSACTIONS!$A136)),"")</f>
        <v/>
      </c>
      <c r="C136" s="49" t="str">
        <f>IF(A136&lt;&gt;"",TIME(HOUR(TRANSACTIONS!$A136),MINUTE(TRANSACTIONS!$A136),SECOND(TRANSACTIONS!$A136)),"")</f>
        <v/>
      </c>
      <c r="D136" s="42"/>
      <c r="E136" s="42"/>
      <c r="F136" s="43"/>
      <c r="G136" s="46" t="str">
        <f>IF(AND(A136&lt;&gt;"",F136&gt;1),IF(TRANSACTIONS!$E136=RAPPORTS!$F$9,0,IF(OR(TRANSACTIONS!$D136=RAPPORTS!$A$13,TRANSACTIONS!$D136=RAPPORTS!#REF!),VLOOKUP(TRANSACTIONS!$F136,FRAIS_D_ENVOI,3,TRUE),0)),"")</f>
        <v/>
      </c>
      <c r="H136" s="46" t="str">
        <f>IFERROR(TRANSACTIONS!$F136+TRANSACTIONS!$G136,"")</f>
        <v/>
      </c>
      <c r="I136" s="44"/>
      <c r="J136" s="40" t="str">
        <f t="shared" si="2"/>
        <v/>
      </c>
    </row>
    <row r="137" spans="1:10" hidden="1" x14ac:dyDescent="0.25">
      <c r="A137" s="41"/>
      <c r="B137" s="48" t="str">
        <f>IF(A137&lt;&gt;"",DATE(YEAR(TRANSACTIONS!$A137),MONTH(TRANSACTIONS!$A137),DAY(TRANSACTIONS!$A137)),"")</f>
        <v/>
      </c>
      <c r="C137" s="49" t="str">
        <f>IF(A137&lt;&gt;"",TIME(HOUR(TRANSACTIONS!$A137),MINUTE(TRANSACTIONS!$A137),SECOND(TRANSACTIONS!$A137)),"")</f>
        <v/>
      </c>
      <c r="D137" s="42"/>
      <c r="E137" s="42"/>
      <c r="F137" s="43"/>
      <c r="G137" s="46" t="str">
        <f>IF(AND(A137&lt;&gt;"",F137&gt;1),IF(TRANSACTIONS!$E137=RAPPORTS!$F$9,0,IF(OR(TRANSACTIONS!$D137=RAPPORTS!$A$13,TRANSACTIONS!$D137=RAPPORTS!#REF!),VLOOKUP(TRANSACTIONS!$F137,FRAIS_D_ENVOI,3,TRUE),0)),"")</f>
        <v/>
      </c>
      <c r="H137" s="46" t="str">
        <f>IFERROR(TRANSACTIONS!$F137+TRANSACTIONS!$G137,"")</f>
        <v/>
      </c>
      <c r="I137" s="44"/>
      <c r="J137" s="40" t="str">
        <f t="shared" si="2"/>
        <v/>
      </c>
    </row>
    <row r="138" spans="1:10" hidden="1" x14ac:dyDescent="0.25">
      <c r="A138" s="41"/>
      <c r="B138" s="48" t="str">
        <f>IF(A138&lt;&gt;"",DATE(YEAR(TRANSACTIONS!$A138),MONTH(TRANSACTIONS!$A138),DAY(TRANSACTIONS!$A138)),"")</f>
        <v/>
      </c>
      <c r="C138" s="49" t="str">
        <f>IF(A138&lt;&gt;"",TIME(HOUR(TRANSACTIONS!$A138),MINUTE(TRANSACTIONS!$A138),SECOND(TRANSACTIONS!$A138)),"")</f>
        <v/>
      </c>
      <c r="D138" s="42"/>
      <c r="E138" s="42"/>
      <c r="F138" s="43"/>
      <c r="G138" s="46" t="str">
        <f>IF(AND(A138&lt;&gt;"",F138&gt;1),IF(TRANSACTIONS!$E138=RAPPORTS!$F$9,0,IF(OR(TRANSACTIONS!$D138=RAPPORTS!$A$13,TRANSACTIONS!$D138=RAPPORTS!#REF!),VLOOKUP(TRANSACTIONS!$F138,FRAIS_D_ENVOI,3,TRUE),0)),"")</f>
        <v/>
      </c>
      <c r="H138" s="46" t="str">
        <f>IFERROR(TRANSACTIONS!$F138+TRANSACTIONS!$G138,"")</f>
        <v/>
      </c>
      <c r="I138" s="44"/>
      <c r="J138" s="40" t="str">
        <f t="shared" si="2"/>
        <v/>
      </c>
    </row>
    <row r="139" spans="1:10" hidden="1" x14ac:dyDescent="0.25">
      <c r="A139" s="41"/>
      <c r="B139" s="48" t="str">
        <f>IF(A139&lt;&gt;"",DATE(YEAR(TRANSACTIONS!$A139),MONTH(TRANSACTIONS!$A139),DAY(TRANSACTIONS!$A139)),"")</f>
        <v/>
      </c>
      <c r="C139" s="49" t="str">
        <f>IF(A139&lt;&gt;"",TIME(HOUR(TRANSACTIONS!$A139),MINUTE(TRANSACTIONS!$A139),SECOND(TRANSACTIONS!$A139)),"")</f>
        <v/>
      </c>
      <c r="D139" s="42"/>
      <c r="E139" s="42"/>
      <c r="F139" s="43"/>
      <c r="G139" s="46" t="str">
        <f>IF(AND(A139&lt;&gt;"",F139&gt;1),IF(TRANSACTIONS!$E139=RAPPORTS!$F$9,0,IF(OR(TRANSACTIONS!$D139=RAPPORTS!$A$13,TRANSACTIONS!$D139=RAPPORTS!#REF!),VLOOKUP(TRANSACTIONS!$F139,FRAIS_D_ENVOI,3,TRUE),0)),"")</f>
        <v/>
      </c>
      <c r="H139" s="46" t="str">
        <f>IFERROR(TRANSACTIONS!$F139+TRANSACTIONS!$G139,"")</f>
        <v/>
      </c>
      <c r="I139" s="44"/>
      <c r="J139" s="40" t="str">
        <f t="shared" si="2"/>
        <v/>
      </c>
    </row>
    <row r="140" spans="1:10" hidden="1" x14ac:dyDescent="0.25">
      <c r="A140" s="41"/>
      <c r="B140" s="48" t="str">
        <f>IF(A140&lt;&gt;"",DATE(YEAR(TRANSACTIONS!$A140),MONTH(TRANSACTIONS!$A140),DAY(TRANSACTIONS!$A140)),"")</f>
        <v/>
      </c>
      <c r="C140" s="49" t="str">
        <f>IF(A140&lt;&gt;"",TIME(HOUR(TRANSACTIONS!$A140),MINUTE(TRANSACTIONS!$A140),SECOND(TRANSACTIONS!$A140)),"")</f>
        <v/>
      </c>
      <c r="D140" s="42"/>
      <c r="E140" s="42"/>
      <c r="F140" s="43"/>
      <c r="G140" s="46" t="str">
        <f>IF(AND(A140&lt;&gt;"",F140&gt;1),IF(TRANSACTIONS!$E140=RAPPORTS!$F$9,0,IF(OR(TRANSACTIONS!$D140=RAPPORTS!$A$13,TRANSACTIONS!$D140=RAPPORTS!#REF!),VLOOKUP(TRANSACTIONS!$F140,FRAIS_D_ENVOI,3,TRUE),0)),"")</f>
        <v/>
      </c>
      <c r="H140" s="46" t="str">
        <f>IFERROR(TRANSACTIONS!$F140+TRANSACTIONS!$G140,"")</f>
        <v/>
      </c>
      <c r="I140" s="44"/>
      <c r="J140" s="40" t="str">
        <f t="shared" si="2"/>
        <v/>
      </c>
    </row>
    <row r="141" spans="1:10" hidden="1" x14ac:dyDescent="0.25">
      <c r="A141" s="41"/>
      <c r="B141" s="48" t="str">
        <f>IF(A141&lt;&gt;"",DATE(YEAR(TRANSACTIONS!$A141),MONTH(TRANSACTIONS!$A141),DAY(TRANSACTIONS!$A141)),"")</f>
        <v/>
      </c>
      <c r="C141" s="49" t="str">
        <f>IF(A141&lt;&gt;"",TIME(HOUR(TRANSACTIONS!$A141),MINUTE(TRANSACTIONS!$A141),SECOND(TRANSACTIONS!$A141)),"")</f>
        <v/>
      </c>
      <c r="D141" s="42"/>
      <c r="E141" s="42"/>
      <c r="F141" s="43"/>
      <c r="G141" s="46" t="str">
        <f>IF(AND(A141&lt;&gt;"",F141&gt;1),IF(TRANSACTIONS!$E141=RAPPORTS!$F$9,0,IF(OR(TRANSACTIONS!$D141=RAPPORTS!$A$13,TRANSACTIONS!$D141=RAPPORTS!#REF!),VLOOKUP(TRANSACTIONS!$F141,FRAIS_D_ENVOI,3,TRUE),0)),"")</f>
        <v/>
      </c>
      <c r="H141" s="46" t="str">
        <f>IFERROR(TRANSACTIONS!$F141+TRANSACTIONS!$G141,"")</f>
        <v/>
      </c>
      <c r="I141" s="44"/>
      <c r="J141" s="40" t="str">
        <f t="shared" si="2"/>
        <v/>
      </c>
    </row>
    <row r="142" spans="1:10" hidden="1" x14ac:dyDescent="0.25">
      <c r="A142" s="41"/>
      <c r="B142" s="48" t="str">
        <f>IF(A142&lt;&gt;"",DATE(YEAR(TRANSACTIONS!$A142),MONTH(TRANSACTIONS!$A142),DAY(TRANSACTIONS!$A142)),"")</f>
        <v/>
      </c>
      <c r="C142" s="49" t="str">
        <f>IF(A142&lt;&gt;"",TIME(HOUR(TRANSACTIONS!$A142),MINUTE(TRANSACTIONS!$A142),SECOND(TRANSACTIONS!$A142)),"")</f>
        <v/>
      </c>
      <c r="D142" s="42"/>
      <c r="E142" s="42"/>
      <c r="F142" s="43"/>
      <c r="G142" s="46" t="str">
        <f>IF(AND(A142&lt;&gt;"",F142&gt;1),IF(TRANSACTIONS!$E142=RAPPORTS!$F$9,0,IF(OR(TRANSACTIONS!$D142=RAPPORTS!$A$13,TRANSACTIONS!$D142=RAPPORTS!#REF!),VLOOKUP(TRANSACTIONS!$F142,FRAIS_D_ENVOI,3,TRUE),0)),"")</f>
        <v/>
      </c>
      <c r="H142" s="46" t="str">
        <f>IFERROR(TRANSACTIONS!$F142+TRANSACTIONS!$G142,"")</f>
        <v/>
      </c>
      <c r="I142" s="44"/>
      <c r="J142" s="40" t="str">
        <f t="shared" si="2"/>
        <v/>
      </c>
    </row>
    <row r="143" spans="1:10" hidden="1" x14ac:dyDescent="0.25">
      <c r="A143" s="41"/>
      <c r="B143" s="48" t="str">
        <f>IF(A143&lt;&gt;"",DATE(YEAR(TRANSACTIONS!$A143),MONTH(TRANSACTIONS!$A143),DAY(TRANSACTIONS!$A143)),"")</f>
        <v/>
      </c>
      <c r="C143" s="49" t="str">
        <f>IF(A143&lt;&gt;"",TIME(HOUR(TRANSACTIONS!$A143),MINUTE(TRANSACTIONS!$A143),SECOND(TRANSACTIONS!$A143)),"")</f>
        <v/>
      </c>
      <c r="D143" s="42"/>
      <c r="E143" s="42"/>
      <c r="F143" s="43"/>
      <c r="G143" s="46" t="str">
        <f>IF(AND(A143&lt;&gt;"",F143&gt;1),IF(TRANSACTIONS!$E143=RAPPORTS!$F$9,0,IF(OR(TRANSACTIONS!$D143=RAPPORTS!$A$13,TRANSACTIONS!$D143=RAPPORTS!#REF!),VLOOKUP(TRANSACTIONS!$F143,FRAIS_D_ENVOI,3,TRUE),0)),"")</f>
        <v/>
      </c>
      <c r="H143" s="46" t="str">
        <f>IFERROR(TRANSACTIONS!$F143+TRANSACTIONS!$G143,"")</f>
        <v/>
      </c>
      <c r="I143" s="44"/>
      <c r="J143" s="40" t="str">
        <f t="shared" si="2"/>
        <v/>
      </c>
    </row>
    <row r="144" spans="1:10" hidden="1" x14ac:dyDescent="0.25">
      <c r="A144" s="41"/>
      <c r="B144" s="48" t="str">
        <f>IF(A144&lt;&gt;"",DATE(YEAR(TRANSACTIONS!$A144),MONTH(TRANSACTIONS!$A144),DAY(TRANSACTIONS!$A144)),"")</f>
        <v/>
      </c>
      <c r="C144" s="49" t="str">
        <f>IF(A144&lt;&gt;"",TIME(HOUR(TRANSACTIONS!$A144),MINUTE(TRANSACTIONS!$A144),SECOND(TRANSACTIONS!$A144)),"")</f>
        <v/>
      </c>
      <c r="D144" s="42"/>
      <c r="E144" s="42"/>
      <c r="F144" s="43"/>
      <c r="G144" s="46" t="str">
        <f>IF(AND(A144&lt;&gt;"",F144&gt;1),IF(TRANSACTIONS!$E144=RAPPORTS!$F$9,0,IF(OR(TRANSACTIONS!$D144=RAPPORTS!$A$13,TRANSACTIONS!$D144=RAPPORTS!#REF!),VLOOKUP(TRANSACTIONS!$F144,FRAIS_D_ENVOI,3,TRUE),0)),"")</f>
        <v/>
      </c>
      <c r="H144" s="46" t="str">
        <f>IFERROR(TRANSACTIONS!$F144+TRANSACTIONS!$G144,"")</f>
        <v/>
      </c>
      <c r="I144" s="44"/>
      <c r="J144" s="40" t="str">
        <f t="shared" si="2"/>
        <v/>
      </c>
    </row>
    <row r="145" spans="1:10" hidden="1" x14ac:dyDescent="0.25">
      <c r="A145" s="41"/>
      <c r="B145" s="48" t="str">
        <f>IF(A145&lt;&gt;"",DATE(YEAR(TRANSACTIONS!$A145),MONTH(TRANSACTIONS!$A145),DAY(TRANSACTIONS!$A145)),"")</f>
        <v/>
      </c>
      <c r="C145" s="49" t="str">
        <f>IF(A145&lt;&gt;"",TIME(HOUR(TRANSACTIONS!$A145),MINUTE(TRANSACTIONS!$A145),SECOND(TRANSACTIONS!$A145)),"")</f>
        <v/>
      </c>
      <c r="D145" s="42"/>
      <c r="E145" s="42"/>
      <c r="F145" s="43"/>
      <c r="G145" s="46" t="str">
        <f>IF(AND(A145&lt;&gt;"",F145&gt;1),IF(TRANSACTIONS!$E145=RAPPORTS!$F$9,0,IF(OR(TRANSACTIONS!$D145=RAPPORTS!$A$13,TRANSACTIONS!$D145=RAPPORTS!#REF!),VLOOKUP(TRANSACTIONS!$F145,FRAIS_D_ENVOI,3,TRUE),0)),"")</f>
        <v/>
      </c>
      <c r="H145" s="46" t="str">
        <f>IFERROR(TRANSACTIONS!$F145+TRANSACTIONS!$G145,"")</f>
        <v/>
      </c>
      <c r="I145" s="44"/>
      <c r="J145" s="40" t="str">
        <f t="shared" si="2"/>
        <v/>
      </c>
    </row>
    <row r="146" spans="1:10" hidden="1" x14ac:dyDescent="0.25">
      <c r="A146" s="41"/>
      <c r="B146" s="48" t="str">
        <f>IF(A146&lt;&gt;"",DATE(YEAR(TRANSACTIONS!$A146),MONTH(TRANSACTIONS!$A146),DAY(TRANSACTIONS!$A146)),"")</f>
        <v/>
      </c>
      <c r="C146" s="49" t="str">
        <f>IF(A146&lt;&gt;"",TIME(HOUR(TRANSACTIONS!$A146),MINUTE(TRANSACTIONS!$A146),SECOND(TRANSACTIONS!$A146)),"")</f>
        <v/>
      </c>
      <c r="D146" s="42"/>
      <c r="E146" s="42"/>
      <c r="F146" s="43"/>
      <c r="G146" s="46" t="str">
        <f>IF(AND(A146&lt;&gt;"",F146&gt;1),IF(TRANSACTIONS!$E146=RAPPORTS!$F$9,0,IF(OR(TRANSACTIONS!$D146=RAPPORTS!$A$13,TRANSACTIONS!$D146=RAPPORTS!#REF!),VLOOKUP(TRANSACTIONS!$F146,FRAIS_D_ENVOI,3,TRUE),0)),"")</f>
        <v/>
      </c>
      <c r="H146" s="46" t="str">
        <f>IFERROR(TRANSACTIONS!$F146+TRANSACTIONS!$G146,"")</f>
        <v/>
      </c>
      <c r="I146" s="44"/>
      <c r="J146" s="40" t="str">
        <f t="shared" si="2"/>
        <v/>
      </c>
    </row>
    <row r="147" spans="1:10" hidden="1" x14ac:dyDescent="0.25">
      <c r="A147" s="41"/>
      <c r="B147" s="48" t="str">
        <f>IF(A147&lt;&gt;"",DATE(YEAR(TRANSACTIONS!$A147),MONTH(TRANSACTIONS!$A147),DAY(TRANSACTIONS!$A147)),"")</f>
        <v/>
      </c>
      <c r="C147" s="49" t="str">
        <f>IF(A147&lt;&gt;"",TIME(HOUR(TRANSACTIONS!$A147),MINUTE(TRANSACTIONS!$A147),SECOND(TRANSACTIONS!$A147)),"")</f>
        <v/>
      </c>
      <c r="D147" s="42"/>
      <c r="E147" s="42"/>
      <c r="F147" s="43"/>
      <c r="G147" s="46" t="str">
        <f>IF(AND(A147&lt;&gt;"",F147&gt;1),IF(TRANSACTIONS!$E147=RAPPORTS!$F$9,0,IF(OR(TRANSACTIONS!$D147=RAPPORTS!$A$13,TRANSACTIONS!$D147=RAPPORTS!#REF!),VLOOKUP(TRANSACTIONS!$F147,FRAIS_D_ENVOI,3,TRUE),0)),"")</f>
        <v/>
      </c>
      <c r="H147" s="46" t="str">
        <f>IFERROR(TRANSACTIONS!$F147+TRANSACTIONS!$G147,"")</f>
        <v/>
      </c>
      <c r="I147" s="44"/>
      <c r="J147" s="40" t="str">
        <f t="shared" si="2"/>
        <v/>
      </c>
    </row>
    <row r="148" spans="1:10" hidden="1" x14ac:dyDescent="0.25">
      <c r="A148" s="41"/>
      <c r="B148" s="48" t="str">
        <f>IF(A148&lt;&gt;"",DATE(YEAR(TRANSACTIONS!$A148),MONTH(TRANSACTIONS!$A148),DAY(TRANSACTIONS!$A148)),"")</f>
        <v/>
      </c>
      <c r="C148" s="49" t="str">
        <f>IF(A148&lt;&gt;"",TIME(HOUR(TRANSACTIONS!$A148),MINUTE(TRANSACTIONS!$A148),SECOND(TRANSACTIONS!$A148)),"")</f>
        <v/>
      </c>
      <c r="D148" s="42"/>
      <c r="E148" s="42"/>
      <c r="F148" s="43"/>
      <c r="G148" s="46" t="str">
        <f>IF(AND(A148&lt;&gt;"",F148&gt;1),IF(TRANSACTIONS!$E148=RAPPORTS!$F$9,0,IF(OR(TRANSACTIONS!$D148=RAPPORTS!$A$13,TRANSACTIONS!$D148=RAPPORTS!#REF!),VLOOKUP(TRANSACTIONS!$F148,FRAIS_D_ENVOI,3,TRUE),0)),"")</f>
        <v/>
      </c>
      <c r="H148" s="46" t="str">
        <f>IFERROR(TRANSACTIONS!$F148+TRANSACTIONS!$G148,"")</f>
        <v/>
      </c>
      <c r="I148" s="44"/>
      <c r="J148" s="40" t="str">
        <f t="shared" si="2"/>
        <v/>
      </c>
    </row>
    <row r="149" spans="1:10" hidden="1" x14ac:dyDescent="0.25">
      <c r="A149" s="41"/>
      <c r="B149" s="48" t="str">
        <f>IF(A149&lt;&gt;"",DATE(YEAR(TRANSACTIONS!$A149),MONTH(TRANSACTIONS!$A149),DAY(TRANSACTIONS!$A149)),"")</f>
        <v/>
      </c>
      <c r="C149" s="49" t="str">
        <f>IF(A149&lt;&gt;"",TIME(HOUR(TRANSACTIONS!$A149),MINUTE(TRANSACTIONS!$A149),SECOND(TRANSACTIONS!$A149)),"")</f>
        <v/>
      </c>
      <c r="D149" s="42"/>
      <c r="E149" s="42"/>
      <c r="F149" s="43"/>
      <c r="G149" s="46" t="str">
        <f>IF(AND(A149&lt;&gt;"",F149&gt;1),IF(TRANSACTIONS!$E149=RAPPORTS!$F$9,0,IF(OR(TRANSACTIONS!$D149=RAPPORTS!$A$13,TRANSACTIONS!$D149=RAPPORTS!#REF!),VLOOKUP(TRANSACTIONS!$F149,FRAIS_D_ENVOI,3,TRUE),0)),"")</f>
        <v/>
      </c>
      <c r="H149" s="46" t="str">
        <f>IFERROR(TRANSACTIONS!$F149+TRANSACTIONS!$G149,"")</f>
        <v/>
      </c>
      <c r="I149" s="44"/>
      <c r="J149" s="40" t="str">
        <f t="shared" si="2"/>
        <v/>
      </c>
    </row>
    <row r="150" spans="1:10" hidden="1" x14ac:dyDescent="0.25">
      <c r="A150" s="41"/>
      <c r="B150" s="48" t="str">
        <f>IF(A150&lt;&gt;"",DATE(YEAR(TRANSACTIONS!$A150),MONTH(TRANSACTIONS!$A150),DAY(TRANSACTIONS!$A150)),"")</f>
        <v/>
      </c>
      <c r="C150" s="49" t="str">
        <f>IF(A150&lt;&gt;"",TIME(HOUR(TRANSACTIONS!$A150),MINUTE(TRANSACTIONS!$A150),SECOND(TRANSACTIONS!$A150)),"")</f>
        <v/>
      </c>
      <c r="D150" s="42"/>
      <c r="E150" s="42"/>
      <c r="F150" s="43"/>
      <c r="G150" s="46" t="str">
        <f>IF(AND(A150&lt;&gt;"",F150&gt;1),IF(TRANSACTIONS!$E150=RAPPORTS!$F$9,0,IF(OR(TRANSACTIONS!$D150=RAPPORTS!$A$13,TRANSACTIONS!$D150=RAPPORTS!#REF!),VLOOKUP(TRANSACTIONS!$F150,FRAIS_D_ENVOI,3,TRUE),0)),"")</f>
        <v/>
      </c>
      <c r="H150" s="46" t="str">
        <f>IFERROR(TRANSACTIONS!$F150+TRANSACTIONS!$G150,"")</f>
        <v/>
      </c>
      <c r="I150" s="44"/>
      <c r="J150" s="40" t="str">
        <f t="shared" si="2"/>
        <v/>
      </c>
    </row>
    <row r="151" spans="1:10" hidden="1" x14ac:dyDescent="0.25">
      <c r="A151" s="41"/>
      <c r="B151" s="48" t="str">
        <f>IF(A151&lt;&gt;"",DATE(YEAR(TRANSACTIONS!$A151),MONTH(TRANSACTIONS!$A151),DAY(TRANSACTIONS!$A151)),"")</f>
        <v/>
      </c>
      <c r="C151" s="49" t="str">
        <f>IF(A151&lt;&gt;"",TIME(HOUR(TRANSACTIONS!$A151),MINUTE(TRANSACTIONS!$A151),SECOND(TRANSACTIONS!$A151)),"")</f>
        <v/>
      </c>
      <c r="D151" s="42"/>
      <c r="E151" s="42"/>
      <c r="F151" s="43"/>
      <c r="G151" s="46" t="str">
        <f>IF(AND(A151&lt;&gt;"",F151&gt;1),IF(TRANSACTIONS!$E151=RAPPORTS!$F$9,0,IF(OR(TRANSACTIONS!$D151=RAPPORTS!$A$13,TRANSACTIONS!$D151=RAPPORTS!#REF!),VLOOKUP(TRANSACTIONS!$F151,FRAIS_D_ENVOI,3,TRUE),0)),"")</f>
        <v/>
      </c>
      <c r="H151" s="46" t="str">
        <f>IFERROR(TRANSACTIONS!$F151+TRANSACTIONS!$G151,"")</f>
        <v/>
      </c>
      <c r="I151" s="44"/>
      <c r="J151" s="40" t="str">
        <f t="shared" si="2"/>
        <v/>
      </c>
    </row>
    <row r="152" spans="1:10" hidden="1" x14ac:dyDescent="0.25">
      <c r="A152" s="41"/>
      <c r="B152" s="48" t="str">
        <f>IF(A152&lt;&gt;"",DATE(YEAR(TRANSACTIONS!$A152),MONTH(TRANSACTIONS!$A152),DAY(TRANSACTIONS!$A152)),"")</f>
        <v/>
      </c>
      <c r="C152" s="49" t="str">
        <f>IF(A152&lt;&gt;"",TIME(HOUR(TRANSACTIONS!$A152),MINUTE(TRANSACTIONS!$A152),SECOND(TRANSACTIONS!$A152)),"")</f>
        <v/>
      </c>
      <c r="D152" s="42"/>
      <c r="E152" s="42"/>
      <c r="F152" s="43"/>
      <c r="G152" s="46" t="str">
        <f>IF(AND(A152&lt;&gt;"",F152&gt;1),IF(TRANSACTIONS!$E152=RAPPORTS!$F$9,0,IF(OR(TRANSACTIONS!$D152=RAPPORTS!$A$13,TRANSACTIONS!$D152=RAPPORTS!#REF!),VLOOKUP(TRANSACTIONS!$F152,FRAIS_D_ENVOI,3,TRUE),0)),"")</f>
        <v/>
      </c>
      <c r="H152" s="46" t="str">
        <f>IFERROR(TRANSACTIONS!$F152+TRANSACTIONS!$G152,"")</f>
        <v/>
      </c>
      <c r="I152" s="44"/>
      <c r="J152" s="40" t="str">
        <f t="shared" si="2"/>
        <v/>
      </c>
    </row>
    <row r="153" spans="1:10" hidden="1" x14ac:dyDescent="0.25">
      <c r="A153" s="41"/>
      <c r="B153" s="48" t="str">
        <f>IF(A153&lt;&gt;"",DATE(YEAR(TRANSACTIONS!$A153),MONTH(TRANSACTIONS!$A153),DAY(TRANSACTIONS!$A153)),"")</f>
        <v/>
      </c>
      <c r="C153" s="49" t="str">
        <f>IF(A153&lt;&gt;"",TIME(HOUR(TRANSACTIONS!$A153),MINUTE(TRANSACTIONS!$A153),SECOND(TRANSACTIONS!$A153)),"")</f>
        <v/>
      </c>
      <c r="D153" s="42"/>
      <c r="E153" s="42"/>
      <c r="F153" s="43"/>
      <c r="G153" s="46" t="str">
        <f>IF(AND(A153&lt;&gt;"",F153&gt;1),IF(TRANSACTIONS!$E153=RAPPORTS!$F$9,0,IF(OR(TRANSACTIONS!$D153=RAPPORTS!$A$13,TRANSACTIONS!$D153=RAPPORTS!#REF!),VLOOKUP(TRANSACTIONS!$F153,FRAIS_D_ENVOI,3,TRUE),0)),"")</f>
        <v/>
      </c>
      <c r="H153" s="46" t="str">
        <f>IFERROR(TRANSACTIONS!$F153+TRANSACTIONS!$G153,"")</f>
        <v/>
      </c>
      <c r="I153" s="44"/>
      <c r="J153" s="40" t="str">
        <f t="shared" si="2"/>
        <v/>
      </c>
    </row>
    <row r="154" spans="1:10" hidden="1" x14ac:dyDescent="0.25">
      <c r="A154" s="41"/>
      <c r="B154" s="48" t="str">
        <f>IF(A154&lt;&gt;"",DATE(YEAR(TRANSACTIONS!$A154),MONTH(TRANSACTIONS!$A154),DAY(TRANSACTIONS!$A154)),"")</f>
        <v/>
      </c>
      <c r="C154" s="49" t="str">
        <f>IF(A154&lt;&gt;"",TIME(HOUR(TRANSACTIONS!$A154),MINUTE(TRANSACTIONS!$A154),SECOND(TRANSACTIONS!$A154)),"")</f>
        <v/>
      </c>
      <c r="D154" s="42"/>
      <c r="E154" s="42"/>
      <c r="F154" s="43"/>
      <c r="G154" s="46" t="str">
        <f>IF(AND(A154&lt;&gt;"",F154&gt;1),IF(TRANSACTIONS!$E154=RAPPORTS!$F$9,0,IF(OR(TRANSACTIONS!$D154=RAPPORTS!$A$13,TRANSACTIONS!$D154=RAPPORTS!#REF!),VLOOKUP(TRANSACTIONS!$F154,FRAIS_D_ENVOI,3,TRUE),0)),"")</f>
        <v/>
      </c>
      <c r="H154" s="46" t="str">
        <f>IFERROR(TRANSACTIONS!$F154+TRANSACTIONS!$G154,"")</f>
        <v/>
      </c>
      <c r="I154" s="44"/>
      <c r="J154" s="40" t="str">
        <f t="shared" si="2"/>
        <v/>
      </c>
    </row>
    <row r="155" spans="1:10" hidden="1" x14ac:dyDescent="0.25">
      <c r="A155" s="41"/>
      <c r="B155" s="48" t="str">
        <f>IF(A155&lt;&gt;"",DATE(YEAR(TRANSACTIONS!$A155),MONTH(TRANSACTIONS!$A155),DAY(TRANSACTIONS!$A155)),"")</f>
        <v/>
      </c>
      <c r="C155" s="49" t="str">
        <f>IF(A155&lt;&gt;"",TIME(HOUR(TRANSACTIONS!$A155),MINUTE(TRANSACTIONS!$A155),SECOND(TRANSACTIONS!$A155)),"")</f>
        <v/>
      </c>
      <c r="D155" s="42"/>
      <c r="E155" s="42"/>
      <c r="F155" s="43"/>
      <c r="G155" s="46" t="str">
        <f>IF(AND(A155&lt;&gt;"",F155&gt;1),IF(TRANSACTIONS!$E155=RAPPORTS!$F$9,0,IF(OR(TRANSACTIONS!$D155=RAPPORTS!$A$13,TRANSACTIONS!$D155=RAPPORTS!#REF!),VLOOKUP(TRANSACTIONS!$F155,FRAIS_D_ENVOI,3,TRUE),0)),"")</f>
        <v/>
      </c>
      <c r="H155" s="46" t="str">
        <f>IFERROR(TRANSACTIONS!$F155+TRANSACTIONS!$G155,"")</f>
        <v/>
      </c>
      <c r="I155" s="44"/>
      <c r="J155" s="40" t="str">
        <f t="shared" si="2"/>
        <v/>
      </c>
    </row>
    <row r="156" spans="1:10" hidden="1" x14ac:dyDescent="0.25">
      <c r="A156" s="41"/>
      <c r="B156" s="48" t="str">
        <f>IF(A156&lt;&gt;"",DATE(YEAR(TRANSACTIONS!$A156),MONTH(TRANSACTIONS!$A156),DAY(TRANSACTIONS!$A156)),"")</f>
        <v/>
      </c>
      <c r="C156" s="49" t="str">
        <f>IF(A156&lt;&gt;"",TIME(HOUR(TRANSACTIONS!$A156),MINUTE(TRANSACTIONS!$A156),SECOND(TRANSACTIONS!$A156)),"")</f>
        <v/>
      </c>
      <c r="D156" s="42"/>
      <c r="E156" s="42"/>
      <c r="F156" s="43"/>
      <c r="G156" s="46" t="str">
        <f>IF(AND(A156&lt;&gt;"",F156&gt;1),IF(TRANSACTIONS!$E156=RAPPORTS!$F$9,0,IF(OR(TRANSACTIONS!$D156=RAPPORTS!$A$13,TRANSACTIONS!$D156=RAPPORTS!#REF!),VLOOKUP(TRANSACTIONS!$F156,FRAIS_D_ENVOI,3,TRUE),0)),"")</f>
        <v/>
      </c>
      <c r="H156" s="46" t="str">
        <f>IFERROR(TRANSACTIONS!$F156+TRANSACTIONS!$G156,"")</f>
        <v/>
      </c>
      <c r="I156" s="44"/>
      <c r="J156" s="40" t="str">
        <f t="shared" si="2"/>
        <v/>
      </c>
    </row>
    <row r="157" spans="1:10" hidden="1" x14ac:dyDescent="0.25">
      <c r="A157" s="41"/>
      <c r="B157" s="48" t="str">
        <f>IF(A157&lt;&gt;"",DATE(YEAR(TRANSACTIONS!$A157),MONTH(TRANSACTIONS!$A157),DAY(TRANSACTIONS!$A157)),"")</f>
        <v/>
      </c>
      <c r="C157" s="49" t="str">
        <f>IF(A157&lt;&gt;"",TIME(HOUR(TRANSACTIONS!$A157),MINUTE(TRANSACTIONS!$A157),SECOND(TRANSACTIONS!$A157)),"")</f>
        <v/>
      </c>
      <c r="D157" s="42"/>
      <c r="E157" s="42"/>
      <c r="F157" s="43"/>
      <c r="G157" s="46" t="str">
        <f>IF(AND(A157&lt;&gt;"",F157&gt;1),IF(TRANSACTIONS!$E157=RAPPORTS!$F$9,0,IF(OR(TRANSACTIONS!$D157=RAPPORTS!$A$13,TRANSACTIONS!$D157=RAPPORTS!#REF!),VLOOKUP(TRANSACTIONS!$F157,FRAIS_D_ENVOI,3,TRUE),0)),"")</f>
        <v/>
      </c>
      <c r="H157" s="46" t="str">
        <f>IFERROR(TRANSACTIONS!$F157+TRANSACTIONS!$G157,"")</f>
        <v/>
      </c>
      <c r="I157" s="44"/>
      <c r="J157" s="40" t="str">
        <f t="shared" si="2"/>
        <v/>
      </c>
    </row>
    <row r="158" spans="1:10" hidden="1" x14ac:dyDescent="0.25">
      <c r="A158" s="41"/>
      <c r="B158" s="48" t="str">
        <f>IF(A158&lt;&gt;"",DATE(YEAR(TRANSACTIONS!$A158),MONTH(TRANSACTIONS!$A158),DAY(TRANSACTIONS!$A158)),"")</f>
        <v/>
      </c>
      <c r="C158" s="49" t="str">
        <f>IF(A158&lt;&gt;"",TIME(HOUR(TRANSACTIONS!$A158),MINUTE(TRANSACTIONS!$A158),SECOND(TRANSACTIONS!$A158)),"")</f>
        <v/>
      </c>
      <c r="D158" s="42"/>
      <c r="E158" s="42"/>
      <c r="F158" s="43"/>
      <c r="G158" s="46" t="str">
        <f>IF(AND(A158&lt;&gt;"",F158&gt;1),IF(TRANSACTIONS!$E158=RAPPORTS!$F$9,0,IF(OR(TRANSACTIONS!$D158=RAPPORTS!$A$13,TRANSACTIONS!$D158=RAPPORTS!#REF!),VLOOKUP(TRANSACTIONS!$F158,FRAIS_D_ENVOI,3,TRUE),0)),"")</f>
        <v/>
      </c>
      <c r="H158" s="46" t="str">
        <f>IFERROR(TRANSACTIONS!$F158+TRANSACTIONS!$G158,"")</f>
        <v/>
      </c>
      <c r="I158" s="44"/>
      <c r="J158" s="40" t="str">
        <f t="shared" si="2"/>
        <v/>
      </c>
    </row>
    <row r="159" spans="1:10" hidden="1" x14ac:dyDescent="0.25">
      <c r="A159" s="41"/>
      <c r="B159" s="48" t="str">
        <f>IF(A159&lt;&gt;"",DATE(YEAR(TRANSACTIONS!$A159),MONTH(TRANSACTIONS!$A159),DAY(TRANSACTIONS!$A159)),"")</f>
        <v/>
      </c>
      <c r="C159" s="49" t="str">
        <f>IF(A159&lt;&gt;"",TIME(HOUR(TRANSACTIONS!$A159),MINUTE(TRANSACTIONS!$A159),SECOND(TRANSACTIONS!$A159)),"")</f>
        <v/>
      </c>
      <c r="D159" s="42"/>
      <c r="E159" s="42"/>
      <c r="F159" s="43"/>
      <c r="G159" s="46" t="str">
        <f>IF(AND(A159&lt;&gt;"",F159&gt;1),IF(TRANSACTIONS!$E159=RAPPORTS!$F$9,0,IF(OR(TRANSACTIONS!$D159=RAPPORTS!$A$13,TRANSACTIONS!$D159=RAPPORTS!#REF!),VLOOKUP(TRANSACTIONS!$F159,FRAIS_D_ENVOI,3,TRUE),0)),"")</f>
        <v/>
      </c>
      <c r="H159" s="46" t="str">
        <f>IFERROR(TRANSACTIONS!$F159+TRANSACTIONS!$G159,"")</f>
        <v/>
      </c>
      <c r="I159" s="44"/>
      <c r="J159" s="40" t="str">
        <f t="shared" si="2"/>
        <v/>
      </c>
    </row>
    <row r="160" spans="1:10" hidden="1" x14ac:dyDescent="0.25">
      <c r="A160" s="41"/>
      <c r="B160" s="48" t="str">
        <f>IF(A160&lt;&gt;"",DATE(YEAR(TRANSACTIONS!$A160),MONTH(TRANSACTIONS!$A160),DAY(TRANSACTIONS!$A160)),"")</f>
        <v/>
      </c>
      <c r="C160" s="49" t="str">
        <f>IF(A160&lt;&gt;"",TIME(HOUR(TRANSACTIONS!$A160),MINUTE(TRANSACTIONS!$A160),SECOND(TRANSACTIONS!$A160)),"")</f>
        <v/>
      </c>
      <c r="D160" s="42"/>
      <c r="E160" s="42"/>
      <c r="F160" s="43"/>
      <c r="G160" s="46" t="str">
        <f>IF(AND(A160&lt;&gt;"",F160&gt;1),IF(TRANSACTIONS!$E160=RAPPORTS!$F$9,0,IF(OR(TRANSACTIONS!$D160=RAPPORTS!$A$13,TRANSACTIONS!$D160=RAPPORTS!#REF!),VLOOKUP(TRANSACTIONS!$F160,FRAIS_D_ENVOI,3,TRUE),0)),"")</f>
        <v/>
      </c>
      <c r="H160" s="46" t="str">
        <f>IFERROR(TRANSACTIONS!$F160+TRANSACTIONS!$G160,"")</f>
        <v/>
      </c>
      <c r="I160" s="44"/>
      <c r="J160" s="40" t="str">
        <f t="shared" si="2"/>
        <v/>
      </c>
    </row>
    <row r="161" spans="1:10" hidden="1" x14ac:dyDescent="0.25">
      <c r="A161" s="41"/>
      <c r="B161" s="48" t="str">
        <f>IF(A161&lt;&gt;"",DATE(YEAR(TRANSACTIONS!$A161),MONTH(TRANSACTIONS!$A161),DAY(TRANSACTIONS!$A161)),"")</f>
        <v/>
      </c>
      <c r="C161" s="49" t="str">
        <f>IF(A161&lt;&gt;"",TIME(HOUR(TRANSACTIONS!$A161),MINUTE(TRANSACTIONS!$A161),SECOND(TRANSACTIONS!$A161)),"")</f>
        <v/>
      </c>
      <c r="D161" s="42"/>
      <c r="E161" s="42"/>
      <c r="F161" s="43"/>
      <c r="G161" s="46" t="str">
        <f>IF(AND(A161&lt;&gt;"",F161&gt;1),IF(TRANSACTIONS!$E161=RAPPORTS!$F$9,0,IF(OR(TRANSACTIONS!$D161=RAPPORTS!$A$13,TRANSACTIONS!$D161=RAPPORTS!#REF!),VLOOKUP(TRANSACTIONS!$F161,FRAIS_D_ENVOI,3,TRUE),0)),"")</f>
        <v/>
      </c>
      <c r="H161" s="46" t="str">
        <f>IFERROR(TRANSACTIONS!$F161+TRANSACTIONS!$G161,"")</f>
        <v/>
      </c>
      <c r="I161" s="44"/>
      <c r="J161" s="40" t="str">
        <f t="shared" si="2"/>
        <v/>
      </c>
    </row>
    <row r="162" spans="1:10" hidden="1" x14ac:dyDescent="0.25">
      <c r="A162" s="41"/>
      <c r="B162" s="48" t="str">
        <f>IF(A162&lt;&gt;"",DATE(YEAR(TRANSACTIONS!$A162),MONTH(TRANSACTIONS!$A162),DAY(TRANSACTIONS!$A162)),"")</f>
        <v/>
      </c>
      <c r="C162" s="49" t="str">
        <f>IF(A162&lt;&gt;"",TIME(HOUR(TRANSACTIONS!$A162),MINUTE(TRANSACTIONS!$A162),SECOND(TRANSACTIONS!$A162)),"")</f>
        <v/>
      </c>
      <c r="D162" s="42"/>
      <c r="E162" s="42"/>
      <c r="F162" s="43"/>
      <c r="G162" s="46" t="str">
        <f>IF(AND(A162&lt;&gt;"",F162&gt;1),IF(TRANSACTIONS!$E162=RAPPORTS!$F$9,0,IF(OR(TRANSACTIONS!$D162=RAPPORTS!$A$13,TRANSACTIONS!$D162=RAPPORTS!#REF!),VLOOKUP(TRANSACTIONS!$F162,FRAIS_D_ENVOI,3,TRUE),0)),"")</f>
        <v/>
      </c>
      <c r="H162" s="46" t="str">
        <f>IFERROR(TRANSACTIONS!$F162+TRANSACTIONS!$G162,"")</f>
        <v/>
      </c>
      <c r="I162" s="44"/>
      <c r="J162" s="40" t="str">
        <f t="shared" si="2"/>
        <v/>
      </c>
    </row>
    <row r="163" spans="1:10" hidden="1" x14ac:dyDescent="0.25">
      <c r="A163" s="41"/>
      <c r="B163" s="48" t="str">
        <f>IF(A163&lt;&gt;"",DATE(YEAR(TRANSACTIONS!$A163),MONTH(TRANSACTIONS!$A163),DAY(TRANSACTIONS!$A163)),"")</f>
        <v/>
      </c>
      <c r="C163" s="49" t="str">
        <f>IF(A163&lt;&gt;"",TIME(HOUR(TRANSACTIONS!$A163),MINUTE(TRANSACTIONS!$A163),SECOND(TRANSACTIONS!$A163)),"")</f>
        <v/>
      </c>
      <c r="D163" s="42"/>
      <c r="E163" s="42"/>
      <c r="F163" s="43"/>
      <c r="G163" s="46" t="str">
        <f>IF(AND(A163&lt;&gt;"",F163&gt;1),IF(TRANSACTIONS!$E163=RAPPORTS!$F$9,0,IF(OR(TRANSACTIONS!$D163=RAPPORTS!$A$13,TRANSACTIONS!$D163=RAPPORTS!#REF!),VLOOKUP(TRANSACTIONS!$F163,FRAIS_D_ENVOI,3,TRUE),0)),"")</f>
        <v/>
      </c>
      <c r="H163" s="46" t="str">
        <f>IFERROR(TRANSACTIONS!$F163+TRANSACTIONS!$G163,"")</f>
        <v/>
      </c>
      <c r="I163" s="44"/>
      <c r="J163" s="40" t="str">
        <f t="shared" si="2"/>
        <v/>
      </c>
    </row>
    <row r="164" spans="1:10" hidden="1" x14ac:dyDescent="0.25">
      <c r="A164" s="41"/>
      <c r="B164" s="48" t="str">
        <f>IF(A164&lt;&gt;"",DATE(YEAR(TRANSACTIONS!$A164),MONTH(TRANSACTIONS!$A164),DAY(TRANSACTIONS!$A164)),"")</f>
        <v/>
      </c>
      <c r="C164" s="49" t="str">
        <f>IF(A164&lt;&gt;"",TIME(HOUR(TRANSACTIONS!$A164),MINUTE(TRANSACTIONS!$A164),SECOND(TRANSACTIONS!$A164)),"")</f>
        <v/>
      </c>
      <c r="D164" s="42"/>
      <c r="E164" s="42"/>
      <c r="F164" s="43"/>
      <c r="G164" s="46" t="str">
        <f>IF(AND(A164&lt;&gt;"",F164&gt;1),IF(TRANSACTIONS!$E164=RAPPORTS!$F$9,0,IF(OR(TRANSACTIONS!$D164=RAPPORTS!$A$13,TRANSACTIONS!$D164=RAPPORTS!#REF!),VLOOKUP(TRANSACTIONS!$F164,FRAIS_D_ENVOI,3,TRUE),0)),"")</f>
        <v/>
      </c>
      <c r="H164" s="46" t="str">
        <f>IFERROR(TRANSACTIONS!$F164+TRANSACTIONS!$G164,"")</f>
        <v/>
      </c>
      <c r="I164" s="44"/>
      <c r="J164" s="40" t="str">
        <f t="shared" si="2"/>
        <v/>
      </c>
    </row>
    <row r="165" spans="1:10" hidden="1" x14ac:dyDescent="0.25">
      <c r="A165" s="41"/>
      <c r="B165" s="48" t="str">
        <f>IF(A165&lt;&gt;"",DATE(YEAR(TRANSACTIONS!$A165),MONTH(TRANSACTIONS!$A165),DAY(TRANSACTIONS!$A165)),"")</f>
        <v/>
      </c>
      <c r="C165" s="49" t="str">
        <f>IF(A165&lt;&gt;"",TIME(HOUR(TRANSACTIONS!$A165),MINUTE(TRANSACTIONS!$A165),SECOND(TRANSACTIONS!$A165)),"")</f>
        <v/>
      </c>
      <c r="D165" s="42"/>
      <c r="E165" s="42"/>
      <c r="F165" s="43"/>
      <c r="G165" s="46" t="str">
        <f>IF(AND(A165&lt;&gt;"",F165&gt;1),IF(TRANSACTIONS!$E165=RAPPORTS!$F$9,0,IF(OR(TRANSACTIONS!$D165=RAPPORTS!$A$13,TRANSACTIONS!$D165=RAPPORTS!#REF!),VLOOKUP(TRANSACTIONS!$F165,FRAIS_D_ENVOI,3,TRUE),0)),"")</f>
        <v/>
      </c>
      <c r="H165" s="46" t="str">
        <f>IFERROR(TRANSACTIONS!$F165+TRANSACTIONS!$G165,"")</f>
        <v/>
      </c>
      <c r="I165" s="44"/>
      <c r="J165" s="40" t="str">
        <f t="shared" si="2"/>
        <v/>
      </c>
    </row>
    <row r="166" spans="1:10" hidden="1" x14ac:dyDescent="0.25">
      <c r="A166" s="41"/>
      <c r="B166" s="48" t="str">
        <f>IF(A166&lt;&gt;"",DATE(YEAR(TRANSACTIONS!$A166),MONTH(TRANSACTIONS!$A166),DAY(TRANSACTIONS!$A166)),"")</f>
        <v/>
      </c>
      <c r="C166" s="49" t="str">
        <f>IF(A166&lt;&gt;"",TIME(HOUR(TRANSACTIONS!$A166),MINUTE(TRANSACTIONS!$A166),SECOND(TRANSACTIONS!$A166)),"")</f>
        <v/>
      </c>
      <c r="D166" s="42"/>
      <c r="E166" s="42"/>
      <c r="F166" s="43"/>
      <c r="G166" s="46" t="str">
        <f>IF(AND(A166&lt;&gt;"",F166&gt;1),IF(TRANSACTIONS!$E166=RAPPORTS!$F$9,0,IF(OR(TRANSACTIONS!$D166=RAPPORTS!$A$13,TRANSACTIONS!$D166=RAPPORTS!#REF!),VLOOKUP(TRANSACTIONS!$F166,FRAIS_D_ENVOI,3,TRUE),0)),"")</f>
        <v/>
      </c>
      <c r="H166" s="46" t="str">
        <f>IFERROR(TRANSACTIONS!$F166+TRANSACTIONS!$G166,"")</f>
        <v/>
      </c>
      <c r="I166" s="44"/>
      <c r="J166" s="40" t="str">
        <f t="shared" si="2"/>
        <v/>
      </c>
    </row>
    <row r="167" spans="1:10" hidden="1" x14ac:dyDescent="0.25">
      <c r="A167" s="41"/>
      <c r="B167" s="48" t="str">
        <f>IF(A167&lt;&gt;"",DATE(YEAR(TRANSACTIONS!$A167),MONTH(TRANSACTIONS!$A167),DAY(TRANSACTIONS!$A167)),"")</f>
        <v/>
      </c>
      <c r="C167" s="49" t="str">
        <f>IF(A167&lt;&gt;"",TIME(HOUR(TRANSACTIONS!$A167),MINUTE(TRANSACTIONS!$A167),SECOND(TRANSACTIONS!$A167)),"")</f>
        <v/>
      </c>
      <c r="D167" s="42"/>
      <c r="E167" s="42"/>
      <c r="F167" s="43"/>
      <c r="G167" s="46" t="str">
        <f>IF(AND(A167&lt;&gt;"",F167&gt;1),IF(TRANSACTIONS!$E167=RAPPORTS!$F$9,0,IF(OR(TRANSACTIONS!$D167=RAPPORTS!$A$13,TRANSACTIONS!$D167=RAPPORTS!#REF!),VLOOKUP(TRANSACTIONS!$F167,FRAIS_D_ENVOI,3,TRUE),0)),"")</f>
        <v/>
      </c>
      <c r="H167" s="46" t="str">
        <f>IFERROR(TRANSACTIONS!$F167+TRANSACTIONS!$G167,"")</f>
        <v/>
      </c>
      <c r="I167" s="44"/>
      <c r="J167" s="40" t="str">
        <f t="shared" si="2"/>
        <v/>
      </c>
    </row>
    <row r="168" spans="1:10" hidden="1" x14ac:dyDescent="0.25">
      <c r="A168" s="41"/>
      <c r="B168" s="48" t="str">
        <f>IF(A168&lt;&gt;"",DATE(YEAR(TRANSACTIONS!$A168),MONTH(TRANSACTIONS!$A168),DAY(TRANSACTIONS!$A168)),"")</f>
        <v/>
      </c>
      <c r="C168" s="49" t="str">
        <f>IF(A168&lt;&gt;"",TIME(HOUR(TRANSACTIONS!$A168),MINUTE(TRANSACTIONS!$A168),SECOND(TRANSACTIONS!$A168)),"")</f>
        <v/>
      </c>
      <c r="D168" s="42"/>
      <c r="E168" s="42"/>
      <c r="F168" s="43"/>
      <c r="G168" s="46" t="str">
        <f>IF(AND(A168&lt;&gt;"",F168&gt;1),IF(TRANSACTIONS!$E168=RAPPORTS!$F$9,0,IF(OR(TRANSACTIONS!$D168=RAPPORTS!$A$13,TRANSACTIONS!$D168=RAPPORTS!#REF!),VLOOKUP(TRANSACTIONS!$F168,FRAIS_D_ENVOI,3,TRUE),0)),"")</f>
        <v/>
      </c>
      <c r="H168" s="46" t="str">
        <f>IFERROR(TRANSACTIONS!$F168+TRANSACTIONS!$G168,"")</f>
        <v/>
      </c>
      <c r="I168" s="44"/>
      <c r="J168" s="40" t="str">
        <f t="shared" si="2"/>
        <v/>
      </c>
    </row>
    <row r="169" spans="1:10" hidden="1" x14ac:dyDescent="0.25">
      <c r="A169" s="41"/>
      <c r="B169" s="48" t="str">
        <f>IF(A169&lt;&gt;"",DATE(YEAR(TRANSACTIONS!$A169),MONTH(TRANSACTIONS!$A169),DAY(TRANSACTIONS!$A169)),"")</f>
        <v/>
      </c>
      <c r="C169" s="49" t="str">
        <f>IF(A169&lt;&gt;"",TIME(HOUR(TRANSACTIONS!$A169),MINUTE(TRANSACTIONS!$A169),SECOND(TRANSACTIONS!$A169)),"")</f>
        <v/>
      </c>
      <c r="D169" s="42"/>
      <c r="E169" s="42"/>
      <c r="F169" s="43"/>
      <c r="G169" s="46" t="str">
        <f>IF(AND(A169&lt;&gt;"",F169&gt;1),IF(TRANSACTIONS!$E169=RAPPORTS!$F$9,0,IF(OR(TRANSACTIONS!$D169=RAPPORTS!$A$13,TRANSACTIONS!$D169=RAPPORTS!#REF!),VLOOKUP(TRANSACTIONS!$F169,FRAIS_D_ENVOI,3,TRUE),0)),"")</f>
        <v/>
      </c>
      <c r="H169" s="46" t="str">
        <f>IFERROR(TRANSACTIONS!$F169+TRANSACTIONS!$G169,"")</f>
        <v/>
      </c>
      <c r="I169" s="44"/>
      <c r="J169" s="40" t="str">
        <f t="shared" si="2"/>
        <v/>
      </c>
    </row>
    <row r="170" spans="1:10" hidden="1" x14ac:dyDescent="0.25">
      <c r="A170" s="41"/>
      <c r="B170" s="48" t="str">
        <f>IF(A170&lt;&gt;"",DATE(YEAR(TRANSACTIONS!$A170),MONTH(TRANSACTIONS!$A170),DAY(TRANSACTIONS!$A170)),"")</f>
        <v/>
      </c>
      <c r="C170" s="49" t="str">
        <f>IF(A170&lt;&gt;"",TIME(HOUR(TRANSACTIONS!$A170),MINUTE(TRANSACTIONS!$A170),SECOND(TRANSACTIONS!$A170)),"")</f>
        <v/>
      </c>
      <c r="D170" s="42"/>
      <c r="E170" s="42"/>
      <c r="F170" s="43"/>
      <c r="G170" s="46" t="str">
        <f>IF(AND(A170&lt;&gt;"",F170&gt;1),IF(TRANSACTIONS!$E170=RAPPORTS!$F$9,0,IF(OR(TRANSACTIONS!$D170=RAPPORTS!$A$13,TRANSACTIONS!$D170=RAPPORTS!#REF!),VLOOKUP(TRANSACTIONS!$F170,FRAIS_D_ENVOI,3,TRUE),0)),"")</f>
        <v/>
      </c>
      <c r="H170" s="46" t="str">
        <f>IFERROR(TRANSACTIONS!$F170+TRANSACTIONS!$G170,"")</f>
        <v/>
      </c>
      <c r="I170" s="44"/>
      <c r="J170" s="40" t="str">
        <f t="shared" si="2"/>
        <v/>
      </c>
    </row>
    <row r="171" spans="1:10" hidden="1" x14ac:dyDescent="0.25">
      <c r="A171" s="41"/>
      <c r="B171" s="48" t="str">
        <f>IF(A171&lt;&gt;"",DATE(YEAR(TRANSACTIONS!$A171),MONTH(TRANSACTIONS!$A171),DAY(TRANSACTIONS!$A171)),"")</f>
        <v/>
      </c>
      <c r="C171" s="49" t="str">
        <f>IF(A171&lt;&gt;"",TIME(HOUR(TRANSACTIONS!$A171),MINUTE(TRANSACTIONS!$A171),SECOND(TRANSACTIONS!$A171)),"")</f>
        <v/>
      </c>
      <c r="D171" s="42"/>
      <c r="E171" s="42"/>
      <c r="F171" s="43"/>
      <c r="G171" s="46" t="str">
        <f>IF(AND(A171&lt;&gt;"",F171&gt;1),IF(TRANSACTIONS!$E171=RAPPORTS!$F$9,0,IF(OR(TRANSACTIONS!$D171=RAPPORTS!$A$13,TRANSACTIONS!$D171=RAPPORTS!#REF!),VLOOKUP(TRANSACTIONS!$F171,FRAIS_D_ENVOI,3,TRUE),0)),"")</f>
        <v/>
      </c>
      <c r="H171" s="46" t="str">
        <f>IFERROR(TRANSACTIONS!$F171+TRANSACTIONS!$G171,"")</f>
        <v/>
      </c>
      <c r="I171" s="44"/>
      <c r="J171" s="40" t="str">
        <f t="shared" si="2"/>
        <v/>
      </c>
    </row>
    <row r="172" spans="1:10" hidden="1" x14ac:dyDescent="0.25">
      <c r="A172" s="41"/>
      <c r="B172" s="48" t="str">
        <f>IF(A172&lt;&gt;"",DATE(YEAR(TRANSACTIONS!$A172),MONTH(TRANSACTIONS!$A172),DAY(TRANSACTIONS!$A172)),"")</f>
        <v/>
      </c>
      <c r="C172" s="49" t="str">
        <f>IF(A172&lt;&gt;"",TIME(HOUR(TRANSACTIONS!$A172),MINUTE(TRANSACTIONS!$A172),SECOND(TRANSACTIONS!$A172)),"")</f>
        <v/>
      </c>
      <c r="D172" s="42"/>
      <c r="E172" s="42"/>
      <c r="F172" s="43"/>
      <c r="G172" s="46" t="str">
        <f>IF(AND(A172&lt;&gt;"",F172&gt;1),IF(TRANSACTIONS!$E172=RAPPORTS!$F$9,0,IF(OR(TRANSACTIONS!$D172=RAPPORTS!$A$13,TRANSACTIONS!$D172=RAPPORTS!#REF!),VLOOKUP(TRANSACTIONS!$F172,FRAIS_D_ENVOI,3,TRUE),0)),"")</f>
        <v/>
      </c>
      <c r="H172" s="46" t="str">
        <f>IFERROR(TRANSACTIONS!$F172+TRANSACTIONS!$G172,"")</f>
        <v/>
      </c>
      <c r="I172" s="44"/>
      <c r="J172" s="40" t="str">
        <f t="shared" si="2"/>
        <v/>
      </c>
    </row>
    <row r="173" spans="1:10" hidden="1" x14ac:dyDescent="0.25">
      <c r="A173" s="41"/>
      <c r="B173" s="48" t="str">
        <f>IF(A173&lt;&gt;"",DATE(YEAR(TRANSACTIONS!$A173),MONTH(TRANSACTIONS!$A173),DAY(TRANSACTIONS!$A173)),"")</f>
        <v/>
      </c>
      <c r="C173" s="49" t="str">
        <f>IF(A173&lt;&gt;"",TIME(HOUR(TRANSACTIONS!$A173),MINUTE(TRANSACTIONS!$A173),SECOND(TRANSACTIONS!$A173)),"")</f>
        <v/>
      </c>
      <c r="D173" s="42"/>
      <c r="E173" s="42"/>
      <c r="F173" s="43"/>
      <c r="G173" s="46" t="str">
        <f>IF(AND(A173&lt;&gt;"",F173&gt;1),IF(TRANSACTIONS!$E173=RAPPORTS!$F$9,0,IF(OR(TRANSACTIONS!$D173=RAPPORTS!$A$13,TRANSACTIONS!$D173=RAPPORTS!#REF!),VLOOKUP(TRANSACTIONS!$F173,FRAIS_D_ENVOI,3,TRUE),0)),"")</f>
        <v/>
      </c>
      <c r="H173" s="46" t="str">
        <f>IFERROR(TRANSACTIONS!$F173+TRANSACTIONS!$G173,"")</f>
        <v/>
      </c>
      <c r="I173" s="44"/>
      <c r="J173" s="40" t="str">
        <f t="shared" si="2"/>
        <v/>
      </c>
    </row>
    <row r="174" spans="1:10" hidden="1" x14ac:dyDescent="0.25">
      <c r="A174" s="41"/>
      <c r="B174" s="48" t="str">
        <f>IF(A174&lt;&gt;"",DATE(YEAR(TRANSACTIONS!$A174),MONTH(TRANSACTIONS!$A174),DAY(TRANSACTIONS!$A174)),"")</f>
        <v/>
      </c>
      <c r="C174" s="49" t="str">
        <f>IF(A174&lt;&gt;"",TIME(HOUR(TRANSACTIONS!$A174),MINUTE(TRANSACTIONS!$A174),SECOND(TRANSACTIONS!$A174)),"")</f>
        <v/>
      </c>
      <c r="D174" s="42"/>
      <c r="E174" s="42"/>
      <c r="F174" s="43"/>
      <c r="G174" s="46" t="str">
        <f>IF(AND(A174&lt;&gt;"",F174&gt;1),IF(TRANSACTIONS!$E174=RAPPORTS!$F$9,0,IF(OR(TRANSACTIONS!$D174=RAPPORTS!$A$13,TRANSACTIONS!$D174=RAPPORTS!#REF!),VLOOKUP(TRANSACTIONS!$F174,FRAIS_D_ENVOI,3,TRUE),0)),"")</f>
        <v/>
      </c>
      <c r="H174" s="46" t="str">
        <f>IFERROR(TRANSACTIONS!$F174+TRANSACTIONS!$G174,"")</f>
        <v/>
      </c>
      <c r="I174" s="44"/>
      <c r="J174" s="40" t="str">
        <f t="shared" si="2"/>
        <v/>
      </c>
    </row>
    <row r="175" spans="1:10" hidden="1" x14ac:dyDescent="0.25">
      <c r="A175" s="41"/>
      <c r="B175" s="48" t="str">
        <f>IF(A175&lt;&gt;"",DATE(YEAR(TRANSACTIONS!$A175),MONTH(TRANSACTIONS!$A175),DAY(TRANSACTIONS!$A175)),"")</f>
        <v/>
      </c>
      <c r="C175" s="49" t="str">
        <f>IF(A175&lt;&gt;"",TIME(HOUR(TRANSACTIONS!$A175),MINUTE(TRANSACTIONS!$A175),SECOND(TRANSACTIONS!$A175)),"")</f>
        <v/>
      </c>
      <c r="D175" s="42"/>
      <c r="E175" s="42"/>
      <c r="F175" s="43"/>
      <c r="G175" s="46" t="str">
        <f>IF(AND(A175&lt;&gt;"",F175&gt;1),IF(TRANSACTIONS!$E175=RAPPORTS!$F$9,0,IF(OR(TRANSACTIONS!$D175=RAPPORTS!$A$13,TRANSACTIONS!$D175=RAPPORTS!#REF!),VLOOKUP(TRANSACTIONS!$F175,FRAIS_D_ENVOI,3,TRUE),0)),"")</f>
        <v/>
      </c>
      <c r="H175" s="46" t="str">
        <f>IFERROR(TRANSACTIONS!$F175+TRANSACTIONS!$G175,"")</f>
        <v/>
      </c>
      <c r="I175" s="44"/>
      <c r="J175" s="40" t="str">
        <f t="shared" si="2"/>
        <v/>
      </c>
    </row>
    <row r="176" spans="1:10" hidden="1" x14ac:dyDescent="0.25">
      <c r="A176" s="41"/>
      <c r="B176" s="48" t="str">
        <f>IF(A176&lt;&gt;"",DATE(YEAR(TRANSACTIONS!$A176),MONTH(TRANSACTIONS!$A176),DAY(TRANSACTIONS!$A176)),"")</f>
        <v/>
      </c>
      <c r="C176" s="49" t="str">
        <f>IF(A176&lt;&gt;"",TIME(HOUR(TRANSACTIONS!$A176),MINUTE(TRANSACTIONS!$A176),SECOND(TRANSACTIONS!$A176)),"")</f>
        <v/>
      </c>
      <c r="D176" s="42"/>
      <c r="E176" s="42"/>
      <c r="F176" s="43"/>
      <c r="G176" s="46" t="str">
        <f>IF(AND(A176&lt;&gt;"",F176&gt;1),IF(TRANSACTIONS!$E176=RAPPORTS!$F$9,0,IF(OR(TRANSACTIONS!$D176=RAPPORTS!$A$13,TRANSACTIONS!$D176=RAPPORTS!#REF!),VLOOKUP(TRANSACTIONS!$F176,FRAIS_D_ENVOI,3,TRUE),0)),"")</f>
        <v/>
      </c>
      <c r="H176" s="46" t="str">
        <f>IFERROR(TRANSACTIONS!$F176+TRANSACTIONS!$G176,"")</f>
        <v/>
      </c>
      <c r="I176" s="44"/>
      <c r="J176" s="40" t="str">
        <f t="shared" si="2"/>
        <v/>
      </c>
    </row>
    <row r="177" spans="1:10" hidden="1" x14ac:dyDescent="0.25">
      <c r="A177" s="41"/>
      <c r="B177" s="48" t="str">
        <f>IF(A177&lt;&gt;"",DATE(YEAR(TRANSACTIONS!$A177),MONTH(TRANSACTIONS!$A177),DAY(TRANSACTIONS!$A177)),"")</f>
        <v/>
      </c>
      <c r="C177" s="49" t="str">
        <f>IF(A177&lt;&gt;"",TIME(HOUR(TRANSACTIONS!$A177),MINUTE(TRANSACTIONS!$A177),SECOND(TRANSACTIONS!$A177)),"")</f>
        <v/>
      </c>
      <c r="D177" s="42"/>
      <c r="E177" s="42"/>
      <c r="F177" s="43"/>
      <c r="G177" s="46" t="str">
        <f>IF(AND(A177&lt;&gt;"",F177&gt;1),IF(TRANSACTIONS!$E177=RAPPORTS!$F$9,0,IF(OR(TRANSACTIONS!$D177=RAPPORTS!$A$13,TRANSACTIONS!$D177=RAPPORTS!#REF!),VLOOKUP(TRANSACTIONS!$F177,FRAIS_D_ENVOI,3,TRUE),0)),"")</f>
        <v/>
      </c>
      <c r="H177" s="46" t="str">
        <f>IFERROR(TRANSACTIONS!$F177+TRANSACTIONS!$G177,"")</f>
        <v/>
      </c>
      <c r="I177" s="44"/>
      <c r="J177" s="40" t="str">
        <f t="shared" si="2"/>
        <v/>
      </c>
    </row>
    <row r="178" spans="1:10" hidden="1" x14ac:dyDescent="0.25">
      <c r="A178" s="41"/>
      <c r="B178" s="48" t="str">
        <f>IF(A178&lt;&gt;"",DATE(YEAR(TRANSACTIONS!$A178),MONTH(TRANSACTIONS!$A178),DAY(TRANSACTIONS!$A178)),"")</f>
        <v/>
      </c>
      <c r="C178" s="49" t="str">
        <f>IF(A178&lt;&gt;"",TIME(HOUR(TRANSACTIONS!$A178),MINUTE(TRANSACTIONS!$A178),SECOND(TRANSACTIONS!$A178)),"")</f>
        <v/>
      </c>
      <c r="D178" s="42"/>
      <c r="E178" s="42"/>
      <c r="F178" s="43"/>
      <c r="G178" s="46" t="str">
        <f>IF(AND(A178&lt;&gt;"",F178&gt;1),IF(TRANSACTIONS!$E178=RAPPORTS!$F$9,0,IF(OR(TRANSACTIONS!$D178=RAPPORTS!$A$13,TRANSACTIONS!$D178=RAPPORTS!#REF!),VLOOKUP(TRANSACTIONS!$F178,FRAIS_D_ENVOI,3,TRUE),0)),"")</f>
        <v/>
      </c>
      <c r="H178" s="46" t="str">
        <f>IFERROR(TRANSACTIONS!$F178+TRANSACTIONS!$G178,"")</f>
        <v/>
      </c>
      <c r="I178" s="44"/>
      <c r="J178" s="40" t="str">
        <f t="shared" si="2"/>
        <v/>
      </c>
    </row>
    <row r="179" spans="1:10" hidden="1" x14ac:dyDescent="0.25">
      <c r="A179" s="41"/>
      <c r="B179" s="48" t="str">
        <f>IF(A179&lt;&gt;"",DATE(YEAR(TRANSACTIONS!$A179),MONTH(TRANSACTIONS!$A179),DAY(TRANSACTIONS!$A179)),"")</f>
        <v/>
      </c>
      <c r="C179" s="49" t="str">
        <f>IF(A179&lt;&gt;"",TIME(HOUR(TRANSACTIONS!$A179),MINUTE(TRANSACTIONS!$A179),SECOND(TRANSACTIONS!$A179)),"")</f>
        <v/>
      </c>
      <c r="D179" s="42"/>
      <c r="E179" s="42"/>
      <c r="F179" s="43"/>
      <c r="G179" s="46" t="str">
        <f>IF(AND(A179&lt;&gt;"",F179&gt;1),IF(TRANSACTIONS!$E179=RAPPORTS!$F$9,0,IF(OR(TRANSACTIONS!$D179=RAPPORTS!$A$13,TRANSACTIONS!$D179=RAPPORTS!#REF!),VLOOKUP(TRANSACTIONS!$F179,FRAIS_D_ENVOI,3,TRUE),0)),"")</f>
        <v/>
      </c>
      <c r="H179" s="46" t="str">
        <f>IFERROR(TRANSACTIONS!$F179+TRANSACTIONS!$G179,"")</f>
        <v/>
      </c>
      <c r="I179" s="44"/>
      <c r="J179" s="40" t="str">
        <f t="shared" si="2"/>
        <v/>
      </c>
    </row>
    <row r="180" spans="1:10" hidden="1" x14ac:dyDescent="0.25">
      <c r="A180" s="41"/>
      <c r="B180" s="48" t="str">
        <f>IF(A180&lt;&gt;"",DATE(YEAR(TRANSACTIONS!$A180),MONTH(TRANSACTIONS!$A180),DAY(TRANSACTIONS!$A180)),"")</f>
        <v/>
      </c>
      <c r="C180" s="49" t="str">
        <f>IF(A180&lt;&gt;"",TIME(HOUR(TRANSACTIONS!$A180),MINUTE(TRANSACTIONS!$A180),SECOND(TRANSACTIONS!$A180)),"")</f>
        <v/>
      </c>
      <c r="D180" s="42"/>
      <c r="E180" s="42"/>
      <c r="F180" s="43"/>
      <c r="G180" s="46" t="str">
        <f>IF(AND(A180&lt;&gt;"",F180&gt;1),IF(TRANSACTIONS!$E180=RAPPORTS!$F$9,0,IF(OR(TRANSACTIONS!$D180=RAPPORTS!$A$13,TRANSACTIONS!$D180=RAPPORTS!#REF!),VLOOKUP(TRANSACTIONS!$F180,FRAIS_D_ENVOI,3,TRUE),0)),"")</f>
        <v/>
      </c>
      <c r="H180" s="46" t="str">
        <f>IFERROR(TRANSACTIONS!$F180+TRANSACTIONS!$G180,"")</f>
        <v/>
      </c>
      <c r="I180" s="44"/>
      <c r="J180" s="40" t="str">
        <f t="shared" si="2"/>
        <v/>
      </c>
    </row>
    <row r="181" spans="1:10" hidden="1" x14ac:dyDescent="0.25">
      <c r="A181" s="41"/>
      <c r="B181" s="48" t="str">
        <f>IF(A181&lt;&gt;"",DATE(YEAR(TRANSACTIONS!$A181),MONTH(TRANSACTIONS!$A181),DAY(TRANSACTIONS!$A181)),"")</f>
        <v/>
      </c>
      <c r="C181" s="49" t="str">
        <f>IF(A181&lt;&gt;"",TIME(HOUR(TRANSACTIONS!$A181),MINUTE(TRANSACTIONS!$A181),SECOND(TRANSACTIONS!$A181)),"")</f>
        <v/>
      </c>
      <c r="D181" s="42"/>
      <c r="E181" s="42"/>
      <c r="F181" s="43"/>
      <c r="G181" s="46" t="str">
        <f>IF(AND(A181&lt;&gt;"",F181&gt;1),IF(TRANSACTIONS!$E181=RAPPORTS!$F$9,0,IF(OR(TRANSACTIONS!$D181=RAPPORTS!$A$13,TRANSACTIONS!$D181=RAPPORTS!#REF!),VLOOKUP(TRANSACTIONS!$F181,FRAIS_D_ENVOI,3,TRUE),0)),"")</f>
        <v/>
      </c>
      <c r="H181" s="46" t="str">
        <f>IFERROR(TRANSACTIONS!$F181+TRANSACTIONS!$G181,"")</f>
        <v/>
      </c>
      <c r="I181" s="44"/>
      <c r="J181" s="40" t="str">
        <f t="shared" si="2"/>
        <v/>
      </c>
    </row>
    <row r="182" spans="1:10" hidden="1" x14ac:dyDescent="0.25">
      <c r="A182" s="41"/>
      <c r="B182" s="48" t="str">
        <f>IF(A182&lt;&gt;"",DATE(YEAR(TRANSACTIONS!$A182),MONTH(TRANSACTIONS!$A182),DAY(TRANSACTIONS!$A182)),"")</f>
        <v/>
      </c>
      <c r="C182" s="49" t="str">
        <f>IF(A182&lt;&gt;"",TIME(HOUR(TRANSACTIONS!$A182),MINUTE(TRANSACTIONS!$A182),SECOND(TRANSACTIONS!$A182)),"")</f>
        <v/>
      </c>
      <c r="D182" s="42"/>
      <c r="E182" s="42"/>
      <c r="F182" s="43"/>
      <c r="G182" s="46" t="str">
        <f>IF(AND(A182&lt;&gt;"",F182&gt;1),IF(TRANSACTIONS!$E182=RAPPORTS!$F$9,0,IF(OR(TRANSACTIONS!$D182=RAPPORTS!$A$13,TRANSACTIONS!$D182=RAPPORTS!#REF!),VLOOKUP(TRANSACTIONS!$F182,FRAIS_D_ENVOI,3,TRUE),0)),"")</f>
        <v/>
      </c>
      <c r="H182" s="46" t="str">
        <f>IFERROR(TRANSACTIONS!$F182+TRANSACTIONS!$G182,"")</f>
        <v/>
      </c>
      <c r="I182" s="44"/>
      <c r="J182" s="40" t="str">
        <f t="shared" si="2"/>
        <v/>
      </c>
    </row>
    <row r="183" spans="1:10" hidden="1" x14ac:dyDescent="0.25">
      <c r="A183" s="41"/>
      <c r="B183" s="48" t="str">
        <f>IF(A183&lt;&gt;"",DATE(YEAR(TRANSACTIONS!$A183),MONTH(TRANSACTIONS!$A183),DAY(TRANSACTIONS!$A183)),"")</f>
        <v/>
      </c>
      <c r="C183" s="49" t="str">
        <f>IF(A183&lt;&gt;"",TIME(HOUR(TRANSACTIONS!$A183),MINUTE(TRANSACTIONS!$A183),SECOND(TRANSACTIONS!$A183)),"")</f>
        <v/>
      </c>
      <c r="D183" s="42"/>
      <c r="E183" s="42"/>
      <c r="F183" s="43"/>
      <c r="G183" s="46" t="str">
        <f>IF(AND(A183&lt;&gt;"",F183&gt;1),IF(TRANSACTIONS!$E183=RAPPORTS!$F$9,0,IF(OR(TRANSACTIONS!$D183=RAPPORTS!$A$13,TRANSACTIONS!$D183=RAPPORTS!#REF!),VLOOKUP(TRANSACTIONS!$F183,FRAIS_D_ENVOI,3,TRUE),0)),"")</f>
        <v/>
      </c>
      <c r="H183" s="46" t="str">
        <f>IFERROR(TRANSACTIONS!$F183+TRANSACTIONS!$G183,"")</f>
        <v/>
      </c>
      <c r="I183" s="44"/>
      <c r="J183" s="40" t="str">
        <f t="shared" si="2"/>
        <v/>
      </c>
    </row>
    <row r="184" spans="1:10" hidden="1" x14ac:dyDescent="0.25">
      <c r="A184" s="41"/>
      <c r="B184" s="48" t="str">
        <f>IF(A184&lt;&gt;"",DATE(YEAR(TRANSACTIONS!$A184),MONTH(TRANSACTIONS!$A184),DAY(TRANSACTIONS!$A184)),"")</f>
        <v/>
      </c>
      <c r="C184" s="49" t="str">
        <f>IF(A184&lt;&gt;"",TIME(HOUR(TRANSACTIONS!$A184),MINUTE(TRANSACTIONS!$A184),SECOND(TRANSACTIONS!$A184)),"")</f>
        <v/>
      </c>
      <c r="D184" s="42"/>
      <c r="E184" s="42"/>
      <c r="F184" s="43"/>
      <c r="G184" s="46" t="str">
        <f>IF(AND(A184&lt;&gt;"",F184&gt;1),IF(TRANSACTIONS!$E184=RAPPORTS!$F$9,0,IF(OR(TRANSACTIONS!$D184=RAPPORTS!$A$13,TRANSACTIONS!$D184=RAPPORTS!#REF!),VLOOKUP(TRANSACTIONS!$F184,FRAIS_D_ENVOI,3,TRUE),0)),"")</f>
        <v/>
      </c>
      <c r="H184" s="46" t="str">
        <f>IFERROR(TRANSACTIONS!$F184+TRANSACTIONS!$G184,"")</f>
        <v/>
      </c>
      <c r="I184" s="44"/>
      <c r="J184" s="40" t="str">
        <f t="shared" si="2"/>
        <v/>
      </c>
    </row>
    <row r="185" spans="1:10" hidden="1" x14ac:dyDescent="0.25">
      <c r="A185" s="41"/>
      <c r="B185" s="48" t="str">
        <f>IF(A185&lt;&gt;"",DATE(YEAR(TRANSACTIONS!$A185),MONTH(TRANSACTIONS!$A185),DAY(TRANSACTIONS!$A185)),"")</f>
        <v/>
      </c>
      <c r="C185" s="49" t="str">
        <f>IF(A185&lt;&gt;"",TIME(HOUR(TRANSACTIONS!$A185),MINUTE(TRANSACTIONS!$A185),SECOND(TRANSACTIONS!$A185)),"")</f>
        <v/>
      </c>
      <c r="D185" s="42"/>
      <c r="E185" s="42"/>
      <c r="F185" s="43"/>
      <c r="G185" s="46" t="str">
        <f>IF(AND(A185&lt;&gt;"",F185&gt;1),IF(TRANSACTIONS!$E185=RAPPORTS!$F$9,0,IF(OR(TRANSACTIONS!$D185=RAPPORTS!$A$13,TRANSACTIONS!$D185=RAPPORTS!#REF!),VLOOKUP(TRANSACTIONS!$F185,FRAIS_D_ENVOI,3,TRUE),0)),"")</f>
        <v/>
      </c>
      <c r="H185" s="46" t="str">
        <f>IFERROR(TRANSACTIONS!$F185+TRANSACTIONS!$G185,"")</f>
        <v/>
      </c>
      <c r="I185" s="44"/>
      <c r="J185" s="40" t="str">
        <f t="shared" si="2"/>
        <v/>
      </c>
    </row>
    <row r="186" spans="1:10" hidden="1" x14ac:dyDescent="0.25">
      <c r="A186" s="41"/>
      <c r="B186" s="48" t="str">
        <f>IF(A186&lt;&gt;"",DATE(YEAR(TRANSACTIONS!$A186),MONTH(TRANSACTIONS!$A186),DAY(TRANSACTIONS!$A186)),"")</f>
        <v/>
      </c>
      <c r="C186" s="49" t="str">
        <f>IF(A186&lt;&gt;"",TIME(HOUR(TRANSACTIONS!$A186),MINUTE(TRANSACTIONS!$A186),SECOND(TRANSACTIONS!$A186)),"")</f>
        <v/>
      </c>
      <c r="D186" s="42"/>
      <c r="E186" s="42"/>
      <c r="F186" s="43"/>
      <c r="G186" s="46" t="str">
        <f>IF(AND(A186&lt;&gt;"",F186&gt;1),IF(TRANSACTIONS!$E186=RAPPORTS!$F$9,0,IF(OR(TRANSACTIONS!$D186=RAPPORTS!$A$13,TRANSACTIONS!$D186=RAPPORTS!#REF!),VLOOKUP(TRANSACTIONS!$F186,FRAIS_D_ENVOI,3,TRUE),0)),"")</f>
        <v/>
      </c>
      <c r="H186" s="46" t="str">
        <f>IFERROR(TRANSACTIONS!$F186+TRANSACTIONS!$G186,"")</f>
        <v/>
      </c>
      <c r="I186" s="44"/>
      <c r="J186" s="40" t="str">
        <f t="shared" si="2"/>
        <v/>
      </c>
    </row>
    <row r="187" spans="1:10" hidden="1" x14ac:dyDescent="0.25">
      <c r="A187" s="41"/>
      <c r="B187" s="48" t="str">
        <f>IF(A187&lt;&gt;"",DATE(YEAR(TRANSACTIONS!$A187),MONTH(TRANSACTIONS!$A187),DAY(TRANSACTIONS!$A187)),"")</f>
        <v/>
      </c>
      <c r="C187" s="49" t="str">
        <f>IF(A187&lt;&gt;"",TIME(HOUR(TRANSACTIONS!$A187),MINUTE(TRANSACTIONS!$A187),SECOND(TRANSACTIONS!$A187)),"")</f>
        <v/>
      </c>
      <c r="D187" s="42"/>
      <c r="E187" s="42"/>
      <c r="F187" s="43"/>
      <c r="G187" s="46" t="str">
        <f>IF(AND(A187&lt;&gt;"",F187&gt;1),IF(TRANSACTIONS!$E187=RAPPORTS!$F$9,0,IF(OR(TRANSACTIONS!$D187=RAPPORTS!$A$13,TRANSACTIONS!$D187=RAPPORTS!#REF!),VLOOKUP(TRANSACTIONS!$F187,FRAIS_D_ENVOI,3,TRUE),0)),"")</f>
        <v/>
      </c>
      <c r="H187" s="46" t="str">
        <f>IFERROR(TRANSACTIONS!$F187+TRANSACTIONS!$G187,"")</f>
        <v/>
      </c>
      <c r="I187" s="44"/>
      <c r="J187" s="40" t="str">
        <f t="shared" si="2"/>
        <v/>
      </c>
    </row>
    <row r="188" spans="1:10" hidden="1" x14ac:dyDescent="0.25">
      <c r="A188" s="41"/>
      <c r="B188" s="48" t="str">
        <f>IF(A188&lt;&gt;"",DATE(YEAR(TRANSACTIONS!$A188),MONTH(TRANSACTIONS!$A188),DAY(TRANSACTIONS!$A188)),"")</f>
        <v/>
      </c>
      <c r="C188" s="49" t="str">
        <f>IF(A188&lt;&gt;"",TIME(HOUR(TRANSACTIONS!$A188),MINUTE(TRANSACTIONS!$A188),SECOND(TRANSACTIONS!$A188)),"")</f>
        <v/>
      </c>
      <c r="D188" s="42"/>
      <c r="E188" s="42"/>
      <c r="F188" s="43"/>
      <c r="G188" s="46" t="str">
        <f>IF(AND(A188&lt;&gt;"",F188&gt;1),IF(TRANSACTIONS!$E188=RAPPORTS!$F$9,0,IF(OR(TRANSACTIONS!$D188=RAPPORTS!$A$13,TRANSACTIONS!$D188=RAPPORTS!#REF!),VLOOKUP(TRANSACTIONS!$F188,FRAIS_D_ENVOI,3,TRUE),0)),"")</f>
        <v/>
      </c>
      <c r="H188" s="46" t="str">
        <f>IFERROR(TRANSACTIONS!$F188+TRANSACTIONS!$G188,"")</f>
        <v/>
      </c>
      <c r="I188" s="44"/>
      <c r="J188" s="40" t="str">
        <f t="shared" si="2"/>
        <v/>
      </c>
    </row>
    <row r="189" spans="1:10" hidden="1" x14ac:dyDescent="0.25">
      <c r="A189" s="41"/>
      <c r="B189" s="48" t="str">
        <f>IF(A189&lt;&gt;"",DATE(YEAR(TRANSACTIONS!$A189),MONTH(TRANSACTIONS!$A189),DAY(TRANSACTIONS!$A189)),"")</f>
        <v/>
      </c>
      <c r="C189" s="49" t="str">
        <f>IF(A189&lt;&gt;"",TIME(HOUR(TRANSACTIONS!$A189),MINUTE(TRANSACTIONS!$A189),SECOND(TRANSACTIONS!$A189)),"")</f>
        <v/>
      </c>
      <c r="D189" s="42"/>
      <c r="E189" s="42"/>
      <c r="F189" s="43"/>
      <c r="G189" s="46" t="str">
        <f>IF(AND(A189&lt;&gt;"",F189&gt;1),IF(TRANSACTIONS!$E189=RAPPORTS!$F$9,0,IF(OR(TRANSACTIONS!$D189=RAPPORTS!$A$13,TRANSACTIONS!$D189=RAPPORTS!#REF!),VLOOKUP(TRANSACTIONS!$F189,FRAIS_D_ENVOI,3,TRUE),0)),"")</f>
        <v/>
      </c>
      <c r="H189" s="46" t="str">
        <f>IFERROR(TRANSACTIONS!$F189+TRANSACTIONS!$G189,"")</f>
        <v/>
      </c>
      <c r="I189" s="44"/>
      <c r="J189" s="40" t="str">
        <f t="shared" si="2"/>
        <v/>
      </c>
    </row>
    <row r="190" spans="1:10" hidden="1" x14ac:dyDescent="0.25">
      <c r="A190" s="41"/>
      <c r="B190" s="48" t="str">
        <f>IF(A190&lt;&gt;"",DATE(YEAR(TRANSACTIONS!$A190),MONTH(TRANSACTIONS!$A190),DAY(TRANSACTIONS!$A190)),"")</f>
        <v/>
      </c>
      <c r="C190" s="49" t="str">
        <f>IF(A190&lt;&gt;"",TIME(HOUR(TRANSACTIONS!$A190),MINUTE(TRANSACTIONS!$A190),SECOND(TRANSACTIONS!$A190)),"")</f>
        <v/>
      </c>
      <c r="D190" s="42"/>
      <c r="E190" s="42"/>
      <c r="F190" s="43"/>
      <c r="G190" s="46" t="str">
        <f>IF(AND(A190&lt;&gt;"",F190&gt;1),IF(TRANSACTIONS!$E190=RAPPORTS!$F$9,0,IF(OR(TRANSACTIONS!$D190=RAPPORTS!$A$13,TRANSACTIONS!$D190=RAPPORTS!#REF!),VLOOKUP(TRANSACTIONS!$F190,FRAIS_D_ENVOI,3,TRUE),0)),"")</f>
        <v/>
      </c>
      <c r="H190" s="46" t="str">
        <f>IFERROR(TRANSACTIONS!$F190+TRANSACTIONS!$G190,"")</f>
        <v/>
      </c>
      <c r="I190" s="44"/>
      <c r="J190" s="40" t="str">
        <f t="shared" si="2"/>
        <v/>
      </c>
    </row>
    <row r="191" spans="1:10" hidden="1" x14ac:dyDescent="0.25">
      <c r="A191" s="41"/>
      <c r="B191" s="48" t="str">
        <f>IF(A191&lt;&gt;"",DATE(YEAR(TRANSACTIONS!$A191),MONTH(TRANSACTIONS!$A191),DAY(TRANSACTIONS!$A191)),"")</f>
        <v/>
      </c>
      <c r="C191" s="49" t="str">
        <f>IF(A191&lt;&gt;"",TIME(HOUR(TRANSACTIONS!$A191),MINUTE(TRANSACTIONS!$A191),SECOND(TRANSACTIONS!$A191)),"")</f>
        <v/>
      </c>
      <c r="D191" s="42"/>
      <c r="E191" s="42"/>
      <c r="F191" s="43"/>
      <c r="G191" s="46" t="str">
        <f>IF(AND(A191&lt;&gt;"",F191&gt;1),IF(TRANSACTIONS!$E191=RAPPORTS!$F$9,0,IF(OR(TRANSACTIONS!$D191=RAPPORTS!$A$13,TRANSACTIONS!$D191=RAPPORTS!#REF!),VLOOKUP(TRANSACTIONS!$F191,FRAIS_D_ENVOI,3,TRUE),0)),"")</f>
        <v/>
      </c>
      <c r="H191" s="46" t="str">
        <f>IFERROR(TRANSACTIONS!$F191+TRANSACTIONS!$G191,"")</f>
        <v/>
      </c>
      <c r="I191" s="44"/>
      <c r="J191" s="40" t="str">
        <f t="shared" si="2"/>
        <v/>
      </c>
    </row>
    <row r="192" spans="1:10" hidden="1" x14ac:dyDescent="0.25">
      <c r="A192" s="41"/>
      <c r="B192" s="48" t="str">
        <f>IF(A192&lt;&gt;"",DATE(YEAR(TRANSACTIONS!$A192),MONTH(TRANSACTIONS!$A192),DAY(TRANSACTIONS!$A192)),"")</f>
        <v/>
      </c>
      <c r="C192" s="49" t="str">
        <f>IF(A192&lt;&gt;"",TIME(HOUR(TRANSACTIONS!$A192),MINUTE(TRANSACTIONS!$A192),SECOND(TRANSACTIONS!$A192)),"")</f>
        <v/>
      </c>
      <c r="D192" s="42"/>
      <c r="E192" s="42"/>
      <c r="F192" s="43"/>
      <c r="G192" s="46" t="str">
        <f>IF(AND(A192&lt;&gt;"",F192&gt;1),IF(TRANSACTIONS!$E192=RAPPORTS!$F$9,0,IF(OR(TRANSACTIONS!$D192=RAPPORTS!$A$13,TRANSACTIONS!$D192=RAPPORTS!#REF!),VLOOKUP(TRANSACTIONS!$F192,FRAIS_D_ENVOI,3,TRUE),0)),"")</f>
        <v/>
      </c>
      <c r="H192" s="46" t="str">
        <f>IFERROR(TRANSACTIONS!$F192+TRANSACTIONS!$G192,"")</f>
        <v/>
      </c>
      <c r="I192" s="44"/>
      <c r="J192" s="40" t="str">
        <f t="shared" si="2"/>
        <v/>
      </c>
    </row>
    <row r="193" spans="1:10" hidden="1" x14ac:dyDescent="0.25">
      <c r="A193" s="41"/>
      <c r="B193" s="48" t="str">
        <f>IF(A193&lt;&gt;"",DATE(YEAR(TRANSACTIONS!$A193),MONTH(TRANSACTIONS!$A193),DAY(TRANSACTIONS!$A193)),"")</f>
        <v/>
      </c>
      <c r="C193" s="49" t="str">
        <f>IF(A193&lt;&gt;"",TIME(HOUR(TRANSACTIONS!$A193),MINUTE(TRANSACTIONS!$A193),SECOND(TRANSACTIONS!$A193)),"")</f>
        <v/>
      </c>
      <c r="D193" s="42"/>
      <c r="E193" s="42"/>
      <c r="F193" s="43"/>
      <c r="G193" s="46" t="str">
        <f>IF(AND(A193&lt;&gt;"",F193&gt;1),IF(TRANSACTIONS!$E193=RAPPORTS!$F$9,0,IF(OR(TRANSACTIONS!$D193=RAPPORTS!$A$13,TRANSACTIONS!$D193=RAPPORTS!#REF!),VLOOKUP(TRANSACTIONS!$F193,FRAIS_D_ENVOI,3,TRUE),0)),"")</f>
        <v/>
      </c>
      <c r="H193" s="46" t="str">
        <f>IFERROR(TRANSACTIONS!$F193+TRANSACTIONS!$G193,"")</f>
        <v/>
      </c>
      <c r="I193" s="44"/>
      <c r="J193" s="40" t="str">
        <f t="shared" si="2"/>
        <v/>
      </c>
    </row>
    <row r="194" spans="1:10" hidden="1" x14ac:dyDescent="0.25">
      <c r="A194" s="41"/>
      <c r="B194" s="48" t="str">
        <f>IF(A194&lt;&gt;"",DATE(YEAR(TRANSACTIONS!$A194),MONTH(TRANSACTIONS!$A194),DAY(TRANSACTIONS!$A194)),"")</f>
        <v/>
      </c>
      <c r="C194" s="49" t="str">
        <f>IF(A194&lt;&gt;"",TIME(HOUR(TRANSACTIONS!$A194),MINUTE(TRANSACTIONS!$A194),SECOND(TRANSACTIONS!$A194)),"")</f>
        <v/>
      </c>
      <c r="D194" s="42"/>
      <c r="E194" s="42"/>
      <c r="F194" s="43"/>
      <c r="G194" s="46" t="str">
        <f>IF(AND(A194&lt;&gt;"",F194&gt;1),IF(TRANSACTIONS!$E194=RAPPORTS!$F$9,0,IF(OR(TRANSACTIONS!$D194=RAPPORTS!$A$13,TRANSACTIONS!$D194=RAPPORTS!#REF!),VLOOKUP(TRANSACTIONS!$F194,FRAIS_D_ENVOI,3,TRUE),0)),"")</f>
        <v/>
      </c>
      <c r="H194" s="46" t="str">
        <f>IFERROR(TRANSACTIONS!$F194+TRANSACTIONS!$G194,"")</f>
        <v/>
      </c>
      <c r="I194" s="44"/>
      <c r="J194" s="40" t="str">
        <f t="shared" si="2"/>
        <v/>
      </c>
    </row>
    <row r="195" spans="1:10" hidden="1" x14ac:dyDescent="0.25">
      <c r="A195" s="41"/>
      <c r="B195" s="48" t="str">
        <f>IF(A195&lt;&gt;"",DATE(YEAR(TRANSACTIONS!$A195),MONTH(TRANSACTIONS!$A195),DAY(TRANSACTIONS!$A195)),"")</f>
        <v/>
      </c>
      <c r="C195" s="49" t="str">
        <f>IF(A195&lt;&gt;"",TIME(HOUR(TRANSACTIONS!$A195),MINUTE(TRANSACTIONS!$A195),SECOND(TRANSACTIONS!$A195)),"")</f>
        <v/>
      </c>
      <c r="D195" s="42"/>
      <c r="E195" s="42"/>
      <c r="F195" s="43"/>
      <c r="G195" s="46" t="str">
        <f>IF(AND(A195&lt;&gt;"",F195&gt;1),IF(TRANSACTIONS!$E195=RAPPORTS!$F$9,0,IF(OR(TRANSACTIONS!$D195=RAPPORTS!$A$13,TRANSACTIONS!$D195=RAPPORTS!#REF!),VLOOKUP(TRANSACTIONS!$F195,FRAIS_D_ENVOI,3,TRUE),0)),"")</f>
        <v/>
      </c>
      <c r="H195" s="46" t="str">
        <f>IFERROR(TRANSACTIONS!$F195+TRANSACTIONS!$G195,"")</f>
        <v/>
      </c>
      <c r="I195" s="44"/>
      <c r="J195" s="40" t="str">
        <f t="shared" si="2"/>
        <v/>
      </c>
    </row>
    <row r="196" spans="1:10" hidden="1" x14ac:dyDescent="0.25">
      <c r="A196" s="41"/>
      <c r="B196" s="48" t="str">
        <f>IF(A196&lt;&gt;"",DATE(YEAR(TRANSACTIONS!$A196),MONTH(TRANSACTIONS!$A196),DAY(TRANSACTIONS!$A196)),"")</f>
        <v/>
      </c>
      <c r="C196" s="49" t="str">
        <f>IF(A196&lt;&gt;"",TIME(HOUR(TRANSACTIONS!$A196),MINUTE(TRANSACTIONS!$A196),SECOND(TRANSACTIONS!$A196)),"")</f>
        <v/>
      </c>
      <c r="D196" s="42"/>
      <c r="E196" s="42"/>
      <c r="F196" s="43"/>
      <c r="G196" s="46" t="str">
        <f>IF(AND(A196&lt;&gt;"",F196&gt;1),IF(TRANSACTIONS!$E196=RAPPORTS!$F$9,0,IF(OR(TRANSACTIONS!$D196=RAPPORTS!$A$13,TRANSACTIONS!$D196=RAPPORTS!#REF!),VLOOKUP(TRANSACTIONS!$F196,FRAIS_D_ENVOI,3,TRUE),0)),"")</f>
        <v/>
      </c>
      <c r="H196" s="46" t="str">
        <f>IFERROR(TRANSACTIONS!$F196+TRANSACTIONS!$G196,"")</f>
        <v/>
      </c>
      <c r="I196" s="44"/>
      <c r="J196" s="40" t="str">
        <f t="shared" ref="J196:J259" si="3">IF(G196&lt;&gt;"",$J$1*G196,"")</f>
        <v/>
      </c>
    </row>
    <row r="197" spans="1:10" hidden="1" x14ac:dyDescent="0.25">
      <c r="A197" s="41"/>
      <c r="B197" s="48" t="str">
        <f>IF(A197&lt;&gt;"",DATE(YEAR(TRANSACTIONS!$A197),MONTH(TRANSACTIONS!$A197),DAY(TRANSACTIONS!$A197)),"")</f>
        <v/>
      </c>
      <c r="C197" s="49" t="str">
        <f>IF(A197&lt;&gt;"",TIME(HOUR(TRANSACTIONS!$A197),MINUTE(TRANSACTIONS!$A197),SECOND(TRANSACTIONS!$A197)),"")</f>
        <v/>
      </c>
      <c r="D197" s="42"/>
      <c r="E197" s="42"/>
      <c r="F197" s="43"/>
      <c r="G197" s="46" t="str">
        <f>IF(AND(A197&lt;&gt;"",F197&gt;1),IF(TRANSACTIONS!$E197=RAPPORTS!$F$9,0,IF(OR(TRANSACTIONS!$D197=RAPPORTS!$A$13,TRANSACTIONS!$D197=RAPPORTS!#REF!),VLOOKUP(TRANSACTIONS!$F197,FRAIS_D_ENVOI,3,TRUE),0)),"")</f>
        <v/>
      </c>
      <c r="H197" s="46" t="str">
        <f>IFERROR(TRANSACTIONS!$F197+TRANSACTIONS!$G197,"")</f>
        <v/>
      </c>
      <c r="I197" s="44"/>
      <c r="J197" s="40" t="str">
        <f t="shared" si="3"/>
        <v/>
      </c>
    </row>
    <row r="198" spans="1:10" hidden="1" x14ac:dyDescent="0.25">
      <c r="A198" s="41"/>
      <c r="B198" s="48" t="str">
        <f>IF(A198&lt;&gt;"",DATE(YEAR(TRANSACTIONS!$A198),MONTH(TRANSACTIONS!$A198),DAY(TRANSACTIONS!$A198)),"")</f>
        <v/>
      </c>
      <c r="C198" s="49" t="str">
        <f>IF(A198&lt;&gt;"",TIME(HOUR(TRANSACTIONS!$A198),MINUTE(TRANSACTIONS!$A198),SECOND(TRANSACTIONS!$A198)),"")</f>
        <v/>
      </c>
      <c r="D198" s="42"/>
      <c r="E198" s="42"/>
      <c r="F198" s="43"/>
      <c r="G198" s="46" t="str">
        <f>IF(AND(A198&lt;&gt;"",F198&gt;1),IF(TRANSACTIONS!$E198=RAPPORTS!$F$9,0,IF(OR(TRANSACTIONS!$D198=RAPPORTS!$A$13,TRANSACTIONS!$D198=RAPPORTS!#REF!),VLOOKUP(TRANSACTIONS!$F198,FRAIS_D_ENVOI,3,TRUE),0)),"")</f>
        <v/>
      </c>
      <c r="H198" s="46" t="str">
        <f>IFERROR(TRANSACTIONS!$F198+TRANSACTIONS!$G198,"")</f>
        <v/>
      </c>
      <c r="I198" s="44"/>
      <c r="J198" s="40" t="str">
        <f t="shared" si="3"/>
        <v/>
      </c>
    </row>
    <row r="199" spans="1:10" hidden="1" x14ac:dyDescent="0.25">
      <c r="A199" s="41"/>
      <c r="B199" s="48" t="str">
        <f>IF(A199&lt;&gt;"",DATE(YEAR(TRANSACTIONS!$A199),MONTH(TRANSACTIONS!$A199),DAY(TRANSACTIONS!$A199)),"")</f>
        <v/>
      </c>
      <c r="C199" s="49" t="str">
        <f>IF(A199&lt;&gt;"",TIME(HOUR(TRANSACTIONS!$A199),MINUTE(TRANSACTIONS!$A199),SECOND(TRANSACTIONS!$A199)),"")</f>
        <v/>
      </c>
      <c r="D199" s="42"/>
      <c r="E199" s="42"/>
      <c r="F199" s="43"/>
      <c r="G199" s="46" t="str">
        <f>IF(AND(A199&lt;&gt;"",F199&gt;1),IF(TRANSACTIONS!$E199=RAPPORTS!$F$9,0,IF(OR(TRANSACTIONS!$D199=RAPPORTS!$A$13,TRANSACTIONS!$D199=RAPPORTS!#REF!),VLOOKUP(TRANSACTIONS!$F199,FRAIS_D_ENVOI,3,TRUE),0)),"")</f>
        <v/>
      </c>
      <c r="H199" s="46" t="str">
        <f>IFERROR(TRANSACTIONS!$F199+TRANSACTIONS!$G199,"")</f>
        <v/>
      </c>
      <c r="I199" s="44"/>
      <c r="J199" s="40" t="str">
        <f t="shared" si="3"/>
        <v/>
      </c>
    </row>
    <row r="200" spans="1:10" hidden="1" x14ac:dyDescent="0.25">
      <c r="A200" s="41"/>
      <c r="B200" s="48" t="str">
        <f>IF(A200&lt;&gt;"",DATE(YEAR(TRANSACTIONS!$A200),MONTH(TRANSACTIONS!$A200),DAY(TRANSACTIONS!$A200)),"")</f>
        <v/>
      </c>
      <c r="C200" s="49" t="str">
        <f>IF(A200&lt;&gt;"",TIME(HOUR(TRANSACTIONS!$A200),MINUTE(TRANSACTIONS!$A200),SECOND(TRANSACTIONS!$A200)),"")</f>
        <v/>
      </c>
      <c r="D200" s="42"/>
      <c r="E200" s="42"/>
      <c r="F200" s="43"/>
      <c r="G200" s="46" t="str">
        <f>IF(AND(A200&lt;&gt;"",F200&gt;1),IF(TRANSACTIONS!$E200=RAPPORTS!$F$9,0,IF(OR(TRANSACTIONS!$D200=RAPPORTS!$A$13,TRANSACTIONS!$D200=RAPPORTS!#REF!),VLOOKUP(TRANSACTIONS!$F200,FRAIS_D_ENVOI,3,TRUE),0)),"")</f>
        <v/>
      </c>
      <c r="H200" s="46" t="str">
        <f>IFERROR(TRANSACTIONS!$F200+TRANSACTIONS!$G200,"")</f>
        <v/>
      </c>
      <c r="I200" s="44"/>
      <c r="J200" s="40" t="str">
        <f t="shared" si="3"/>
        <v/>
      </c>
    </row>
    <row r="201" spans="1:10" hidden="1" x14ac:dyDescent="0.25">
      <c r="A201" s="41"/>
      <c r="B201" s="48" t="str">
        <f>IF(A201&lt;&gt;"",DATE(YEAR(TRANSACTIONS!$A201),MONTH(TRANSACTIONS!$A201),DAY(TRANSACTIONS!$A201)),"")</f>
        <v/>
      </c>
      <c r="C201" s="49" t="str">
        <f>IF(A201&lt;&gt;"",TIME(HOUR(TRANSACTIONS!$A201),MINUTE(TRANSACTIONS!$A201),SECOND(TRANSACTIONS!$A201)),"")</f>
        <v/>
      </c>
      <c r="D201" s="42"/>
      <c r="E201" s="42"/>
      <c r="F201" s="43"/>
      <c r="G201" s="46" t="str">
        <f>IF(AND(A201&lt;&gt;"",F201&gt;1),IF(TRANSACTIONS!$E201=RAPPORTS!$F$9,0,IF(OR(TRANSACTIONS!$D201=RAPPORTS!$A$13,TRANSACTIONS!$D201=RAPPORTS!#REF!),VLOOKUP(TRANSACTIONS!$F201,FRAIS_D_ENVOI,3,TRUE),0)),"")</f>
        <v/>
      </c>
      <c r="H201" s="46" t="str">
        <f>IFERROR(TRANSACTIONS!$F201+TRANSACTIONS!$G201,"")</f>
        <v/>
      </c>
      <c r="I201" s="44"/>
      <c r="J201" s="40" t="str">
        <f t="shared" si="3"/>
        <v/>
      </c>
    </row>
    <row r="202" spans="1:10" hidden="1" x14ac:dyDescent="0.25">
      <c r="A202" s="41"/>
      <c r="B202" s="48" t="str">
        <f>IF(A202&lt;&gt;"",DATE(YEAR(TRANSACTIONS!$A202),MONTH(TRANSACTIONS!$A202),DAY(TRANSACTIONS!$A202)),"")</f>
        <v/>
      </c>
      <c r="C202" s="49" t="str">
        <f>IF(A202&lt;&gt;"",TIME(HOUR(TRANSACTIONS!$A202),MINUTE(TRANSACTIONS!$A202),SECOND(TRANSACTIONS!$A202)),"")</f>
        <v/>
      </c>
      <c r="D202" s="42"/>
      <c r="E202" s="42"/>
      <c r="F202" s="43"/>
      <c r="G202" s="46" t="str">
        <f>IF(AND(A202&lt;&gt;"",F202&gt;1),IF(TRANSACTIONS!$E202=RAPPORTS!$F$9,0,IF(OR(TRANSACTIONS!$D202=RAPPORTS!$A$13,TRANSACTIONS!$D202=RAPPORTS!#REF!),VLOOKUP(TRANSACTIONS!$F202,FRAIS_D_ENVOI,3,TRUE),0)),"")</f>
        <v/>
      </c>
      <c r="H202" s="46" t="str">
        <f>IFERROR(TRANSACTIONS!$F202+TRANSACTIONS!$G202,"")</f>
        <v/>
      </c>
      <c r="I202" s="44"/>
      <c r="J202" s="40" t="str">
        <f t="shared" si="3"/>
        <v/>
      </c>
    </row>
    <row r="203" spans="1:10" hidden="1" x14ac:dyDescent="0.25">
      <c r="A203" s="41"/>
      <c r="B203" s="48" t="str">
        <f>IF(A203&lt;&gt;"",DATE(YEAR(TRANSACTIONS!$A203),MONTH(TRANSACTIONS!$A203),DAY(TRANSACTIONS!$A203)),"")</f>
        <v/>
      </c>
      <c r="C203" s="49" t="str">
        <f>IF(A203&lt;&gt;"",TIME(HOUR(TRANSACTIONS!$A203),MINUTE(TRANSACTIONS!$A203),SECOND(TRANSACTIONS!$A203)),"")</f>
        <v/>
      </c>
      <c r="D203" s="42"/>
      <c r="E203" s="42"/>
      <c r="F203" s="43"/>
      <c r="G203" s="46" t="str">
        <f>IF(AND(A203&lt;&gt;"",F203&gt;1),IF(TRANSACTIONS!$E203=RAPPORTS!$F$9,0,IF(OR(TRANSACTIONS!$D203=RAPPORTS!$A$13,TRANSACTIONS!$D203=RAPPORTS!#REF!),VLOOKUP(TRANSACTIONS!$F203,FRAIS_D_ENVOI,3,TRUE),0)),"")</f>
        <v/>
      </c>
      <c r="H203" s="46" t="str">
        <f>IFERROR(TRANSACTIONS!$F203+TRANSACTIONS!$G203,"")</f>
        <v/>
      </c>
      <c r="I203" s="44"/>
      <c r="J203" s="40" t="str">
        <f t="shared" si="3"/>
        <v/>
      </c>
    </row>
    <row r="204" spans="1:10" hidden="1" x14ac:dyDescent="0.25">
      <c r="A204" s="41"/>
      <c r="B204" s="48" t="str">
        <f>IF(A204&lt;&gt;"",DATE(YEAR(TRANSACTIONS!$A204),MONTH(TRANSACTIONS!$A204),DAY(TRANSACTIONS!$A204)),"")</f>
        <v/>
      </c>
      <c r="C204" s="49" t="str">
        <f>IF(A204&lt;&gt;"",TIME(HOUR(TRANSACTIONS!$A204),MINUTE(TRANSACTIONS!$A204),SECOND(TRANSACTIONS!$A204)),"")</f>
        <v/>
      </c>
      <c r="D204" s="42"/>
      <c r="E204" s="42"/>
      <c r="F204" s="43"/>
      <c r="G204" s="46" t="str">
        <f>IF(AND(A204&lt;&gt;"",F204&gt;1),IF(TRANSACTIONS!$E204=RAPPORTS!$F$9,0,IF(OR(TRANSACTIONS!$D204=RAPPORTS!$A$13,TRANSACTIONS!$D204=RAPPORTS!#REF!),VLOOKUP(TRANSACTIONS!$F204,FRAIS_D_ENVOI,3,TRUE),0)),"")</f>
        <v/>
      </c>
      <c r="H204" s="46" t="str">
        <f>IFERROR(TRANSACTIONS!$F204+TRANSACTIONS!$G204,"")</f>
        <v/>
      </c>
      <c r="I204" s="44"/>
      <c r="J204" s="40" t="str">
        <f t="shared" si="3"/>
        <v/>
      </c>
    </row>
    <row r="205" spans="1:10" hidden="1" x14ac:dyDescent="0.25">
      <c r="A205" s="41"/>
      <c r="B205" s="48" t="str">
        <f>IF(A205&lt;&gt;"",DATE(YEAR(TRANSACTIONS!$A205),MONTH(TRANSACTIONS!$A205),DAY(TRANSACTIONS!$A205)),"")</f>
        <v/>
      </c>
      <c r="C205" s="49" t="str">
        <f>IF(A205&lt;&gt;"",TIME(HOUR(TRANSACTIONS!$A205),MINUTE(TRANSACTIONS!$A205),SECOND(TRANSACTIONS!$A205)),"")</f>
        <v/>
      </c>
      <c r="D205" s="42"/>
      <c r="E205" s="42"/>
      <c r="F205" s="43"/>
      <c r="G205" s="46" t="str">
        <f>IF(AND(A205&lt;&gt;"",F205&gt;1),IF(TRANSACTIONS!$E205=RAPPORTS!$F$9,0,IF(OR(TRANSACTIONS!$D205=RAPPORTS!$A$13,TRANSACTIONS!$D205=RAPPORTS!#REF!),VLOOKUP(TRANSACTIONS!$F205,FRAIS_D_ENVOI,3,TRUE),0)),"")</f>
        <v/>
      </c>
      <c r="H205" s="46" t="str">
        <f>IFERROR(TRANSACTIONS!$F205+TRANSACTIONS!$G205,"")</f>
        <v/>
      </c>
      <c r="I205" s="44"/>
      <c r="J205" s="40" t="str">
        <f t="shared" si="3"/>
        <v/>
      </c>
    </row>
    <row r="206" spans="1:10" hidden="1" x14ac:dyDescent="0.25">
      <c r="A206" s="41"/>
      <c r="B206" s="48" t="str">
        <f>IF(A206&lt;&gt;"",DATE(YEAR(TRANSACTIONS!$A206),MONTH(TRANSACTIONS!$A206),DAY(TRANSACTIONS!$A206)),"")</f>
        <v/>
      </c>
      <c r="C206" s="49" t="str">
        <f>IF(A206&lt;&gt;"",TIME(HOUR(TRANSACTIONS!$A206),MINUTE(TRANSACTIONS!$A206),SECOND(TRANSACTIONS!$A206)),"")</f>
        <v/>
      </c>
      <c r="D206" s="42"/>
      <c r="E206" s="42"/>
      <c r="F206" s="43"/>
      <c r="G206" s="46" t="str">
        <f>IF(AND(A206&lt;&gt;"",F206&gt;1),IF(TRANSACTIONS!$E206=RAPPORTS!$F$9,0,IF(OR(TRANSACTIONS!$D206=RAPPORTS!$A$13,TRANSACTIONS!$D206=RAPPORTS!#REF!),VLOOKUP(TRANSACTIONS!$F206,FRAIS_D_ENVOI,3,TRUE),0)),"")</f>
        <v/>
      </c>
      <c r="H206" s="46" t="str">
        <f>IFERROR(TRANSACTIONS!$F206+TRANSACTIONS!$G206,"")</f>
        <v/>
      </c>
      <c r="I206" s="44"/>
      <c r="J206" s="40" t="str">
        <f t="shared" si="3"/>
        <v/>
      </c>
    </row>
    <row r="207" spans="1:10" hidden="1" x14ac:dyDescent="0.25">
      <c r="A207" s="41"/>
      <c r="B207" s="48" t="str">
        <f>IF(A207&lt;&gt;"",DATE(YEAR(TRANSACTIONS!$A207),MONTH(TRANSACTIONS!$A207),DAY(TRANSACTIONS!$A207)),"")</f>
        <v/>
      </c>
      <c r="C207" s="49" t="str">
        <f>IF(A207&lt;&gt;"",TIME(HOUR(TRANSACTIONS!$A207),MINUTE(TRANSACTIONS!$A207),SECOND(TRANSACTIONS!$A207)),"")</f>
        <v/>
      </c>
      <c r="D207" s="42"/>
      <c r="E207" s="42"/>
      <c r="F207" s="43"/>
      <c r="G207" s="46" t="str">
        <f>IF(AND(A207&lt;&gt;"",F207&gt;1),IF(TRANSACTIONS!$E207=RAPPORTS!$F$9,0,IF(OR(TRANSACTIONS!$D207=RAPPORTS!$A$13,TRANSACTIONS!$D207=RAPPORTS!#REF!),VLOOKUP(TRANSACTIONS!$F207,FRAIS_D_ENVOI,3,TRUE),0)),"")</f>
        <v/>
      </c>
      <c r="H207" s="46" t="str">
        <f>IFERROR(TRANSACTIONS!$F207+TRANSACTIONS!$G207,"")</f>
        <v/>
      </c>
      <c r="I207" s="44"/>
      <c r="J207" s="40" t="str">
        <f t="shared" si="3"/>
        <v/>
      </c>
    </row>
    <row r="208" spans="1:10" hidden="1" x14ac:dyDescent="0.25">
      <c r="A208" s="41"/>
      <c r="B208" s="48" t="str">
        <f>IF(A208&lt;&gt;"",DATE(YEAR(TRANSACTIONS!$A208),MONTH(TRANSACTIONS!$A208),DAY(TRANSACTIONS!$A208)),"")</f>
        <v/>
      </c>
      <c r="C208" s="49" t="str">
        <f>IF(A208&lt;&gt;"",TIME(HOUR(TRANSACTIONS!$A208),MINUTE(TRANSACTIONS!$A208),SECOND(TRANSACTIONS!$A208)),"")</f>
        <v/>
      </c>
      <c r="D208" s="42"/>
      <c r="E208" s="42"/>
      <c r="F208" s="43"/>
      <c r="G208" s="46" t="str">
        <f>IF(AND(A208&lt;&gt;"",F208&gt;1),IF(TRANSACTIONS!$E208=RAPPORTS!$F$9,0,IF(OR(TRANSACTIONS!$D208=RAPPORTS!$A$13,TRANSACTIONS!$D208=RAPPORTS!#REF!),VLOOKUP(TRANSACTIONS!$F208,FRAIS_D_ENVOI,3,TRUE),0)),"")</f>
        <v/>
      </c>
      <c r="H208" s="46" t="str">
        <f>IFERROR(TRANSACTIONS!$F208+TRANSACTIONS!$G208,"")</f>
        <v/>
      </c>
      <c r="I208" s="44"/>
      <c r="J208" s="40" t="str">
        <f t="shared" si="3"/>
        <v/>
      </c>
    </row>
    <row r="209" spans="1:10" hidden="1" x14ac:dyDescent="0.25">
      <c r="A209" s="41"/>
      <c r="B209" s="48" t="str">
        <f>IF(A209&lt;&gt;"",DATE(YEAR(TRANSACTIONS!$A209),MONTH(TRANSACTIONS!$A209),DAY(TRANSACTIONS!$A209)),"")</f>
        <v/>
      </c>
      <c r="C209" s="49" t="str">
        <f>IF(A209&lt;&gt;"",TIME(HOUR(TRANSACTIONS!$A209),MINUTE(TRANSACTIONS!$A209),SECOND(TRANSACTIONS!$A209)),"")</f>
        <v/>
      </c>
      <c r="D209" s="42"/>
      <c r="E209" s="42"/>
      <c r="F209" s="43"/>
      <c r="G209" s="46" t="str">
        <f>IF(AND(A209&lt;&gt;"",F209&gt;1),IF(TRANSACTIONS!$E209=RAPPORTS!$F$9,0,IF(OR(TRANSACTIONS!$D209=RAPPORTS!$A$13,TRANSACTIONS!$D209=RAPPORTS!#REF!),VLOOKUP(TRANSACTIONS!$F209,FRAIS_D_ENVOI,3,TRUE),0)),"")</f>
        <v/>
      </c>
      <c r="H209" s="46" t="str">
        <f>IFERROR(TRANSACTIONS!$F209+TRANSACTIONS!$G209,"")</f>
        <v/>
      </c>
      <c r="I209" s="44"/>
      <c r="J209" s="40" t="str">
        <f t="shared" si="3"/>
        <v/>
      </c>
    </row>
    <row r="210" spans="1:10" hidden="1" x14ac:dyDescent="0.25">
      <c r="A210" s="41"/>
      <c r="B210" s="48" t="str">
        <f>IF(A210&lt;&gt;"",DATE(YEAR(TRANSACTIONS!$A210),MONTH(TRANSACTIONS!$A210),DAY(TRANSACTIONS!$A210)),"")</f>
        <v/>
      </c>
      <c r="C210" s="49" t="str">
        <f>IF(A210&lt;&gt;"",TIME(HOUR(TRANSACTIONS!$A210),MINUTE(TRANSACTIONS!$A210),SECOND(TRANSACTIONS!$A210)),"")</f>
        <v/>
      </c>
      <c r="D210" s="42"/>
      <c r="E210" s="42"/>
      <c r="F210" s="43"/>
      <c r="G210" s="46" t="str">
        <f>IF(AND(A210&lt;&gt;"",F210&gt;1),IF(TRANSACTIONS!$E210=RAPPORTS!$F$9,0,IF(OR(TRANSACTIONS!$D210=RAPPORTS!$A$13,TRANSACTIONS!$D210=RAPPORTS!#REF!),VLOOKUP(TRANSACTIONS!$F210,FRAIS_D_ENVOI,3,TRUE),0)),"")</f>
        <v/>
      </c>
      <c r="H210" s="46" t="str">
        <f>IFERROR(TRANSACTIONS!$F210+TRANSACTIONS!$G210,"")</f>
        <v/>
      </c>
      <c r="I210" s="44"/>
      <c r="J210" s="40" t="str">
        <f t="shared" si="3"/>
        <v/>
      </c>
    </row>
    <row r="211" spans="1:10" hidden="1" x14ac:dyDescent="0.25">
      <c r="A211" s="41"/>
      <c r="B211" s="48" t="str">
        <f>IF(A211&lt;&gt;"",DATE(YEAR(TRANSACTIONS!$A211),MONTH(TRANSACTIONS!$A211),DAY(TRANSACTIONS!$A211)),"")</f>
        <v/>
      </c>
      <c r="C211" s="49" t="str">
        <f>IF(A211&lt;&gt;"",TIME(HOUR(TRANSACTIONS!$A211),MINUTE(TRANSACTIONS!$A211),SECOND(TRANSACTIONS!$A211)),"")</f>
        <v/>
      </c>
      <c r="D211" s="42"/>
      <c r="E211" s="42"/>
      <c r="F211" s="43"/>
      <c r="G211" s="46" t="str">
        <f>IF(AND(A211&lt;&gt;"",F211&gt;1),IF(TRANSACTIONS!$E211=RAPPORTS!$F$9,0,IF(OR(TRANSACTIONS!$D211=RAPPORTS!$A$13,TRANSACTIONS!$D211=RAPPORTS!#REF!),VLOOKUP(TRANSACTIONS!$F211,FRAIS_D_ENVOI,3,TRUE),0)),"")</f>
        <v/>
      </c>
      <c r="H211" s="46" t="str">
        <f>IFERROR(TRANSACTIONS!$F211+TRANSACTIONS!$G211,"")</f>
        <v/>
      </c>
      <c r="I211" s="44"/>
      <c r="J211" s="40" t="str">
        <f t="shared" si="3"/>
        <v/>
      </c>
    </row>
    <row r="212" spans="1:10" hidden="1" x14ac:dyDescent="0.25">
      <c r="A212" s="41"/>
      <c r="B212" s="48" t="str">
        <f>IF(A212&lt;&gt;"",DATE(YEAR(TRANSACTIONS!$A212),MONTH(TRANSACTIONS!$A212),DAY(TRANSACTIONS!$A212)),"")</f>
        <v/>
      </c>
      <c r="C212" s="49" t="str">
        <f>IF(A212&lt;&gt;"",TIME(HOUR(TRANSACTIONS!$A212),MINUTE(TRANSACTIONS!$A212),SECOND(TRANSACTIONS!$A212)),"")</f>
        <v/>
      </c>
      <c r="D212" s="42"/>
      <c r="E212" s="42"/>
      <c r="F212" s="43"/>
      <c r="G212" s="46" t="str">
        <f>IF(AND(A212&lt;&gt;"",F212&gt;1),IF(TRANSACTIONS!$E212=RAPPORTS!$F$9,0,IF(OR(TRANSACTIONS!$D212=RAPPORTS!$A$13,TRANSACTIONS!$D212=RAPPORTS!#REF!),VLOOKUP(TRANSACTIONS!$F212,FRAIS_D_ENVOI,3,TRUE),0)),"")</f>
        <v/>
      </c>
      <c r="H212" s="46" t="str">
        <f>IFERROR(TRANSACTIONS!$F212+TRANSACTIONS!$G212,"")</f>
        <v/>
      </c>
      <c r="I212" s="44"/>
      <c r="J212" s="40" t="str">
        <f t="shared" si="3"/>
        <v/>
      </c>
    </row>
    <row r="213" spans="1:10" hidden="1" x14ac:dyDescent="0.25">
      <c r="A213" s="41"/>
      <c r="B213" s="48" t="str">
        <f>IF(A213&lt;&gt;"",DATE(YEAR(TRANSACTIONS!$A213),MONTH(TRANSACTIONS!$A213),DAY(TRANSACTIONS!$A213)),"")</f>
        <v/>
      </c>
      <c r="C213" s="49" t="str">
        <f>IF(A213&lt;&gt;"",TIME(HOUR(TRANSACTIONS!$A213),MINUTE(TRANSACTIONS!$A213),SECOND(TRANSACTIONS!$A213)),"")</f>
        <v/>
      </c>
      <c r="D213" s="42"/>
      <c r="E213" s="42"/>
      <c r="F213" s="43"/>
      <c r="G213" s="46" t="str">
        <f>IF(AND(A213&lt;&gt;"",F213&gt;1),IF(TRANSACTIONS!$E213=RAPPORTS!$F$9,0,IF(OR(TRANSACTIONS!$D213=RAPPORTS!$A$13,TRANSACTIONS!$D213=RAPPORTS!#REF!),VLOOKUP(TRANSACTIONS!$F213,FRAIS_D_ENVOI,3,TRUE),0)),"")</f>
        <v/>
      </c>
      <c r="H213" s="46" t="str">
        <f>IFERROR(TRANSACTIONS!$F213+TRANSACTIONS!$G213,"")</f>
        <v/>
      </c>
      <c r="I213" s="44"/>
      <c r="J213" s="40" t="str">
        <f t="shared" si="3"/>
        <v/>
      </c>
    </row>
    <row r="214" spans="1:10" hidden="1" x14ac:dyDescent="0.25">
      <c r="A214" s="41"/>
      <c r="B214" s="48" t="str">
        <f>IF(A214&lt;&gt;"",DATE(YEAR(TRANSACTIONS!$A214),MONTH(TRANSACTIONS!$A214),DAY(TRANSACTIONS!$A214)),"")</f>
        <v/>
      </c>
      <c r="C214" s="49" t="str">
        <f>IF(A214&lt;&gt;"",TIME(HOUR(TRANSACTIONS!$A214),MINUTE(TRANSACTIONS!$A214),SECOND(TRANSACTIONS!$A214)),"")</f>
        <v/>
      </c>
      <c r="D214" s="42"/>
      <c r="E214" s="42"/>
      <c r="F214" s="43"/>
      <c r="G214" s="46" t="str">
        <f>IF(AND(A214&lt;&gt;"",F214&gt;1),IF(TRANSACTIONS!$E214=RAPPORTS!$F$9,0,IF(OR(TRANSACTIONS!$D214=RAPPORTS!$A$13,TRANSACTIONS!$D214=RAPPORTS!#REF!),VLOOKUP(TRANSACTIONS!$F214,FRAIS_D_ENVOI,3,TRUE),0)),"")</f>
        <v/>
      </c>
      <c r="H214" s="46" t="str">
        <f>IFERROR(TRANSACTIONS!$F214+TRANSACTIONS!$G214,"")</f>
        <v/>
      </c>
      <c r="I214" s="44"/>
      <c r="J214" s="40" t="str">
        <f t="shared" si="3"/>
        <v/>
      </c>
    </row>
    <row r="215" spans="1:10" hidden="1" x14ac:dyDescent="0.25">
      <c r="A215" s="41"/>
      <c r="B215" s="48" t="str">
        <f>IF(A215&lt;&gt;"",DATE(YEAR(TRANSACTIONS!$A215),MONTH(TRANSACTIONS!$A215),DAY(TRANSACTIONS!$A215)),"")</f>
        <v/>
      </c>
      <c r="C215" s="49" t="str">
        <f>IF(A215&lt;&gt;"",TIME(HOUR(TRANSACTIONS!$A215),MINUTE(TRANSACTIONS!$A215),SECOND(TRANSACTIONS!$A215)),"")</f>
        <v/>
      </c>
      <c r="D215" s="42"/>
      <c r="E215" s="42"/>
      <c r="F215" s="43"/>
      <c r="G215" s="46" t="str">
        <f>IF(AND(A215&lt;&gt;"",F215&gt;1),IF(TRANSACTIONS!$E215=RAPPORTS!$F$9,0,IF(OR(TRANSACTIONS!$D215=RAPPORTS!$A$13,TRANSACTIONS!$D215=RAPPORTS!#REF!),VLOOKUP(TRANSACTIONS!$F215,FRAIS_D_ENVOI,3,TRUE),0)),"")</f>
        <v/>
      </c>
      <c r="H215" s="46" t="str">
        <f>IFERROR(TRANSACTIONS!$F215+TRANSACTIONS!$G215,"")</f>
        <v/>
      </c>
      <c r="I215" s="44"/>
      <c r="J215" s="40" t="str">
        <f t="shared" si="3"/>
        <v/>
      </c>
    </row>
    <row r="216" spans="1:10" hidden="1" x14ac:dyDescent="0.25">
      <c r="A216" s="41"/>
      <c r="B216" s="48" t="str">
        <f>IF(A216&lt;&gt;"",DATE(YEAR(TRANSACTIONS!$A216),MONTH(TRANSACTIONS!$A216),DAY(TRANSACTIONS!$A216)),"")</f>
        <v/>
      </c>
      <c r="C216" s="49" t="str">
        <f>IF(A216&lt;&gt;"",TIME(HOUR(TRANSACTIONS!$A216),MINUTE(TRANSACTIONS!$A216),SECOND(TRANSACTIONS!$A216)),"")</f>
        <v/>
      </c>
      <c r="D216" s="42"/>
      <c r="E216" s="42"/>
      <c r="F216" s="43"/>
      <c r="G216" s="46" t="str">
        <f>IF(AND(A216&lt;&gt;"",F216&gt;1),IF(TRANSACTIONS!$E216=RAPPORTS!$F$9,0,IF(OR(TRANSACTIONS!$D216=RAPPORTS!$A$13,TRANSACTIONS!$D216=RAPPORTS!#REF!),VLOOKUP(TRANSACTIONS!$F216,FRAIS_D_ENVOI,3,TRUE),0)),"")</f>
        <v/>
      </c>
      <c r="H216" s="46" t="str">
        <f>IFERROR(TRANSACTIONS!$F216+TRANSACTIONS!$G216,"")</f>
        <v/>
      </c>
      <c r="I216" s="44"/>
      <c r="J216" s="40" t="str">
        <f t="shared" si="3"/>
        <v/>
      </c>
    </row>
    <row r="217" spans="1:10" hidden="1" x14ac:dyDescent="0.25">
      <c r="A217" s="41"/>
      <c r="B217" s="48" t="str">
        <f>IF(A217&lt;&gt;"",DATE(YEAR(TRANSACTIONS!$A217),MONTH(TRANSACTIONS!$A217),DAY(TRANSACTIONS!$A217)),"")</f>
        <v/>
      </c>
      <c r="C217" s="49" t="str">
        <f>IF(A217&lt;&gt;"",TIME(HOUR(TRANSACTIONS!$A217),MINUTE(TRANSACTIONS!$A217),SECOND(TRANSACTIONS!$A217)),"")</f>
        <v/>
      </c>
      <c r="D217" s="42"/>
      <c r="E217" s="42"/>
      <c r="F217" s="43"/>
      <c r="G217" s="46" t="str">
        <f>IF(AND(A217&lt;&gt;"",F217&gt;1),IF(TRANSACTIONS!$E217=RAPPORTS!$F$9,0,IF(OR(TRANSACTIONS!$D217=RAPPORTS!$A$13,TRANSACTIONS!$D217=RAPPORTS!#REF!),VLOOKUP(TRANSACTIONS!$F217,FRAIS_D_ENVOI,3,TRUE),0)),"")</f>
        <v/>
      </c>
      <c r="H217" s="46" t="str">
        <f>IFERROR(TRANSACTIONS!$F217+TRANSACTIONS!$G217,"")</f>
        <v/>
      </c>
      <c r="I217" s="44"/>
      <c r="J217" s="40" t="str">
        <f t="shared" si="3"/>
        <v/>
      </c>
    </row>
    <row r="218" spans="1:10" hidden="1" x14ac:dyDescent="0.25">
      <c r="A218" s="41"/>
      <c r="B218" s="48" t="str">
        <f>IF(A218&lt;&gt;"",DATE(YEAR(TRANSACTIONS!$A218),MONTH(TRANSACTIONS!$A218),DAY(TRANSACTIONS!$A218)),"")</f>
        <v/>
      </c>
      <c r="C218" s="49" t="str">
        <f>IF(A218&lt;&gt;"",TIME(HOUR(TRANSACTIONS!$A218),MINUTE(TRANSACTIONS!$A218),SECOND(TRANSACTIONS!$A218)),"")</f>
        <v/>
      </c>
      <c r="D218" s="42"/>
      <c r="E218" s="42"/>
      <c r="F218" s="43"/>
      <c r="G218" s="46" t="str">
        <f>IF(AND(A218&lt;&gt;"",F218&gt;1),IF(TRANSACTIONS!$E218=RAPPORTS!$F$9,0,IF(OR(TRANSACTIONS!$D218=RAPPORTS!$A$13,TRANSACTIONS!$D218=RAPPORTS!#REF!),VLOOKUP(TRANSACTIONS!$F218,FRAIS_D_ENVOI,3,TRUE),0)),"")</f>
        <v/>
      </c>
      <c r="H218" s="46" t="str">
        <f>IFERROR(TRANSACTIONS!$F218+TRANSACTIONS!$G218,"")</f>
        <v/>
      </c>
      <c r="I218" s="44"/>
      <c r="J218" s="40" t="str">
        <f t="shared" si="3"/>
        <v/>
      </c>
    </row>
    <row r="219" spans="1:10" hidden="1" x14ac:dyDescent="0.25">
      <c r="A219" s="41"/>
      <c r="B219" s="48" t="str">
        <f>IF(A219&lt;&gt;"",DATE(YEAR(TRANSACTIONS!$A219),MONTH(TRANSACTIONS!$A219),DAY(TRANSACTIONS!$A219)),"")</f>
        <v/>
      </c>
      <c r="C219" s="49" t="str">
        <f>IF(A219&lt;&gt;"",TIME(HOUR(TRANSACTIONS!$A219),MINUTE(TRANSACTIONS!$A219),SECOND(TRANSACTIONS!$A219)),"")</f>
        <v/>
      </c>
      <c r="D219" s="42"/>
      <c r="E219" s="42"/>
      <c r="F219" s="43"/>
      <c r="G219" s="46" t="str">
        <f>IF(AND(A219&lt;&gt;"",F219&gt;1),IF(TRANSACTIONS!$E219=RAPPORTS!$F$9,0,IF(OR(TRANSACTIONS!$D219=RAPPORTS!$A$13,TRANSACTIONS!$D219=RAPPORTS!#REF!),VLOOKUP(TRANSACTIONS!$F219,FRAIS_D_ENVOI,3,TRUE),0)),"")</f>
        <v/>
      </c>
      <c r="H219" s="46" t="str">
        <f>IFERROR(TRANSACTIONS!$F219+TRANSACTIONS!$G219,"")</f>
        <v/>
      </c>
      <c r="I219" s="44"/>
      <c r="J219" s="40" t="str">
        <f t="shared" si="3"/>
        <v/>
      </c>
    </row>
    <row r="220" spans="1:10" hidden="1" x14ac:dyDescent="0.25">
      <c r="A220" s="41"/>
      <c r="B220" s="48" t="str">
        <f>IF(A220&lt;&gt;"",DATE(YEAR(TRANSACTIONS!$A220),MONTH(TRANSACTIONS!$A220),DAY(TRANSACTIONS!$A220)),"")</f>
        <v/>
      </c>
      <c r="C220" s="49" t="str">
        <f>IF(A220&lt;&gt;"",TIME(HOUR(TRANSACTIONS!$A220),MINUTE(TRANSACTIONS!$A220),SECOND(TRANSACTIONS!$A220)),"")</f>
        <v/>
      </c>
      <c r="D220" s="42"/>
      <c r="E220" s="42"/>
      <c r="F220" s="43"/>
      <c r="G220" s="46" t="str">
        <f>IF(AND(A220&lt;&gt;"",F220&gt;1),IF(TRANSACTIONS!$E220=RAPPORTS!$F$9,0,IF(OR(TRANSACTIONS!$D220=RAPPORTS!$A$13,TRANSACTIONS!$D220=RAPPORTS!#REF!),VLOOKUP(TRANSACTIONS!$F220,FRAIS_D_ENVOI,3,TRUE),0)),"")</f>
        <v/>
      </c>
      <c r="H220" s="46" t="str">
        <f>IFERROR(TRANSACTIONS!$F220+TRANSACTIONS!$G220,"")</f>
        <v/>
      </c>
      <c r="I220" s="44"/>
      <c r="J220" s="40" t="str">
        <f t="shared" si="3"/>
        <v/>
      </c>
    </row>
    <row r="221" spans="1:10" hidden="1" x14ac:dyDescent="0.25">
      <c r="A221" s="41"/>
      <c r="B221" s="48" t="str">
        <f>IF(A221&lt;&gt;"",DATE(YEAR(TRANSACTIONS!$A221),MONTH(TRANSACTIONS!$A221),DAY(TRANSACTIONS!$A221)),"")</f>
        <v/>
      </c>
      <c r="C221" s="49" t="str">
        <f>IF(A221&lt;&gt;"",TIME(HOUR(TRANSACTIONS!$A221),MINUTE(TRANSACTIONS!$A221),SECOND(TRANSACTIONS!$A221)),"")</f>
        <v/>
      </c>
      <c r="D221" s="42"/>
      <c r="E221" s="42"/>
      <c r="F221" s="43"/>
      <c r="G221" s="46" t="str">
        <f>IF(AND(A221&lt;&gt;"",F221&gt;1),IF(TRANSACTIONS!$E221=RAPPORTS!$F$9,0,IF(OR(TRANSACTIONS!$D221=RAPPORTS!$A$13,TRANSACTIONS!$D221=RAPPORTS!#REF!),VLOOKUP(TRANSACTIONS!$F221,FRAIS_D_ENVOI,3,TRUE),0)),"")</f>
        <v/>
      </c>
      <c r="H221" s="46" t="str">
        <f>IFERROR(TRANSACTIONS!$F221+TRANSACTIONS!$G221,"")</f>
        <v/>
      </c>
      <c r="I221" s="44"/>
      <c r="J221" s="40" t="str">
        <f t="shared" si="3"/>
        <v/>
      </c>
    </row>
    <row r="222" spans="1:10" hidden="1" x14ac:dyDescent="0.25">
      <c r="A222" s="41"/>
      <c r="B222" s="48" t="str">
        <f>IF(A222&lt;&gt;"",DATE(YEAR(TRANSACTIONS!$A222),MONTH(TRANSACTIONS!$A222),DAY(TRANSACTIONS!$A222)),"")</f>
        <v/>
      </c>
      <c r="C222" s="49" t="str">
        <f>IF(A222&lt;&gt;"",TIME(HOUR(TRANSACTIONS!$A222),MINUTE(TRANSACTIONS!$A222),SECOND(TRANSACTIONS!$A222)),"")</f>
        <v/>
      </c>
      <c r="D222" s="42"/>
      <c r="E222" s="42"/>
      <c r="F222" s="43"/>
      <c r="G222" s="46" t="str">
        <f>IF(AND(A222&lt;&gt;"",F222&gt;1),IF(TRANSACTIONS!$E222=RAPPORTS!$F$9,0,IF(OR(TRANSACTIONS!$D222=RAPPORTS!$A$13,TRANSACTIONS!$D222=RAPPORTS!#REF!),VLOOKUP(TRANSACTIONS!$F222,FRAIS_D_ENVOI,3,TRUE),0)),"")</f>
        <v/>
      </c>
      <c r="H222" s="46" t="str">
        <f>IFERROR(TRANSACTIONS!$F222+TRANSACTIONS!$G222,"")</f>
        <v/>
      </c>
      <c r="I222" s="44"/>
      <c r="J222" s="40" t="str">
        <f t="shared" si="3"/>
        <v/>
      </c>
    </row>
    <row r="223" spans="1:10" hidden="1" x14ac:dyDescent="0.25">
      <c r="A223" s="41"/>
      <c r="B223" s="48" t="str">
        <f>IF(A223&lt;&gt;"",DATE(YEAR(TRANSACTIONS!$A223),MONTH(TRANSACTIONS!$A223),DAY(TRANSACTIONS!$A223)),"")</f>
        <v/>
      </c>
      <c r="C223" s="49" t="str">
        <f>IF(A223&lt;&gt;"",TIME(HOUR(TRANSACTIONS!$A223),MINUTE(TRANSACTIONS!$A223),SECOND(TRANSACTIONS!$A223)),"")</f>
        <v/>
      </c>
      <c r="D223" s="42"/>
      <c r="E223" s="42"/>
      <c r="F223" s="43"/>
      <c r="G223" s="46" t="str">
        <f>IF(AND(A223&lt;&gt;"",F223&gt;1),IF(TRANSACTIONS!$E223=RAPPORTS!$F$9,0,IF(OR(TRANSACTIONS!$D223=RAPPORTS!$A$13,TRANSACTIONS!$D223=RAPPORTS!#REF!),VLOOKUP(TRANSACTIONS!$F223,FRAIS_D_ENVOI,3,TRUE),0)),"")</f>
        <v/>
      </c>
      <c r="H223" s="46" t="str">
        <f>IFERROR(TRANSACTIONS!$F223+TRANSACTIONS!$G223,"")</f>
        <v/>
      </c>
      <c r="I223" s="44"/>
      <c r="J223" s="40" t="str">
        <f t="shared" si="3"/>
        <v/>
      </c>
    </row>
    <row r="224" spans="1:10" hidden="1" x14ac:dyDescent="0.25">
      <c r="A224" s="41"/>
      <c r="B224" s="48" t="str">
        <f>IF(A224&lt;&gt;"",DATE(YEAR(TRANSACTIONS!$A224),MONTH(TRANSACTIONS!$A224),DAY(TRANSACTIONS!$A224)),"")</f>
        <v/>
      </c>
      <c r="C224" s="49" t="str">
        <f>IF(A224&lt;&gt;"",TIME(HOUR(TRANSACTIONS!$A224),MINUTE(TRANSACTIONS!$A224),SECOND(TRANSACTIONS!$A224)),"")</f>
        <v/>
      </c>
      <c r="D224" s="42"/>
      <c r="E224" s="42"/>
      <c r="F224" s="43"/>
      <c r="G224" s="46" t="str">
        <f>IF(AND(A224&lt;&gt;"",F224&gt;1),IF(TRANSACTIONS!$E224=RAPPORTS!$F$9,0,IF(OR(TRANSACTIONS!$D224=RAPPORTS!$A$13,TRANSACTIONS!$D224=RAPPORTS!#REF!),VLOOKUP(TRANSACTIONS!$F224,FRAIS_D_ENVOI,3,TRUE),0)),"")</f>
        <v/>
      </c>
      <c r="H224" s="46" t="str">
        <f>IFERROR(TRANSACTIONS!$F224+TRANSACTIONS!$G224,"")</f>
        <v/>
      </c>
      <c r="I224" s="44"/>
      <c r="J224" s="40" t="str">
        <f t="shared" si="3"/>
        <v/>
      </c>
    </row>
    <row r="225" spans="1:10" hidden="1" x14ac:dyDescent="0.25">
      <c r="A225" s="41"/>
      <c r="B225" s="48" t="str">
        <f>IF(A225&lt;&gt;"",DATE(YEAR(TRANSACTIONS!$A225),MONTH(TRANSACTIONS!$A225),DAY(TRANSACTIONS!$A225)),"")</f>
        <v/>
      </c>
      <c r="C225" s="49" t="str">
        <f>IF(A225&lt;&gt;"",TIME(HOUR(TRANSACTIONS!$A225),MINUTE(TRANSACTIONS!$A225),SECOND(TRANSACTIONS!$A225)),"")</f>
        <v/>
      </c>
      <c r="D225" s="42"/>
      <c r="E225" s="42"/>
      <c r="F225" s="43"/>
      <c r="G225" s="46" t="str">
        <f>IF(AND(A225&lt;&gt;"",F225&gt;1),IF(TRANSACTIONS!$E225=RAPPORTS!$F$9,0,IF(OR(TRANSACTIONS!$D225=RAPPORTS!$A$13,TRANSACTIONS!$D225=RAPPORTS!#REF!),VLOOKUP(TRANSACTIONS!$F225,FRAIS_D_ENVOI,3,TRUE),0)),"")</f>
        <v/>
      </c>
      <c r="H225" s="46" t="str">
        <f>IFERROR(TRANSACTIONS!$F225+TRANSACTIONS!$G225,"")</f>
        <v/>
      </c>
      <c r="I225" s="44"/>
      <c r="J225" s="40" t="str">
        <f t="shared" si="3"/>
        <v/>
      </c>
    </row>
    <row r="226" spans="1:10" hidden="1" x14ac:dyDescent="0.25">
      <c r="A226" s="41"/>
      <c r="B226" s="48" t="str">
        <f>IF(A226&lt;&gt;"",DATE(YEAR(TRANSACTIONS!$A226),MONTH(TRANSACTIONS!$A226),DAY(TRANSACTIONS!$A226)),"")</f>
        <v/>
      </c>
      <c r="C226" s="49" t="str">
        <f>IF(A226&lt;&gt;"",TIME(HOUR(TRANSACTIONS!$A226),MINUTE(TRANSACTIONS!$A226),SECOND(TRANSACTIONS!$A226)),"")</f>
        <v/>
      </c>
      <c r="D226" s="42"/>
      <c r="E226" s="42"/>
      <c r="F226" s="43"/>
      <c r="G226" s="46" t="str">
        <f>IF(AND(A226&lt;&gt;"",F226&gt;1),IF(TRANSACTIONS!$E226=RAPPORTS!$F$9,0,IF(OR(TRANSACTIONS!$D226=RAPPORTS!$A$13,TRANSACTIONS!$D226=RAPPORTS!#REF!),VLOOKUP(TRANSACTIONS!$F226,FRAIS_D_ENVOI,3,TRUE),0)),"")</f>
        <v/>
      </c>
      <c r="H226" s="46" t="str">
        <f>IFERROR(TRANSACTIONS!$F226+TRANSACTIONS!$G226,"")</f>
        <v/>
      </c>
      <c r="I226" s="44"/>
      <c r="J226" s="40" t="str">
        <f t="shared" si="3"/>
        <v/>
      </c>
    </row>
    <row r="227" spans="1:10" hidden="1" x14ac:dyDescent="0.25">
      <c r="A227" s="41"/>
      <c r="B227" s="48" t="str">
        <f>IF(A227&lt;&gt;"",DATE(YEAR(TRANSACTIONS!$A227),MONTH(TRANSACTIONS!$A227),DAY(TRANSACTIONS!$A227)),"")</f>
        <v/>
      </c>
      <c r="C227" s="49" t="str">
        <f>IF(A227&lt;&gt;"",TIME(HOUR(TRANSACTIONS!$A227),MINUTE(TRANSACTIONS!$A227),SECOND(TRANSACTIONS!$A227)),"")</f>
        <v/>
      </c>
      <c r="D227" s="42"/>
      <c r="E227" s="42"/>
      <c r="F227" s="43"/>
      <c r="G227" s="46" t="str">
        <f>IF(AND(A227&lt;&gt;"",F227&gt;1),IF(TRANSACTIONS!$E227=RAPPORTS!$F$9,0,IF(OR(TRANSACTIONS!$D227=RAPPORTS!$A$13,TRANSACTIONS!$D227=RAPPORTS!#REF!),VLOOKUP(TRANSACTIONS!$F227,FRAIS_D_ENVOI,3,TRUE),0)),"")</f>
        <v/>
      </c>
      <c r="H227" s="46" t="str">
        <f>IFERROR(TRANSACTIONS!$F227+TRANSACTIONS!$G227,"")</f>
        <v/>
      </c>
      <c r="I227" s="44"/>
      <c r="J227" s="40" t="str">
        <f t="shared" si="3"/>
        <v/>
      </c>
    </row>
    <row r="228" spans="1:10" hidden="1" x14ac:dyDescent="0.25">
      <c r="A228" s="41"/>
      <c r="B228" s="48" t="str">
        <f>IF(A228&lt;&gt;"",DATE(YEAR(TRANSACTIONS!$A228),MONTH(TRANSACTIONS!$A228),DAY(TRANSACTIONS!$A228)),"")</f>
        <v/>
      </c>
      <c r="C228" s="49" t="str">
        <f>IF(A228&lt;&gt;"",TIME(HOUR(TRANSACTIONS!$A228),MINUTE(TRANSACTIONS!$A228),SECOND(TRANSACTIONS!$A228)),"")</f>
        <v/>
      </c>
      <c r="D228" s="42"/>
      <c r="E228" s="42"/>
      <c r="F228" s="43"/>
      <c r="G228" s="46" t="str">
        <f>IF(AND(A228&lt;&gt;"",F228&gt;1),IF(TRANSACTIONS!$E228=RAPPORTS!$F$9,0,IF(OR(TRANSACTIONS!$D228=RAPPORTS!$A$13,TRANSACTIONS!$D228=RAPPORTS!#REF!),VLOOKUP(TRANSACTIONS!$F228,FRAIS_D_ENVOI,3,TRUE),0)),"")</f>
        <v/>
      </c>
      <c r="H228" s="46" t="str">
        <f>IFERROR(TRANSACTIONS!$F228+TRANSACTIONS!$G228,"")</f>
        <v/>
      </c>
      <c r="I228" s="44"/>
      <c r="J228" s="40" t="str">
        <f t="shared" si="3"/>
        <v/>
      </c>
    </row>
    <row r="229" spans="1:10" hidden="1" x14ac:dyDescent="0.25">
      <c r="A229" s="41"/>
      <c r="B229" s="48" t="str">
        <f>IF(A229&lt;&gt;"",DATE(YEAR(TRANSACTIONS!$A229),MONTH(TRANSACTIONS!$A229),DAY(TRANSACTIONS!$A229)),"")</f>
        <v/>
      </c>
      <c r="C229" s="49" t="str">
        <f>IF(A229&lt;&gt;"",TIME(HOUR(TRANSACTIONS!$A229),MINUTE(TRANSACTIONS!$A229),SECOND(TRANSACTIONS!$A229)),"")</f>
        <v/>
      </c>
      <c r="D229" s="42"/>
      <c r="E229" s="42"/>
      <c r="F229" s="43"/>
      <c r="G229" s="46" t="str">
        <f>IF(AND(A229&lt;&gt;"",F229&gt;1),IF(TRANSACTIONS!$E229=RAPPORTS!$F$9,0,IF(OR(TRANSACTIONS!$D229=RAPPORTS!$A$13,TRANSACTIONS!$D229=RAPPORTS!#REF!),VLOOKUP(TRANSACTIONS!$F229,FRAIS_D_ENVOI,3,TRUE),0)),"")</f>
        <v/>
      </c>
      <c r="H229" s="46" t="str">
        <f>IFERROR(TRANSACTIONS!$F229+TRANSACTIONS!$G229,"")</f>
        <v/>
      </c>
      <c r="I229" s="44"/>
      <c r="J229" s="40" t="str">
        <f t="shared" si="3"/>
        <v/>
      </c>
    </row>
    <row r="230" spans="1:10" hidden="1" x14ac:dyDescent="0.25">
      <c r="A230" s="41"/>
      <c r="B230" s="48" t="str">
        <f>IF(A230&lt;&gt;"",DATE(YEAR(TRANSACTIONS!$A230),MONTH(TRANSACTIONS!$A230),DAY(TRANSACTIONS!$A230)),"")</f>
        <v/>
      </c>
      <c r="C230" s="49" t="str">
        <f>IF(A230&lt;&gt;"",TIME(HOUR(TRANSACTIONS!$A230),MINUTE(TRANSACTIONS!$A230),SECOND(TRANSACTIONS!$A230)),"")</f>
        <v/>
      </c>
      <c r="D230" s="42"/>
      <c r="E230" s="42"/>
      <c r="F230" s="43"/>
      <c r="G230" s="46" t="str">
        <f>IF(AND(A230&lt;&gt;"",F230&gt;1),IF(TRANSACTIONS!$E230=RAPPORTS!$F$9,0,IF(OR(TRANSACTIONS!$D230=RAPPORTS!$A$13,TRANSACTIONS!$D230=RAPPORTS!#REF!),VLOOKUP(TRANSACTIONS!$F230,FRAIS_D_ENVOI,3,TRUE),0)),"")</f>
        <v/>
      </c>
      <c r="H230" s="46" t="str">
        <f>IFERROR(TRANSACTIONS!$F230+TRANSACTIONS!$G230,"")</f>
        <v/>
      </c>
      <c r="I230" s="44"/>
      <c r="J230" s="40" t="str">
        <f t="shared" si="3"/>
        <v/>
      </c>
    </row>
    <row r="231" spans="1:10" hidden="1" x14ac:dyDescent="0.25">
      <c r="A231" s="41"/>
      <c r="B231" s="48" t="str">
        <f>IF(A231&lt;&gt;"",DATE(YEAR(TRANSACTIONS!$A231),MONTH(TRANSACTIONS!$A231),DAY(TRANSACTIONS!$A231)),"")</f>
        <v/>
      </c>
      <c r="C231" s="49" t="str">
        <f>IF(A231&lt;&gt;"",TIME(HOUR(TRANSACTIONS!$A231),MINUTE(TRANSACTIONS!$A231),SECOND(TRANSACTIONS!$A231)),"")</f>
        <v/>
      </c>
      <c r="D231" s="42"/>
      <c r="E231" s="42"/>
      <c r="F231" s="43"/>
      <c r="G231" s="46" t="str">
        <f>IF(AND(A231&lt;&gt;"",F231&gt;1),IF(TRANSACTIONS!$E231=RAPPORTS!$F$9,0,IF(OR(TRANSACTIONS!$D231=RAPPORTS!$A$13,TRANSACTIONS!$D231=RAPPORTS!#REF!),VLOOKUP(TRANSACTIONS!$F231,FRAIS_D_ENVOI,3,TRUE),0)),"")</f>
        <v/>
      </c>
      <c r="H231" s="46" t="str">
        <f>IFERROR(TRANSACTIONS!$F231+TRANSACTIONS!$G231,"")</f>
        <v/>
      </c>
      <c r="I231" s="44"/>
      <c r="J231" s="40" t="str">
        <f t="shared" si="3"/>
        <v/>
      </c>
    </row>
    <row r="232" spans="1:10" hidden="1" x14ac:dyDescent="0.25">
      <c r="A232" s="41"/>
      <c r="B232" s="48" t="str">
        <f>IF(A232&lt;&gt;"",DATE(YEAR(TRANSACTIONS!$A232),MONTH(TRANSACTIONS!$A232),DAY(TRANSACTIONS!$A232)),"")</f>
        <v/>
      </c>
      <c r="C232" s="49" t="str">
        <f>IF(A232&lt;&gt;"",TIME(HOUR(TRANSACTIONS!$A232),MINUTE(TRANSACTIONS!$A232),SECOND(TRANSACTIONS!$A232)),"")</f>
        <v/>
      </c>
      <c r="D232" s="42"/>
      <c r="E232" s="42"/>
      <c r="F232" s="43"/>
      <c r="G232" s="46" t="str">
        <f>IF(AND(A232&lt;&gt;"",F232&gt;1),IF(TRANSACTIONS!$E232=RAPPORTS!$F$9,0,IF(OR(TRANSACTIONS!$D232=RAPPORTS!$A$13,TRANSACTIONS!$D232=RAPPORTS!#REF!),VLOOKUP(TRANSACTIONS!$F232,FRAIS_D_ENVOI,3,TRUE),0)),"")</f>
        <v/>
      </c>
      <c r="H232" s="46" t="str">
        <f>IFERROR(TRANSACTIONS!$F232+TRANSACTIONS!$G232,"")</f>
        <v/>
      </c>
      <c r="I232" s="44"/>
      <c r="J232" s="40" t="str">
        <f t="shared" si="3"/>
        <v/>
      </c>
    </row>
    <row r="233" spans="1:10" hidden="1" x14ac:dyDescent="0.25">
      <c r="A233" s="41"/>
      <c r="B233" s="48" t="str">
        <f>IF(A233&lt;&gt;"",DATE(YEAR(TRANSACTIONS!$A233),MONTH(TRANSACTIONS!$A233),DAY(TRANSACTIONS!$A233)),"")</f>
        <v/>
      </c>
      <c r="C233" s="49" t="str">
        <f>IF(A233&lt;&gt;"",TIME(HOUR(TRANSACTIONS!$A233),MINUTE(TRANSACTIONS!$A233),SECOND(TRANSACTIONS!$A233)),"")</f>
        <v/>
      </c>
      <c r="D233" s="42"/>
      <c r="E233" s="42"/>
      <c r="F233" s="43"/>
      <c r="G233" s="46" t="str">
        <f>IF(AND(A233&lt;&gt;"",F233&gt;1),IF(TRANSACTIONS!$E233=RAPPORTS!$F$9,0,IF(OR(TRANSACTIONS!$D233=RAPPORTS!$A$13,TRANSACTIONS!$D233=RAPPORTS!#REF!),VLOOKUP(TRANSACTIONS!$F233,FRAIS_D_ENVOI,3,TRUE),0)),"")</f>
        <v/>
      </c>
      <c r="H233" s="46" t="str">
        <f>IFERROR(TRANSACTIONS!$F233+TRANSACTIONS!$G233,"")</f>
        <v/>
      </c>
      <c r="I233" s="44"/>
      <c r="J233" s="40" t="str">
        <f t="shared" si="3"/>
        <v/>
      </c>
    </row>
    <row r="234" spans="1:10" hidden="1" x14ac:dyDescent="0.25">
      <c r="A234" s="41"/>
      <c r="B234" s="48" t="str">
        <f>IF(A234&lt;&gt;"",DATE(YEAR(TRANSACTIONS!$A234),MONTH(TRANSACTIONS!$A234),DAY(TRANSACTIONS!$A234)),"")</f>
        <v/>
      </c>
      <c r="C234" s="49" t="str">
        <f>IF(A234&lt;&gt;"",TIME(HOUR(TRANSACTIONS!$A234),MINUTE(TRANSACTIONS!$A234),SECOND(TRANSACTIONS!$A234)),"")</f>
        <v/>
      </c>
      <c r="D234" s="42"/>
      <c r="E234" s="42"/>
      <c r="F234" s="43"/>
      <c r="G234" s="46" t="str">
        <f>IF(AND(A234&lt;&gt;"",F234&gt;1),IF(TRANSACTIONS!$E234=RAPPORTS!$F$9,0,IF(OR(TRANSACTIONS!$D234=RAPPORTS!$A$13,TRANSACTIONS!$D234=RAPPORTS!#REF!),VLOOKUP(TRANSACTIONS!$F234,FRAIS_D_ENVOI,3,TRUE),0)),"")</f>
        <v/>
      </c>
      <c r="H234" s="46" t="str">
        <f>IFERROR(TRANSACTIONS!$F234+TRANSACTIONS!$G234,"")</f>
        <v/>
      </c>
      <c r="I234" s="44"/>
      <c r="J234" s="40" t="str">
        <f t="shared" si="3"/>
        <v/>
      </c>
    </row>
    <row r="235" spans="1:10" hidden="1" x14ac:dyDescent="0.25">
      <c r="A235" s="41"/>
      <c r="B235" s="48" t="str">
        <f>IF(A235&lt;&gt;"",DATE(YEAR(TRANSACTIONS!$A235),MONTH(TRANSACTIONS!$A235),DAY(TRANSACTIONS!$A235)),"")</f>
        <v/>
      </c>
      <c r="C235" s="49" t="str">
        <f>IF(A235&lt;&gt;"",TIME(HOUR(TRANSACTIONS!$A235),MINUTE(TRANSACTIONS!$A235),SECOND(TRANSACTIONS!$A235)),"")</f>
        <v/>
      </c>
      <c r="D235" s="42"/>
      <c r="E235" s="42"/>
      <c r="F235" s="43"/>
      <c r="G235" s="46" t="str">
        <f>IF(AND(A235&lt;&gt;"",F235&gt;1),IF(TRANSACTIONS!$E235=RAPPORTS!$F$9,0,IF(OR(TRANSACTIONS!$D235=RAPPORTS!$A$13,TRANSACTIONS!$D235=RAPPORTS!#REF!),VLOOKUP(TRANSACTIONS!$F235,FRAIS_D_ENVOI,3,TRUE),0)),"")</f>
        <v/>
      </c>
      <c r="H235" s="46" t="str">
        <f>IFERROR(TRANSACTIONS!$F235+TRANSACTIONS!$G235,"")</f>
        <v/>
      </c>
      <c r="I235" s="44"/>
      <c r="J235" s="40" t="str">
        <f t="shared" si="3"/>
        <v/>
      </c>
    </row>
    <row r="236" spans="1:10" hidden="1" x14ac:dyDescent="0.25">
      <c r="A236" s="41"/>
      <c r="B236" s="48" t="str">
        <f>IF(A236&lt;&gt;"",DATE(YEAR(TRANSACTIONS!$A236),MONTH(TRANSACTIONS!$A236),DAY(TRANSACTIONS!$A236)),"")</f>
        <v/>
      </c>
      <c r="C236" s="49" t="str">
        <f>IF(A236&lt;&gt;"",TIME(HOUR(TRANSACTIONS!$A236),MINUTE(TRANSACTIONS!$A236),SECOND(TRANSACTIONS!$A236)),"")</f>
        <v/>
      </c>
      <c r="D236" s="42"/>
      <c r="E236" s="42"/>
      <c r="F236" s="43"/>
      <c r="G236" s="46" t="str">
        <f>IF(AND(A236&lt;&gt;"",F236&gt;1),IF(TRANSACTIONS!$E236=RAPPORTS!$F$9,0,IF(OR(TRANSACTIONS!$D236=RAPPORTS!$A$13,TRANSACTIONS!$D236=RAPPORTS!#REF!),VLOOKUP(TRANSACTIONS!$F236,FRAIS_D_ENVOI,3,TRUE),0)),"")</f>
        <v/>
      </c>
      <c r="H236" s="46" t="str">
        <f>IFERROR(TRANSACTIONS!$F236+TRANSACTIONS!$G236,"")</f>
        <v/>
      </c>
      <c r="I236" s="44"/>
      <c r="J236" s="40" t="str">
        <f t="shared" si="3"/>
        <v/>
      </c>
    </row>
    <row r="237" spans="1:10" hidden="1" x14ac:dyDescent="0.25">
      <c r="A237" s="41"/>
      <c r="B237" s="48" t="str">
        <f>IF(A237&lt;&gt;"",DATE(YEAR(TRANSACTIONS!$A237),MONTH(TRANSACTIONS!$A237),DAY(TRANSACTIONS!$A237)),"")</f>
        <v/>
      </c>
      <c r="C237" s="49" t="str">
        <f>IF(A237&lt;&gt;"",TIME(HOUR(TRANSACTIONS!$A237),MINUTE(TRANSACTIONS!$A237),SECOND(TRANSACTIONS!$A237)),"")</f>
        <v/>
      </c>
      <c r="D237" s="42"/>
      <c r="E237" s="42"/>
      <c r="F237" s="43"/>
      <c r="G237" s="46" t="str">
        <f>IF(AND(A237&lt;&gt;"",F237&gt;1),IF(TRANSACTIONS!$E237=RAPPORTS!$F$9,0,IF(OR(TRANSACTIONS!$D237=RAPPORTS!$A$13,TRANSACTIONS!$D237=RAPPORTS!#REF!),VLOOKUP(TRANSACTIONS!$F237,FRAIS_D_ENVOI,3,TRUE),0)),"")</f>
        <v/>
      </c>
      <c r="H237" s="46" t="str">
        <f>IFERROR(TRANSACTIONS!$F237+TRANSACTIONS!$G237,"")</f>
        <v/>
      </c>
      <c r="I237" s="44"/>
      <c r="J237" s="40" t="str">
        <f t="shared" si="3"/>
        <v/>
      </c>
    </row>
    <row r="238" spans="1:10" hidden="1" x14ac:dyDescent="0.25">
      <c r="A238" s="41"/>
      <c r="B238" s="48" t="str">
        <f>IF(A238&lt;&gt;"",DATE(YEAR(TRANSACTIONS!$A238),MONTH(TRANSACTIONS!$A238),DAY(TRANSACTIONS!$A238)),"")</f>
        <v/>
      </c>
      <c r="C238" s="49" t="str">
        <f>IF(A238&lt;&gt;"",TIME(HOUR(TRANSACTIONS!$A238),MINUTE(TRANSACTIONS!$A238),SECOND(TRANSACTIONS!$A238)),"")</f>
        <v/>
      </c>
      <c r="D238" s="42"/>
      <c r="E238" s="42"/>
      <c r="F238" s="43"/>
      <c r="G238" s="46" t="str">
        <f>IF(AND(A238&lt;&gt;"",F238&gt;1),IF(TRANSACTIONS!$E238=RAPPORTS!$F$9,0,IF(OR(TRANSACTIONS!$D238=RAPPORTS!$A$13,TRANSACTIONS!$D238=RAPPORTS!#REF!),VLOOKUP(TRANSACTIONS!$F238,FRAIS_D_ENVOI,3,TRUE),0)),"")</f>
        <v/>
      </c>
      <c r="H238" s="46" t="str">
        <f>IFERROR(TRANSACTIONS!$F238+TRANSACTIONS!$G238,"")</f>
        <v/>
      </c>
      <c r="I238" s="44"/>
      <c r="J238" s="40" t="str">
        <f t="shared" si="3"/>
        <v/>
      </c>
    </row>
    <row r="239" spans="1:10" hidden="1" x14ac:dyDescent="0.25">
      <c r="A239" s="41"/>
      <c r="B239" s="48" t="str">
        <f>IF(A239&lt;&gt;"",DATE(YEAR(TRANSACTIONS!$A239),MONTH(TRANSACTIONS!$A239),DAY(TRANSACTIONS!$A239)),"")</f>
        <v/>
      </c>
      <c r="C239" s="49" t="str">
        <f>IF(A239&lt;&gt;"",TIME(HOUR(TRANSACTIONS!$A239),MINUTE(TRANSACTIONS!$A239),SECOND(TRANSACTIONS!$A239)),"")</f>
        <v/>
      </c>
      <c r="D239" s="42"/>
      <c r="E239" s="42"/>
      <c r="F239" s="43"/>
      <c r="G239" s="46" t="str">
        <f>IF(AND(A239&lt;&gt;"",F239&gt;1),IF(TRANSACTIONS!$E239=RAPPORTS!$F$9,0,IF(OR(TRANSACTIONS!$D239=RAPPORTS!$A$13,TRANSACTIONS!$D239=RAPPORTS!#REF!),VLOOKUP(TRANSACTIONS!$F239,FRAIS_D_ENVOI,3,TRUE),0)),"")</f>
        <v/>
      </c>
      <c r="H239" s="46" t="str">
        <f>IFERROR(TRANSACTIONS!$F239+TRANSACTIONS!$G239,"")</f>
        <v/>
      </c>
      <c r="I239" s="44"/>
      <c r="J239" s="40" t="str">
        <f t="shared" si="3"/>
        <v/>
      </c>
    </row>
    <row r="240" spans="1:10" hidden="1" x14ac:dyDescent="0.25">
      <c r="A240" s="41"/>
      <c r="B240" s="48" t="str">
        <f>IF(A240&lt;&gt;"",DATE(YEAR(TRANSACTIONS!$A240),MONTH(TRANSACTIONS!$A240),DAY(TRANSACTIONS!$A240)),"")</f>
        <v/>
      </c>
      <c r="C240" s="49" t="str">
        <f>IF(A240&lt;&gt;"",TIME(HOUR(TRANSACTIONS!$A240),MINUTE(TRANSACTIONS!$A240),SECOND(TRANSACTIONS!$A240)),"")</f>
        <v/>
      </c>
      <c r="D240" s="42"/>
      <c r="E240" s="42"/>
      <c r="F240" s="43"/>
      <c r="G240" s="46" t="str">
        <f>IF(AND(A240&lt;&gt;"",F240&gt;1),IF(TRANSACTIONS!$E240=RAPPORTS!$F$9,0,IF(OR(TRANSACTIONS!$D240=RAPPORTS!$A$13,TRANSACTIONS!$D240=RAPPORTS!#REF!),VLOOKUP(TRANSACTIONS!$F240,FRAIS_D_ENVOI,3,TRUE),0)),"")</f>
        <v/>
      </c>
      <c r="H240" s="46" t="str">
        <f>IFERROR(TRANSACTIONS!$F240+TRANSACTIONS!$G240,"")</f>
        <v/>
      </c>
      <c r="I240" s="44"/>
      <c r="J240" s="40" t="str">
        <f t="shared" si="3"/>
        <v/>
      </c>
    </row>
    <row r="241" spans="1:10" hidden="1" x14ac:dyDescent="0.25">
      <c r="A241" s="41"/>
      <c r="B241" s="48" t="str">
        <f>IF(A241&lt;&gt;"",DATE(YEAR(TRANSACTIONS!$A241),MONTH(TRANSACTIONS!$A241),DAY(TRANSACTIONS!$A241)),"")</f>
        <v/>
      </c>
      <c r="C241" s="49" t="str">
        <f>IF(A241&lt;&gt;"",TIME(HOUR(TRANSACTIONS!$A241),MINUTE(TRANSACTIONS!$A241),SECOND(TRANSACTIONS!$A241)),"")</f>
        <v/>
      </c>
      <c r="D241" s="42"/>
      <c r="E241" s="42"/>
      <c r="F241" s="43"/>
      <c r="G241" s="46" t="str">
        <f>IF(AND(A241&lt;&gt;"",F241&gt;1),IF(TRANSACTIONS!$E241=RAPPORTS!$F$9,0,IF(OR(TRANSACTIONS!$D241=RAPPORTS!$A$13,TRANSACTIONS!$D241=RAPPORTS!#REF!),VLOOKUP(TRANSACTIONS!$F241,FRAIS_D_ENVOI,3,TRUE),0)),"")</f>
        <v/>
      </c>
      <c r="H241" s="46" t="str">
        <f>IFERROR(TRANSACTIONS!$F241+TRANSACTIONS!$G241,"")</f>
        <v/>
      </c>
      <c r="I241" s="44"/>
      <c r="J241" s="40" t="str">
        <f t="shared" si="3"/>
        <v/>
      </c>
    </row>
    <row r="242" spans="1:10" hidden="1" x14ac:dyDescent="0.25">
      <c r="A242" s="41"/>
      <c r="B242" s="48" t="str">
        <f>IF(A242&lt;&gt;"",DATE(YEAR(TRANSACTIONS!$A242),MONTH(TRANSACTIONS!$A242),DAY(TRANSACTIONS!$A242)),"")</f>
        <v/>
      </c>
      <c r="C242" s="49" t="str">
        <f>IF(A242&lt;&gt;"",TIME(HOUR(TRANSACTIONS!$A242),MINUTE(TRANSACTIONS!$A242),SECOND(TRANSACTIONS!$A242)),"")</f>
        <v/>
      </c>
      <c r="D242" s="42"/>
      <c r="E242" s="42"/>
      <c r="F242" s="43"/>
      <c r="G242" s="46" t="str">
        <f>IF(AND(A242&lt;&gt;"",F242&gt;1),IF(TRANSACTIONS!$E242=RAPPORTS!$F$9,0,IF(OR(TRANSACTIONS!$D242=RAPPORTS!$A$13,TRANSACTIONS!$D242=RAPPORTS!#REF!),VLOOKUP(TRANSACTIONS!$F242,FRAIS_D_ENVOI,3,TRUE),0)),"")</f>
        <v/>
      </c>
      <c r="H242" s="46" t="str">
        <f>IFERROR(TRANSACTIONS!$F242+TRANSACTIONS!$G242,"")</f>
        <v/>
      </c>
      <c r="I242" s="44"/>
      <c r="J242" s="40" t="str">
        <f t="shared" si="3"/>
        <v/>
      </c>
    </row>
    <row r="243" spans="1:10" hidden="1" x14ac:dyDescent="0.25">
      <c r="A243" s="41"/>
      <c r="B243" s="48" t="str">
        <f>IF(A243&lt;&gt;"",DATE(YEAR(TRANSACTIONS!$A243),MONTH(TRANSACTIONS!$A243),DAY(TRANSACTIONS!$A243)),"")</f>
        <v/>
      </c>
      <c r="C243" s="49" t="str">
        <f>IF(A243&lt;&gt;"",TIME(HOUR(TRANSACTIONS!$A243),MINUTE(TRANSACTIONS!$A243),SECOND(TRANSACTIONS!$A243)),"")</f>
        <v/>
      </c>
      <c r="D243" s="42"/>
      <c r="E243" s="42"/>
      <c r="F243" s="43"/>
      <c r="G243" s="46" t="str">
        <f>IF(AND(A243&lt;&gt;"",F243&gt;1),IF(TRANSACTIONS!$E243=RAPPORTS!$F$9,0,IF(OR(TRANSACTIONS!$D243=RAPPORTS!$A$13,TRANSACTIONS!$D243=RAPPORTS!#REF!),VLOOKUP(TRANSACTIONS!$F243,FRAIS_D_ENVOI,3,TRUE),0)),"")</f>
        <v/>
      </c>
      <c r="H243" s="46" t="str">
        <f>IFERROR(TRANSACTIONS!$F243+TRANSACTIONS!$G243,"")</f>
        <v/>
      </c>
      <c r="I243" s="44"/>
      <c r="J243" s="40" t="str">
        <f t="shared" si="3"/>
        <v/>
      </c>
    </row>
    <row r="244" spans="1:10" hidden="1" x14ac:dyDescent="0.25">
      <c r="A244" s="41"/>
      <c r="B244" s="48" t="str">
        <f>IF(A244&lt;&gt;"",DATE(YEAR(TRANSACTIONS!$A244),MONTH(TRANSACTIONS!$A244),DAY(TRANSACTIONS!$A244)),"")</f>
        <v/>
      </c>
      <c r="C244" s="49" t="str">
        <f>IF(A244&lt;&gt;"",TIME(HOUR(TRANSACTIONS!$A244),MINUTE(TRANSACTIONS!$A244),SECOND(TRANSACTIONS!$A244)),"")</f>
        <v/>
      </c>
      <c r="D244" s="42"/>
      <c r="E244" s="42"/>
      <c r="F244" s="43"/>
      <c r="G244" s="46" t="str">
        <f>IF(AND(A244&lt;&gt;"",F244&gt;1),IF(TRANSACTIONS!$E244=RAPPORTS!$F$9,0,IF(OR(TRANSACTIONS!$D244=RAPPORTS!$A$13,TRANSACTIONS!$D244=RAPPORTS!#REF!),VLOOKUP(TRANSACTIONS!$F244,FRAIS_D_ENVOI,3,TRUE),0)),"")</f>
        <v/>
      </c>
      <c r="H244" s="46" t="str">
        <f>IFERROR(TRANSACTIONS!$F244+TRANSACTIONS!$G244,"")</f>
        <v/>
      </c>
      <c r="I244" s="44"/>
      <c r="J244" s="40" t="str">
        <f t="shared" si="3"/>
        <v/>
      </c>
    </row>
    <row r="245" spans="1:10" hidden="1" x14ac:dyDescent="0.25">
      <c r="A245" s="41"/>
      <c r="B245" s="48" t="str">
        <f>IF(A245&lt;&gt;"",DATE(YEAR(TRANSACTIONS!$A245),MONTH(TRANSACTIONS!$A245),DAY(TRANSACTIONS!$A245)),"")</f>
        <v/>
      </c>
      <c r="C245" s="49" t="str">
        <f>IF(A245&lt;&gt;"",TIME(HOUR(TRANSACTIONS!$A245),MINUTE(TRANSACTIONS!$A245),SECOND(TRANSACTIONS!$A245)),"")</f>
        <v/>
      </c>
      <c r="D245" s="42"/>
      <c r="E245" s="42"/>
      <c r="F245" s="43"/>
      <c r="G245" s="46" t="str">
        <f>IF(AND(A245&lt;&gt;"",F245&gt;1),IF(TRANSACTIONS!$E245=RAPPORTS!$F$9,0,IF(OR(TRANSACTIONS!$D245=RAPPORTS!$A$13,TRANSACTIONS!$D245=RAPPORTS!#REF!),VLOOKUP(TRANSACTIONS!$F245,FRAIS_D_ENVOI,3,TRUE),0)),"")</f>
        <v/>
      </c>
      <c r="H245" s="46" t="str">
        <f>IFERROR(TRANSACTIONS!$F245+TRANSACTIONS!$G245,"")</f>
        <v/>
      </c>
      <c r="I245" s="44"/>
      <c r="J245" s="40" t="str">
        <f t="shared" si="3"/>
        <v/>
      </c>
    </row>
    <row r="246" spans="1:10" hidden="1" x14ac:dyDescent="0.25">
      <c r="A246" s="41"/>
      <c r="B246" s="48" t="str">
        <f>IF(A246&lt;&gt;"",DATE(YEAR(TRANSACTIONS!$A246),MONTH(TRANSACTIONS!$A246),DAY(TRANSACTIONS!$A246)),"")</f>
        <v/>
      </c>
      <c r="C246" s="49" t="str">
        <f>IF(A246&lt;&gt;"",TIME(HOUR(TRANSACTIONS!$A246),MINUTE(TRANSACTIONS!$A246),SECOND(TRANSACTIONS!$A246)),"")</f>
        <v/>
      </c>
      <c r="D246" s="42"/>
      <c r="E246" s="42"/>
      <c r="F246" s="43"/>
      <c r="G246" s="46" t="str">
        <f>IF(AND(A246&lt;&gt;"",F246&gt;1),IF(TRANSACTIONS!$E246=RAPPORTS!$F$9,0,IF(OR(TRANSACTIONS!$D246=RAPPORTS!$A$13,TRANSACTIONS!$D246=RAPPORTS!#REF!),VLOOKUP(TRANSACTIONS!$F246,FRAIS_D_ENVOI,3,TRUE),0)),"")</f>
        <v/>
      </c>
      <c r="H246" s="46" t="str">
        <f>IFERROR(TRANSACTIONS!$F246+TRANSACTIONS!$G246,"")</f>
        <v/>
      </c>
      <c r="I246" s="44"/>
      <c r="J246" s="40" t="str">
        <f t="shared" si="3"/>
        <v/>
      </c>
    </row>
    <row r="247" spans="1:10" hidden="1" x14ac:dyDescent="0.25">
      <c r="A247" s="41"/>
      <c r="B247" s="48" t="str">
        <f>IF(A247&lt;&gt;"",DATE(YEAR(TRANSACTIONS!$A247),MONTH(TRANSACTIONS!$A247),DAY(TRANSACTIONS!$A247)),"")</f>
        <v/>
      </c>
      <c r="C247" s="49" t="str">
        <f>IF(A247&lt;&gt;"",TIME(HOUR(TRANSACTIONS!$A247),MINUTE(TRANSACTIONS!$A247),SECOND(TRANSACTIONS!$A247)),"")</f>
        <v/>
      </c>
      <c r="D247" s="42"/>
      <c r="E247" s="42"/>
      <c r="F247" s="43"/>
      <c r="G247" s="46" t="str">
        <f>IF(AND(A247&lt;&gt;"",F247&gt;1),IF(TRANSACTIONS!$E247=RAPPORTS!$F$9,0,IF(OR(TRANSACTIONS!$D247=RAPPORTS!$A$13,TRANSACTIONS!$D247=RAPPORTS!#REF!),VLOOKUP(TRANSACTIONS!$F247,FRAIS_D_ENVOI,3,TRUE),0)),"")</f>
        <v/>
      </c>
      <c r="H247" s="46" t="str">
        <f>IFERROR(TRANSACTIONS!$F247+TRANSACTIONS!$G247,"")</f>
        <v/>
      </c>
      <c r="I247" s="44"/>
      <c r="J247" s="40" t="str">
        <f t="shared" si="3"/>
        <v/>
      </c>
    </row>
    <row r="248" spans="1:10" hidden="1" x14ac:dyDescent="0.25">
      <c r="A248" s="41"/>
      <c r="B248" s="48" t="str">
        <f>IF(A248&lt;&gt;"",DATE(YEAR(TRANSACTIONS!$A248),MONTH(TRANSACTIONS!$A248),DAY(TRANSACTIONS!$A248)),"")</f>
        <v/>
      </c>
      <c r="C248" s="49" t="str">
        <f>IF(A248&lt;&gt;"",TIME(HOUR(TRANSACTIONS!$A248),MINUTE(TRANSACTIONS!$A248),SECOND(TRANSACTIONS!$A248)),"")</f>
        <v/>
      </c>
      <c r="D248" s="42"/>
      <c r="E248" s="42"/>
      <c r="F248" s="43"/>
      <c r="G248" s="46" t="str">
        <f>IF(AND(A248&lt;&gt;"",F248&gt;1),IF(TRANSACTIONS!$E248=RAPPORTS!$F$9,0,IF(OR(TRANSACTIONS!$D248=RAPPORTS!$A$13,TRANSACTIONS!$D248=RAPPORTS!#REF!),VLOOKUP(TRANSACTIONS!$F248,FRAIS_D_ENVOI,3,TRUE),0)),"")</f>
        <v/>
      </c>
      <c r="H248" s="46" t="str">
        <f>IFERROR(TRANSACTIONS!$F248+TRANSACTIONS!$G248,"")</f>
        <v/>
      </c>
      <c r="I248" s="44"/>
      <c r="J248" s="40" t="str">
        <f t="shared" si="3"/>
        <v/>
      </c>
    </row>
    <row r="249" spans="1:10" hidden="1" x14ac:dyDescent="0.25">
      <c r="A249" s="41"/>
      <c r="B249" s="48" t="str">
        <f>IF(A249&lt;&gt;"",DATE(YEAR(TRANSACTIONS!$A249),MONTH(TRANSACTIONS!$A249),DAY(TRANSACTIONS!$A249)),"")</f>
        <v/>
      </c>
      <c r="C249" s="49" t="str">
        <f>IF(A249&lt;&gt;"",TIME(HOUR(TRANSACTIONS!$A249),MINUTE(TRANSACTIONS!$A249),SECOND(TRANSACTIONS!$A249)),"")</f>
        <v/>
      </c>
      <c r="D249" s="42"/>
      <c r="E249" s="42"/>
      <c r="F249" s="43"/>
      <c r="G249" s="46" t="str">
        <f>IF(AND(A249&lt;&gt;"",F249&gt;1),IF(TRANSACTIONS!$E249=RAPPORTS!$F$9,0,IF(OR(TRANSACTIONS!$D249=RAPPORTS!$A$13,TRANSACTIONS!$D249=RAPPORTS!#REF!),VLOOKUP(TRANSACTIONS!$F249,FRAIS_D_ENVOI,3,TRUE),0)),"")</f>
        <v/>
      </c>
      <c r="H249" s="46" t="str">
        <f>IFERROR(TRANSACTIONS!$F249+TRANSACTIONS!$G249,"")</f>
        <v/>
      </c>
      <c r="I249" s="44"/>
      <c r="J249" s="40" t="str">
        <f t="shared" si="3"/>
        <v/>
      </c>
    </row>
    <row r="250" spans="1:10" hidden="1" x14ac:dyDescent="0.25">
      <c r="A250" s="41"/>
      <c r="B250" s="48" t="str">
        <f>IF(A250&lt;&gt;"",DATE(YEAR(TRANSACTIONS!$A250),MONTH(TRANSACTIONS!$A250),DAY(TRANSACTIONS!$A250)),"")</f>
        <v/>
      </c>
      <c r="C250" s="49" t="str">
        <f>IF(A250&lt;&gt;"",TIME(HOUR(TRANSACTIONS!$A250),MINUTE(TRANSACTIONS!$A250),SECOND(TRANSACTIONS!$A250)),"")</f>
        <v/>
      </c>
      <c r="D250" s="42"/>
      <c r="E250" s="42"/>
      <c r="F250" s="43"/>
      <c r="G250" s="46" t="str">
        <f>IF(AND(A250&lt;&gt;"",F250&gt;1),IF(TRANSACTIONS!$E250=RAPPORTS!$F$9,0,IF(OR(TRANSACTIONS!$D250=RAPPORTS!$A$13,TRANSACTIONS!$D250=RAPPORTS!#REF!),VLOOKUP(TRANSACTIONS!$F250,FRAIS_D_ENVOI,3,TRUE),0)),"")</f>
        <v/>
      </c>
      <c r="H250" s="46" t="str">
        <f>IFERROR(TRANSACTIONS!$F250+TRANSACTIONS!$G250,"")</f>
        <v/>
      </c>
      <c r="I250" s="44"/>
      <c r="J250" s="40" t="str">
        <f t="shared" si="3"/>
        <v/>
      </c>
    </row>
    <row r="251" spans="1:10" hidden="1" x14ac:dyDescent="0.25">
      <c r="A251" s="41"/>
      <c r="B251" s="48" t="str">
        <f>IF(A251&lt;&gt;"",DATE(YEAR(TRANSACTIONS!$A251),MONTH(TRANSACTIONS!$A251),DAY(TRANSACTIONS!$A251)),"")</f>
        <v/>
      </c>
      <c r="C251" s="49" t="str">
        <f>IF(A251&lt;&gt;"",TIME(HOUR(TRANSACTIONS!$A251),MINUTE(TRANSACTIONS!$A251),SECOND(TRANSACTIONS!$A251)),"")</f>
        <v/>
      </c>
      <c r="D251" s="42"/>
      <c r="E251" s="42"/>
      <c r="F251" s="43"/>
      <c r="G251" s="46" t="str">
        <f>IF(AND(A251&lt;&gt;"",F251&gt;1),IF(TRANSACTIONS!$E251=RAPPORTS!$F$9,0,IF(OR(TRANSACTIONS!$D251=RAPPORTS!$A$13,TRANSACTIONS!$D251=RAPPORTS!#REF!),VLOOKUP(TRANSACTIONS!$F251,FRAIS_D_ENVOI,3,TRUE),0)),"")</f>
        <v/>
      </c>
      <c r="H251" s="46" t="str">
        <f>IFERROR(TRANSACTIONS!$F251+TRANSACTIONS!$G251,"")</f>
        <v/>
      </c>
      <c r="I251" s="44"/>
      <c r="J251" s="40" t="str">
        <f t="shared" si="3"/>
        <v/>
      </c>
    </row>
    <row r="252" spans="1:10" hidden="1" x14ac:dyDescent="0.25">
      <c r="A252" s="41"/>
      <c r="B252" s="48" t="str">
        <f>IF(A252&lt;&gt;"",DATE(YEAR(TRANSACTIONS!$A252),MONTH(TRANSACTIONS!$A252),DAY(TRANSACTIONS!$A252)),"")</f>
        <v/>
      </c>
      <c r="C252" s="49" t="str">
        <f>IF(A252&lt;&gt;"",TIME(HOUR(TRANSACTIONS!$A252),MINUTE(TRANSACTIONS!$A252),SECOND(TRANSACTIONS!$A252)),"")</f>
        <v/>
      </c>
      <c r="D252" s="42"/>
      <c r="E252" s="42"/>
      <c r="F252" s="43"/>
      <c r="G252" s="46" t="str">
        <f>IF(AND(A252&lt;&gt;"",F252&gt;1),IF(TRANSACTIONS!$E252=RAPPORTS!$F$9,0,IF(OR(TRANSACTIONS!$D252=RAPPORTS!$A$13,TRANSACTIONS!$D252=RAPPORTS!#REF!),VLOOKUP(TRANSACTIONS!$F252,FRAIS_D_ENVOI,3,TRUE),0)),"")</f>
        <v/>
      </c>
      <c r="H252" s="46" t="str">
        <f>IFERROR(TRANSACTIONS!$F252+TRANSACTIONS!$G252,"")</f>
        <v/>
      </c>
      <c r="I252" s="44"/>
      <c r="J252" s="40" t="str">
        <f t="shared" si="3"/>
        <v/>
      </c>
    </row>
    <row r="253" spans="1:10" hidden="1" x14ac:dyDescent="0.25">
      <c r="A253" s="41"/>
      <c r="B253" s="48" t="str">
        <f>IF(A253&lt;&gt;"",DATE(YEAR(TRANSACTIONS!$A253),MONTH(TRANSACTIONS!$A253),DAY(TRANSACTIONS!$A253)),"")</f>
        <v/>
      </c>
      <c r="C253" s="49" t="str">
        <f>IF(A253&lt;&gt;"",TIME(HOUR(TRANSACTIONS!$A253),MINUTE(TRANSACTIONS!$A253),SECOND(TRANSACTIONS!$A253)),"")</f>
        <v/>
      </c>
      <c r="D253" s="42"/>
      <c r="E253" s="42"/>
      <c r="F253" s="43"/>
      <c r="G253" s="46" t="str">
        <f>IF(AND(A253&lt;&gt;"",F253&gt;1),IF(TRANSACTIONS!$E253=RAPPORTS!$F$9,0,IF(OR(TRANSACTIONS!$D253=RAPPORTS!$A$13,TRANSACTIONS!$D253=RAPPORTS!#REF!),VLOOKUP(TRANSACTIONS!$F253,FRAIS_D_ENVOI,3,TRUE),0)),"")</f>
        <v/>
      </c>
      <c r="H253" s="46" t="str">
        <f>IFERROR(TRANSACTIONS!$F253+TRANSACTIONS!$G253,"")</f>
        <v/>
      </c>
      <c r="I253" s="44"/>
      <c r="J253" s="40" t="str">
        <f t="shared" si="3"/>
        <v/>
      </c>
    </row>
    <row r="254" spans="1:10" hidden="1" x14ac:dyDescent="0.25">
      <c r="A254" s="41"/>
      <c r="B254" s="48" t="str">
        <f>IF(A254&lt;&gt;"",DATE(YEAR(TRANSACTIONS!$A254),MONTH(TRANSACTIONS!$A254),DAY(TRANSACTIONS!$A254)),"")</f>
        <v/>
      </c>
      <c r="C254" s="49" t="str">
        <f>IF(A254&lt;&gt;"",TIME(HOUR(TRANSACTIONS!$A254),MINUTE(TRANSACTIONS!$A254),SECOND(TRANSACTIONS!$A254)),"")</f>
        <v/>
      </c>
      <c r="D254" s="42"/>
      <c r="E254" s="42"/>
      <c r="F254" s="43"/>
      <c r="G254" s="46" t="str">
        <f>IF(AND(A254&lt;&gt;"",F254&gt;1),IF(TRANSACTIONS!$E254=RAPPORTS!$F$9,0,IF(OR(TRANSACTIONS!$D254=RAPPORTS!$A$13,TRANSACTIONS!$D254=RAPPORTS!#REF!),VLOOKUP(TRANSACTIONS!$F254,FRAIS_D_ENVOI,3,TRUE),0)),"")</f>
        <v/>
      </c>
      <c r="H254" s="46" t="str">
        <f>IFERROR(TRANSACTIONS!$F254+TRANSACTIONS!$G254,"")</f>
        <v/>
      </c>
      <c r="I254" s="44"/>
      <c r="J254" s="40" t="str">
        <f t="shared" si="3"/>
        <v/>
      </c>
    </row>
    <row r="255" spans="1:10" hidden="1" x14ac:dyDescent="0.25">
      <c r="A255" s="41"/>
      <c r="B255" s="48" t="str">
        <f>IF(A255&lt;&gt;"",DATE(YEAR(TRANSACTIONS!$A255),MONTH(TRANSACTIONS!$A255),DAY(TRANSACTIONS!$A255)),"")</f>
        <v/>
      </c>
      <c r="C255" s="49" t="str">
        <f>IF(A255&lt;&gt;"",TIME(HOUR(TRANSACTIONS!$A255),MINUTE(TRANSACTIONS!$A255),SECOND(TRANSACTIONS!$A255)),"")</f>
        <v/>
      </c>
      <c r="D255" s="42"/>
      <c r="E255" s="42"/>
      <c r="F255" s="43"/>
      <c r="G255" s="46" t="str">
        <f>IF(AND(A255&lt;&gt;"",F255&gt;1),IF(TRANSACTIONS!$E255=RAPPORTS!$F$9,0,IF(OR(TRANSACTIONS!$D255=RAPPORTS!$A$13,TRANSACTIONS!$D255=RAPPORTS!#REF!),VLOOKUP(TRANSACTIONS!$F255,FRAIS_D_ENVOI,3,TRUE),0)),"")</f>
        <v/>
      </c>
      <c r="H255" s="46" t="str">
        <f>IFERROR(TRANSACTIONS!$F255+TRANSACTIONS!$G255,"")</f>
        <v/>
      </c>
      <c r="I255" s="44"/>
      <c r="J255" s="40" t="str">
        <f t="shared" si="3"/>
        <v/>
      </c>
    </row>
    <row r="256" spans="1:10" hidden="1" x14ac:dyDescent="0.25">
      <c r="A256" s="41"/>
      <c r="B256" s="48" t="str">
        <f>IF(A256&lt;&gt;"",DATE(YEAR(TRANSACTIONS!$A256),MONTH(TRANSACTIONS!$A256),DAY(TRANSACTIONS!$A256)),"")</f>
        <v/>
      </c>
      <c r="C256" s="49" t="str">
        <f>IF(A256&lt;&gt;"",TIME(HOUR(TRANSACTIONS!$A256),MINUTE(TRANSACTIONS!$A256),SECOND(TRANSACTIONS!$A256)),"")</f>
        <v/>
      </c>
      <c r="D256" s="42"/>
      <c r="E256" s="42"/>
      <c r="F256" s="43"/>
      <c r="G256" s="46" t="str">
        <f>IF(AND(A256&lt;&gt;"",F256&gt;1),IF(TRANSACTIONS!$E256=RAPPORTS!$F$9,0,IF(OR(TRANSACTIONS!$D256=RAPPORTS!$A$13,TRANSACTIONS!$D256=RAPPORTS!#REF!),VLOOKUP(TRANSACTIONS!$F256,FRAIS_D_ENVOI,3,TRUE),0)),"")</f>
        <v/>
      </c>
      <c r="H256" s="46" t="str">
        <f>IFERROR(TRANSACTIONS!$F256+TRANSACTIONS!$G256,"")</f>
        <v/>
      </c>
      <c r="I256" s="44"/>
      <c r="J256" s="40" t="str">
        <f t="shared" si="3"/>
        <v/>
      </c>
    </row>
    <row r="257" spans="1:10" hidden="1" x14ac:dyDescent="0.25">
      <c r="A257" s="41"/>
      <c r="B257" s="48" t="str">
        <f>IF(A257&lt;&gt;"",DATE(YEAR(TRANSACTIONS!$A257),MONTH(TRANSACTIONS!$A257),DAY(TRANSACTIONS!$A257)),"")</f>
        <v/>
      </c>
      <c r="C257" s="49" t="str">
        <f>IF(A257&lt;&gt;"",TIME(HOUR(TRANSACTIONS!$A257),MINUTE(TRANSACTIONS!$A257),SECOND(TRANSACTIONS!$A257)),"")</f>
        <v/>
      </c>
      <c r="D257" s="42"/>
      <c r="E257" s="42"/>
      <c r="F257" s="43"/>
      <c r="G257" s="46" t="str">
        <f>IF(AND(A257&lt;&gt;"",F257&gt;1),IF(TRANSACTIONS!$E257=RAPPORTS!$F$9,0,IF(OR(TRANSACTIONS!$D257=RAPPORTS!$A$13,TRANSACTIONS!$D257=RAPPORTS!#REF!),VLOOKUP(TRANSACTIONS!$F257,FRAIS_D_ENVOI,3,TRUE),0)),"")</f>
        <v/>
      </c>
      <c r="H257" s="46" t="str">
        <f>IFERROR(TRANSACTIONS!$F257+TRANSACTIONS!$G257,"")</f>
        <v/>
      </c>
      <c r="I257" s="44"/>
      <c r="J257" s="40" t="str">
        <f t="shared" si="3"/>
        <v/>
      </c>
    </row>
    <row r="258" spans="1:10" hidden="1" x14ac:dyDescent="0.25">
      <c r="A258" s="41"/>
      <c r="B258" s="48" t="str">
        <f>IF(A258&lt;&gt;"",DATE(YEAR(TRANSACTIONS!$A258),MONTH(TRANSACTIONS!$A258),DAY(TRANSACTIONS!$A258)),"")</f>
        <v/>
      </c>
      <c r="C258" s="49" t="str">
        <f>IF(A258&lt;&gt;"",TIME(HOUR(TRANSACTIONS!$A258),MINUTE(TRANSACTIONS!$A258),SECOND(TRANSACTIONS!$A258)),"")</f>
        <v/>
      </c>
      <c r="D258" s="42"/>
      <c r="E258" s="42"/>
      <c r="F258" s="43"/>
      <c r="G258" s="46" t="str">
        <f>IF(AND(A258&lt;&gt;"",F258&gt;1),IF(TRANSACTIONS!$E258=RAPPORTS!$F$9,0,IF(OR(TRANSACTIONS!$D258=RAPPORTS!$A$13,TRANSACTIONS!$D258=RAPPORTS!#REF!),VLOOKUP(TRANSACTIONS!$F258,FRAIS_D_ENVOI,3,TRUE),0)),"")</f>
        <v/>
      </c>
      <c r="H258" s="46" t="str">
        <f>IFERROR(TRANSACTIONS!$F258+TRANSACTIONS!$G258,"")</f>
        <v/>
      </c>
      <c r="I258" s="44"/>
      <c r="J258" s="40" t="str">
        <f t="shared" si="3"/>
        <v/>
      </c>
    </row>
    <row r="259" spans="1:10" hidden="1" x14ac:dyDescent="0.25">
      <c r="A259" s="41"/>
      <c r="B259" s="48" t="str">
        <f>IF(A259&lt;&gt;"",DATE(YEAR(TRANSACTIONS!$A259),MONTH(TRANSACTIONS!$A259),DAY(TRANSACTIONS!$A259)),"")</f>
        <v/>
      </c>
      <c r="C259" s="49" t="str">
        <f>IF(A259&lt;&gt;"",TIME(HOUR(TRANSACTIONS!$A259),MINUTE(TRANSACTIONS!$A259),SECOND(TRANSACTIONS!$A259)),"")</f>
        <v/>
      </c>
      <c r="D259" s="42"/>
      <c r="E259" s="42"/>
      <c r="F259" s="43"/>
      <c r="G259" s="46" t="str">
        <f>IF(AND(A259&lt;&gt;"",F259&gt;1),IF(TRANSACTIONS!$E259=RAPPORTS!$F$9,0,IF(OR(TRANSACTIONS!$D259=RAPPORTS!$A$13,TRANSACTIONS!$D259=RAPPORTS!#REF!),VLOOKUP(TRANSACTIONS!$F259,FRAIS_D_ENVOI,3,TRUE),0)),"")</f>
        <v/>
      </c>
      <c r="H259" s="46" t="str">
        <f>IFERROR(TRANSACTIONS!$F259+TRANSACTIONS!$G259,"")</f>
        <v/>
      </c>
      <c r="I259" s="44"/>
      <c r="J259" s="40" t="str">
        <f t="shared" si="3"/>
        <v/>
      </c>
    </row>
    <row r="260" spans="1:10" hidden="1" x14ac:dyDescent="0.25">
      <c r="A260" s="41"/>
      <c r="B260" s="48" t="str">
        <f>IF(A260&lt;&gt;"",DATE(YEAR(TRANSACTIONS!$A260),MONTH(TRANSACTIONS!$A260),DAY(TRANSACTIONS!$A260)),"")</f>
        <v/>
      </c>
      <c r="C260" s="49" t="str">
        <f>IF(A260&lt;&gt;"",TIME(HOUR(TRANSACTIONS!$A260),MINUTE(TRANSACTIONS!$A260),SECOND(TRANSACTIONS!$A260)),"")</f>
        <v/>
      </c>
      <c r="D260" s="42"/>
      <c r="E260" s="42"/>
      <c r="F260" s="43"/>
      <c r="G260" s="46" t="str">
        <f>IF(AND(A260&lt;&gt;"",F260&gt;1),IF(TRANSACTIONS!$E260=RAPPORTS!$F$9,0,IF(OR(TRANSACTIONS!$D260=RAPPORTS!$A$13,TRANSACTIONS!$D260=RAPPORTS!#REF!),VLOOKUP(TRANSACTIONS!$F260,FRAIS_D_ENVOI,3,TRUE),0)),"")</f>
        <v/>
      </c>
      <c r="H260" s="46" t="str">
        <f>IFERROR(TRANSACTIONS!$F260+TRANSACTIONS!$G260,"")</f>
        <v/>
      </c>
      <c r="I260" s="44"/>
      <c r="J260" s="40" t="str">
        <f t="shared" ref="J260:J323" si="4">IF(G260&lt;&gt;"",$J$1*G260,"")</f>
        <v/>
      </c>
    </row>
    <row r="261" spans="1:10" hidden="1" x14ac:dyDescent="0.25">
      <c r="A261" s="41"/>
      <c r="B261" s="48" t="str">
        <f>IF(A261&lt;&gt;"",DATE(YEAR(TRANSACTIONS!$A261),MONTH(TRANSACTIONS!$A261),DAY(TRANSACTIONS!$A261)),"")</f>
        <v/>
      </c>
      <c r="C261" s="49" t="str">
        <f>IF(A261&lt;&gt;"",TIME(HOUR(TRANSACTIONS!$A261),MINUTE(TRANSACTIONS!$A261),SECOND(TRANSACTIONS!$A261)),"")</f>
        <v/>
      </c>
      <c r="D261" s="42"/>
      <c r="E261" s="42"/>
      <c r="F261" s="43"/>
      <c r="G261" s="46" t="str">
        <f>IF(AND(A261&lt;&gt;"",F261&gt;1),IF(TRANSACTIONS!$E261=RAPPORTS!$F$9,0,IF(OR(TRANSACTIONS!$D261=RAPPORTS!$A$13,TRANSACTIONS!$D261=RAPPORTS!#REF!),VLOOKUP(TRANSACTIONS!$F261,FRAIS_D_ENVOI,3,TRUE),0)),"")</f>
        <v/>
      </c>
      <c r="H261" s="46" t="str">
        <f>IFERROR(TRANSACTIONS!$F261+TRANSACTIONS!$G261,"")</f>
        <v/>
      </c>
      <c r="I261" s="44"/>
      <c r="J261" s="40" t="str">
        <f t="shared" si="4"/>
        <v/>
      </c>
    </row>
    <row r="262" spans="1:10" hidden="1" x14ac:dyDescent="0.25">
      <c r="A262" s="41"/>
      <c r="B262" s="48" t="str">
        <f>IF(A262&lt;&gt;"",DATE(YEAR(TRANSACTIONS!$A262),MONTH(TRANSACTIONS!$A262),DAY(TRANSACTIONS!$A262)),"")</f>
        <v/>
      </c>
      <c r="C262" s="49" t="str">
        <f>IF(A262&lt;&gt;"",TIME(HOUR(TRANSACTIONS!$A262),MINUTE(TRANSACTIONS!$A262),SECOND(TRANSACTIONS!$A262)),"")</f>
        <v/>
      </c>
      <c r="D262" s="42"/>
      <c r="E262" s="42"/>
      <c r="F262" s="43"/>
      <c r="G262" s="46" t="str">
        <f>IF(AND(A262&lt;&gt;"",F262&gt;1),IF(TRANSACTIONS!$E262=RAPPORTS!$F$9,0,IF(OR(TRANSACTIONS!$D262=RAPPORTS!$A$13,TRANSACTIONS!$D262=RAPPORTS!#REF!),VLOOKUP(TRANSACTIONS!$F262,FRAIS_D_ENVOI,3,TRUE),0)),"")</f>
        <v/>
      </c>
      <c r="H262" s="46" t="str">
        <f>IFERROR(TRANSACTIONS!$F262+TRANSACTIONS!$G262,"")</f>
        <v/>
      </c>
      <c r="I262" s="44"/>
      <c r="J262" s="40" t="str">
        <f t="shared" si="4"/>
        <v/>
      </c>
    </row>
    <row r="263" spans="1:10" hidden="1" x14ac:dyDescent="0.25">
      <c r="A263" s="41"/>
      <c r="B263" s="48" t="str">
        <f>IF(A263&lt;&gt;"",DATE(YEAR(TRANSACTIONS!$A263),MONTH(TRANSACTIONS!$A263),DAY(TRANSACTIONS!$A263)),"")</f>
        <v/>
      </c>
      <c r="C263" s="49" t="str">
        <f>IF(A263&lt;&gt;"",TIME(HOUR(TRANSACTIONS!$A263),MINUTE(TRANSACTIONS!$A263),SECOND(TRANSACTIONS!$A263)),"")</f>
        <v/>
      </c>
      <c r="D263" s="42"/>
      <c r="E263" s="42"/>
      <c r="F263" s="43"/>
      <c r="G263" s="46" t="str">
        <f>IF(AND(A263&lt;&gt;"",F263&gt;1),IF(TRANSACTIONS!$E263=RAPPORTS!$F$9,0,IF(OR(TRANSACTIONS!$D263=RAPPORTS!$A$13,TRANSACTIONS!$D263=RAPPORTS!#REF!),VLOOKUP(TRANSACTIONS!$F263,FRAIS_D_ENVOI,3,TRUE),0)),"")</f>
        <v/>
      </c>
      <c r="H263" s="46" t="str">
        <f>IFERROR(TRANSACTIONS!$F263+TRANSACTIONS!$G263,"")</f>
        <v/>
      </c>
      <c r="I263" s="44"/>
      <c r="J263" s="40" t="str">
        <f t="shared" si="4"/>
        <v/>
      </c>
    </row>
    <row r="264" spans="1:10" hidden="1" x14ac:dyDescent="0.25">
      <c r="A264" s="41"/>
      <c r="B264" s="48" t="str">
        <f>IF(A264&lt;&gt;"",DATE(YEAR(TRANSACTIONS!$A264),MONTH(TRANSACTIONS!$A264),DAY(TRANSACTIONS!$A264)),"")</f>
        <v/>
      </c>
      <c r="C264" s="49" t="str">
        <f>IF(A264&lt;&gt;"",TIME(HOUR(TRANSACTIONS!$A264),MINUTE(TRANSACTIONS!$A264),SECOND(TRANSACTIONS!$A264)),"")</f>
        <v/>
      </c>
      <c r="D264" s="42"/>
      <c r="E264" s="42"/>
      <c r="F264" s="43"/>
      <c r="G264" s="46" t="str">
        <f>IF(AND(A264&lt;&gt;"",F264&gt;1),IF(TRANSACTIONS!$E264=RAPPORTS!$F$9,0,IF(OR(TRANSACTIONS!$D264=RAPPORTS!$A$13,TRANSACTIONS!$D264=RAPPORTS!#REF!),VLOOKUP(TRANSACTIONS!$F264,FRAIS_D_ENVOI,3,TRUE),0)),"")</f>
        <v/>
      </c>
      <c r="H264" s="46" t="str">
        <f>IFERROR(TRANSACTIONS!$F264+TRANSACTIONS!$G264,"")</f>
        <v/>
      </c>
      <c r="I264" s="44"/>
      <c r="J264" s="40" t="str">
        <f t="shared" si="4"/>
        <v/>
      </c>
    </row>
    <row r="265" spans="1:10" hidden="1" x14ac:dyDescent="0.25">
      <c r="A265" s="41"/>
      <c r="B265" s="48" t="str">
        <f>IF(A265&lt;&gt;"",DATE(YEAR(TRANSACTIONS!$A265),MONTH(TRANSACTIONS!$A265),DAY(TRANSACTIONS!$A265)),"")</f>
        <v/>
      </c>
      <c r="C265" s="49" t="str">
        <f>IF(A265&lt;&gt;"",TIME(HOUR(TRANSACTIONS!$A265),MINUTE(TRANSACTIONS!$A265),SECOND(TRANSACTIONS!$A265)),"")</f>
        <v/>
      </c>
      <c r="D265" s="42"/>
      <c r="E265" s="42"/>
      <c r="F265" s="43"/>
      <c r="G265" s="46" t="str">
        <f>IF(AND(A265&lt;&gt;"",F265&gt;1),IF(TRANSACTIONS!$E265=RAPPORTS!$F$9,0,IF(OR(TRANSACTIONS!$D265=RAPPORTS!$A$13,TRANSACTIONS!$D265=RAPPORTS!#REF!),VLOOKUP(TRANSACTIONS!$F265,FRAIS_D_ENVOI,3,TRUE),0)),"")</f>
        <v/>
      </c>
      <c r="H265" s="46" t="str">
        <f>IFERROR(TRANSACTIONS!$F265+TRANSACTIONS!$G265,"")</f>
        <v/>
      </c>
      <c r="I265" s="44"/>
      <c r="J265" s="40" t="str">
        <f t="shared" si="4"/>
        <v/>
      </c>
    </row>
    <row r="266" spans="1:10" hidden="1" x14ac:dyDescent="0.25">
      <c r="A266" s="41"/>
      <c r="B266" s="48" t="str">
        <f>IF(A266&lt;&gt;"",DATE(YEAR(TRANSACTIONS!$A266),MONTH(TRANSACTIONS!$A266),DAY(TRANSACTIONS!$A266)),"")</f>
        <v/>
      </c>
      <c r="C266" s="49" t="str">
        <f>IF(A266&lt;&gt;"",TIME(HOUR(TRANSACTIONS!$A266),MINUTE(TRANSACTIONS!$A266),SECOND(TRANSACTIONS!$A266)),"")</f>
        <v/>
      </c>
      <c r="D266" s="42"/>
      <c r="E266" s="42"/>
      <c r="F266" s="43"/>
      <c r="G266" s="46" t="str">
        <f>IF(AND(A266&lt;&gt;"",F266&gt;1),IF(TRANSACTIONS!$E266=RAPPORTS!$F$9,0,IF(OR(TRANSACTIONS!$D266=RAPPORTS!$A$13,TRANSACTIONS!$D266=RAPPORTS!#REF!),VLOOKUP(TRANSACTIONS!$F266,FRAIS_D_ENVOI,3,TRUE),0)),"")</f>
        <v/>
      </c>
      <c r="H266" s="46" t="str">
        <f>IFERROR(TRANSACTIONS!$F266+TRANSACTIONS!$G266,"")</f>
        <v/>
      </c>
      <c r="I266" s="44"/>
      <c r="J266" s="40" t="str">
        <f t="shared" si="4"/>
        <v/>
      </c>
    </row>
    <row r="267" spans="1:10" hidden="1" x14ac:dyDescent="0.25">
      <c r="A267" s="41"/>
      <c r="B267" s="48" t="str">
        <f>IF(A267&lt;&gt;"",DATE(YEAR(TRANSACTIONS!$A267),MONTH(TRANSACTIONS!$A267),DAY(TRANSACTIONS!$A267)),"")</f>
        <v/>
      </c>
      <c r="C267" s="49" t="str">
        <f>IF(A267&lt;&gt;"",TIME(HOUR(TRANSACTIONS!$A267),MINUTE(TRANSACTIONS!$A267),SECOND(TRANSACTIONS!$A267)),"")</f>
        <v/>
      </c>
      <c r="D267" s="42"/>
      <c r="E267" s="42"/>
      <c r="F267" s="43"/>
      <c r="G267" s="46" t="str">
        <f>IF(AND(A267&lt;&gt;"",F267&gt;1),IF(TRANSACTIONS!$E267=RAPPORTS!$F$9,0,IF(OR(TRANSACTIONS!$D267=RAPPORTS!$A$13,TRANSACTIONS!$D267=RAPPORTS!#REF!),VLOOKUP(TRANSACTIONS!$F267,FRAIS_D_ENVOI,3,TRUE),0)),"")</f>
        <v/>
      </c>
      <c r="H267" s="46" t="str">
        <f>IFERROR(TRANSACTIONS!$F267+TRANSACTIONS!$G267,"")</f>
        <v/>
      </c>
      <c r="I267" s="44"/>
      <c r="J267" s="40" t="str">
        <f t="shared" si="4"/>
        <v/>
      </c>
    </row>
    <row r="268" spans="1:10" hidden="1" x14ac:dyDescent="0.25">
      <c r="A268" s="41"/>
      <c r="B268" s="48" t="str">
        <f>IF(A268&lt;&gt;"",DATE(YEAR(TRANSACTIONS!$A268),MONTH(TRANSACTIONS!$A268),DAY(TRANSACTIONS!$A268)),"")</f>
        <v/>
      </c>
      <c r="C268" s="49" t="str">
        <f>IF(A268&lt;&gt;"",TIME(HOUR(TRANSACTIONS!$A268),MINUTE(TRANSACTIONS!$A268),SECOND(TRANSACTIONS!$A268)),"")</f>
        <v/>
      </c>
      <c r="D268" s="42"/>
      <c r="E268" s="42"/>
      <c r="F268" s="43"/>
      <c r="G268" s="46" t="str">
        <f>IF(AND(A268&lt;&gt;"",F268&gt;1),IF(TRANSACTIONS!$E268=RAPPORTS!$F$9,0,IF(OR(TRANSACTIONS!$D268=RAPPORTS!$A$13,TRANSACTIONS!$D268=RAPPORTS!#REF!),VLOOKUP(TRANSACTIONS!$F268,FRAIS_D_ENVOI,3,TRUE),0)),"")</f>
        <v/>
      </c>
      <c r="H268" s="46" t="str">
        <f>IFERROR(TRANSACTIONS!$F268+TRANSACTIONS!$G268,"")</f>
        <v/>
      </c>
      <c r="I268" s="44"/>
      <c r="J268" s="40" t="str">
        <f t="shared" si="4"/>
        <v/>
      </c>
    </row>
    <row r="269" spans="1:10" hidden="1" x14ac:dyDescent="0.25">
      <c r="A269" s="41"/>
      <c r="B269" s="48" t="str">
        <f>IF(A269&lt;&gt;"",DATE(YEAR(TRANSACTIONS!$A269),MONTH(TRANSACTIONS!$A269),DAY(TRANSACTIONS!$A269)),"")</f>
        <v/>
      </c>
      <c r="C269" s="49" t="str">
        <f>IF(A269&lt;&gt;"",TIME(HOUR(TRANSACTIONS!$A269),MINUTE(TRANSACTIONS!$A269),SECOND(TRANSACTIONS!$A269)),"")</f>
        <v/>
      </c>
      <c r="D269" s="42"/>
      <c r="E269" s="42"/>
      <c r="F269" s="43"/>
      <c r="G269" s="46" t="str">
        <f>IF(AND(A269&lt;&gt;"",F269&gt;1),IF(TRANSACTIONS!$E269=RAPPORTS!$F$9,0,IF(OR(TRANSACTIONS!$D269=RAPPORTS!$A$13,TRANSACTIONS!$D269=RAPPORTS!#REF!),VLOOKUP(TRANSACTIONS!$F269,FRAIS_D_ENVOI,3,TRUE),0)),"")</f>
        <v/>
      </c>
      <c r="H269" s="46" t="str">
        <f>IFERROR(TRANSACTIONS!$F269+TRANSACTIONS!$G269,"")</f>
        <v/>
      </c>
      <c r="I269" s="44"/>
      <c r="J269" s="40" t="str">
        <f t="shared" si="4"/>
        <v/>
      </c>
    </row>
    <row r="270" spans="1:10" hidden="1" x14ac:dyDescent="0.25">
      <c r="A270" s="41"/>
      <c r="B270" s="48" t="str">
        <f>IF(A270&lt;&gt;"",DATE(YEAR(TRANSACTIONS!$A270),MONTH(TRANSACTIONS!$A270),DAY(TRANSACTIONS!$A270)),"")</f>
        <v/>
      </c>
      <c r="C270" s="49" t="str">
        <f>IF(A270&lt;&gt;"",TIME(HOUR(TRANSACTIONS!$A270),MINUTE(TRANSACTIONS!$A270),SECOND(TRANSACTIONS!$A270)),"")</f>
        <v/>
      </c>
      <c r="D270" s="42"/>
      <c r="E270" s="42"/>
      <c r="F270" s="43"/>
      <c r="G270" s="46" t="str">
        <f>IF(AND(A270&lt;&gt;"",F270&gt;1),IF(TRANSACTIONS!$E270=RAPPORTS!$F$9,0,IF(OR(TRANSACTIONS!$D270=RAPPORTS!$A$13,TRANSACTIONS!$D270=RAPPORTS!#REF!),VLOOKUP(TRANSACTIONS!$F270,FRAIS_D_ENVOI,3,TRUE),0)),"")</f>
        <v/>
      </c>
      <c r="H270" s="46" t="str">
        <f>IFERROR(TRANSACTIONS!$F270+TRANSACTIONS!$G270,"")</f>
        <v/>
      </c>
      <c r="I270" s="44"/>
      <c r="J270" s="40" t="str">
        <f t="shared" si="4"/>
        <v/>
      </c>
    </row>
    <row r="271" spans="1:10" hidden="1" x14ac:dyDescent="0.25">
      <c r="A271" s="41"/>
      <c r="B271" s="48" t="str">
        <f>IF(A271&lt;&gt;"",DATE(YEAR(TRANSACTIONS!$A271),MONTH(TRANSACTIONS!$A271),DAY(TRANSACTIONS!$A271)),"")</f>
        <v/>
      </c>
      <c r="C271" s="49" t="str">
        <f>IF(A271&lt;&gt;"",TIME(HOUR(TRANSACTIONS!$A271),MINUTE(TRANSACTIONS!$A271),SECOND(TRANSACTIONS!$A271)),"")</f>
        <v/>
      </c>
      <c r="D271" s="42"/>
      <c r="E271" s="42"/>
      <c r="F271" s="43"/>
      <c r="G271" s="46" t="str">
        <f>IF(AND(A271&lt;&gt;"",F271&gt;1),IF(TRANSACTIONS!$E271=RAPPORTS!$F$9,0,IF(OR(TRANSACTIONS!$D271=RAPPORTS!$A$13,TRANSACTIONS!$D271=RAPPORTS!#REF!),VLOOKUP(TRANSACTIONS!$F271,FRAIS_D_ENVOI,3,TRUE),0)),"")</f>
        <v/>
      </c>
      <c r="H271" s="46" t="str">
        <f>IFERROR(TRANSACTIONS!$F271+TRANSACTIONS!$G271,"")</f>
        <v/>
      </c>
      <c r="I271" s="44"/>
      <c r="J271" s="40" t="str">
        <f t="shared" si="4"/>
        <v/>
      </c>
    </row>
    <row r="272" spans="1:10" hidden="1" x14ac:dyDescent="0.25">
      <c r="A272" s="41"/>
      <c r="B272" s="48" t="str">
        <f>IF(A272&lt;&gt;"",DATE(YEAR(TRANSACTIONS!$A272),MONTH(TRANSACTIONS!$A272),DAY(TRANSACTIONS!$A272)),"")</f>
        <v/>
      </c>
      <c r="C272" s="49" t="str">
        <f>IF(A272&lt;&gt;"",TIME(HOUR(TRANSACTIONS!$A272),MINUTE(TRANSACTIONS!$A272),SECOND(TRANSACTIONS!$A272)),"")</f>
        <v/>
      </c>
      <c r="D272" s="42"/>
      <c r="E272" s="42"/>
      <c r="F272" s="43"/>
      <c r="G272" s="46" t="str">
        <f>IF(AND(A272&lt;&gt;"",F272&gt;1),IF(TRANSACTIONS!$E272=RAPPORTS!$F$9,0,IF(OR(TRANSACTIONS!$D272=RAPPORTS!$A$13,TRANSACTIONS!$D272=RAPPORTS!#REF!),VLOOKUP(TRANSACTIONS!$F272,FRAIS_D_ENVOI,3,TRUE),0)),"")</f>
        <v/>
      </c>
      <c r="H272" s="46" t="str">
        <f>IFERROR(TRANSACTIONS!$F272+TRANSACTIONS!$G272,"")</f>
        <v/>
      </c>
      <c r="I272" s="44"/>
      <c r="J272" s="40" t="str">
        <f t="shared" si="4"/>
        <v/>
      </c>
    </row>
    <row r="273" spans="1:10" hidden="1" x14ac:dyDescent="0.25">
      <c r="A273" s="41"/>
      <c r="B273" s="48" t="str">
        <f>IF(A273&lt;&gt;"",DATE(YEAR(TRANSACTIONS!$A273),MONTH(TRANSACTIONS!$A273),DAY(TRANSACTIONS!$A273)),"")</f>
        <v/>
      </c>
      <c r="C273" s="49" t="str">
        <f>IF(A273&lt;&gt;"",TIME(HOUR(TRANSACTIONS!$A273),MINUTE(TRANSACTIONS!$A273),SECOND(TRANSACTIONS!$A273)),"")</f>
        <v/>
      </c>
      <c r="D273" s="42"/>
      <c r="E273" s="42"/>
      <c r="F273" s="43"/>
      <c r="G273" s="46" t="str">
        <f>IF(AND(A273&lt;&gt;"",F273&gt;1),IF(TRANSACTIONS!$E273=RAPPORTS!$F$9,0,IF(OR(TRANSACTIONS!$D273=RAPPORTS!$A$13,TRANSACTIONS!$D273=RAPPORTS!#REF!),VLOOKUP(TRANSACTIONS!$F273,FRAIS_D_ENVOI,3,TRUE),0)),"")</f>
        <v/>
      </c>
      <c r="H273" s="46" t="str">
        <f>IFERROR(TRANSACTIONS!$F273+TRANSACTIONS!$G273,"")</f>
        <v/>
      </c>
      <c r="I273" s="44"/>
      <c r="J273" s="40" t="str">
        <f t="shared" si="4"/>
        <v/>
      </c>
    </row>
    <row r="274" spans="1:10" hidden="1" x14ac:dyDescent="0.25">
      <c r="A274" s="41"/>
      <c r="B274" s="48" t="str">
        <f>IF(A274&lt;&gt;"",DATE(YEAR(TRANSACTIONS!$A274),MONTH(TRANSACTIONS!$A274),DAY(TRANSACTIONS!$A274)),"")</f>
        <v/>
      </c>
      <c r="C274" s="49" t="str">
        <f>IF(A274&lt;&gt;"",TIME(HOUR(TRANSACTIONS!$A274),MINUTE(TRANSACTIONS!$A274),SECOND(TRANSACTIONS!$A274)),"")</f>
        <v/>
      </c>
      <c r="D274" s="42"/>
      <c r="E274" s="42"/>
      <c r="F274" s="43"/>
      <c r="G274" s="46" t="str">
        <f>IF(AND(A274&lt;&gt;"",F274&gt;1),IF(TRANSACTIONS!$E274=RAPPORTS!$F$9,0,IF(OR(TRANSACTIONS!$D274=RAPPORTS!$A$13,TRANSACTIONS!$D274=RAPPORTS!#REF!),VLOOKUP(TRANSACTIONS!$F274,FRAIS_D_ENVOI,3,TRUE),0)),"")</f>
        <v/>
      </c>
      <c r="H274" s="46" t="str">
        <f>IFERROR(TRANSACTIONS!$F274+TRANSACTIONS!$G274,"")</f>
        <v/>
      </c>
      <c r="I274" s="44"/>
      <c r="J274" s="40" t="str">
        <f t="shared" si="4"/>
        <v/>
      </c>
    </row>
    <row r="275" spans="1:10" hidden="1" x14ac:dyDescent="0.25">
      <c r="A275" s="41"/>
      <c r="B275" s="48" t="str">
        <f>IF(A275&lt;&gt;"",DATE(YEAR(TRANSACTIONS!$A275),MONTH(TRANSACTIONS!$A275),DAY(TRANSACTIONS!$A275)),"")</f>
        <v/>
      </c>
      <c r="C275" s="49" t="str">
        <f>IF(A275&lt;&gt;"",TIME(HOUR(TRANSACTIONS!$A275),MINUTE(TRANSACTIONS!$A275),SECOND(TRANSACTIONS!$A275)),"")</f>
        <v/>
      </c>
      <c r="D275" s="42"/>
      <c r="E275" s="42"/>
      <c r="F275" s="43"/>
      <c r="G275" s="46" t="str">
        <f>IF(AND(A275&lt;&gt;"",F275&gt;1),IF(TRANSACTIONS!$E275=RAPPORTS!$F$9,0,IF(OR(TRANSACTIONS!$D275=RAPPORTS!$A$13,TRANSACTIONS!$D275=RAPPORTS!#REF!),VLOOKUP(TRANSACTIONS!$F275,FRAIS_D_ENVOI,3,TRUE),0)),"")</f>
        <v/>
      </c>
      <c r="H275" s="46" t="str">
        <f>IFERROR(TRANSACTIONS!$F275+TRANSACTIONS!$G275,"")</f>
        <v/>
      </c>
      <c r="I275" s="44"/>
      <c r="J275" s="40" t="str">
        <f t="shared" si="4"/>
        <v/>
      </c>
    </row>
    <row r="276" spans="1:10" hidden="1" x14ac:dyDescent="0.25">
      <c r="A276" s="41"/>
      <c r="B276" s="48" t="str">
        <f>IF(A276&lt;&gt;"",DATE(YEAR(TRANSACTIONS!$A276),MONTH(TRANSACTIONS!$A276),DAY(TRANSACTIONS!$A276)),"")</f>
        <v/>
      </c>
      <c r="C276" s="49" t="str">
        <f>IF(A276&lt;&gt;"",TIME(HOUR(TRANSACTIONS!$A276),MINUTE(TRANSACTIONS!$A276),SECOND(TRANSACTIONS!$A276)),"")</f>
        <v/>
      </c>
      <c r="D276" s="42"/>
      <c r="E276" s="42"/>
      <c r="F276" s="43"/>
      <c r="G276" s="46" t="str">
        <f>IF(AND(A276&lt;&gt;"",F276&gt;1),IF(TRANSACTIONS!$E276=RAPPORTS!$F$9,0,IF(OR(TRANSACTIONS!$D276=RAPPORTS!$A$13,TRANSACTIONS!$D276=RAPPORTS!#REF!),VLOOKUP(TRANSACTIONS!$F276,FRAIS_D_ENVOI,3,TRUE),0)),"")</f>
        <v/>
      </c>
      <c r="H276" s="46" t="str">
        <f>IFERROR(TRANSACTIONS!$F276+TRANSACTIONS!$G276,"")</f>
        <v/>
      </c>
      <c r="I276" s="44"/>
      <c r="J276" s="40" t="str">
        <f t="shared" si="4"/>
        <v/>
      </c>
    </row>
    <row r="277" spans="1:10" hidden="1" x14ac:dyDescent="0.25">
      <c r="A277" s="41"/>
      <c r="B277" s="48" t="str">
        <f>IF(A277&lt;&gt;"",DATE(YEAR(TRANSACTIONS!$A277),MONTH(TRANSACTIONS!$A277),DAY(TRANSACTIONS!$A277)),"")</f>
        <v/>
      </c>
      <c r="C277" s="49" t="str">
        <f>IF(A277&lt;&gt;"",TIME(HOUR(TRANSACTIONS!$A277),MINUTE(TRANSACTIONS!$A277),SECOND(TRANSACTIONS!$A277)),"")</f>
        <v/>
      </c>
      <c r="D277" s="42"/>
      <c r="E277" s="42"/>
      <c r="F277" s="43"/>
      <c r="G277" s="46" t="str">
        <f>IF(AND(A277&lt;&gt;"",F277&gt;1),IF(TRANSACTIONS!$E277=RAPPORTS!$F$9,0,IF(OR(TRANSACTIONS!$D277=RAPPORTS!$A$13,TRANSACTIONS!$D277=RAPPORTS!#REF!),VLOOKUP(TRANSACTIONS!$F277,FRAIS_D_ENVOI,3,TRUE),0)),"")</f>
        <v/>
      </c>
      <c r="H277" s="46" t="str">
        <f>IFERROR(TRANSACTIONS!$F277+TRANSACTIONS!$G277,"")</f>
        <v/>
      </c>
      <c r="I277" s="44"/>
      <c r="J277" s="40" t="str">
        <f t="shared" si="4"/>
        <v/>
      </c>
    </row>
    <row r="278" spans="1:10" hidden="1" x14ac:dyDescent="0.25">
      <c r="A278" s="41"/>
      <c r="B278" s="48" t="str">
        <f>IF(A278&lt;&gt;"",DATE(YEAR(TRANSACTIONS!$A278),MONTH(TRANSACTIONS!$A278),DAY(TRANSACTIONS!$A278)),"")</f>
        <v/>
      </c>
      <c r="C278" s="49" t="str">
        <f>IF(A278&lt;&gt;"",TIME(HOUR(TRANSACTIONS!$A278),MINUTE(TRANSACTIONS!$A278),SECOND(TRANSACTIONS!$A278)),"")</f>
        <v/>
      </c>
      <c r="D278" s="42"/>
      <c r="E278" s="42"/>
      <c r="F278" s="43"/>
      <c r="G278" s="46" t="str">
        <f>IF(AND(A278&lt;&gt;"",F278&gt;1),IF(TRANSACTIONS!$E278=RAPPORTS!$F$9,0,IF(OR(TRANSACTIONS!$D278=RAPPORTS!$A$13,TRANSACTIONS!$D278=RAPPORTS!#REF!),VLOOKUP(TRANSACTIONS!$F278,FRAIS_D_ENVOI,3,TRUE),0)),"")</f>
        <v/>
      </c>
      <c r="H278" s="46" t="str">
        <f>IFERROR(TRANSACTIONS!$F278+TRANSACTIONS!$G278,"")</f>
        <v/>
      </c>
      <c r="I278" s="44"/>
      <c r="J278" s="40" t="str">
        <f t="shared" si="4"/>
        <v/>
      </c>
    </row>
    <row r="279" spans="1:10" hidden="1" x14ac:dyDescent="0.25">
      <c r="A279" s="41"/>
      <c r="B279" s="48" t="str">
        <f>IF(A279&lt;&gt;"",DATE(YEAR(TRANSACTIONS!$A279),MONTH(TRANSACTIONS!$A279),DAY(TRANSACTIONS!$A279)),"")</f>
        <v/>
      </c>
      <c r="C279" s="49" t="str">
        <f>IF(A279&lt;&gt;"",TIME(HOUR(TRANSACTIONS!$A279),MINUTE(TRANSACTIONS!$A279),SECOND(TRANSACTIONS!$A279)),"")</f>
        <v/>
      </c>
      <c r="D279" s="42"/>
      <c r="E279" s="42"/>
      <c r="F279" s="43"/>
      <c r="G279" s="46" t="str">
        <f>IF(AND(A279&lt;&gt;"",F279&gt;1),IF(TRANSACTIONS!$E279=RAPPORTS!$F$9,0,IF(OR(TRANSACTIONS!$D279=RAPPORTS!$A$13,TRANSACTIONS!$D279=RAPPORTS!#REF!),VLOOKUP(TRANSACTIONS!$F279,FRAIS_D_ENVOI,3,TRUE),0)),"")</f>
        <v/>
      </c>
      <c r="H279" s="46" t="str">
        <f>IFERROR(TRANSACTIONS!$F279+TRANSACTIONS!$G279,"")</f>
        <v/>
      </c>
      <c r="I279" s="44"/>
      <c r="J279" s="40" t="str">
        <f t="shared" si="4"/>
        <v/>
      </c>
    </row>
    <row r="280" spans="1:10" hidden="1" x14ac:dyDescent="0.25">
      <c r="A280" s="41"/>
      <c r="B280" s="48" t="str">
        <f>IF(A280&lt;&gt;"",DATE(YEAR(TRANSACTIONS!$A280),MONTH(TRANSACTIONS!$A280),DAY(TRANSACTIONS!$A280)),"")</f>
        <v/>
      </c>
      <c r="C280" s="49" t="str">
        <f>IF(A280&lt;&gt;"",TIME(HOUR(TRANSACTIONS!$A280),MINUTE(TRANSACTIONS!$A280),SECOND(TRANSACTIONS!$A280)),"")</f>
        <v/>
      </c>
      <c r="D280" s="42"/>
      <c r="E280" s="42"/>
      <c r="F280" s="43"/>
      <c r="G280" s="46" t="str">
        <f>IF(AND(A280&lt;&gt;"",F280&gt;1),IF(TRANSACTIONS!$E280=RAPPORTS!$F$9,0,IF(OR(TRANSACTIONS!$D280=RAPPORTS!$A$13,TRANSACTIONS!$D280=RAPPORTS!#REF!),VLOOKUP(TRANSACTIONS!$F280,FRAIS_D_ENVOI,3,TRUE),0)),"")</f>
        <v/>
      </c>
      <c r="H280" s="46" t="str">
        <f>IFERROR(TRANSACTIONS!$F280+TRANSACTIONS!$G280,"")</f>
        <v/>
      </c>
      <c r="I280" s="44"/>
      <c r="J280" s="40" t="str">
        <f t="shared" si="4"/>
        <v/>
      </c>
    </row>
    <row r="281" spans="1:10" hidden="1" x14ac:dyDescent="0.25">
      <c r="A281" s="41"/>
      <c r="B281" s="48" t="str">
        <f>IF(A281&lt;&gt;"",DATE(YEAR(TRANSACTIONS!$A281),MONTH(TRANSACTIONS!$A281),DAY(TRANSACTIONS!$A281)),"")</f>
        <v/>
      </c>
      <c r="C281" s="49" t="str">
        <f>IF(A281&lt;&gt;"",TIME(HOUR(TRANSACTIONS!$A281),MINUTE(TRANSACTIONS!$A281),SECOND(TRANSACTIONS!$A281)),"")</f>
        <v/>
      </c>
      <c r="D281" s="42"/>
      <c r="E281" s="42"/>
      <c r="F281" s="43"/>
      <c r="G281" s="46" t="str">
        <f>IF(AND(A281&lt;&gt;"",F281&gt;1),IF(TRANSACTIONS!$E281=RAPPORTS!$F$9,0,IF(OR(TRANSACTIONS!$D281=RAPPORTS!$A$13,TRANSACTIONS!$D281=RAPPORTS!#REF!),VLOOKUP(TRANSACTIONS!$F281,FRAIS_D_ENVOI,3,TRUE),0)),"")</f>
        <v/>
      </c>
      <c r="H281" s="46" t="str">
        <f>IFERROR(TRANSACTIONS!$F281+TRANSACTIONS!$G281,"")</f>
        <v/>
      </c>
      <c r="I281" s="44"/>
      <c r="J281" s="40" t="str">
        <f t="shared" si="4"/>
        <v/>
      </c>
    </row>
    <row r="282" spans="1:10" hidden="1" x14ac:dyDescent="0.25">
      <c r="A282" s="41"/>
      <c r="B282" s="48" t="str">
        <f>IF(A282&lt;&gt;"",DATE(YEAR(TRANSACTIONS!$A282),MONTH(TRANSACTIONS!$A282),DAY(TRANSACTIONS!$A282)),"")</f>
        <v/>
      </c>
      <c r="C282" s="49" t="str">
        <f>IF(A282&lt;&gt;"",TIME(HOUR(TRANSACTIONS!$A282),MINUTE(TRANSACTIONS!$A282),SECOND(TRANSACTIONS!$A282)),"")</f>
        <v/>
      </c>
      <c r="D282" s="42"/>
      <c r="E282" s="42"/>
      <c r="F282" s="43"/>
      <c r="G282" s="46" t="str">
        <f>IF(AND(A282&lt;&gt;"",F282&gt;1),IF(TRANSACTIONS!$E282=RAPPORTS!$F$9,0,IF(OR(TRANSACTIONS!$D282=RAPPORTS!$A$13,TRANSACTIONS!$D282=RAPPORTS!#REF!),VLOOKUP(TRANSACTIONS!$F282,FRAIS_D_ENVOI,3,TRUE),0)),"")</f>
        <v/>
      </c>
      <c r="H282" s="46" t="str">
        <f>IFERROR(TRANSACTIONS!$F282+TRANSACTIONS!$G282,"")</f>
        <v/>
      </c>
      <c r="I282" s="44"/>
      <c r="J282" s="40" t="str">
        <f t="shared" si="4"/>
        <v/>
      </c>
    </row>
    <row r="283" spans="1:10" hidden="1" x14ac:dyDescent="0.25">
      <c r="A283" s="41"/>
      <c r="B283" s="48" t="str">
        <f>IF(A283&lt;&gt;"",DATE(YEAR(TRANSACTIONS!$A283),MONTH(TRANSACTIONS!$A283),DAY(TRANSACTIONS!$A283)),"")</f>
        <v/>
      </c>
      <c r="C283" s="49" t="str">
        <f>IF(A283&lt;&gt;"",TIME(HOUR(TRANSACTIONS!$A283),MINUTE(TRANSACTIONS!$A283),SECOND(TRANSACTIONS!$A283)),"")</f>
        <v/>
      </c>
      <c r="D283" s="42"/>
      <c r="E283" s="42"/>
      <c r="F283" s="43"/>
      <c r="G283" s="46" t="str">
        <f>IF(AND(A283&lt;&gt;"",F283&gt;1),IF(TRANSACTIONS!$E283=RAPPORTS!$F$9,0,IF(OR(TRANSACTIONS!$D283=RAPPORTS!$A$13,TRANSACTIONS!$D283=RAPPORTS!#REF!),VLOOKUP(TRANSACTIONS!$F283,FRAIS_D_ENVOI,3,TRUE),0)),"")</f>
        <v/>
      </c>
      <c r="H283" s="46" t="str">
        <f>IFERROR(TRANSACTIONS!$F283+TRANSACTIONS!$G283,"")</f>
        <v/>
      </c>
      <c r="I283" s="44"/>
      <c r="J283" s="40" t="str">
        <f t="shared" si="4"/>
        <v/>
      </c>
    </row>
    <row r="284" spans="1:10" hidden="1" x14ac:dyDescent="0.25">
      <c r="A284" s="41"/>
      <c r="B284" s="48" t="str">
        <f>IF(A284&lt;&gt;"",DATE(YEAR(TRANSACTIONS!$A284),MONTH(TRANSACTIONS!$A284),DAY(TRANSACTIONS!$A284)),"")</f>
        <v/>
      </c>
      <c r="C284" s="49" t="str">
        <f>IF(A284&lt;&gt;"",TIME(HOUR(TRANSACTIONS!$A284),MINUTE(TRANSACTIONS!$A284),SECOND(TRANSACTIONS!$A284)),"")</f>
        <v/>
      </c>
      <c r="D284" s="42"/>
      <c r="E284" s="42"/>
      <c r="F284" s="43"/>
      <c r="G284" s="46" t="str">
        <f>IF(AND(A284&lt;&gt;"",F284&gt;1),IF(TRANSACTIONS!$E284=RAPPORTS!$F$9,0,IF(OR(TRANSACTIONS!$D284=RAPPORTS!$A$13,TRANSACTIONS!$D284=RAPPORTS!#REF!),VLOOKUP(TRANSACTIONS!$F284,FRAIS_D_ENVOI,3,TRUE),0)),"")</f>
        <v/>
      </c>
      <c r="H284" s="46" t="str">
        <f>IFERROR(TRANSACTIONS!$F284+TRANSACTIONS!$G284,"")</f>
        <v/>
      </c>
      <c r="I284" s="44"/>
      <c r="J284" s="40" t="str">
        <f t="shared" si="4"/>
        <v/>
      </c>
    </row>
    <row r="285" spans="1:10" hidden="1" x14ac:dyDescent="0.25">
      <c r="A285" s="41"/>
      <c r="B285" s="48" t="str">
        <f>IF(A285&lt;&gt;"",DATE(YEAR(TRANSACTIONS!$A285),MONTH(TRANSACTIONS!$A285),DAY(TRANSACTIONS!$A285)),"")</f>
        <v/>
      </c>
      <c r="C285" s="49" t="str">
        <f>IF(A285&lt;&gt;"",TIME(HOUR(TRANSACTIONS!$A285),MINUTE(TRANSACTIONS!$A285),SECOND(TRANSACTIONS!$A285)),"")</f>
        <v/>
      </c>
      <c r="D285" s="42"/>
      <c r="E285" s="42"/>
      <c r="F285" s="43"/>
      <c r="G285" s="46" t="str">
        <f>IF(AND(A285&lt;&gt;"",F285&gt;1),IF(TRANSACTIONS!$E285=RAPPORTS!$F$9,0,IF(OR(TRANSACTIONS!$D285=RAPPORTS!$A$13,TRANSACTIONS!$D285=RAPPORTS!#REF!),VLOOKUP(TRANSACTIONS!$F285,FRAIS_D_ENVOI,3,TRUE),0)),"")</f>
        <v/>
      </c>
      <c r="H285" s="46" t="str">
        <f>IFERROR(TRANSACTIONS!$F285+TRANSACTIONS!$G285,"")</f>
        <v/>
      </c>
      <c r="I285" s="44"/>
      <c r="J285" s="40" t="str">
        <f t="shared" si="4"/>
        <v/>
      </c>
    </row>
    <row r="286" spans="1:10" hidden="1" x14ac:dyDescent="0.25">
      <c r="A286" s="41"/>
      <c r="B286" s="48" t="str">
        <f>IF(A286&lt;&gt;"",DATE(YEAR(TRANSACTIONS!$A286),MONTH(TRANSACTIONS!$A286),DAY(TRANSACTIONS!$A286)),"")</f>
        <v/>
      </c>
      <c r="C286" s="49" t="str">
        <f>IF(A286&lt;&gt;"",TIME(HOUR(TRANSACTIONS!$A286),MINUTE(TRANSACTIONS!$A286),SECOND(TRANSACTIONS!$A286)),"")</f>
        <v/>
      </c>
      <c r="D286" s="42"/>
      <c r="E286" s="42"/>
      <c r="F286" s="43"/>
      <c r="G286" s="46" t="str">
        <f>IF(AND(A286&lt;&gt;"",F286&gt;1),IF(TRANSACTIONS!$E286=RAPPORTS!$F$9,0,IF(OR(TRANSACTIONS!$D286=RAPPORTS!$A$13,TRANSACTIONS!$D286=RAPPORTS!#REF!),VLOOKUP(TRANSACTIONS!$F286,FRAIS_D_ENVOI,3,TRUE),0)),"")</f>
        <v/>
      </c>
      <c r="H286" s="46" t="str">
        <f>IFERROR(TRANSACTIONS!$F286+TRANSACTIONS!$G286,"")</f>
        <v/>
      </c>
      <c r="I286" s="44"/>
      <c r="J286" s="40" t="str">
        <f t="shared" si="4"/>
        <v/>
      </c>
    </row>
    <row r="287" spans="1:10" hidden="1" x14ac:dyDescent="0.25">
      <c r="A287" s="41"/>
      <c r="B287" s="48" t="str">
        <f>IF(A287&lt;&gt;"",DATE(YEAR(TRANSACTIONS!$A287),MONTH(TRANSACTIONS!$A287),DAY(TRANSACTIONS!$A287)),"")</f>
        <v/>
      </c>
      <c r="C287" s="49" t="str">
        <f>IF(A287&lt;&gt;"",TIME(HOUR(TRANSACTIONS!$A287),MINUTE(TRANSACTIONS!$A287),SECOND(TRANSACTIONS!$A287)),"")</f>
        <v/>
      </c>
      <c r="D287" s="42"/>
      <c r="E287" s="42"/>
      <c r="F287" s="43"/>
      <c r="G287" s="46" t="str">
        <f>IF(AND(A287&lt;&gt;"",F287&gt;1),IF(TRANSACTIONS!$E287=RAPPORTS!$F$9,0,IF(OR(TRANSACTIONS!$D287=RAPPORTS!$A$13,TRANSACTIONS!$D287=RAPPORTS!#REF!),VLOOKUP(TRANSACTIONS!$F287,FRAIS_D_ENVOI,3,TRUE),0)),"")</f>
        <v/>
      </c>
      <c r="H287" s="46" t="str">
        <f>IFERROR(TRANSACTIONS!$F287+TRANSACTIONS!$G287,"")</f>
        <v/>
      </c>
      <c r="I287" s="44"/>
      <c r="J287" s="40" t="str">
        <f t="shared" si="4"/>
        <v/>
      </c>
    </row>
    <row r="288" spans="1:10" hidden="1" x14ac:dyDescent="0.25">
      <c r="A288" s="41"/>
      <c r="B288" s="48" t="str">
        <f>IF(A288&lt;&gt;"",DATE(YEAR(TRANSACTIONS!$A288),MONTH(TRANSACTIONS!$A288),DAY(TRANSACTIONS!$A288)),"")</f>
        <v/>
      </c>
      <c r="C288" s="49" t="str">
        <f>IF(A288&lt;&gt;"",TIME(HOUR(TRANSACTIONS!$A288),MINUTE(TRANSACTIONS!$A288),SECOND(TRANSACTIONS!$A288)),"")</f>
        <v/>
      </c>
      <c r="D288" s="42"/>
      <c r="E288" s="42"/>
      <c r="F288" s="43"/>
      <c r="G288" s="46" t="str">
        <f>IF(AND(A288&lt;&gt;"",F288&gt;1),IF(TRANSACTIONS!$E288=RAPPORTS!$F$9,0,IF(OR(TRANSACTIONS!$D288=RAPPORTS!$A$13,TRANSACTIONS!$D288=RAPPORTS!#REF!),VLOOKUP(TRANSACTIONS!$F288,FRAIS_D_ENVOI,3,TRUE),0)),"")</f>
        <v/>
      </c>
      <c r="H288" s="46" t="str">
        <f>IFERROR(TRANSACTIONS!$F288+TRANSACTIONS!$G288,"")</f>
        <v/>
      </c>
      <c r="I288" s="44"/>
      <c r="J288" s="40" t="str">
        <f t="shared" si="4"/>
        <v/>
      </c>
    </row>
    <row r="289" spans="1:10" hidden="1" x14ac:dyDescent="0.25">
      <c r="A289" s="41"/>
      <c r="B289" s="48" t="str">
        <f>IF(A289&lt;&gt;"",DATE(YEAR(TRANSACTIONS!$A289),MONTH(TRANSACTIONS!$A289),DAY(TRANSACTIONS!$A289)),"")</f>
        <v/>
      </c>
      <c r="C289" s="49" t="str">
        <f>IF(A289&lt;&gt;"",TIME(HOUR(TRANSACTIONS!$A289),MINUTE(TRANSACTIONS!$A289),SECOND(TRANSACTIONS!$A289)),"")</f>
        <v/>
      </c>
      <c r="D289" s="42"/>
      <c r="E289" s="42"/>
      <c r="F289" s="43"/>
      <c r="G289" s="46" t="str">
        <f>IF(AND(A289&lt;&gt;"",F289&gt;1),IF(TRANSACTIONS!$E289=RAPPORTS!$F$9,0,IF(OR(TRANSACTIONS!$D289=RAPPORTS!$A$13,TRANSACTIONS!$D289=RAPPORTS!#REF!),VLOOKUP(TRANSACTIONS!$F289,FRAIS_D_ENVOI,3,TRUE),0)),"")</f>
        <v/>
      </c>
      <c r="H289" s="46" t="str">
        <f>IFERROR(TRANSACTIONS!$F289+TRANSACTIONS!$G289,"")</f>
        <v/>
      </c>
      <c r="I289" s="44"/>
      <c r="J289" s="40" t="str">
        <f t="shared" si="4"/>
        <v/>
      </c>
    </row>
    <row r="290" spans="1:10" hidden="1" x14ac:dyDescent="0.25">
      <c r="A290" s="41"/>
      <c r="B290" s="48" t="str">
        <f>IF(A290&lt;&gt;"",DATE(YEAR(TRANSACTIONS!$A290),MONTH(TRANSACTIONS!$A290),DAY(TRANSACTIONS!$A290)),"")</f>
        <v/>
      </c>
      <c r="C290" s="49" t="str">
        <f>IF(A290&lt;&gt;"",TIME(HOUR(TRANSACTIONS!$A290),MINUTE(TRANSACTIONS!$A290),SECOND(TRANSACTIONS!$A290)),"")</f>
        <v/>
      </c>
      <c r="D290" s="42"/>
      <c r="E290" s="42"/>
      <c r="F290" s="43"/>
      <c r="G290" s="46" t="str">
        <f>IF(AND(A290&lt;&gt;"",F290&gt;1),IF(TRANSACTIONS!$E290=RAPPORTS!$F$9,0,IF(OR(TRANSACTIONS!$D290=RAPPORTS!$A$13,TRANSACTIONS!$D290=RAPPORTS!#REF!),VLOOKUP(TRANSACTIONS!$F290,FRAIS_D_ENVOI,3,TRUE),0)),"")</f>
        <v/>
      </c>
      <c r="H290" s="46" t="str">
        <f>IFERROR(TRANSACTIONS!$F290+TRANSACTIONS!$G290,"")</f>
        <v/>
      </c>
      <c r="I290" s="44"/>
      <c r="J290" s="40" t="str">
        <f t="shared" si="4"/>
        <v/>
      </c>
    </row>
    <row r="291" spans="1:10" hidden="1" x14ac:dyDescent="0.25">
      <c r="A291" s="41"/>
      <c r="B291" s="48" t="str">
        <f>IF(A291&lt;&gt;"",DATE(YEAR(TRANSACTIONS!$A291),MONTH(TRANSACTIONS!$A291),DAY(TRANSACTIONS!$A291)),"")</f>
        <v/>
      </c>
      <c r="C291" s="49" t="str">
        <f>IF(A291&lt;&gt;"",TIME(HOUR(TRANSACTIONS!$A291),MINUTE(TRANSACTIONS!$A291),SECOND(TRANSACTIONS!$A291)),"")</f>
        <v/>
      </c>
      <c r="D291" s="42"/>
      <c r="E291" s="42"/>
      <c r="F291" s="43"/>
      <c r="G291" s="46" t="str">
        <f>IF(AND(A291&lt;&gt;"",F291&gt;1),IF(TRANSACTIONS!$E291=RAPPORTS!$F$9,0,IF(OR(TRANSACTIONS!$D291=RAPPORTS!$A$13,TRANSACTIONS!$D291=RAPPORTS!#REF!),VLOOKUP(TRANSACTIONS!$F291,FRAIS_D_ENVOI,3,TRUE),0)),"")</f>
        <v/>
      </c>
      <c r="H291" s="46" t="str">
        <f>IFERROR(TRANSACTIONS!$F291+TRANSACTIONS!$G291,"")</f>
        <v/>
      </c>
      <c r="I291" s="44"/>
      <c r="J291" s="40" t="str">
        <f t="shared" si="4"/>
        <v/>
      </c>
    </row>
    <row r="292" spans="1:10" hidden="1" x14ac:dyDescent="0.25">
      <c r="A292" s="41"/>
      <c r="B292" s="48" t="str">
        <f>IF(A292&lt;&gt;"",DATE(YEAR(TRANSACTIONS!$A292),MONTH(TRANSACTIONS!$A292),DAY(TRANSACTIONS!$A292)),"")</f>
        <v/>
      </c>
      <c r="C292" s="49" t="str">
        <f>IF(A292&lt;&gt;"",TIME(HOUR(TRANSACTIONS!$A292),MINUTE(TRANSACTIONS!$A292),SECOND(TRANSACTIONS!$A292)),"")</f>
        <v/>
      </c>
      <c r="D292" s="42"/>
      <c r="E292" s="42"/>
      <c r="F292" s="43"/>
      <c r="G292" s="46" t="str">
        <f>IF(AND(A292&lt;&gt;"",F292&gt;1),IF(TRANSACTIONS!$E292=RAPPORTS!$F$9,0,IF(OR(TRANSACTIONS!$D292=RAPPORTS!$A$13,TRANSACTIONS!$D292=RAPPORTS!#REF!),VLOOKUP(TRANSACTIONS!$F292,FRAIS_D_ENVOI,3,TRUE),0)),"")</f>
        <v/>
      </c>
      <c r="H292" s="46" t="str">
        <f>IFERROR(TRANSACTIONS!$F292+TRANSACTIONS!$G292,"")</f>
        <v/>
      </c>
      <c r="I292" s="44"/>
      <c r="J292" s="40" t="str">
        <f t="shared" si="4"/>
        <v/>
      </c>
    </row>
    <row r="293" spans="1:10" hidden="1" x14ac:dyDescent="0.25">
      <c r="A293" s="41"/>
      <c r="B293" s="48" t="str">
        <f>IF(A293&lt;&gt;"",DATE(YEAR(TRANSACTIONS!$A293),MONTH(TRANSACTIONS!$A293),DAY(TRANSACTIONS!$A293)),"")</f>
        <v/>
      </c>
      <c r="C293" s="49" t="str">
        <f>IF(A293&lt;&gt;"",TIME(HOUR(TRANSACTIONS!$A293),MINUTE(TRANSACTIONS!$A293),SECOND(TRANSACTIONS!$A293)),"")</f>
        <v/>
      </c>
      <c r="D293" s="42"/>
      <c r="E293" s="42"/>
      <c r="F293" s="43"/>
      <c r="G293" s="46" t="str">
        <f>IF(AND(A293&lt;&gt;"",F293&gt;1),IF(TRANSACTIONS!$E293=RAPPORTS!$F$9,0,IF(OR(TRANSACTIONS!$D293=RAPPORTS!$A$13,TRANSACTIONS!$D293=RAPPORTS!#REF!),VLOOKUP(TRANSACTIONS!$F293,FRAIS_D_ENVOI,3,TRUE),0)),"")</f>
        <v/>
      </c>
      <c r="H293" s="46" t="str">
        <f>IFERROR(TRANSACTIONS!$F293+TRANSACTIONS!$G293,"")</f>
        <v/>
      </c>
      <c r="I293" s="44"/>
      <c r="J293" s="40" t="str">
        <f t="shared" si="4"/>
        <v/>
      </c>
    </row>
    <row r="294" spans="1:10" hidden="1" x14ac:dyDescent="0.25">
      <c r="A294" s="41"/>
      <c r="B294" s="48" t="str">
        <f>IF(A294&lt;&gt;"",DATE(YEAR(TRANSACTIONS!$A294),MONTH(TRANSACTIONS!$A294),DAY(TRANSACTIONS!$A294)),"")</f>
        <v/>
      </c>
      <c r="C294" s="49" t="str">
        <f>IF(A294&lt;&gt;"",TIME(HOUR(TRANSACTIONS!$A294),MINUTE(TRANSACTIONS!$A294),SECOND(TRANSACTIONS!$A294)),"")</f>
        <v/>
      </c>
      <c r="D294" s="42"/>
      <c r="E294" s="42"/>
      <c r="F294" s="43"/>
      <c r="G294" s="46" t="str">
        <f>IF(AND(A294&lt;&gt;"",F294&gt;1),IF(TRANSACTIONS!$E294=RAPPORTS!$F$9,0,IF(OR(TRANSACTIONS!$D294=RAPPORTS!$A$13,TRANSACTIONS!$D294=RAPPORTS!#REF!),VLOOKUP(TRANSACTIONS!$F294,FRAIS_D_ENVOI,3,TRUE),0)),"")</f>
        <v/>
      </c>
      <c r="H294" s="46" t="str">
        <f>IFERROR(TRANSACTIONS!$F294+TRANSACTIONS!$G294,"")</f>
        <v/>
      </c>
      <c r="I294" s="44"/>
      <c r="J294" s="40" t="str">
        <f t="shared" si="4"/>
        <v/>
      </c>
    </row>
    <row r="295" spans="1:10" hidden="1" x14ac:dyDescent="0.25">
      <c r="A295" s="41"/>
      <c r="B295" s="48" t="str">
        <f>IF(A295&lt;&gt;"",DATE(YEAR(TRANSACTIONS!$A295),MONTH(TRANSACTIONS!$A295),DAY(TRANSACTIONS!$A295)),"")</f>
        <v/>
      </c>
      <c r="C295" s="49" t="str">
        <f>IF(A295&lt;&gt;"",TIME(HOUR(TRANSACTIONS!$A295),MINUTE(TRANSACTIONS!$A295),SECOND(TRANSACTIONS!$A295)),"")</f>
        <v/>
      </c>
      <c r="D295" s="42"/>
      <c r="E295" s="42"/>
      <c r="F295" s="43"/>
      <c r="G295" s="46" t="str">
        <f>IF(AND(A295&lt;&gt;"",F295&gt;1),IF(TRANSACTIONS!$E295=RAPPORTS!$F$9,0,IF(OR(TRANSACTIONS!$D295=RAPPORTS!$A$13,TRANSACTIONS!$D295=RAPPORTS!#REF!),VLOOKUP(TRANSACTIONS!$F295,FRAIS_D_ENVOI,3,TRUE),0)),"")</f>
        <v/>
      </c>
      <c r="H295" s="46" t="str">
        <f>IFERROR(TRANSACTIONS!$F295+TRANSACTIONS!$G295,"")</f>
        <v/>
      </c>
      <c r="I295" s="44"/>
      <c r="J295" s="40" t="str">
        <f t="shared" si="4"/>
        <v/>
      </c>
    </row>
    <row r="296" spans="1:10" hidden="1" x14ac:dyDescent="0.25">
      <c r="A296" s="41"/>
      <c r="B296" s="48" t="str">
        <f>IF(A296&lt;&gt;"",DATE(YEAR(TRANSACTIONS!$A296),MONTH(TRANSACTIONS!$A296),DAY(TRANSACTIONS!$A296)),"")</f>
        <v/>
      </c>
      <c r="C296" s="49" t="str">
        <f>IF(A296&lt;&gt;"",TIME(HOUR(TRANSACTIONS!$A296),MINUTE(TRANSACTIONS!$A296),SECOND(TRANSACTIONS!$A296)),"")</f>
        <v/>
      </c>
      <c r="D296" s="42"/>
      <c r="E296" s="42"/>
      <c r="F296" s="43"/>
      <c r="G296" s="46" t="str">
        <f>IF(AND(A296&lt;&gt;"",F296&gt;1),IF(TRANSACTIONS!$E296=RAPPORTS!$F$9,0,IF(OR(TRANSACTIONS!$D296=RAPPORTS!$A$13,TRANSACTIONS!$D296=RAPPORTS!#REF!),VLOOKUP(TRANSACTIONS!$F296,FRAIS_D_ENVOI,3,TRUE),0)),"")</f>
        <v/>
      </c>
      <c r="H296" s="46" t="str">
        <f>IFERROR(TRANSACTIONS!$F296+TRANSACTIONS!$G296,"")</f>
        <v/>
      </c>
      <c r="I296" s="44"/>
      <c r="J296" s="40" t="str">
        <f t="shared" si="4"/>
        <v/>
      </c>
    </row>
    <row r="297" spans="1:10" hidden="1" x14ac:dyDescent="0.25">
      <c r="A297" s="41"/>
      <c r="B297" s="48" t="str">
        <f>IF(A297&lt;&gt;"",DATE(YEAR(TRANSACTIONS!$A297),MONTH(TRANSACTIONS!$A297),DAY(TRANSACTIONS!$A297)),"")</f>
        <v/>
      </c>
      <c r="C297" s="49" t="str">
        <f>IF(A297&lt;&gt;"",TIME(HOUR(TRANSACTIONS!$A297),MINUTE(TRANSACTIONS!$A297),SECOND(TRANSACTIONS!$A297)),"")</f>
        <v/>
      </c>
      <c r="D297" s="42"/>
      <c r="E297" s="42"/>
      <c r="F297" s="43"/>
      <c r="G297" s="46" t="str">
        <f>IF(AND(A297&lt;&gt;"",F297&gt;1),IF(TRANSACTIONS!$E297=RAPPORTS!$F$9,0,IF(OR(TRANSACTIONS!$D297=RAPPORTS!$A$13,TRANSACTIONS!$D297=RAPPORTS!#REF!),VLOOKUP(TRANSACTIONS!$F297,FRAIS_D_ENVOI,3,TRUE),0)),"")</f>
        <v/>
      </c>
      <c r="H297" s="46" t="str">
        <f>IFERROR(TRANSACTIONS!$F297+TRANSACTIONS!$G297,"")</f>
        <v/>
      </c>
      <c r="I297" s="44"/>
      <c r="J297" s="40" t="str">
        <f t="shared" si="4"/>
        <v/>
      </c>
    </row>
    <row r="298" spans="1:10" hidden="1" x14ac:dyDescent="0.25">
      <c r="A298" s="41"/>
      <c r="B298" s="48" t="str">
        <f>IF(A298&lt;&gt;"",DATE(YEAR(TRANSACTIONS!$A298),MONTH(TRANSACTIONS!$A298),DAY(TRANSACTIONS!$A298)),"")</f>
        <v/>
      </c>
      <c r="C298" s="49" t="str">
        <f>IF(A298&lt;&gt;"",TIME(HOUR(TRANSACTIONS!$A298),MINUTE(TRANSACTIONS!$A298),SECOND(TRANSACTIONS!$A298)),"")</f>
        <v/>
      </c>
      <c r="D298" s="42"/>
      <c r="E298" s="42"/>
      <c r="F298" s="43"/>
      <c r="G298" s="46" t="str">
        <f>IF(AND(A298&lt;&gt;"",F298&gt;1),IF(TRANSACTIONS!$E298=RAPPORTS!$F$9,0,IF(OR(TRANSACTIONS!$D298=RAPPORTS!$A$13,TRANSACTIONS!$D298=RAPPORTS!#REF!),VLOOKUP(TRANSACTIONS!$F298,FRAIS_D_ENVOI,3,TRUE),0)),"")</f>
        <v/>
      </c>
      <c r="H298" s="46" t="str">
        <f>IFERROR(TRANSACTIONS!$F298+TRANSACTIONS!$G298,"")</f>
        <v/>
      </c>
      <c r="I298" s="44"/>
      <c r="J298" s="40" t="str">
        <f t="shared" si="4"/>
        <v/>
      </c>
    </row>
    <row r="299" spans="1:10" hidden="1" x14ac:dyDescent="0.25">
      <c r="A299" s="41"/>
      <c r="B299" s="48" t="str">
        <f>IF(A299&lt;&gt;"",DATE(YEAR(TRANSACTIONS!$A299),MONTH(TRANSACTIONS!$A299),DAY(TRANSACTIONS!$A299)),"")</f>
        <v/>
      </c>
      <c r="C299" s="49" t="str">
        <f>IF(A299&lt;&gt;"",TIME(HOUR(TRANSACTIONS!$A299),MINUTE(TRANSACTIONS!$A299),SECOND(TRANSACTIONS!$A299)),"")</f>
        <v/>
      </c>
      <c r="D299" s="42"/>
      <c r="E299" s="42"/>
      <c r="F299" s="43"/>
      <c r="G299" s="46" t="str">
        <f>IF(AND(A299&lt;&gt;"",F299&gt;1),IF(TRANSACTIONS!$E299=RAPPORTS!$F$9,0,IF(OR(TRANSACTIONS!$D299=RAPPORTS!$A$13,TRANSACTIONS!$D299=RAPPORTS!#REF!),VLOOKUP(TRANSACTIONS!$F299,FRAIS_D_ENVOI,3,TRUE),0)),"")</f>
        <v/>
      </c>
      <c r="H299" s="46" t="str">
        <f>IFERROR(TRANSACTIONS!$F299+TRANSACTIONS!$G299,"")</f>
        <v/>
      </c>
      <c r="I299" s="44"/>
      <c r="J299" s="40" t="str">
        <f t="shared" si="4"/>
        <v/>
      </c>
    </row>
    <row r="300" spans="1:10" hidden="1" x14ac:dyDescent="0.25">
      <c r="A300" s="41"/>
      <c r="B300" s="48" t="str">
        <f>IF(A300&lt;&gt;"",DATE(YEAR(TRANSACTIONS!$A300),MONTH(TRANSACTIONS!$A300),DAY(TRANSACTIONS!$A300)),"")</f>
        <v/>
      </c>
      <c r="C300" s="49" t="str">
        <f>IF(A300&lt;&gt;"",TIME(HOUR(TRANSACTIONS!$A300),MINUTE(TRANSACTIONS!$A300),SECOND(TRANSACTIONS!$A300)),"")</f>
        <v/>
      </c>
      <c r="D300" s="42"/>
      <c r="E300" s="42"/>
      <c r="F300" s="43"/>
      <c r="G300" s="46" t="str">
        <f>IF(AND(A300&lt;&gt;"",F300&gt;1),IF(TRANSACTIONS!$E300=RAPPORTS!$F$9,0,IF(OR(TRANSACTIONS!$D300=RAPPORTS!$A$13,TRANSACTIONS!$D300=RAPPORTS!#REF!),VLOOKUP(TRANSACTIONS!$F300,FRAIS_D_ENVOI,3,TRUE),0)),"")</f>
        <v/>
      </c>
      <c r="H300" s="46" t="str">
        <f>IFERROR(TRANSACTIONS!$F300+TRANSACTIONS!$G300,"")</f>
        <v/>
      </c>
      <c r="I300" s="44"/>
      <c r="J300" s="40" t="str">
        <f t="shared" si="4"/>
        <v/>
      </c>
    </row>
    <row r="301" spans="1:10" hidden="1" x14ac:dyDescent="0.25">
      <c r="A301" s="41"/>
      <c r="B301" s="48" t="str">
        <f>IF(A301&lt;&gt;"",DATE(YEAR(TRANSACTIONS!$A301),MONTH(TRANSACTIONS!$A301),DAY(TRANSACTIONS!$A301)),"")</f>
        <v/>
      </c>
      <c r="C301" s="49" t="str">
        <f>IF(A301&lt;&gt;"",TIME(HOUR(TRANSACTIONS!$A301),MINUTE(TRANSACTIONS!$A301),SECOND(TRANSACTIONS!$A301)),"")</f>
        <v/>
      </c>
      <c r="D301" s="42"/>
      <c r="E301" s="42"/>
      <c r="F301" s="43"/>
      <c r="G301" s="46" t="str">
        <f>IF(AND(A301&lt;&gt;"",F301&gt;1),IF(TRANSACTIONS!$E301=RAPPORTS!$F$9,0,IF(OR(TRANSACTIONS!$D301=RAPPORTS!$A$13,TRANSACTIONS!$D301=RAPPORTS!#REF!),VLOOKUP(TRANSACTIONS!$F301,FRAIS_D_ENVOI,3,TRUE),0)),"")</f>
        <v/>
      </c>
      <c r="H301" s="46" t="str">
        <f>IFERROR(TRANSACTIONS!$F301+TRANSACTIONS!$G301,"")</f>
        <v/>
      </c>
      <c r="I301" s="44"/>
      <c r="J301" s="40" t="str">
        <f t="shared" si="4"/>
        <v/>
      </c>
    </row>
    <row r="302" spans="1:10" hidden="1" x14ac:dyDescent="0.25">
      <c r="A302" s="41"/>
      <c r="B302" s="48" t="str">
        <f>IF(A302&lt;&gt;"",DATE(YEAR(TRANSACTIONS!$A302),MONTH(TRANSACTIONS!$A302),DAY(TRANSACTIONS!$A302)),"")</f>
        <v/>
      </c>
      <c r="C302" s="49" t="str">
        <f>IF(A302&lt;&gt;"",TIME(HOUR(TRANSACTIONS!$A302),MINUTE(TRANSACTIONS!$A302),SECOND(TRANSACTIONS!$A302)),"")</f>
        <v/>
      </c>
      <c r="D302" s="42"/>
      <c r="E302" s="42"/>
      <c r="F302" s="43"/>
      <c r="G302" s="46" t="str">
        <f>IF(AND(A302&lt;&gt;"",F302&gt;1),IF(TRANSACTIONS!$E302=RAPPORTS!$F$9,0,IF(OR(TRANSACTIONS!$D302=RAPPORTS!$A$13,TRANSACTIONS!$D302=RAPPORTS!#REF!),VLOOKUP(TRANSACTIONS!$F302,FRAIS_D_ENVOI,3,TRUE),0)),"")</f>
        <v/>
      </c>
      <c r="H302" s="46" t="str">
        <f>IFERROR(TRANSACTIONS!$F302+TRANSACTIONS!$G302,"")</f>
        <v/>
      </c>
      <c r="I302" s="44"/>
      <c r="J302" s="40" t="str">
        <f t="shared" si="4"/>
        <v/>
      </c>
    </row>
    <row r="303" spans="1:10" hidden="1" x14ac:dyDescent="0.25">
      <c r="A303" s="41"/>
      <c r="B303" s="48" t="str">
        <f>IF(A303&lt;&gt;"",DATE(YEAR(TRANSACTIONS!$A303),MONTH(TRANSACTIONS!$A303),DAY(TRANSACTIONS!$A303)),"")</f>
        <v/>
      </c>
      <c r="C303" s="49" t="str">
        <f>IF(A303&lt;&gt;"",TIME(HOUR(TRANSACTIONS!$A303),MINUTE(TRANSACTIONS!$A303),SECOND(TRANSACTIONS!$A303)),"")</f>
        <v/>
      </c>
      <c r="D303" s="42"/>
      <c r="E303" s="42"/>
      <c r="F303" s="43"/>
      <c r="G303" s="46" t="str">
        <f>IF(AND(A303&lt;&gt;"",F303&gt;1),IF(TRANSACTIONS!$E303=RAPPORTS!$F$9,0,IF(OR(TRANSACTIONS!$D303=RAPPORTS!$A$13,TRANSACTIONS!$D303=RAPPORTS!#REF!),VLOOKUP(TRANSACTIONS!$F303,FRAIS_D_ENVOI,3,TRUE),0)),"")</f>
        <v/>
      </c>
      <c r="H303" s="46" t="str">
        <f>IFERROR(TRANSACTIONS!$F303+TRANSACTIONS!$G303,"")</f>
        <v/>
      </c>
      <c r="I303" s="44"/>
      <c r="J303" s="40" t="str">
        <f t="shared" si="4"/>
        <v/>
      </c>
    </row>
    <row r="304" spans="1:10" hidden="1" x14ac:dyDescent="0.25">
      <c r="A304" s="41"/>
      <c r="B304" s="48" t="str">
        <f>IF(A304&lt;&gt;"",DATE(YEAR(TRANSACTIONS!$A304),MONTH(TRANSACTIONS!$A304),DAY(TRANSACTIONS!$A304)),"")</f>
        <v/>
      </c>
      <c r="C304" s="49" t="str">
        <f>IF(A304&lt;&gt;"",TIME(HOUR(TRANSACTIONS!$A304),MINUTE(TRANSACTIONS!$A304),SECOND(TRANSACTIONS!$A304)),"")</f>
        <v/>
      </c>
      <c r="D304" s="42"/>
      <c r="E304" s="42"/>
      <c r="F304" s="43"/>
      <c r="G304" s="46" t="str">
        <f>IF(AND(A304&lt;&gt;"",F304&gt;1),IF(TRANSACTIONS!$E304=RAPPORTS!$F$9,0,IF(OR(TRANSACTIONS!$D304=RAPPORTS!$A$13,TRANSACTIONS!$D304=RAPPORTS!#REF!),VLOOKUP(TRANSACTIONS!$F304,FRAIS_D_ENVOI,3,TRUE),0)),"")</f>
        <v/>
      </c>
      <c r="H304" s="46" t="str">
        <f>IFERROR(TRANSACTIONS!$F304+TRANSACTIONS!$G304,"")</f>
        <v/>
      </c>
      <c r="I304" s="44"/>
      <c r="J304" s="40" t="str">
        <f t="shared" si="4"/>
        <v/>
      </c>
    </row>
    <row r="305" spans="1:10" hidden="1" x14ac:dyDescent="0.25">
      <c r="A305" s="41"/>
      <c r="B305" s="48" t="str">
        <f>IF(A305&lt;&gt;"",DATE(YEAR(TRANSACTIONS!$A305),MONTH(TRANSACTIONS!$A305),DAY(TRANSACTIONS!$A305)),"")</f>
        <v/>
      </c>
      <c r="C305" s="49" t="str">
        <f>IF(A305&lt;&gt;"",TIME(HOUR(TRANSACTIONS!$A305),MINUTE(TRANSACTIONS!$A305),SECOND(TRANSACTIONS!$A305)),"")</f>
        <v/>
      </c>
      <c r="D305" s="42"/>
      <c r="E305" s="42"/>
      <c r="F305" s="43"/>
      <c r="G305" s="46" t="str">
        <f>IF(AND(A305&lt;&gt;"",F305&gt;1),IF(TRANSACTIONS!$E305=RAPPORTS!$F$9,0,IF(OR(TRANSACTIONS!$D305=RAPPORTS!$A$13,TRANSACTIONS!$D305=RAPPORTS!#REF!),VLOOKUP(TRANSACTIONS!$F305,FRAIS_D_ENVOI,3,TRUE),0)),"")</f>
        <v/>
      </c>
      <c r="H305" s="46" t="str">
        <f>IFERROR(TRANSACTIONS!$F305+TRANSACTIONS!$G305,"")</f>
        <v/>
      </c>
      <c r="I305" s="44"/>
      <c r="J305" s="40" t="str">
        <f t="shared" si="4"/>
        <v/>
      </c>
    </row>
    <row r="306" spans="1:10" hidden="1" x14ac:dyDescent="0.25">
      <c r="A306" s="41"/>
      <c r="B306" s="48" t="str">
        <f>IF(A306&lt;&gt;"",DATE(YEAR(TRANSACTIONS!$A306),MONTH(TRANSACTIONS!$A306),DAY(TRANSACTIONS!$A306)),"")</f>
        <v/>
      </c>
      <c r="C306" s="49" t="str">
        <f>IF(A306&lt;&gt;"",TIME(HOUR(TRANSACTIONS!$A306),MINUTE(TRANSACTIONS!$A306),SECOND(TRANSACTIONS!$A306)),"")</f>
        <v/>
      </c>
      <c r="D306" s="42"/>
      <c r="E306" s="42"/>
      <c r="F306" s="43"/>
      <c r="G306" s="46" t="str">
        <f>IF(AND(A306&lt;&gt;"",F306&gt;1),IF(TRANSACTIONS!$E306=RAPPORTS!$F$9,0,IF(OR(TRANSACTIONS!$D306=RAPPORTS!$A$13,TRANSACTIONS!$D306=RAPPORTS!#REF!),VLOOKUP(TRANSACTIONS!$F306,FRAIS_D_ENVOI,3,TRUE),0)),"")</f>
        <v/>
      </c>
      <c r="H306" s="46" t="str">
        <f>IFERROR(TRANSACTIONS!$F306+TRANSACTIONS!$G306,"")</f>
        <v/>
      </c>
      <c r="I306" s="44"/>
      <c r="J306" s="40" t="str">
        <f t="shared" si="4"/>
        <v/>
      </c>
    </row>
    <row r="307" spans="1:10" hidden="1" x14ac:dyDescent="0.25">
      <c r="A307" s="41"/>
      <c r="B307" s="48" t="str">
        <f>IF(A307&lt;&gt;"",DATE(YEAR(TRANSACTIONS!$A307),MONTH(TRANSACTIONS!$A307),DAY(TRANSACTIONS!$A307)),"")</f>
        <v/>
      </c>
      <c r="C307" s="49" t="str">
        <f>IF(A307&lt;&gt;"",TIME(HOUR(TRANSACTIONS!$A307),MINUTE(TRANSACTIONS!$A307),SECOND(TRANSACTIONS!$A307)),"")</f>
        <v/>
      </c>
      <c r="D307" s="42"/>
      <c r="E307" s="42"/>
      <c r="F307" s="43"/>
      <c r="G307" s="46" t="str">
        <f>IF(AND(A307&lt;&gt;"",F307&gt;1),IF(TRANSACTIONS!$E307=RAPPORTS!$F$9,0,IF(OR(TRANSACTIONS!$D307=RAPPORTS!$A$13,TRANSACTIONS!$D307=RAPPORTS!#REF!),VLOOKUP(TRANSACTIONS!$F307,FRAIS_D_ENVOI,3,TRUE),0)),"")</f>
        <v/>
      </c>
      <c r="H307" s="46" t="str">
        <f>IFERROR(TRANSACTIONS!$F307+TRANSACTIONS!$G307,"")</f>
        <v/>
      </c>
      <c r="I307" s="44"/>
      <c r="J307" s="40" t="str">
        <f t="shared" si="4"/>
        <v/>
      </c>
    </row>
    <row r="308" spans="1:10" hidden="1" x14ac:dyDescent="0.25">
      <c r="A308" s="41"/>
      <c r="B308" s="48" t="str">
        <f>IF(A308&lt;&gt;"",DATE(YEAR(TRANSACTIONS!$A308),MONTH(TRANSACTIONS!$A308),DAY(TRANSACTIONS!$A308)),"")</f>
        <v/>
      </c>
      <c r="C308" s="49" t="str">
        <f>IF(A308&lt;&gt;"",TIME(HOUR(TRANSACTIONS!$A308),MINUTE(TRANSACTIONS!$A308),SECOND(TRANSACTIONS!$A308)),"")</f>
        <v/>
      </c>
      <c r="D308" s="42"/>
      <c r="E308" s="42"/>
      <c r="F308" s="43"/>
      <c r="G308" s="46" t="str">
        <f>IF(AND(A308&lt;&gt;"",F308&gt;1),IF(TRANSACTIONS!$E308=RAPPORTS!$F$9,0,IF(OR(TRANSACTIONS!$D308=RAPPORTS!$A$13,TRANSACTIONS!$D308=RAPPORTS!#REF!),VLOOKUP(TRANSACTIONS!$F308,FRAIS_D_ENVOI,3,TRUE),0)),"")</f>
        <v/>
      </c>
      <c r="H308" s="46" t="str">
        <f>IFERROR(TRANSACTIONS!$F308+TRANSACTIONS!$G308,"")</f>
        <v/>
      </c>
      <c r="I308" s="44"/>
      <c r="J308" s="40" t="str">
        <f t="shared" si="4"/>
        <v/>
      </c>
    </row>
    <row r="309" spans="1:10" hidden="1" x14ac:dyDescent="0.25">
      <c r="A309" s="41"/>
      <c r="B309" s="48" t="str">
        <f>IF(A309&lt;&gt;"",DATE(YEAR(TRANSACTIONS!$A309),MONTH(TRANSACTIONS!$A309),DAY(TRANSACTIONS!$A309)),"")</f>
        <v/>
      </c>
      <c r="C309" s="49" t="str">
        <f>IF(A309&lt;&gt;"",TIME(HOUR(TRANSACTIONS!$A309),MINUTE(TRANSACTIONS!$A309),SECOND(TRANSACTIONS!$A309)),"")</f>
        <v/>
      </c>
      <c r="D309" s="42"/>
      <c r="E309" s="42"/>
      <c r="F309" s="43"/>
      <c r="G309" s="46" t="str">
        <f>IF(AND(A309&lt;&gt;"",F309&gt;1),IF(TRANSACTIONS!$E309=RAPPORTS!$F$9,0,IF(OR(TRANSACTIONS!$D309=RAPPORTS!$A$13,TRANSACTIONS!$D309=RAPPORTS!#REF!),VLOOKUP(TRANSACTIONS!$F309,FRAIS_D_ENVOI,3,TRUE),0)),"")</f>
        <v/>
      </c>
      <c r="H309" s="46" t="str">
        <f>IFERROR(TRANSACTIONS!$F309+TRANSACTIONS!$G309,"")</f>
        <v/>
      </c>
      <c r="I309" s="44"/>
      <c r="J309" s="40" t="str">
        <f t="shared" si="4"/>
        <v/>
      </c>
    </row>
    <row r="310" spans="1:10" hidden="1" x14ac:dyDescent="0.25">
      <c r="A310" s="41"/>
      <c r="B310" s="48" t="str">
        <f>IF(A310&lt;&gt;"",DATE(YEAR(TRANSACTIONS!$A310),MONTH(TRANSACTIONS!$A310),DAY(TRANSACTIONS!$A310)),"")</f>
        <v/>
      </c>
      <c r="C310" s="49" t="str">
        <f>IF(A310&lt;&gt;"",TIME(HOUR(TRANSACTIONS!$A310),MINUTE(TRANSACTIONS!$A310),SECOND(TRANSACTIONS!$A310)),"")</f>
        <v/>
      </c>
      <c r="D310" s="42"/>
      <c r="E310" s="42"/>
      <c r="F310" s="43"/>
      <c r="G310" s="46" t="str">
        <f>IF(AND(A310&lt;&gt;"",F310&gt;1),IF(TRANSACTIONS!$E310=RAPPORTS!$F$9,0,IF(OR(TRANSACTIONS!$D310=RAPPORTS!$A$13,TRANSACTIONS!$D310=RAPPORTS!#REF!),VLOOKUP(TRANSACTIONS!$F310,FRAIS_D_ENVOI,3,TRUE),0)),"")</f>
        <v/>
      </c>
      <c r="H310" s="46" t="str">
        <f>IFERROR(TRANSACTIONS!$F310+TRANSACTIONS!$G310,"")</f>
        <v/>
      </c>
      <c r="I310" s="44"/>
      <c r="J310" s="40" t="str">
        <f t="shared" si="4"/>
        <v/>
      </c>
    </row>
    <row r="311" spans="1:10" hidden="1" x14ac:dyDescent="0.25">
      <c r="A311" s="41"/>
      <c r="B311" s="48" t="str">
        <f>IF(A311&lt;&gt;"",DATE(YEAR(TRANSACTIONS!$A311),MONTH(TRANSACTIONS!$A311),DAY(TRANSACTIONS!$A311)),"")</f>
        <v/>
      </c>
      <c r="C311" s="49" t="str">
        <f>IF(A311&lt;&gt;"",TIME(HOUR(TRANSACTIONS!$A311),MINUTE(TRANSACTIONS!$A311),SECOND(TRANSACTIONS!$A311)),"")</f>
        <v/>
      </c>
      <c r="D311" s="42"/>
      <c r="E311" s="42"/>
      <c r="F311" s="43"/>
      <c r="G311" s="46" t="str">
        <f>IF(AND(A311&lt;&gt;"",F311&gt;1),IF(TRANSACTIONS!$E311=RAPPORTS!$F$9,0,IF(OR(TRANSACTIONS!$D311=RAPPORTS!$A$13,TRANSACTIONS!$D311=RAPPORTS!#REF!),VLOOKUP(TRANSACTIONS!$F311,FRAIS_D_ENVOI,3,TRUE),0)),"")</f>
        <v/>
      </c>
      <c r="H311" s="46" t="str">
        <f>IFERROR(TRANSACTIONS!$F311+TRANSACTIONS!$G311,"")</f>
        <v/>
      </c>
      <c r="I311" s="44"/>
      <c r="J311" s="40" t="str">
        <f t="shared" si="4"/>
        <v/>
      </c>
    </row>
    <row r="312" spans="1:10" hidden="1" x14ac:dyDescent="0.25">
      <c r="A312" s="41"/>
      <c r="B312" s="48" t="str">
        <f>IF(A312&lt;&gt;"",DATE(YEAR(TRANSACTIONS!$A312),MONTH(TRANSACTIONS!$A312),DAY(TRANSACTIONS!$A312)),"")</f>
        <v/>
      </c>
      <c r="C312" s="49" t="str">
        <f>IF(A312&lt;&gt;"",TIME(HOUR(TRANSACTIONS!$A312),MINUTE(TRANSACTIONS!$A312),SECOND(TRANSACTIONS!$A312)),"")</f>
        <v/>
      </c>
      <c r="D312" s="42"/>
      <c r="E312" s="42"/>
      <c r="F312" s="43"/>
      <c r="G312" s="46" t="str">
        <f>IF(AND(A312&lt;&gt;"",F312&gt;1),IF(TRANSACTIONS!$E312=RAPPORTS!$F$9,0,IF(OR(TRANSACTIONS!$D312=RAPPORTS!$A$13,TRANSACTIONS!$D312=RAPPORTS!#REF!),VLOOKUP(TRANSACTIONS!$F312,FRAIS_D_ENVOI,3,TRUE),0)),"")</f>
        <v/>
      </c>
      <c r="H312" s="46" t="str">
        <f>IFERROR(TRANSACTIONS!$F312+TRANSACTIONS!$G312,"")</f>
        <v/>
      </c>
      <c r="I312" s="44"/>
      <c r="J312" s="40" t="str">
        <f t="shared" si="4"/>
        <v/>
      </c>
    </row>
    <row r="313" spans="1:10" hidden="1" x14ac:dyDescent="0.25">
      <c r="A313" s="41"/>
      <c r="B313" s="48" t="str">
        <f>IF(A313&lt;&gt;"",DATE(YEAR(TRANSACTIONS!$A313),MONTH(TRANSACTIONS!$A313),DAY(TRANSACTIONS!$A313)),"")</f>
        <v/>
      </c>
      <c r="C313" s="49" t="str">
        <f>IF(A313&lt;&gt;"",TIME(HOUR(TRANSACTIONS!$A313),MINUTE(TRANSACTIONS!$A313),SECOND(TRANSACTIONS!$A313)),"")</f>
        <v/>
      </c>
      <c r="D313" s="42"/>
      <c r="E313" s="42"/>
      <c r="F313" s="43"/>
      <c r="G313" s="46" t="str">
        <f>IF(AND(A313&lt;&gt;"",F313&gt;1),IF(TRANSACTIONS!$E313=RAPPORTS!$F$9,0,IF(OR(TRANSACTIONS!$D313=RAPPORTS!$A$13,TRANSACTIONS!$D313=RAPPORTS!#REF!),VLOOKUP(TRANSACTIONS!$F313,FRAIS_D_ENVOI,3,TRUE),0)),"")</f>
        <v/>
      </c>
      <c r="H313" s="46" t="str">
        <f>IFERROR(TRANSACTIONS!$F313+TRANSACTIONS!$G313,"")</f>
        <v/>
      </c>
      <c r="I313" s="44"/>
      <c r="J313" s="40" t="str">
        <f t="shared" si="4"/>
        <v/>
      </c>
    </row>
    <row r="314" spans="1:10" hidden="1" x14ac:dyDescent="0.25">
      <c r="A314" s="41"/>
      <c r="B314" s="48" t="str">
        <f>IF(A314&lt;&gt;"",DATE(YEAR(TRANSACTIONS!$A314),MONTH(TRANSACTIONS!$A314),DAY(TRANSACTIONS!$A314)),"")</f>
        <v/>
      </c>
      <c r="C314" s="49" t="str">
        <f>IF(A314&lt;&gt;"",TIME(HOUR(TRANSACTIONS!$A314),MINUTE(TRANSACTIONS!$A314),SECOND(TRANSACTIONS!$A314)),"")</f>
        <v/>
      </c>
      <c r="D314" s="42"/>
      <c r="E314" s="42"/>
      <c r="F314" s="43"/>
      <c r="G314" s="46" t="str">
        <f>IF(AND(A314&lt;&gt;"",F314&gt;1),IF(TRANSACTIONS!$E314=RAPPORTS!$F$9,0,IF(OR(TRANSACTIONS!$D314=RAPPORTS!$A$13,TRANSACTIONS!$D314=RAPPORTS!#REF!),VLOOKUP(TRANSACTIONS!$F314,FRAIS_D_ENVOI,3,TRUE),0)),"")</f>
        <v/>
      </c>
      <c r="H314" s="46" t="str">
        <f>IFERROR(TRANSACTIONS!$F314+TRANSACTIONS!$G314,"")</f>
        <v/>
      </c>
      <c r="I314" s="44"/>
      <c r="J314" s="40" t="str">
        <f t="shared" si="4"/>
        <v/>
      </c>
    </row>
    <row r="315" spans="1:10" hidden="1" x14ac:dyDescent="0.25">
      <c r="A315" s="41"/>
      <c r="B315" s="48" t="str">
        <f>IF(A315&lt;&gt;"",DATE(YEAR(TRANSACTIONS!$A315),MONTH(TRANSACTIONS!$A315),DAY(TRANSACTIONS!$A315)),"")</f>
        <v/>
      </c>
      <c r="C315" s="49" t="str">
        <f>IF(A315&lt;&gt;"",TIME(HOUR(TRANSACTIONS!$A315),MINUTE(TRANSACTIONS!$A315),SECOND(TRANSACTIONS!$A315)),"")</f>
        <v/>
      </c>
      <c r="D315" s="42"/>
      <c r="E315" s="42"/>
      <c r="F315" s="43"/>
      <c r="G315" s="46" t="str">
        <f>IF(AND(A315&lt;&gt;"",F315&gt;1),IF(TRANSACTIONS!$E315=RAPPORTS!$F$9,0,IF(OR(TRANSACTIONS!$D315=RAPPORTS!$A$13,TRANSACTIONS!$D315=RAPPORTS!#REF!),VLOOKUP(TRANSACTIONS!$F315,FRAIS_D_ENVOI,3,TRUE),0)),"")</f>
        <v/>
      </c>
      <c r="H315" s="46" t="str">
        <f>IFERROR(TRANSACTIONS!$F315+TRANSACTIONS!$G315,"")</f>
        <v/>
      </c>
      <c r="I315" s="44"/>
      <c r="J315" s="40" t="str">
        <f t="shared" si="4"/>
        <v/>
      </c>
    </row>
    <row r="316" spans="1:10" hidden="1" x14ac:dyDescent="0.25">
      <c r="A316" s="41"/>
      <c r="B316" s="48" t="str">
        <f>IF(A316&lt;&gt;"",DATE(YEAR(TRANSACTIONS!$A316),MONTH(TRANSACTIONS!$A316),DAY(TRANSACTIONS!$A316)),"")</f>
        <v/>
      </c>
      <c r="C316" s="49" t="str">
        <f>IF(A316&lt;&gt;"",TIME(HOUR(TRANSACTIONS!$A316),MINUTE(TRANSACTIONS!$A316),SECOND(TRANSACTIONS!$A316)),"")</f>
        <v/>
      </c>
      <c r="D316" s="42"/>
      <c r="E316" s="42"/>
      <c r="F316" s="43"/>
      <c r="G316" s="46" t="str">
        <f>IF(AND(A316&lt;&gt;"",F316&gt;1),IF(TRANSACTIONS!$E316=RAPPORTS!$F$9,0,IF(OR(TRANSACTIONS!$D316=RAPPORTS!$A$13,TRANSACTIONS!$D316=RAPPORTS!#REF!),VLOOKUP(TRANSACTIONS!$F316,FRAIS_D_ENVOI,3,TRUE),0)),"")</f>
        <v/>
      </c>
      <c r="H316" s="46" t="str">
        <f>IFERROR(TRANSACTIONS!$F316+TRANSACTIONS!$G316,"")</f>
        <v/>
      </c>
      <c r="I316" s="44"/>
      <c r="J316" s="40" t="str">
        <f t="shared" si="4"/>
        <v/>
      </c>
    </row>
    <row r="317" spans="1:10" hidden="1" x14ac:dyDescent="0.25">
      <c r="A317" s="41"/>
      <c r="B317" s="48" t="str">
        <f>IF(A317&lt;&gt;"",DATE(YEAR(TRANSACTIONS!$A317),MONTH(TRANSACTIONS!$A317),DAY(TRANSACTIONS!$A317)),"")</f>
        <v/>
      </c>
      <c r="C317" s="49" t="str">
        <f>IF(A317&lt;&gt;"",TIME(HOUR(TRANSACTIONS!$A317),MINUTE(TRANSACTIONS!$A317),SECOND(TRANSACTIONS!$A317)),"")</f>
        <v/>
      </c>
      <c r="D317" s="42"/>
      <c r="E317" s="42"/>
      <c r="F317" s="43"/>
      <c r="G317" s="46" t="str">
        <f>IF(AND(A317&lt;&gt;"",F317&gt;1),IF(TRANSACTIONS!$E317=RAPPORTS!$F$9,0,IF(OR(TRANSACTIONS!$D317=RAPPORTS!$A$13,TRANSACTIONS!$D317=RAPPORTS!#REF!),VLOOKUP(TRANSACTIONS!$F317,FRAIS_D_ENVOI,3,TRUE),0)),"")</f>
        <v/>
      </c>
      <c r="H317" s="46" t="str">
        <f>IFERROR(TRANSACTIONS!$F317+TRANSACTIONS!$G317,"")</f>
        <v/>
      </c>
      <c r="I317" s="44"/>
      <c r="J317" s="40" t="str">
        <f t="shared" si="4"/>
        <v/>
      </c>
    </row>
    <row r="318" spans="1:10" hidden="1" x14ac:dyDescent="0.25">
      <c r="A318" s="41"/>
      <c r="B318" s="48" t="str">
        <f>IF(A318&lt;&gt;"",DATE(YEAR(TRANSACTIONS!$A318),MONTH(TRANSACTIONS!$A318),DAY(TRANSACTIONS!$A318)),"")</f>
        <v/>
      </c>
      <c r="C318" s="49" t="str">
        <f>IF(A318&lt;&gt;"",TIME(HOUR(TRANSACTIONS!$A318),MINUTE(TRANSACTIONS!$A318),SECOND(TRANSACTIONS!$A318)),"")</f>
        <v/>
      </c>
      <c r="D318" s="42"/>
      <c r="E318" s="42"/>
      <c r="F318" s="43"/>
      <c r="G318" s="46" t="str">
        <f>IF(AND(A318&lt;&gt;"",F318&gt;1),IF(TRANSACTIONS!$E318=RAPPORTS!$F$9,0,IF(OR(TRANSACTIONS!$D318=RAPPORTS!$A$13,TRANSACTIONS!$D318=RAPPORTS!#REF!),VLOOKUP(TRANSACTIONS!$F318,FRAIS_D_ENVOI,3,TRUE),0)),"")</f>
        <v/>
      </c>
      <c r="H318" s="46" t="str">
        <f>IFERROR(TRANSACTIONS!$F318+TRANSACTIONS!$G318,"")</f>
        <v/>
      </c>
      <c r="I318" s="44"/>
      <c r="J318" s="40" t="str">
        <f t="shared" si="4"/>
        <v/>
      </c>
    </row>
    <row r="319" spans="1:10" hidden="1" x14ac:dyDescent="0.25">
      <c r="A319" s="41"/>
      <c r="B319" s="48" t="str">
        <f>IF(A319&lt;&gt;"",DATE(YEAR(TRANSACTIONS!$A319),MONTH(TRANSACTIONS!$A319),DAY(TRANSACTIONS!$A319)),"")</f>
        <v/>
      </c>
      <c r="C319" s="49" t="str">
        <f>IF(A319&lt;&gt;"",TIME(HOUR(TRANSACTIONS!$A319),MINUTE(TRANSACTIONS!$A319),SECOND(TRANSACTIONS!$A319)),"")</f>
        <v/>
      </c>
      <c r="D319" s="42"/>
      <c r="E319" s="42"/>
      <c r="F319" s="43"/>
      <c r="G319" s="46" t="str">
        <f>IF(AND(A319&lt;&gt;"",F319&gt;1),IF(TRANSACTIONS!$E319=RAPPORTS!$F$9,0,IF(OR(TRANSACTIONS!$D319=RAPPORTS!$A$13,TRANSACTIONS!$D319=RAPPORTS!#REF!),VLOOKUP(TRANSACTIONS!$F319,FRAIS_D_ENVOI,3,TRUE),0)),"")</f>
        <v/>
      </c>
      <c r="H319" s="46" t="str">
        <f>IFERROR(TRANSACTIONS!$F319+TRANSACTIONS!$G319,"")</f>
        <v/>
      </c>
      <c r="I319" s="44"/>
      <c r="J319" s="40" t="str">
        <f t="shared" si="4"/>
        <v/>
      </c>
    </row>
    <row r="320" spans="1:10" hidden="1" x14ac:dyDescent="0.25">
      <c r="A320" s="41"/>
      <c r="B320" s="48" t="str">
        <f>IF(A320&lt;&gt;"",DATE(YEAR(TRANSACTIONS!$A320),MONTH(TRANSACTIONS!$A320),DAY(TRANSACTIONS!$A320)),"")</f>
        <v/>
      </c>
      <c r="C320" s="49" t="str">
        <f>IF(A320&lt;&gt;"",TIME(HOUR(TRANSACTIONS!$A320),MINUTE(TRANSACTIONS!$A320),SECOND(TRANSACTIONS!$A320)),"")</f>
        <v/>
      </c>
      <c r="D320" s="42"/>
      <c r="E320" s="42"/>
      <c r="F320" s="43"/>
      <c r="G320" s="46" t="str">
        <f>IF(AND(A320&lt;&gt;"",F320&gt;1),IF(TRANSACTIONS!$E320=RAPPORTS!$F$9,0,IF(OR(TRANSACTIONS!$D320=RAPPORTS!$A$13,TRANSACTIONS!$D320=RAPPORTS!#REF!),VLOOKUP(TRANSACTIONS!$F320,FRAIS_D_ENVOI,3,TRUE),0)),"")</f>
        <v/>
      </c>
      <c r="H320" s="46" t="str">
        <f>IFERROR(TRANSACTIONS!$F320+TRANSACTIONS!$G320,"")</f>
        <v/>
      </c>
      <c r="I320" s="44"/>
      <c r="J320" s="40" t="str">
        <f t="shared" si="4"/>
        <v/>
      </c>
    </row>
    <row r="321" spans="1:10" hidden="1" x14ac:dyDescent="0.25">
      <c r="A321" s="41"/>
      <c r="B321" s="48" t="str">
        <f>IF(A321&lt;&gt;"",DATE(YEAR(TRANSACTIONS!$A321),MONTH(TRANSACTIONS!$A321),DAY(TRANSACTIONS!$A321)),"")</f>
        <v/>
      </c>
      <c r="C321" s="49" t="str">
        <f>IF(A321&lt;&gt;"",TIME(HOUR(TRANSACTIONS!$A321),MINUTE(TRANSACTIONS!$A321),SECOND(TRANSACTIONS!$A321)),"")</f>
        <v/>
      </c>
      <c r="D321" s="42"/>
      <c r="E321" s="42"/>
      <c r="F321" s="43"/>
      <c r="G321" s="46" t="str">
        <f>IF(AND(A321&lt;&gt;"",F321&gt;1),IF(TRANSACTIONS!$E321=RAPPORTS!$F$9,0,IF(OR(TRANSACTIONS!$D321=RAPPORTS!$A$13,TRANSACTIONS!$D321=RAPPORTS!#REF!),VLOOKUP(TRANSACTIONS!$F321,FRAIS_D_ENVOI,3,TRUE),0)),"")</f>
        <v/>
      </c>
      <c r="H321" s="46" t="str">
        <f>IFERROR(TRANSACTIONS!$F321+TRANSACTIONS!$G321,"")</f>
        <v/>
      </c>
      <c r="I321" s="44"/>
      <c r="J321" s="40" t="str">
        <f t="shared" si="4"/>
        <v/>
      </c>
    </row>
    <row r="322" spans="1:10" hidden="1" x14ac:dyDescent="0.25">
      <c r="A322" s="41"/>
      <c r="B322" s="48" t="str">
        <f>IF(A322&lt;&gt;"",DATE(YEAR(TRANSACTIONS!$A322),MONTH(TRANSACTIONS!$A322),DAY(TRANSACTIONS!$A322)),"")</f>
        <v/>
      </c>
      <c r="C322" s="49" t="str">
        <f>IF(A322&lt;&gt;"",TIME(HOUR(TRANSACTIONS!$A322),MINUTE(TRANSACTIONS!$A322),SECOND(TRANSACTIONS!$A322)),"")</f>
        <v/>
      </c>
      <c r="D322" s="42"/>
      <c r="E322" s="42"/>
      <c r="F322" s="43"/>
      <c r="G322" s="46" t="str">
        <f>IF(AND(A322&lt;&gt;"",F322&gt;1),IF(TRANSACTIONS!$E322=RAPPORTS!$F$9,0,IF(OR(TRANSACTIONS!$D322=RAPPORTS!$A$13,TRANSACTIONS!$D322=RAPPORTS!#REF!),VLOOKUP(TRANSACTIONS!$F322,FRAIS_D_ENVOI,3,TRUE),0)),"")</f>
        <v/>
      </c>
      <c r="H322" s="46" t="str">
        <f>IFERROR(TRANSACTIONS!$F322+TRANSACTIONS!$G322,"")</f>
        <v/>
      </c>
      <c r="I322" s="44"/>
      <c r="J322" s="40" t="str">
        <f t="shared" si="4"/>
        <v/>
      </c>
    </row>
    <row r="323" spans="1:10" hidden="1" x14ac:dyDescent="0.25">
      <c r="A323" s="41"/>
      <c r="B323" s="48" t="str">
        <f>IF(A323&lt;&gt;"",DATE(YEAR(TRANSACTIONS!$A323),MONTH(TRANSACTIONS!$A323),DAY(TRANSACTIONS!$A323)),"")</f>
        <v/>
      </c>
      <c r="C323" s="49" t="str">
        <f>IF(A323&lt;&gt;"",TIME(HOUR(TRANSACTIONS!$A323),MINUTE(TRANSACTIONS!$A323),SECOND(TRANSACTIONS!$A323)),"")</f>
        <v/>
      </c>
      <c r="D323" s="42"/>
      <c r="E323" s="42"/>
      <c r="F323" s="43"/>
      <c r="G323" s="46" t="str">
        <f>IF(AND(A323&lt;&gt;"",F323&gt;1),IF(TRANSACTIONS!$E323=RAPPORTS!$F$9,0,IF(OR(TRANSACTIONS!$D323=RAPPORTS!$A$13,TRANSACTIONS!$D323=RAPPORTS!#REF!),VLOOKUP(TRANSACTIONS!$F323,FRAIS_D_ENVOI,3,TRUE),0)),"")</f>
        <v/>
      </c>
      <c r="H323" s="46" t="str">
        <f>IFERROR(TRANSACTIONS!$F323+TRANSACTIONS!$G323,"")</f>
        <v/>
      </c>
      <c r="I323" s="44"/>
      <c r="J323" s="40" t="str">
        <f t="shared" si="4"/>
        <v/>
      </c>
    </row>
    <row r="324" spans="1:10" hidden="1" x14ac:dyDescent="0.25">
      <c r="A324" s="41"/>
      <c r="B324" s="48" t="str">
        <f>IF(A324&lt;&gt;"",DATE(YEAR(TRANSACTIONS!$A324),MONTH(TRANSACTIONS!$A324),DAY(TRANSACTIONS!$A324)),"")</f>
        <v/>
      </c>
      <c r="C324" s="49" t="str">
        <f>IF(A324&lt;&gt;"",TIME(HOUR(TRANSACTIONS!$A324),MINUTE(TRANSACTIONS!$A324),SECOND(TRANSACTIONS!$A324)),"")</f>
        <v/>
      </c>
      <c r="D324" s="42"/>
      <c r="E324" s="42"/>
      <c r="F324" s="43"/>
      <c r="G324" s="46" t="str">
        <f>IF(AND(A324&lt;&gt;"",F324&gt;1),IF(TRANSACTIONS!$E324=RAPPORTS!$F$9,0,IF(OR(TRANSACTIONS!$D324=RAPPORTS!$A$13,TRANSACTIONS!$D324=RAPPORTS!#REF!),VLOOKUP(TRANSACTIONS!$F324,FRAIS_D_ENVOI,3,TRUE),0)),"")</f>
        <v/>
      </c>
      <c r="H324" s="46" t="str">
        <f>IFERROR(TRANSACTIONS!$F324+TRANSACTIONS!$G324,"")</f>
        <v/>
      </c>
      <c r="I324" s="44"/>
      <c r="J324" s="40" t="str">
        <f t="shared" ref="J324:J387" si="5">IF(G324&lt;&gt;"",$J$1*G324,"")</f>
        <v/>
      </c>
    </row>
    <row r="325" spans="1:10" hidden="1" x14ac:dyDescent="0.25">
      <c r="A325" s="41"/>
      <c r="B325" s="48" t="str">
        <f>IF(A325&lt;&gt;"",DATE(YEAR(TRANSACTIONS!$A325),MONTH(TRANSACTIONS!$A325),DAY(TRANSACTIONS!$A325)),"")</f>
        <v/>
      </c>
      <c r="C325" s="49" t="str">
        <f>IF(A325&lt;&gt;"",TIME(HOUR(TRANSACTIONS!$A325),MINUTE(TRANSACTIONS!$A325),SECOND(TRANSACTIONS!$A325)),"")</f>
        <v/>
      </c>
      <c r="D325" s="42"/>
      <c r="E325" s="42"/>
      <c r="F325" s="43"/>
      <c r="G325" s="46" t="str">
        <f>IF(AND(A325&lt;&gt;"",F325&gt;1),IF(TRANSACTIONS!$E325=RAPPORTS!$F$9,0,IF(OR(TRANSACTIONS!$D325=RAPPORTS!$A$13,TRANSACTIONS!$D325=RAPPORTS!#REF!),VLOOKUP(TRANSACTIONS!$F325,FRAIS_D_ENVOI,3,TRUE),0)),"")</f>
        <v/>
      </c>
      <c r="H325" s="46" t="str">
        <f>IFERROR(TRANSACTIONS!$F325+TRANSACTIONS!$G325,"")</f>
        <v/>
      </c>
      <c r="I325" s="44"/>
      <c r="J325" s="40" t="str">
        <f t="shared" si="5"/>
        <v/>
      </c>
    </row>
    <row r="326" spans="1:10" hidden="1" x14ac:dyDescent="0.25">
      <c r="A326" s="41"/>
      <c r="B326" s="48" t="str">
        <f>IF(A326&lt;&gt;"",DATE(YEAR(TRANSACTIONS!$A326),MONTH(TRANSACTIONS!$A326),DAY(TRANSACTIONS!$A326)),"")</f>
        <v/>
      </c>
      <c r="C326" s="49" t="str">
        <f>IF(A326&lt;&gt;"",TIME(HOUR(TRANSACTIONS!$A326),MINUTE(TRANSACTIONS!$A326),SECOND(TRANSACTIONS!$A326)),"")</f>
        <v/>
      </c>
      <c r="D326" s="42"/>
      <c r="E326" s="42"/>
      <c r="F326" s="43"/>
      <c r="G326" s="46" t="str">
        <f>IF(AND(A326&lt;&gt;"",F326&gt;1),IF(TRANSACTIONS!$E326=RAPPORTS!$F$9,0,IF(OR(TRANSACTIONS!$D326=RAPPORTS!$A$13,TRANSACTIONS!$D326=RAPPORTS!#REF!),VLOOKUP(TRANSACTIONS!$F326,FRAIS_D_ENVOI,3,TRUE),0)),"")</f>
        <v/>
      </c>
      <c r="H326" s="46" t="str">
        <f>IFERROR(TRANSACTIONS!$F326+TRANSACTIONS!$G326,"")</f>
        <v/>
      </c>
      <c r="I326" s="44"/>
      <c r="J326" s="40" t="str">
        <f t="shared" si="5"/>
        <v/>
      </c>
    </row>
    <row r="327" spans="1:10" hidden="1" x14ac:dyDescent="0.25">
      <c r="A327" s="41"/>
      <c r="B327" s="48" t="str">
        <f>IF(A327&lt;&gt;"",DATE(YEAR(TRANSACTIONS!$A327),MONTH(TRANSACTIONS!$A327),DAY(TRANSACTIONS!$A327)),"")</f>
        <v/>
      </c>
      <c r="C327" s="49" t="str">
        <f>IF(A327&lt;&gt;"",TIME(HOUR(TRANSACTIONS!$A327),MINUTE(TRANSACTIONS!$A327),SECOND(TRANSACTIONS!$A327)),"")</f>
        <v/>
      </c>
      <c r="D327" s="42"/>
      <c r="E327" s="42"/>
      <c r="F327" s="43"/>
      <c r="G327" s="46" t="str">
        <f>IF(AND(A327&lt;&gt;"",F327&gt;1),IF(TRANSACTIONS!$E327=RAPPORTS!$F$9,0,IF(OR(TRANSACTIONS!$D327=RAPPORTS!$A$13,TRANSACTIONS!$D327=RAPPORTS!#REF!),VLOOKUP(TRANSACTIONS!$F327,FRAIS_D_ENVOI,3,TRUE),0)),"")</f>
        <v/>
      </c>
      <c r="H327" s="46" t="str">
        <f>IFERROR(TRANSACTIONS!$F327+TRANSACTIONS!$G327,"")</f>
        <v/>
      </c>
      <c r="I327" s="44"/>
      <c r="J327" s="40" t="str">
        <f t="shared" si="5"/>
        <v/>
      </c>
    </row>
    <row r="328" spans="1:10" hidden="1" x14ac:dyDescent="0.25">
      <c r="A328" s="41"/>
      <c r="B328" s="48" t="str">
        <f>IF(A328&lt;&gt;"",DATE(YEAR(TRANSACTIONS!$A328),MONTH(TRANSACTIONS!$A328),DAY(TRANSACTIONS!$A328)),"")</f>
        <v/>
      </c>
      <c r="C328" s="49" t="str">
        <f>IF(A328&lt;&gt;"",TIME(HOUR(TRANSACTIONS!$A328),MINUTE(TRANSACTIONS!$A328),SECOND(TRANSACTIONS!$A328)),"")</f>
        <v/>
      </c>
      <c r="D328" s="42"/>
      <c r="E328" s="42"/>
      <c r="F328" s="43"/>
      <c r="G328" s="46" t="str">
        <f>IF(AND(A328&lt;&gt;"",F328&gt;1),IF(TRANSACTIONS!$E328=RAPPORTS!$F$9,0,IF(OR(TRANSACTIONS!$D328=RAPPORTS!$A$13,TRANSACTIONS!$D328=RAPPORTS!#REF!),VLOOKUP(TRANSACTIONS!$F328,FRAIS_D_ENVOI,3,TRUE),0)),"")</f>
        <v/>
      </c>
      <c r="H328" s="46" t="str">
        <f>IFERROR(TRANSACTIONS!$F328+TRANSACTIONS!$G328,"")</f>
        <v/>
      </c>
      <c r="I328" s="44"/>
      <c r="J328" s="40" t="str">
        <f t="shared" si="5"/>
        <v/>
      </c>
    </row>
    <row r="329" spans="1:10" hidden="1" x14ac:dyDescent="0.25">
      <c r="A329" s="41"/>
      <c r="B329" s="48" t="str">
        <f>IF(A329&lt;&gt;"",DATE(YEAR(TRANSACTIONS!$A329),MONTH(TRANSACTIONS!$A329),DAY(TRANSACTIONS!$A329)),"")</f>
        <v/>
      </c>
      <c r="C329" s="49" t="str">
        <f>IF(A329&lt;&gt;"",TIME(HOUR(TRANSACTIONS!$A329),MINUTE(TRANSACTIONS!$A329),SECOND(TRANSACTIONS!$A329)),"")</f>
        <v/>
      </c>
      <c r="D329" s="42"/>
      <c r="E329" s="42"/>
      <c r="F329" s="43"/>
      <c r="G329" s="46" t="str">
        <f>IF(AND(A329&lt;&gt;"",F329&gt;1),IF(TRANSACTIONS!$E329=RAPPORTS!$F$9,0,IF(OR(TRANSACTIONS!$D329=RAPPORTS!$A$13,TRANSACTIONS!$D329=RAPPORTS!#REF!),VLOOKUP(TRANSACTIONS!$F329,FRAIS_D_ENVOI,3,TRUE),0)),"")</f>
        <v/>
      </c>
      <c r="H329" s="46" t="str">
        <f>IFERROR(TRANSACTIONS!$F329+TRANSACTIONS!$G329,"")</f>
        <v/>
      </c>
      <c r="I329" s="44"/>
      <c r="J329" s="40" t="str">
        <f t="shared" si="5"/>
        <v/>
      </c>
    </row>
    <row r="330" spans="1:10" hidden="1" x14ac:dyDescent="0.25">
      <c r="A330" s="41"/>
      <c r="B330" s="48" t="str">
        <f>IF(A330&lt;&gt;"",DATE(YEAR(TRANSACTIONS!$A330),MONTH(TRANSACTIONS!$A330),DAY(TRANSACTIONS!$A330)),"")</f>
        <v/>
      </c>
      <c r="C330" s="49" t="str">
        <f>IF(A330&lt;&gt;"",TIME(HOUR(TRANSACTIONS!$A330),MINUTE(TRANSACTIONS!$A330),SECOND(TRANSACTIONS!$A330)),"")</f>
        <v/>
      </c>
      <c r="D330" s="42"/>
      <c r="E330" s="42"/>
      <c r="F330" s="43"/>
      <c r="G330" s="46" t="str">
        <f>IF(AND(A330&lt;&gt;"",F330&gt;1),IF(TRANSACTIONS!$E330=RAPPORTS!$F$9,0,IF(OR(TRANSACTIONS!$D330=RAPPORTS!$A$13,TRANSACTIONS!$D330=RAPPORTS!#REF!),VLOOKUP(TRANSACTIONS!$F330,FRAIS_D_ENVOI,3,TRUE),0)),"")</f>
        <v/>
      </c>
      <c r="H330" s="46" t="str">
        <f>IFERROR(TRANSACTIONS!$F330+TRANSACTIONS!$G330,"")</f>
        <v/>
      </c>
      <c r="I330" s="44"/>
      <c r="J330" s="40" t="str">
        <f t="shared" si="5"/>
        <v/>
      </c>
    </row>
    <row r="331" spans="1:10" hidden="1" x14ac:dyDescent="0.25">
      <c r="A331" s="41"/>
      <c r="B331" s="48" t="str">
        <f>IF(A331&lt;&gt;"",DATE(YEAR(TRANSACTIONS!$A331),MONTH(TRANSACTIONS!$A331),DAY(TRANSACTIONS!$A331)),"")</f>
        <v/>
      </c>
      <c r="C331" s="49" t="str">
        <f>IF(A331&lt;&gt;"",TIME(HOUR(TRANSACTIONS!$A331),MINUTE(TRANSACTIONS!$A331),SECOND(TRANSACTIONS!$A331)),"")</f>
        <v/>
      </c>
      <c r="D331" s="42"/>
      <c r="E331" s="42"/>
      <c r="F331" s="43"/>
      <c r="G331" s="46" t="str">
        <f>IF(AND(A331&lt;&gt;"",F331&gt;1),IF(TRANSACTIONS!$E331=RAPPORTS!$F$9,0,IF(OR(TRANSACTIONS!$D331=RAPPORTS!$A$13,TRANSACTIONS!$D331=RAPPORTS!#REF!),VLOOKUP(TRANSACTIONS!$F331,FRAIS_D_ENVOI,3,TRUE),0)),"")</f>
        <v/>
      </c>
      <c r="H331" s="46" t="str">
        <f>IFERROR(TRANSACTIONS!$F331+TRANSACTIONS!$G331,"")</f>
        <v/>
      </c>
      <c r="I331" s="44"/>
      <c r="J331" s="40" t="str">
        <f t="shared" si="5"/>
        <v/>
      </c>
    </row>
    <row r="332" spans="1:10" hidden="1" x14ac:dyDescent="0.25">
      <c r="A332" s="41"/>
      <c r="B332" s="48" t="str">
        <f>IF(A332&lt;&gt;"",DATE(YEAR(TRANSACTIONS!$A332),MONTH(TRANSACTIONS!$A332),DAY(TRANSACTIONS!$A332)),"")</f>
        <v/>
      </c>
      <c r="C332" s="49" t="str">
        <f>IF(A332&lt;&gt;"",TIME(HOUR(TRANSACTIONS!$A332),MINUTE(TRANSACTIONS!$A332),SECOND(TRANSACTIONS!$A332)),"")</f>
        <v/>
      </c>
      <c r="D332" s="42"/>
      <c r="E332" s="42"/>
      <c r="F332" s="43"/>
      <c r="G332" s="46" t="str">
        <f>IF(AND(A332&lt;&gt;"",F332&gt;1),IF(TRANSACTIONS!$E332=RAPPORTS!$F$9,0,IF(OR(TRANSACTIONS!$D332=RAPPORTS!$A$13,TRANSACTIONS!$D332=RAPPORTS!#REF!),VLOOKUP(TRANSACTIONS!$F332,FRAIS_D_ENVOI,3,TRUE),0)),"")</f>
        <v/>
      </c>
      <c r="H332" s="46" t="str">
        <f>IFERROR(TRANSACTIONS!$F332+TRANSACTIONS!$G332,"")</f>
        <v/>
      </c>
      <c r="I332" s="44"/>
      <c r="J332" s="40" t="str">
        <f t="shared" si="5"/>
        <v/>
      </c>
    </row>
    <row r="333" spans="1:10" hidden="1" x14ac:dyDescent="0.25">
      <c r="A333" s="41"/>
      <c r="B333" s="48" t="str">
        <f>IF(A333&lt;&gt;"",DATE(YEAR(TRANSACTIONS!$A333),MONTH(TRANSACTIONS!$A333),DAY(TRANSACTIONS!$A333)),"")</f>
        <v/>
      </c>
      <c r="C333" s="49" t="str">
        <f>IF(A333&lt;&gt;"",TIME(HOUR(TRANSACTIONS!$A333),MINUTE(TRANSACTIONS!$A333),SECOND(TRANSACTIONS!$A333)),"")</f>
        <v/>
      </c>
      <c r="D333" s="42"/>
      <c r="E333" s="42"/>
      <c r="F333" s="43"/>
      <c r="G333" s="46" t="str">
        <f>IF(AND(A333&lt;&gt;"",F333&gt;1),IF(TRANSACTIONS!$E333=RAPPORTS!$F$9,0,IF(OR(TRANSACTIONS!$D333=RAPPORTS!$A$13,TRANSACTIONS!$D333=RAPPORTS!#REF!),VLOOKUP(TRANSACTIONS!$F333,FRAIS_D_ENVOI,3,TRUE),0)),"")</f>
        <v/>
      </c>
      <c r="H333" s="46" t="str">
        <f>IFERROR(TRANSACTIONS!$F333+TRANSACTIONS!$G333,"")</f>
        <v/>
      </c>
      <c r="I333" s="44"/>
      <c r="J333" s="40" t="str">
        <f t="shared" si="5"/>
        <v/>
      </c>
    </row>
    <row r="334" spans="1:10" hidden="1" x14ac:dyDescent="0.25">
      <c r="A334" s="41"/>
      <c r="B334" s="48" t="str">
        <f>IF(A334&lt;&gt;"",DATE(YEAR(TRANSACTIONS!$A334),MONTH(TRANSACTIONS!$A334),DAY(TRANSACTIONS!$A334)),"")</f>
        <v/>
      </c>
      <c r="C334" s="49" t="str">
        <f>IF(A334&lt;&gt;"",TIME(HOUR(TRANSACTIONS!$A334),MINUTE(TRANSACTIONS!$A334),SECOND(TRANSACTIONS!$A334)),"")</f>
        <v/>
      </c>
      <c r="D334" s="42"/>
      <c r="E334" s="42"/>
      <c r="F334" s="43"/>
      <c r="G334" s="46" t="str">
        <f>IF(AND(A334&lt;&gt;"",F334&gt;1),IF(TRANSACTIONS!$E334=RAPPORTS!$F$9,0,IF(OR(TRANSACTIONS!$D334=RAPPORTS!$A$13,TRANSACTIONS!$D334=RAPPORTS!#REF!),VLOOKUP(TRANSACTIONS!$F334,FRAIS_D_ENVOI,3,TRUE),0)),"")</f>
        <v/>
      </c>
      <c r="H334" s="46" t="str">
        <f>IFERROR(TRANSACTIONS!$F334+TRANSACTIONS!$G334,"")</f>
        <v/>
      </c>
      <c r="I334" s="44"/>
      <c r="J334" s="40" t="str">
        <f t="shared" si="5"/>
        <v/>
      </c>
    </row>
    <row r="335" spans="1:10" hidden="1" x14ac:dyDescent="0.25">
      <c r="A335" s="41"/>
      <c r="B335" s="48" t="str">
        <f>IF(A335&lt;&gt;"",DATE(YEAR(TRANSACTIONS!$A335),MONTH(TRANSACTIONS!$A335),DAY(TRANSACTIONS!$A335)),"")</f>
        <v/>
      </c>
      <c r="C335" s="49" t="str">
        <f>IF(A335&lt;&gt;"",TIME(HOUR(TRANSACTIONS!$A335),MINUTE(TRANSACTIONS!$A335),SECOND(TRANSACTIONS!$A335)),"")</f>
        <v/>
      </c>
      <c r="D335" s="42"/>
      <c r="E335" s="42"/>
      <c r="F335" s="43"/>
      <c r="G335" s="46" t="str">
        <f>IF(AND(A335&lt;&gt;"",F335&gt;1),IF(TRANSACTIONS!$E335=RAPPORTS!$F$9,0,IF(OR(TRANSACTIONS!$D335=RAPPORTS!$A$13,TRANSACTIONS!$D335=RAPPORTS!#REF!),VLOOKUP(TRANSACTIONS!$F335,FRAIS_D_ENVOI,3,TRUE),0)),"")</f>
        <v/>
      </c>
      <c r="H335" s="46" t="str">
        <f>IFERROR(TRANSACTIONS!$F335+TRANSACTIONS!$G335,"")</f>
        <v/>
      </c>
      <c r="I335" s="44"/>
      <c r="J335" s="40" t="str">
        <f t="shared" si="5"/>
        <v/>
      </c>
    </row>
    <row r="336" spans="1:10" hidden="1" x14ac:dyDescent="0.25">
      <c r="A336" s="41"/>
      <c r="B336" s="48" t="str">
        <f>IF(A336&lt;&gt;"",DATE(YEAR(TRANSACTIONS!$A336),MONTH(TRANSACTIONS!$A336),DAY(TRANSACTIONS!$A336)),"")</f>
        <v/>
      </c>
      <c r="C336" s="49" t="str">
        <f>IF(A336&lt;&gt;"",TIME(HOUR(TRANSACTIONS!$A336),MINUTE(TRANSACTIONS!$A336),SECOND(TRANSACTIONS!$A336)),"")</f>
        <v/>
      </c>
      <c r="D336" s="42"/>
      <c r="E336" s="42"/>
      <c r="F336" s="43"/>
      <c r="G336" s="46" t="str">
        <f>IF(AND(A336&lt;&gt;"",F336&gt;1),IF(TRANSACTIONS!$E336=RAPPORTS!$F$9,0,IF(OR(TRANSACTIONS!$D336=RAPPORTS!$A$13,TRANSACTIONS!$D336=RAPPORTS!#REF!),VLOOKUP(TRANSACTIONS!$F336,FRAIS_D_ENVOI,3,TRUE),0)),"")</f>
        <v/>
      </c>
      <c r="H336" s="46" t="str">
        <f>IFERROR(TRANSACTIONS!$F336+TRANSACTIONS!$G336,"")</f>
        <v/>
      </c>
      <c r="I336" s="44"/>
      <c r="J336" s="40" t="str">
        <f t="shared" si="5"/>
        <v/>
      </c>
    </row>
    <row r="337" spans="1:10" hidden="1" x14ac:dyDescent="0.25">
      <c r="A337" s="41"/>
      <c r="B337" s="48" t="str">
        <f>IF(A337&lt;&gt;"",DATE(YEAR(TRANSACTIONS!$A337),MONTH(TRANSACTIONS!$A337),DAY(TRANSACTIONS!$A337)),"")</f>
        <v/>
      </c>
      <c r="C337" s="49" t="str">
        <f>IF(A337&lt;&gt;"",TIME(HOUR(TRANSACTIONS!$A337),MINUTE(TRANSACTIONS!$A337),SECOND(TRANSACTIONS!$A337)),"")</f>
        <v/>
      </c>
      <c r="D337" s="42"/>
      <c r="E337" s="42"/>
      <c r="F337" s="43"/>
      <c r="G337" s="46" t="str">
        <f>IF(AND(A337&lt;&gt;"",F337&gt;1),IF(TRANSACTIONS!$E337=RAPPORTS!$F$9,0,IF(OR(TRANSACTIONS!$D337=RAPPORTS!$A$13,TRANSACTIONS!$D337=RAPPORTS!#REF!),VLOOKUP(TRANSACTIONS!$F337,FRAIS_D_ENVOI,3,TRUE),0)),"")</f>
        <v/>
      </c>
      <c r="H337" s="46" t="str">
        <f>IFERROR(TRANSACTIONS!$F337+TRANSACTIONS!$G337,"")</f>
        <v/>
      </c>
      <c r="I337" s="44"/>
      <c r="J337" s="40" t="str">
        <f t="shared" si="5"/>
        <v/>
      </c>
    </row>
    <row r="338" spans="1:10" hidden="1" x14ac:dyDescent="0.25">
      <c r="A338" s="41"/>
      <c r="B338" s="48" t="str">
        <f>IF(A338&lt;&gt;"",DATE(YEAR(TRANSACTIONS!$A338),MONTH(TRANSACTIONS!$A338),DAY(TRANSACTIONS!$A338)),"")</f>
        <v/>
      </c>
      <c r="C338" s="49" t="str">
        <f>IF(A338&lt;&gt;"",TIME(HOUR(TRANSACTIONS!$A338),MINUTE(TRANSACTIONS!$A338),SECOND(TRANSACTIONS!$A338)),"")</f>
        <v/>
      </c>
      <c r="D338" s="42"/>
      <c r="E338" s="42"/>
      <c r="F338" s="43"/>
      <c r="G338" s="46" t="str">
        <f>IF(AND(A338&lt;&gt;"",F338&gt;1),IF(TRANSACTIONS!$E338=RAPPORTS!$F$9,0,IF(OR(TRANSACTIONS!$D338=RAPPORTS!$A$13,TRANSACTIONS!$D338=RAPPORTS!#REF!),VLOOKUP(TRANSACTIONS!$F338,FRAIS_D_ENVOI,3,TRUE),0)),"")</f>
        <v/>
      </c>
      <c r="H338" s="46" t="str">
        <f>IFERROR(TRANSACTIONS!$F338+TRANSACTIONS!$G338,"")</f>
        <v/>
      </c>
      <c r="I338" s="44"/>
      <c r="J338" s="40" t="str">
        <f t="shared" si="5"/>
        <v/>
      </c>
    </row>
    <row r="339" spans="1:10" hidden="1" x14ac:dyDescent="0.25">
      <c r="A339" s="41"/>
      <c r="B339" s="48" t="str">
        <f>IF(A339&lt;&gt;"",DATE(YEAR(TRANSACTIONS!$A339),MONTH(TRANSACTIONS!$A339),DAY(TRANSACTIONS!$A339)),"")</f>
        <v/>
      </c>
      <c r="C339" s="49" t="str">
        <f>IF(A339&lt;&gt;"",TIME(HOUR(TRANSACTIONS!$A339),MINUTE(TRANSACTIONS!$A339),SECOND(TRANSACTIONS!$A339)),"")</f>
        <v/>
      </c>
      <c r="D339" s="42"/>
      <c r="E339" s="42"/>
      <c r="F339" s="43"/>
      <c r="G339" s="46" t="str">
        <f>IF(AND(A339&lt;&gt;"",F339&gt;1),IF(TRANSACTIONS!$E339=RAPPORTS!$F$9,0,IF(OR(TRANSACTIONS!$D339=RAPPORTS!$A$13,TRANSACTIONS!$D339=RAPPORTS!#REF!),VLOOKUP(TRANSACTIONS!$F339,FRAIS_D_ENVOI,3,TRUE),0)),"")</f>
        <v/>
      </c>
      <c r="H339" s="46" t="str">
        <f>IFERROR(TRANSACTIONS!$F339+TRANSACTIONS!$G339,"")</f>
        <v/>
      </c>
      <c r="I339" s="44"/>
      <c r="J339" s="40" t="str">
        <f t="shared" si="5"/>
        <v/>
      </c>
    </row>
    <row r="340" spans="1:10" hidden="1" x14ac:dyDescent="0.25">
      <c r="A340" s="41"/>
      <c r="B340" s="48" t="str">
        <f>IF(A340&lt;&gt;"",DATE(YEAR(TRANSACTIONS!$A340),MONTH(TRANSACTIONS!$A340),DAY(TRANSACTIONS!$A340)),"")</f>
        <v/>
      </c>
      <c r="C340" s="49" t="str">
        <f>IF(A340&lt;&gt;"",TIME(HOUR(TRANSACTIONS!$A340),MINUTE(TRANSACTIONS!$A340),SECOND(TRANSACTIONS!$A340)),"")</f>
        <v/>
      </c>
      <c r="D340" s="42"/>
      <c r="E340" s="42"/>
      <c r="F340" s="43"/>
      <c r="G340" s="46" t="str">
        <f>IF(AND(A340&lt;&gt;"",F340&gt;1),IF(TRANSACTIONS!$E340=RAPPORTS!$F$9,0,IF(OR(TRANSACTIONS!$D340=RAPPORTS!$A$13,TRANSACTIONS!$D340=RAPPORTS!#REF!),VLOOKUP(TRANSACTIONS!$F340,FRAIS_D_ENVOI,3,TRUE),0)),"")</f>
        <v/>
      </c>
      <c r="H340" s="46" t="str">
        <f>IFERROR(TRANSACTIONS!$F340+TRANSACTIONS!$G340,"")</f>
        <v/>
      </c>
      <c r="I340" s="44"/>
      <c r="J340" s="40" t="str">
        <f t="shared" si="5"/>
        <v/>
      </c>
    </row>
    <row r="341" spans="1:10" hidden="1" x14ac:dyDescent="0.25">
      <c r="A341" s="41"/>
      <c r="B341" s="48" t="str">
        <f>IF(A341&lt;&gt;"",DATE(YEAR(TRANSACTIONS!$A341),MONTH(TRANSACTIONS!$A341),DAY(TRANSACTIONS!$A341)),"")</f>
        <v/>
      </c>
      <c r="C341" s="49" t="str">
        <f>IF(A341&lt;&gt;"",TIME(HOUR(TRANSACTIONS!$A341),MINUTE(TRANSACTIONS!$A341),SECOND(TRANSACTIONS!$A341)),"")</f>
        <v/>
      </c>
      <c r="D341" s="42"/>
      <c r="E341" s="42"/>
      <c r="F341" s="43"/>
      <c r="G341" s="46" t="str">
        <f>IF(AND(A341&lt;&gt;"",F341&gt;1),IF(TRANSACTIONS!$E341=RAPPORTS!$F$9,0,IF(OR(TRANSACTIONS!$D341=RAPPORTS!$A$13,TRANSACTIONS!$D341=RAPPORTS!#REF!),VLOOKUP(TRANSACTIONS!$F341,FRAIS_D_ENVOI,3,TRUE),0)),"")</f>
        <v/>
      </c>
      <c r="H341" s="46" t="str">
        <f>IFERROR(TRANSACTIONS!$F341+TRANSACTIONS!$G341,"")</f>
        <v/>
      </c>
      <c r="I341" s="44"/>
      <c r="J341" s="40" t="str">
        <f t="shared" si="5"/>
        <v/>
      </c>
    </row>
    <row r="342" spans="1:10" hidden="1" x14ac:dyDescent="0.25">
      <c r="A342" s="41"/>
      <c r="B342" s="48" t="str">
        <f>IF(A342&lt;&gt;"",DATE(YEAR(TRANSACTIONS!$A342),MONTH(TRANSACTIONS!$A342),DAY(TRANSACTIONS!$A342)),"")</f>
        <v/>
      </c>
      <c r="C342" s="49" t="str">
        <f>IF(A342&lt;&gt;"",TIME(HOUR(TRANSACTIONS!$A342),MINUTE(TRANSACTIONS!$A342),SECOND(TRANSACTIONS!$A342)),"")</f>
        <v/>
      </c>
      <c r="D342" s="42"/>
      <c r="E342" s="42"/>
      <c r="F342" s="43"/>
      <c r="G342" s="46" t="str">
        <f>IF(AND(A342&lt;&gt;"",F342&gt;1),IF(TRANSACTIONS!$E342=RAPPORTS!$F$9,0,IF(OR(TRANSACTIONS!$D342=RAPPORTS!$A$13,TRANSACTIONS!$D342=RAPPORTS!#REF!),VLOOKUP(TRANSACTIONS!$F342,FRAIS_D_ENVOI,3,TRUE),0)),"")</f>
        <v/>
      </c>
      <c r="H342" s="46" t="str">
        <f>IFERROR(TRANSACTIONS!$F342+TRANSACTIONS!$G342,"")</f>
        <v/>
      </c>
      <c r="I342" s="44"/>
      <c r="J342" s="40" t="str">
        <f t="shared" si="5"/>
        <v/>
      </c>
    </row>
    <row r="343" spans="1:10" hidden="1" x14ac:dyDescent="0.25">
      <c r="A343" s="41"/>
      <c r="B343" s="48" t="str">
        <f>IF(A343&lt;&gt;"",DATE(YEAR(TRANSACTIONS!$A343),MONTH(TRANSACTIONS!$A343),DAY(TRANSACTIONS!$A343)),"")</f>
        <v/>
      </c>
      <c r="C343" s="49" t="str">
        <f>IF(A343&lt;&gt;"",TIME(HOUR(TRANSACTIONS!$A343),MINUTE(TRANSACTIONS!$A343),SECOND(TRANSACTIONS!$A343)),"")</f>
        <v/>
      </c>
      <c r="D343" s="42"/>
      <c r="E343" s="42"/>
      <c r="F343" s="43"/>
      <c r="G343" s="46" t="str">
        <f>IF(AND(A343&lt;&gt;"",F343&gt;1),IF(TRANSACTIONS!$E343=RAPPORTS!$F$9,0,IF(OR(TRANSACTIONS!$D343=RAPPORTS!$A$13,TRANSACTIONS!$D343=RAPPORTS!#REF!),VLOOKUP(TRANSACTIONS!$F343,FRAIS_D_ENVOI,3,TRUE),0)),"")</f>
        <v/>
      </c>
      <c r="H343" s="46" t="str">
        <f>IFERROR(TRANSACTIONS!$F343+TRANSACTIONS!$G343,"")</f>
        <v/>
      </c>
      <c r="I343" s="44"/>
      <c r="J343" s="40" t="str">
        <f t="shared" si="5"/>
        <v/>
      </c>
    </row>
    <row r="344" spans="1:10" hidden="1" x14ac:dyDescent="0.25">
      <c r="A344" s="41"/>
      <c r="B344" s="48" t="str">
        <f>IF(A344&lt;&gt;"",DATE(YEAR(TRANSACTIONS!$A344),MONTH(TRANSACTIONS!$A344),DAY(TRANSACTIONS!$A344)),"")</f>
        <v/>
      </c>
      <c r="C344" s="49" t="str">
        <f>IF(A344&lt;&gt;"",TIME(HOUR(TRANSACTIONS!$A344),MINUTE(TRANSACTIONS!$A344),SECOND(TRANSACTIONS!$A344)),"")</f>
        <v/>
      </c>
      <c r="D344" s="42"/>
      <c r="E344" s="42"/>
      <c r="F344" s="43"/>
      <c r="G344" s="46" t="str">
        <f>IF(AND(A344&lt;&gt;"",F344&gt;1),IF(TRANSACTIONS!$E344=RAPPORTS!$F$9,0,IF(OR(TRANSACTIONS!$D344=RAPPORTS!$A$13,TRANSACTIONS!$D344=RAPPORTS!#REF!),VLOOKUP(TRANSACTIONS!$F344,FRAIS_D_ENVOI,3,TRUE),0)),"")</f>
        <v/>
      </c>
      <c r="H344" s="46" t="str">
        <f>IFERROR(TRANSACTIONS!$F344+TRANSACTIONS!$G344,"")</f>
        <v/>
      </c>
      <c r="I344" s="44"/>
      <c r="J344" s="40" t="str">
        <f t="shared" si="5"/>
        <v/>
      </c>
    </row>
    <row r="345" spans="1:10" hidden="1" x14ac:dyDescent="0.25">
      <c r="A345" s="41"/>
      <c r="B345" s="48" t="str">
        <f>IF(A345&lt;&gt;"",DATE(YEAR(TRANSACTIONS!$A345),MONTH(TRANSACTIONS!$A345),DAY(TRANSACTIONS!$A345)),"")</f>
        <v/>
      </c>
      <c r="C345" s="49" t="str">
        <f>IF(A345&lt;&gt;"",TIME(HOUR(TRANSACTIONS!$A345),MINUTE(TRANSACTIONS!$A345),SECOND(TRANSACTIONS!$A345)),"")</f>
        <v/>
      </c>
      <c r="D345" s="42"/>
      <c r="E345" s="42"/>
      <c r="F345" s="43"/>
      <c r="G345" s="46" t="str">
        <f>IF(AND(A345&lt;&gt;"",F345&gt;1),IF(TRANSACTIONS!$E345=RAPPORTS!$F$9,0,IF(OR(TRANSACTIONS!$D345=RAPPORTS!$A$13,TRANSACTIONS!$D345=RAPPORTS!#REF!),VLOOKUP(TRANSACTIONS!$F345,FRAIS_D_ENVOI,3,TRUE),0)),"")</f>
        <v/>
      </c>
      <c r="H345" s="46" t="str">
        <f>IFERROR(TRANSACTIONS!$F345+TRANSACTIONS!$G345,"")</f>
        <v/>
      </c>
      <c r="I345" s="44"/>
      <c r="J345" s="40" t="str">
        <f t="shared" si="5"/>
        <v/>
      </c>
    </row>
    <row r="346" spans="1:10" hidden="1" x14ac:dyDescent="0.25">
      <c r="A346" s="41"/>
      <c r="B346" s="48" t="str">
        <f>IF(A346&lt;&gt;"",DATE(YEAR(TRANSACTIONS!$A346),MONTH(TRANSACTIONS!$A346),DAY(TRANSACTIONS!$A346)),"")</f>
        <v/>
      </c>
      <c r="C346" s="49" t="str">
        <f>IF(A346&lt;&gt;"",TIME(HOUR(TRANSACTIONS!$A346),MINUTE(TRANSACTIONS!$A346),SECOND(TRANSACTIONS!$A346)),"")</f>
        <v/>
      </c>
      <c r="D346" s="42"/>
      <c r="E346" s="42"/>
      <c r="F346" s="43"/>
      <c r="G346" s="46" t="str">
        <f>IF(AND(A346&lt;&gt;"",F346&gt;1),IF(TRANSACTIONS!$E346=RAPPORTS!$F$9,0,IF(OR(TRANSACTIONS!$D346=RAPPORTS!$A$13,TRANSACTIONS!$D346=RAPPORTS!#REF!),VLOOKUP(TRANSACTIONS!$F346,FRAIS_D_ENVOI,3,TRUE),0)),"")</f>
        <v/>
      </c>
      <c r="H346" s="46" t="str">
        <f>IFERROR(TRANSACTIONS!$F346+TRANSACTIONS!$G346,"")</f>
        <v/>
      </c>
      <c r="I346" s="44"/>
      <c r="J346" s="40" t="str">
        <f t="shared" si="5"/>
        <v/>
      </c>
    </row>
    <row r="347" spans="1:10" hidden="1" x14ac:dyDescent="0.25">
      <c r="A347" s="41"/>
      <c r="B347" s="48" t="str">
        <f>IF(A347&lt;&gt;"",DATE(YEAR(TRANSACTIONS!$A347),MONTH(TRANSACTIONS!$A347),DAY(TRANSACTIONS!$A347)),"")</f>
        <v/>
      </c>
      <c r="C347" s="49" t="str">
        <f>IF(A347&lt;&gt;"",TIME(HOUR(TRANSACTIONS!$A347),MINUTE(TRANSACTIONS!$A347),SECOND(TRANSACTIONS!$A347)),"")</f>
        <v/>
      </c>
      <c r="D347" s="42"/>
      <c r="E347" s="42"/>
      <c r="F347" s="43"/>
      <c r="G347" s="46" t="str">
        <f>IF(AND(A347&lt;&gt;"",F347&gt;1),IF(TRANSACTIONS!$E347=RAPPORTS!$F$9,0,IF(OR(TRANSACTIONS!$D347=RAPPORTS!$A$13,TRANSACTIONS!$D347=RAPPORTS!#REF!),VLOOKUP(TRANSACTIONS!$F347,FRAIS_D_ENVOI,3,TRUE),0)),"")</f>
        <v/>
      </c>
      <c r="H347" s="46" t="str">
        <f>IFERROR(TRANSACTIONS!$F347+TRANSACTIONS!$G347,"")</f>
        <v/>
      </c>
      <c r="I347" s="44"/>
      <c r="J347" s="40" t="str">
        <f t="shared" si="5"/>
        <v/>
      </c>
    </row>
    <row r="348" spans="1:10" hidden="1" x14ac:dyDescent="0.25">
      <c r="A348" s="41"/>
      <c r="B348" s="48" t="str">
        <f>IF(A348&lt;&gt;"",DATE(YEAR(TRANSACTIONS!$A348),MONTH(TRANSACTIONS!$A348),DAY(TRANSACTIONS!$A348)),"")</f>
        <v/>
      </c>
      <c r="C348" s="49" t="str">
        <f>IF(A348&lt;&gt;"",TIME(HOUR(TRANSACTIONS!$A348),MINUTE(TRANSACTIONS!$A348),SECOND(TRANSACTIONS!$A348)),"")</f>
        <v/>
      </c>
      <c r="D348" s="42"/>
      <c r="E348" s="42"/>
      <c r="F348" s="43"/>
      <c r="G348" s="46" t="str">
        <f>IF(AND(A348&lt;&gt;"",F348&gt;1),IF(TRANSACTIONS!$E348=RAPPORTS!$F$9,0,IF(OR(TRANSACTIONS!$D348=RAPPORTS!$A$13,TRANSACTIONS!$D348=RAPPORTS!#REF!),VLOOKUP(TRANSACTIONS!$F348,FRAIS_D_ENVOI,3,TRUE),0)),"")</f>
        <v/>
      </c>
      <c r="H348" s="46" t="str">
        <f>IFERROR(TRANSACTIONS!$F348+TRANSACTIONS!$G348,"")</f>
        <v/>
      </c>
      <c r="I348" s="44"/>
      <c r="J348" s="40" t="str">
        <f t="shared" si="5"/>
        <v/>
      </c>
    </row>
    <row r="349" spans="1:10" hidden="1" x14ac:dyDescent="0.25">
      <c r="A349" s="41"/>
      <c r="B349" s="48" t="str">
        <f>IF(A349&lt;&gt;"",DATE(YEAR(TRANSACTIONS!$A349),MONTH(TRANSACTIONS!$A349),DAY(TRANSACTIONS!$A349)),"")</f>
        <v/>
      </c>
      <c r="C349" s="49" t="str">
        <f>IF(A349&lt;&gt;"",TIME(HOUR(TRANSACTIONS!$A349),MINUTE(TRANSACTIONS!$A349),SECOND(TRANSACTIONS!$A349)),"")</f>
        <v/>
      </c>
      <c r="D349" s="42"/>
      <c r="E349" s="42"/>
      <c r="F349" s="43"/>
      <c r="G349" s="46" t="str">
        <f>IF(AND(A349&lt;&gt;"",F349&gt;1),IF(TRANSACTIONS!$E349=RAPPORTS!$F$9,0,IF(OR(TRANSACTIONS!$D349=RAPPORTS!$A$13,TRANSACTIONS!$D349=RAPPORTS!#REF!),VLOOKUP(TRANSACTIONS!$F349,FRAIS_D_ENVOI,3,TRUE),0)),"")</f>
        <v/>
      </c>
      <c r="H349" s="46" t="str">
        <f>IFERROR(TRANSACTIONS!$F349+TRANSACTIONS!$G349,"")</f>
        <v/>
      </c>
      <c r="I349" s="44"/>
      <c r="J349" s="40" t="str">
        <f t="shared" si="5"/>
        <v/>
      </c>
    </row>
    <row r="350" spans="1:10" hidden="1" x14ac:dyDescent="0.25">
      <c r="A350" s="41"/>
      <c r="B350" s="48" t="str">
        <f>IF(A350&lt;&gt;"",DATE(YEAR(TRANSACTIONS!$A350),MONTH(TRANSACTIONS!$A350),DAY(TRANSACTIONS!$A350)),"")</f>
        <v/>
      </c>
      <c r="C350" s="49" t="str">
        <f>IF(A350&lt;&gt;"",TIME(HOUR(TRANSACTIONS!$A350),MINUTE(TRANSACTIONS!$A350),SECOND(TRANSACTIONS!$A350)),"")</f>
        <v/>
      </c>
      <c r="D350" s="42"/>
      <c r="E350" s="42"/>
      <c r="F350" s="43"/>
      <c r="G350" s="46" t="str">
        <f>IF(AND(A350&lt;&gt;"",F350&gt;1),IF(TRANSACTIONS!$E350=RAPPORTS!$F$9,0,IF(OR(TRANSACTIONS!$D350=RAPPORTS!$A$13,TRANSACTIONS!$D350=RAPPORTS!#REF!),VLOOKUP(TRANSACTIONS!$F350,FRAIS_D_ENVOI,3,TRUE),0)),"")</f>
        <v/>
      </c>
      <c r="H350" s="46" t="str">
        <f>IFERROR(TRANSACTIONS!$F350+TRANSACTIONS!$G350,"")</f>
        <v/>
      </c>
      <c r="I350" s="44"/>
      <c r="J350" s="40" t="str">
        <f t="shared" si="5"/>
        <v/>
      </c>
    </row>
    <row r="351" spans="1:10" hidden="1" x14ac:dyDescent="0.25">
      <c r="A351" s="41"/>
      <c r="B351" s="48" t="str">
        <f>IF(A351&lt;&gt;"",DATE(YEAR(TRANSACTIONS!$A351),MONTH(TRANSACTIONS!$A351),DAY(TRANSACTIONS!$A351)),"")</f>
        <v/>
      </c>
      <c r="C351" s="49" t="str">
        <f>IF(A351&lt;&gt;"",TIME(HOUR(TRANSACTIONS!$A351),MINUTE(TRANSACTIONS!$A351),SECOND(TRANSACTIONS!$A351)),"")</f>
        <v/>
      </c>
      <c r="D351" s="42"/>
      <c r="E351" s="42"/>
      <c r="F351" s="43"/>
      <c r="G351" s="46" t="str">
        <f>IF(AND(A351&lt;&gt;"",F351&gt;1),IF(TRANSACTIONS!$E351=RAPPORTS!$F$9,0,IF(OR(TRANSACTIONS!$D351=RAPPORTS!$A$13,TRANSACTIONS!$D351=RAPPORTS!#REF!),VLOOKUP(TRANSACTIONS!$F351,FRAIS_D_ENVOI,3,TRUE),0)),"")</f>
        <v/>
      </c>
      <c r="H351" s="46" t="str">
        <f>IFERROR(TRANSACTIONS!$F351+TRANSACTIONS!$G351,"")</f>
        <v/>
      </c>
      <c r="I351" s="44"/>
      <c r="J351" s="40" t="str">
        <f t="shared" si="5"/>
        <v/>
      </c>
    </row>
    <row r="352" spans="1:10" hidden="1" x14ac:dyDescent="0.25">
      <c r="A352" s="41"/>
      <c r="B352" s="48" t="str">
        <f>IF(A352&lt;&gt;"",DATE(YEAR(TRANSACTIONS!$A352),MONTH(TRANSACTIONS!$A352),DAY(TRANSACTIONS!$A352)),"")</f>
        <v/>
      </c>
      <c r="C352" s="49" t="str">
        <f>IF(A352&lt;&gt;"",TIME(HOUR(TRANSACTIONS!$A352),MINUTE(TRANSACTIONS!$A352),SECOND(TRANSACTIONS!$A352)),"")</f>
        <v/>
      </c>
      <c r="D352" s="42"/>
      <c r="E352" s="42"/>
      <c r="F352" s="43"/>
      <c r="G352" s="46" t="str">
        <f>IF(AND(A352&lt;&gt;"",F352&gt;1),IF(TRANSACTIONS!$E352=RAPPORTS!$F$9,0,IF(OR(TRANSACTIONS!$D352=RAPPORTS!$A$13,TRANSACTIONS!$D352=RAPPORTS!#REF!),VLOOKUP(TRANSACTIONS!$F352,FRAIS_D_ENVOI,3,TRUE),0)),"")</f>
        <v/>
      </c>
      <c r="H352" s="46" t="str">
        <f>IFERROR(TRANSACTIONS!$F352+TRANSACTIONS!$G352,"")</f>
        <v/>
      </c>
      <c r="I352" s="44"/>
      <c r="J352" s="40" t="str">
        <f t="shared" si="5"/>
        <v/>
      </c>
    </row>
    <row r="353" spans="1:10" hidden="1" x14ac:dyDescent="0.25">
      <c r="A353" s="41"/>
      <c r="B353" s="48" t="str">
        <f>IF(A353&lt;&gt;"",DATE(YEAR(TRANSACTIONS!$A353),MONTH(TRANSACTIONS!$A353),DAY(TRANSACTIONS!$A353)),"")</f>
        <v/>
      </c>
      <c r="C353" s="49" t="str">
        <f>IF(A353&lt;&gt;"",TIME(HOUR(TRANSACTIONS!$A353),MINUTE(TRANSACTIONS!$A353),SECOND(TRANSACTIONS!$A353)),"")</f>
        <v/>
      </c>
      <c r="D353" s="42"/>
      <c r="E353" s="42"/>
      <c r="F353" s="43"/>
      <c r="G353" s="46" t="str">
        <f>IF(AND(A353&lt;&gt;"",F353&gt;1),IF(TRANSACTIONS!$E353=RAPPORTS!$F$9,0,IF(OR(TRANSACTIONS!$D353=RAPPORTS!$A$13,TRANSACTIONS!$D353=RAPPORTS!#REF!),VLOOKUP(TRANSACTIONS!$F353,FRAIS_D_ENVOI,3,TRUE),0)),"")</f>
        <v/>
      </c>
      <c r="H353" s="46" t="str">
        <f>IFERROR(TRANSACTIONS!$F353+TRANSACTIONS!$G353,"")</f>
        <v/>
      </c>
      <c r="I353" s="44"/>
      <c r="J353" s="40" t="str">
        <f t="shared" si="5"/>
        <v/>
      </c>
    </row>
    <row r="354" spans="1:10" hidden="1" x14ac:dyDescent="0.25">
      <c r="A354" s="41"/>
      <c r="B354" s="48" t="str">
        <f>IF(A354&lt;&gt;"",DATE(YEAR(TRANSACTIONS!$A354),MONTH(TRANSACTIONS!$A354),DAY(TRANSACTIONS!$A354)),"")</f>
        <v/>
      </c>
      <c r="C354" s="49" t="str">
        <f>IF(A354&lt;&gt;"",TIME(HOUR(TRANSACTIONS!$A354),MINUTE(TRANSACTIONS!$A354),SECOND(TRANSACTIONS!$A354)),"")</f>
        <v/>
      </c>
      <c r="D354" s="42"/>
      <c r="E354" s="42"/>
      <c r="F354" s="43"/>
      <c r="G354" s="46" t="str">
        <f>IF(AND(A354&lt;&gt;"",F354&gt;1),IF(TRANSACTIONS!$E354=RAPPORTS!$F$9,0,IF(OR(TRANSACTIONS!$D354=RAPPORTS!$A$13,TRANSACTIONS!$D354=RAPPORTS!#REF!),VLOOKUP(TRANSACTIONS!$F354,FRAIS_D_ENVOI,3,TRUE),0)),"")</f>
        <v/>
      </c>
      <c r="H354" s="46" t="str">
        <f>IFERROR(TRANSACTIONS!$F354+TRANSACTIONS!$G354,"")</f>
        <v/>
      </c>
      <c r="I354" s="44"/>
      <c r="J354" s="40" t="str">
        <f t="shared" si="5"/>
        <v/>
      </c>
    </row>
    <row r="355" spans="1:10" hidden="1" x14ac:dyDescent="0.25">
      <c r="A355" s="41"/>
      <c r="B355" s="48" t="str">
        <f>IF(A355&lt;&gt;"",DATE(YEAR(TRANSACTIONS!$A355),MONTH(TRANSACTIONS!$A355),DAY(TRANSACTIONS!$A355)),"")</f>
        <v/>
      </c>
      <c r="C355" s="49" t="str">
        <f>IF(A355&lt;&gt;"",TIME(HOUR(TRANSACTIONS!$A355),MINUTE(TRANSACTIONS!$A355),SECOND(TRANSACTIONS!$A355)),"")</f>
        <v/>
      </c>
      <c r="D355" s="42"/>
      <c r="E355" s="42"/>
      <c r="F355" s="43"/>
      <c r="G355" s="46" t="str">
        <f>IF(AND(A355&lt;&gt;"",F355&gt;1),IF(TRANSACTIONS!$E355=RAPPORTS!$F$9,0,IF(OR(TRANSACTIONS!$D355=RAPPORTS!$A$13,TRANSACTIONS!$D355=RAPPORTS!#REF!),VLOOKUP(TRANSACTIONS!$F355,FRAIS_D_ENVOI,3,TRUE),0)),"")</f>
        <v/>
      </c>
      <c r="H355" s="46" t="str">
        <f>IFERROR(TRANSACTIONS!$F355+TRANSACTIONS!$G355,"")</f>
        <v/>
      </c>
      <c r="I355" s="44"/>
      <c r="J355" s="40" t="str">
        <f t="shared" si="5"/>
        <v/>
      </c>
    </row>
    <row r="356" spans="1:10" hidden="1" x14ac:dyDescent="0.25">
      <c r="A356" s="41"/>
      <c r="B356" s="48" t="str">
        <f>IF(A356&lt;&gt;"",DATE(YEAR(TRANSACTIONS!$A356),MONTH(TRANSACTIONS!$A356),DAY(TRANSACTIONS!$A356)),"")</f>
        <v/>
      </c>
      <c r="C356" s="49" t="str">
        <f>IF(A356&lt;&gt;"",TIME(HOUR(TRANSACTIONS!$A356),MINUTE(TRANSACTIONS!$A356),SECOND(TRANSACTIONS!$A356)),"")</f>
        <v/>
      </c>
      <c r="D356" s="42"/>
      <c r="E356" s="42"/>
      <c r="F356" s="43"/>
      <c r="G356" s="46" t="str">
        <f>IF(AND(A356&lt;&gt;"",F356&gt;1),IF(TRANSACTIONS!$E356=RAPPORTS!$F$9,0,IF(OR(TRANSACTIONS!$D356=RAPPORTS!$A$13,TRANSACTIONS!$D356=RAPPORTS!#REF!),VLOOKUP(TRANSACTIONS!$F356,FRAIS_D_ENVOI,3,TRUE),0)),"")</f>
        <v/>
      </c>
      <c r="H356" s="46" t="str">
        <f>IFERROR(TRANSACTIONS!$F356+TRANSACTIONS!$G356,"")</f>
        <v/>
      </c>
      <c r="I356" s="44"/>
      <c r="J356" s="40" t="str">
        <f t="shared" si="5"/>
        <v/>
      </c>
    </row>
    <row r="357" spans="1:10" hidden="1" x14ac:dyDescent="0.25">
      <c r="A357" s="41"/>
      <c r="B357" s="48" t="str">
        <f>IF(A357&lt;&gt;"",DATE(YEAR(TRANSACTIONS!$A357),MONTH(TRANSACTIONS!$A357),DAY(TRANSACTIONS!$A357)),"")</f>
        <v/>
      </c>
      <c r="C357" s="49" t="str">
        <f>IF(A357&lt;&gt;"",TIME(HOUR(TRANSACTIONS!$A357),MINUTE(TRANSACTIONS!$A357),SECOND(TRANSACTIONS!$A357)),"")</f>
        <v/>
      </c>
      <c r="D357" s="42"/>
      <c r="E357" s="42"/>
      <c r="F357" s="43"/>
      <c r="G357" s="46" t="str">
        <f>IF(AND(A357&lt;&gt;"",F357&gt;1),IF(TRANSACTIONS!$E357=RAPPORTS!$F$9,0,IF(OR(TRANSACTIONS!$D357=RAPPORTS!$A$13,TRANSACTIONS!$D357=RAPPORTS!#REF!),VLOOKUP(TRANSACTIONS!$F357,FRAIS_D_ENVOI,3,TRUE),0)),"")</f>
        <v/>
      </c>
      <c r="H357" s="46" t="str">
        <f>IFERROR(TRANSACTIONS!$F357+TRANSACTIONS!$G357,"")</f>
        <v/>
      </c>
      <c r="I357" s="44"/>
      <c r="J357" s="40" t="str">
        <f t="shared" si="5"/>
        <v/>
      </c>
    </row>
    <row r="358" spans="1:10" hidden="1" x14ac:dyDescent="0.25">
      <c r="A358" s="41"/>
      <c r="B358" s="48" t="str">
        <f>IF(A358&lt;&gt;"",DATE(YEAR(TRANSACTIONS!$A358),MONTH(TRANSACTIONS!$A358),DAY(TRANSACTIONS!$A358)),"")</f>
        <v/>
      </c>
      <c r="C358" s="49" t="str">
        <f>IF(A358&lt;&gt;"",TIME(HOUR(TRANSACTIONS!$A358),MINUTE(TRANSACTIONS!$A358),SECOND(TRANSACTIONS!$A358)),"")</f>
        <v/>
      </c>
      <c r="D358" s="42"/>
      <c r="E358" s="42"/>
      <c r="F358" s="43"/>
      <c r="G358" s="46" t="str">
        <f>IF(AND(A358&lt;&gt;"",F358&gt;1),IF(TRANSACTIONS!$E358=RAPPORTS!$F$9,0,IF(OR(TRANSACTIONS!$D358=RAPPORTS!$A$13,TRANSACTIONS!$D358=RAPPORTS!#REF!),VLOOKUP(TRANSACTIONS!$F358,FRAIS_D_ENVOI,3,TRUE),0)),"")</f>
        <v/>
      </c>
      <c r="H358" s="46" t="str">
        <f>IFERROR(TRANSACTIONS!$F358+TRANSACTIONS!$G358,"")</f>
        <v/>
      </c>
      <c r="I358" s="44"/>
      <c r="J358" s="40" t="str">
        <f t="shared" si="5"/>
        <v/>
      </c>
    </row>
    <row r="359" spans="1:10" hidden="1" x14ac:dyDescent="0.25">
      <c r="A359" s="41"/>
      <c r="B359" s="48" t="str">
        <f>IF(A359&lt;&gt;"",DATE(YEAR(TRANSACTIONS!$A359),MONTH(TRANSACTIONS!$A359),DAY(TRANSACTIONS!$A359)),"")</f>
        <v/>
      </c>
      <c r="C359" s="49" t="str">
        <f>IF(A359&lt;&gt;"",TIME(HOUR(TRANSACTIONS!$A359),MINUTE(TRANSACTIONS!$A359),SECOND(TRANSACTIONS!$A359)),"")</f>
        <v/>
      </c>
      <c r="D359" s="42"/>
      <c r="E359" s="42"/>
      <c r="F359" s="43"/>
      <c r="G359" s="46" t="str">
        <f>IF(AND(A359&lt;&gt;"",F359&gt;1),IF(TRANSACTIONS!$E359=RAPPORTS!$F$9,0,IF(OR(TRANSACTIONS!$D359=RAPPORTS!$A$13,TRANSACTIONS!$D359=RAPPORTS!#REF!),VLOOKUP(TRANSACTIONS!$F359,FRAIS_D_ENVOI,3,TRUE),0)),"")</f>
        <v/>
      </c>
      <c r="H359" s="46" t="str">
        <f>IFERROR(TRANSACTIONS!$F359+TRANSACTIONS!$G359,"")</f>
        <v/>
      </c>
      <c r="I359" s="44"/>
      <c r="J359" s="40" t="str">
        <f t="shared" si="5"/>
        <v/>
      </c>
    </row>
    <row r="360" spans="1:10" hidden="1" x14ac:dyDescent="0.25">
      <c r="A360" s="41"/>
      <c r="B360" s="48" t="str">
        <f>IF(A360&lt;&gt;"",DATE(YEAR(TRANSACTIONS!$A360),MONTH(TRANSACTIONS!$A360),DAY(TRANSACTIONS!$A360)),"")</f>
        <v/>
      </c>
      <c r="C360" s="49" t="str">
        <f>IF(A360&lt;&gt;"",TIME(HOUR(TRANSACTIONS!$A360),MINUTE(TRANSACTIONS!$A360),SECOND(TRANSACTIONS!$A360)),"")</f>
        <v/>
      </c>
      <c r="D360" s="42"/>
      <c r="E360" s="42"/>
      <c r="F360" s="43"/>
      <c r="G360" s="46" t="str">
        <f>IF(AND(A360&lt;&gt;"",F360&gt;1),IF(TRANSACTIONS!$E360=RAPPORTS!$F$9,0,IF(OR(TRANSACTIONS!$D360=RAPPORTS!$A$13,TRANSACTIONS!$D360=RAPPORTS!#REF!),VLOOKUP(TRANSACTIONS!$F360,FRAIS_D_ENVOI,3,TRUE),0)),"")</f>
        <v/>
      </c>
      <c r="H360" s="46" t="str">
        <f>IFERROR(TRANSACTIONS!$F360+TRANSACTIONS!$G360,"")</f>
        <v/>
      </c>
      <c r="I360" s="44"/>
      <c r="J360" s="40" t="str">
        <f t="shared" si="5"/>
        <v/>
      </c>
    </row>
    <row r="361" spans="1:10" hidden="1" x14ac:dyDescent="0.25">
      <c r="A361" s="41"/>
      <c r="B361" s="48" t="str">
        <f>IF(A361&lt;&gt;"",DATE(YEAR(TRANSACTIONS!$A361),MONTH(TRANSACTIONS!$A361),DAY(TRANSACTIONS!$A361)),"")</f>
        <v/>
      </c>
      <c r="C361" s="49" t="str">
        <f>IF(A361&lt;&gt;"",TIME(HOUR(TRANSACTIONS!$A361),MINUTE(TRANSACTIONS!$A361),SECOND(TRANSACTIONS!$A361)),"")</f>
        <v/>
      </c>
      <c r="D361" s="42"/>
      <c r="E361" s="42"/>
      <c r="F361" s="43"/>
      <c r="G361" s="46" t="str">
        <f>IF(AND(A361&lt;&gt;"",F361&gt;1),IF(TRANSACTIONS!$E361=RAPPORTS!$F$9,0,IF(OR(TRANSACTIONS!$D361=RAPPORTS!$A$13,TRANSACTIONS!$D361=RAPPORTS!#REF!),VLOOKUP(TRANSACTIONS!$F361,FRAIS_D_ENVOI,3,TRUE),0)),"")</f>
        <v/>
      </c>
      <c r="H361" s="46" t="str">
        <f>IFERROR(TRANSACTIONS!$F361+TRANSACTIONS!$G361,"")</f>
        <v/>
      </c>
      <c r="I361" s="44"/>
      <c r="J361" s="40" t="str">
        <f t="shared" si="5"/>
        <v/>
      </c>
    </row>
    <row r="362" spans="1:10" hidden="1" x14ac:dyDescent="0.25">
      <c r="A362" s="41"/>
      <c r="B362" s="48" t="str">
        <f>IF(A362&lt;&gt;"",DATE(YEAR(TRANSACTIONS!$A362),MONTH(TRANSACTIONS!$A362),DAY(TRANSACTIONS!$A362)),"")</f>
        <v/>
      </c>
      <c r="C362" s="49" t="str">
        <f>IF(A362&lt;&gt;"",TIME(HOUR(TRANSACTIONS!$A362),MINUTE(TRANSACTIONS!$A362),SECOND(TRANSACTIONS!$A362)),"")</f>
        <v/>
      </c>
      <c r="D362" s="42"/>
      <c r="E362" s="42"/>
      <c r="F362" s="43"/>
      <c r="G362" s="46" t="str">
        <f>IF(AND(A362&lt;&gt;"",F362&gt;1),IF(TRANSACTIONS!$E362=RAPPORTS!$F$9,0,IF(OR(TRANSACTIONS!$D362=RAPPORTS!$A$13,TRANSACTIONS!$D362=RAPPORTS!#REF!),VLOOKUP(TRANSACTIONS!$F362,FRAIS_D_ENVOI,3,TRUE),0)),"")</f>
        <v/>
      </c>
      <c r="H362" s="46" t="str">
        <f>IFERROR(TRANSACTIONS!$F362+TRANSACTIONS!$G362,"")</f>
        <v/>
      </c>
      <c r="I362" s="44"/>
      <c r="J362" s="40" t="str">
        <f t="shared" si="5"/>
        <v/>
      </c>
    </row>
    <row r="363" spans="1:10" hidden="1" x14ac:dyDescent="0.25">
      <c r="A363" s="41"/>
      <c r="B363" s="48" t="str">
        <f>IF(A363&lt;&gt;"",DATE(YEAR(TRANSACTIONS!$A363),MONTH(TRANSACTIONS!$A363),DAY(TRANSACTIONS!$A363)),"")</f>
        <v/>
      </c>
      <c r="C363" s="49" t="str">
        <f>IF(A363&lt;&gt;"",TIME(HOUR(TRANSACTIONS!$A363),MINUTE(TRANSACTIONS!$A363),SECOND(TRANSACTIONS!$A363)),"")</f>
        <v/>
      </c>
      <c r="D363" s="42"/>
      <c r="E363" s="42"/>
      <c r="F363" s="43"/>
      <c r="G363" s="46" t="str">
        <f>IF(AND(A363&lt;&gt;"",F363&gt;1),IF(TRANSACTIONS!$E363=RAPPORTS!$F$9,0,IF(OR(TRANSACTIONS!$D363=RAPPORTS!$A$13,TRANSACTIONS!$D363=RAPPORTS!#REF!),VLOOKUP(TRANSACTIONS!$F363,FRAIS_D_ENVOI,3,TRUE),0)),"")</f>
        <v/>
      </c>
      <c r="H363" s="46" t="str">
        <f>IFERROR(TRANSACTIONS!$F363+TRANSACTIONS!$G363,"")</f>
        <v/>
      </c>
      <c r="I363" s="44"/>
      <c r="J363" s="40" t="str">
        <f t="shared" si="5"/>
        <v/>
      </c>
    </row>
    <row r="364" spans="1:10" hidden="1" x14ac:dyDescent="0.25">
      <c r="A364" s="41"/>
      <c r="B364" s="48" t="str">
        <f>IF(A364&lt;&gt;"",DATE(YEAR(TRANSACTIONS!$A364),MONTH(TRANSACTIONS!$A364),DAY(TRANSACTIONS!$A364)),"")</f>
        <v/>
      </c>
      <c r="C364" s="49" t="str">
        <f>IF(A364&lt;&gt;"",TIME(HOUR(TRANSACTIONS!$A364),MINUTE(TRANSACTIONS!$A364),SECOND(TRANSACTIONS!$A364)),"")</f>
        <v/>
      </c>
      <c r="D364" s="42"/>
      <c r="E364" s="42"/>
      <c r="F364" s="43"/>
      <c r="G364" s="46" t="str">
        <f>IF(AND(A364&lt;&gt;"",F364&gt;1),IF(TRANSACTIONS!$E364=RAPPORTS!$F$9,0,IF(OR(TRANSACTIONS!$D364=RAPPORTS!$A$13,TRANSACTIONS!$D364=RAPPORTS!#REF!),VLOOKUP(TRANSACTIONS!$F364,FRAIS_D_ENVOI,3,TRUE),0)),"")</f>
        <v/>
      </c>
      <c r="H364" s="46" t="str">
        <f>IFERROR(TRANSACTIONS!$F364+TRANSACTIONS!$G364,"")</f>
        <v/>
      </c>
      <c r="I364" s="44"/>
      <c r="J364" s="40" t="str">
        <f t="shared" si="5"/>
        <v/>
      </c>
    </row>
    <row r="365" spans="1:10" hidden="1" x14ac:dyDescent="0.25">
      <c r="A365" s="41"/>
      <c r="B365" s="48" t="str">
        <f>IF(A365&lt;&gt;"",DATE(YEAR(TRANSACTIONS!$A365),MONTH(TRANSACTIONS!$A365),DAY(TRANSACTIONS!$A365)),"")</f>
        <v/>
      </c>
      <c r="C365" s="49" t="str">
        <f>IF(A365&lt;&gt;"",TIME(HOUR(TRANSACTIONS!$A365),MINUTE(TRANSACTIONS!$A365),SECOND(TRANSACTIONS!$A365)),"")</f>
        <v/>
      </c>
      <c r="D365" s="42"/>
      <c r="E365" s="42"/>
      <c r="F365" s="43"/>
      <c r="G365" s="46" t="str">
        <f>IF(AND(A365&lt;&gt;"",F365&gt;1),IF(TRANSACTIONS!$E365=RAPPORTS!$F$9,0,IF(OR(TRANSACTIONS!$D365=RAPPORTS!$A$13,TRANSACTIONS!$D365=RAPPORTS!#REF!),VLOOKUP(TRANSACTIONS!$F365,FRAIS_D_ENVOI,3,TRUE),0)),"")</f>
        <v/>
      </c>
      <c r="H365" s="46" t="str">
        <f>IFERROR(TRANSACTIONS!$F365+TRANSACTIONS!$G365,"")</f>
        <v/>
      </c>
      <c r="I365" s="44"/>
      <c r="J365" s="40" t="str">
        <f t="shared" si="5"/>
        <v/>
      </c>
    </row>
    <row r="366" spans="1:10" hidden="1" x14ac:dyDescent="0.25">
      <c r="A366" s="41"/>
      <c r="B366" s="48" t="str">
        <f>IF(A366&lt;&gt;"",DATE(YEAR(TRANSACTIONS!$A366),MONTH(TRANSACTIONS!$A366),DAY(TRANSACTIONS!$A366)),"")</f>
        <v/>
      </c>
      <c r="C366" s="49" t="str">
        <f>IF(A366&lt;&gt;"",TIME(HOUR(TRANSACTIONS!$A366),MINUTE(TRANSACTIONS!$A366),SECOND(TRANSACTIONS!$A366)),"")</f>
        <v/>
      </c>
      <c r="D366" s="42"/>
      <c r="E366" s="42"/>
      <c r="F366" s="43"/>
      <c r="G366" s="46" t="str">
        <f>IF(AND(A366&lt;&gt;"",F366&gt;1),IF(TRANSACTIONS!$E366=RAPPORTS!$F$9,0,IF(OR(TRANSACTIONS!$D366=RAPPORTS!$A$13,TRANSACTIONS!$D366=RAPPORTS!#REF!),VLOOKUP(TRANSACTIONS!$F366,FRAIS_D_ENVOI,3,TRUE),0)),"")</f>
        <v/>
      </c>
      <c r="H366" s="46" t="str">
        <f>IFERROR(TRANSACTIONS!$F366+TRANSACTIONS!$G366,"")</f>
        <v/>
      </c>
      <c r="I366" s="44"/>
      <c r="J366" s="40" t="str">
        <f t="shared" si="5"/>
        <v/>
      </c>
    </row>
    <row r="367" spans="1:10" hidden="1" x14ac:dyDescent="0.25">
      <c r="A367" s="41"/>
      <c r="B367" s="48" t="str">
        <f>IF(A367&lt;&gt;"",DATE(YEAR(TRANSACTIONS!$A367),MONTH(TRANSACTIONS!$A367),DAY(TRANSACTIONS!$A367)),"")</f>
        <v/>
      </c>
      <c r="C367" s="49" t="str">
        <f>IF(A367&lt;&gt;"",TIME(HOUR(TRANSACTIONS!$A367),MINUTE(TRANSACTIONS!$A367),SECOND(TRANSACTIONS!$A367)),"")</f>
        <v/>
      </c>
      <c r="D367" s="42"/>
      <c r="E367" s="42"/>
      <c r="F367" s="43"/>
      <c r="G367" s="46" t="str">
        <f>IF(AND(A367&lt;&gt;"",F367&gt;1),IF(TRANSACTIONS!$E367=RAPPORTS!$F$9,0,IF(OR(TRANSACTIONS!$D367=RAPPORTS!$A$13,TRANSACTIONS!$D367=RAPPORTS!#REF!),VLOOKUP(TRANSACTIONS!$F367,FRAIS_D_ENVOI,3,TRUE),0)),"")</f>
        <v/>
      </c>
      <c r="H367" s="46" t="str">
        <f>IFERROR(TRANSACTIONS!$F367+TRANSACTIONS!$G367,"")</f>
        <v/>
      </c>
      <c r="I367" s="44"/>
      <c r="J367" s="40" t="str">
        <f t="shared" si="5"/>
        <v/>
      </c>
    </row>
    <row r="368" spans="1:10" hidden="1" x14ac:dyDescent="0.25">
      <c r="A368" s="41"/>
      <c r="B368" s="48" t="str">
        <f>IF(A368&lt;&gt;"",DATE(YEAR(TRANSACTIONS!$A368),MONTH(TRANSACTIONS!$A368),DAY(TRANSACTIONS!$A368)),"")</f>
        <v/>
      </c>
      <c r="C368" s="49" t="str">
        <f>IF(A368&lt;&gt;"",TIME(HOUR(TRANSACTIONS!$A368),MINUTE(TRANSACTIONS!$A368),SECOND(TRANSACTIONS!$A368)),"")</f>
        <v/>
      </c>
      <c r="D368" s="42"/>
      <c r="E368" s="42"/>
      <c r="F368" s="43"/>
      <c r="G368" s="46" t="str">
        <f>IF(AND(A368&lt;&gt;"",F368&gt;1),IF(TRANSACTIONS!$E368=RAPPORTS!$F$9,0,IF(OR(TRANSACTIONS!$D368=RAPPORTS!$A$13,TRANSACTIONS!$D368=RAPPORTS!#REF!),VLOOKUP(TRANSACTIONS!$F368,FRAIS_D_ENVOI,3,TRUE),0)),"")</f>
        <v/>
      </c>
      <c r="H368" s="46" t="str">
        <f>IFERROR(TRANSACTIONS!$F368+TRANSACTIONS!$G368,"")</f>
        <v/>
      </c>
      <c r="I368" s="44"/>
      <c r="J368" s="40" t="str">
        <f t="shared" si="5"/>
        <v/>
      </c>
    </row>
    <row r="369" spans="1:10" hidden="1" x14ac:dyDescent="0.25">
      <c r="A369" s="41"/>
      <c r="B369" s="48" t="str">
        <f>IF(A369&lt;&gt;"",DATE(YEAR(TRANSACTIONS!$A369),MONTH(TRANSACTIONS!$A369),DAY(TRANSACTIONS!$A369)),"")</f>
        <v/>
      </c>
      <c r="C369" s="49" t="str">
        <f>IF(A369&lt;&gt;"",TIME(HOUR(TRANSACTIONS!$A369),MINUTE(TRANSACTIONS!$A369),SECOND(TRANSACTIONS!$A369)),"")</f>
        <v/>
      </c>
      <c r="D369" s="42"/>
      <c r="E369" s="42"/>
      <c r="F369" s="43"/>
      <c r="G369" s="46" t="str">
        <f>IF(AND(A369&lt;&gt;"",F369&gt;1),IF(TRANSACTIONS!$E369=RAPPORTS!$F$9,0,IF(OR(TRANSACTIONS!$D369=RAPPORTS!$A$13,TRANSACTIONS!$D369=RAPPORTS!#REF!),VLOOKUP(TRANSACTIONS!$F369,FRAIS_D_ENVOI,3,TRUE),0)),"")</f>
        <v/>
      </c>
      <c r="H369" s="46" t="str">
        <f>IFERROR(TRANSACTIONS!$F369+TRANSACTIONS!$G369,"")</f>
        <v/>
      </c>
      <c r="I369" s="44"/>
      <c r="J369" s="40" t="str">
        <f t="shared" si="5"/>
        <v/>
      </c>
    </row>
    <row r="370" spans="1:10" hidden="1" x14ac:dyDescent="0.25">
      <c r="A370" s="41"/>
      <c r="B370" s="48" t="str">
        <f>IF(A370&lt;&gt;"",DATE(YEAR(TRANSACTIONS!$A370),MONTH(TRANSACTIONS!$A370),DAY(TRANSACTIONS!$A370)),"")</f>
        <v/>
      </c>
      <c r="C370" s="49" t="str">
        <f>IF(A370&lt;&gt;"",TIME(HOUR(TRANSACTIONS!$A370),MINUTE(TRANSACTIONS!$A370),SECOND(TRANSACTIONS!$A370)),"")</f>
        <v/>
      </c>
      <c r="D370" s="42"/>
      <c r="E370" s="42"/>
      <c r="F370" s="43"/>
      <c r="G370" s="46" t="str">
        <f>IF(AND(A370&lt;&gt;"",F370&gt;1),IF(TRANSACTIONS!$E370=RAPPORTS!$F$9,0,IF(OR(TRANSACTIONS!$D370=RAPPORTS!$A$13,TRANSACTIONS!$D370=RAPPORTS!#REF!),VLOOKUP(TRANSACTIONS!$F370,FRAIS_D_ENVOI,3,TRUE),0)),"")</f>
        <v/>
      </c>
      <c r="H370" s="46" t="str">
        <f>IFERROR(TRANSACTIONS!$F370+TRANSACTIONS!$G370,"")</f>
        <v/>
      </c>
      <c r="I370" s="44"/>
      <c r="J370" s="40" t="str">
        <f t="shared" si="5"/>
        <v/>
      </c>
    </row>
    <row r="371" spans="1:10" hidden="1" x14ac:dyDescent="0.25">
      <c r="A371" s="41"/>
      <c r="B371" s="48" t="str">
        <f>IF(A371&lt;&gt;"",DATE(YEAR(TRANSACTIONS!$A371),MONTH(TRANSACTIONS!$A371),DAY(TRANSACTIONS!$A371)),"")</f>
        <v/>
      </c>
      <c r="C371" s="49" t="str">
        <f>IF(A371&lt;&gt;"",TIME(HOUR(TRANSACTIONS!$A371),MINUTE(TRANSACTIONS!$A371),SECOND(TRANSACTIONS!$A371)),"")</f>
        <v/>
      </c>
      <c r="D371" s="42"/>
      <c r="E371" s="42"/>
      <c r="F371" s="43"/>
      <c r="G371" s="46" t="str">
        <f>IF(AND(A371&lt;&gt;"",F371&gt;1),IF(TRANSACTIONS!$E371=RAPPORTS!$F$9,0,IF(OR(TRANSACTIONS!$D371=RAPPORTS!$A$13,TRANSACTIONS!$D371=RAPPORTS!#REF!),VLOOKUP(TRANSACTIONS!$F371,FRAIS_D_ENVOI,3,TRUE),0)),"")</f>
        <v/>
      </c>
      <c r="H371" s="46" t="str">
        <f>IFERROR(TRANSACTIONS!$F371+TRANSACTIONS!$G371,"")</f>
        <v/>
      </c>
      <c r="I371" s="44"/>
      <c r="J371" s="40" t="str">
        <f t="shared" si="5"/>
        <v/>
      </c>
    </row>
    <row r="372" spans="1:10" hidden="1" x14ac:dyDescent="0.25">
      <c r="A372" s="41"/>
      <c r="B372" s="48" t="str">
        <f>IF(A372&lt;&gt;"",DATE(YEAR(TRANSACTIONS!$A372),MONTH(TRANSACTIONS!$A372),DAY(TRANSACTIONS!$A372)),"")</f>
        <v/>
      </c>
      <c r="C372" s="49" t="str">
        <f>IF(A372&lt;&gt;"",TIME(HOUR(TRANSACTIONS!$A372),MINUTE(TRANSACTIONS!$A372),SECOND(TRANSACTIONS!$A372)),"")</f>
        <v/>
      </c>
      <c r="D372" s="42"/>
      <c r="E372" s="42"/>
      <c r="F372" s="43"/>
      <c r="G372" s="46" t="str">
        <f>IF(AND(A372&lt;&gt;"",F372&gt;1),IF(TRANSACTIONS!$E372=RAPPORTS!$F$9,0,IF(OR(TRANSACTIONS!$D372=RAPPORTS!$A$13,TRANSACTIONS!$D372=RAPPORTS!#REF!),VLOOKUP(TRANSACTIONS!$F372,FRAIS_D_ENVOI,3,TRUE),0)),"")</f>
        <v/>
      </c>
      <c r="H372" s="46" t="str">
        <f>IFERROR(TRANSACTIONS!$F372+TRANSACTIONS!$G372,"")</f>
        <v/>
      </c>
      <c r="I372" s="44"/>
      <c r="J372" s="40" t="str">
        <f t="shared" si="5"/>
        <v/>
      </c>
    </row>
    <row r="373" spans="1:10" hidden="1" x14ac:dyDescent="0.25">
      <c r="A373" s="41"/>
      <c r="B373" s="48" t="str">
        <f>IF(A373&lt;&gt;"",DATE(YEAR(TRANSACTIONS!$A373),MONTH(TRANSACTIONS!$A373),DAY(TRANSACTIONS!$A373)),"")</f>
        <v/>
      </c>
      <c r="C373" s="49" t="str">
        <f>IF(A373&lt;&gt;"",TIME(HOUR(TRANSACTIONS!$A373),MINUTE(TRANSACTIONS!$A373),SECOND(TRANSACTIONS!$A373)),"")</f>
        <v/>
      </c>
      <c r="D373" s="42"/>
      <c r="E373" s="42"/>
      <c r="F373" s="43"/>
      <c r="G373" s="46" t="str">
        <f>IF(AND(A373&lt;&gt;"",F373&gt;1),IF(TRANSACTIONS!$E373=RAPPORTS!$F$9,0,IF(OR(TRANSACTIONS!$D373=RAPPORTS!$A$13,TRANSACTIONS!$D373=RAPPORTS!#REF!),VLOOKUP(TRANSACTIONS!$F373,FRAIS_D_ENVOI,3,TRUE),0)),"")</f>
        <v/>
      </c>
      <c r="H373" s="46" t="str">
        <f>IFERROR(TRANSACTIONS!$F373+TRANSACTIONS!$G373,"")</f>
        <v/>
      </c>
      <c r="I373" s="44"/>
      <c r="J373" s="40" t="str">
        <f t="shared" si="5"/>
        <v/>
      </c>
    </row>
    <row r="374" spans="1:10" hidden="1" x14ac:dyDescent="0.25">
      <c r="A374" s="41"/>
      <c r="B374" s="48" t="str">
        <f>IF(A374&lt;&gt;"",DATE(YEAR(TRANSACTIONS!$A374),MONTH(TRANSACTIONS!$A374),DAY(TRANSACTIONS!$A374)),"")</f>
        <v/>
      </c>
      <c r="C374" s="49" t="str">
        <f>IF(A374&lt;&gt;"",TIME(HOUR(TRANSACTIONS!$A374),MINUTE(TRANSACTIONS!$A374),SECOND(TRANSACTIONS!$A374)),"")</f>
        <v/>
      </c>
      <c r="D374" s="42"/>
      <c r="E374" s="42"/>
      <c r="F374" s="43"/>
      <c r="G374" s="46" t="str">
        <f>IF(AND(A374&lt;&gt;"",F374&gt;1),IF(TRANSACTIONS!$E374=RAPPORTS!$F$9,0,IF(OR(TRANSACTIONS!$D374=RAPPORTS!$A$13,TRANSACTIONS!$D374=RAPPORTS!#REF!),VLOOKUP(TRANSACTIONS!$F374,FRAIS_D_ENVOI,3,TRUE),0)),"")</f>
        <v/>
      </c>
      <c r="H374" s="46" t="str">
        <f>IFERROR(TRANSACTIONS!$F374+TRANSACTIONS!$G374,"")</f>
        <v/>
      </c>
      <c r="I374" s="44"/>
      <c r="J374" s="40" t="str">
        <f t="shared" si="5"/>
        <v/>
      </c>
    </row>
    <row r="375" spans="1:10" hidden="1" x14ac:dyDescent="0.25">
      <c r="A375" s="41"/>
      <c r="B375" s="48" t="str">
        <f>IF(A375&lt;&gt;"",DATE(YEAR(TRANSACTIONS!$A375),MONTH(TRANSACTIONS!$A375),DAY(TRANSACTIONS!$A375)),"")</f>
        <v/>
      </c>
      <c r="C375" s="49" t="str">
        <f>IF(A375&lt;&gt;"",TIME(HOUR(TRANSACTIONS!$A375),MINUTE(TRANSACTIONS!$A375),SECOND(TRANSACTIONS!$A375)),"")</f>
        <v/>
      </c>
      <c r="D375" s="42"/>
      <c r="E375" s="42"/>
      <c r="F375" s="43"/>
      <c r="G375" s="46" t="str">
        <f>IF(AND(A375&lt;&gt;"",F375&gt;1),IF(TRANSACTIONS!$E375=RAPPORTS!$F$9,0,IF(OR(TRANSACTIONS!$D375=RAPPORTS!$A$13,TRANSACTIONS!$D375=RAPPORTS!#REF!),VLOOKUP(TRANSACTIONS!$F375,FRAIS_D_ENVOI,3,TRUE),0)),"")</f>
        <v/>
      </c>
      <c r="H375" s="46" t="str">
        <f>IFERROR(TRANSACTIONS!$F375+TRANSACTIONS!$G375,"")</f>
        <v/>
      </c>
      <c r="I375" s="44"/>
      <c r="J375" s="40" t="str">
        <f t="shared" si="5"/>
        <v/>
      </c>
    </row>
    <row r="376" spans="1:10" hidden="1" x14ac:dyDescent="0.25">
      <c r="A376" s="41"/>
      <c r="B376" s="48" t="str">
        <f>IF(A376&lt;&gt;"",DATE(YEAR(TRANSACTIONS!$A376),MONTH(TRANSACTIONS!$A376),DAY(TRANSACTIONS!$A376)),"")</f>
        <v/>
      </c>
      <c r="C376" s="49" t="str">
        <f>IF(A376&lt;&gt;"",TIME(HOUR(TRANSACTIONS!$A376),MINUTE(TRANSACTIONS!$A376),SECOND(TRANSACTIONS!$A376)),"")</f>
        <v/>
      </c>
      <c r="D376" s="42"/>
      <c r="E376" s="42"/>
      <c r="F376" s="43"/>
      <c r="G376" s="46" t="str">
        <f>IF(AND(A376&lt;&gt;"",F376&gt;1),IF(TRANSACTIONS!$E376=RAPPORTS!$F$9,0,IF(OR(TRANSACTIONS!$D376=RAPPORTS!$A$13,TRANSACTIONS!$D376=RAPPORTS!#REF!),VLOOKUP(TRANSACTIONS!$F376,FRAIS_D_ENVOI,3,TRUE),0)),"")</f>
        <v/>
      </c>
      <c r="H376" s="46" t="str">
        <f>IFERROR(TRANSACTIONS!$F376+TRANSACTIONS!$G376,"")</f>
        <v/>
      </c>
      <c r="I376" s="44"/>
      <c r="J376" s="40" t="str">
        <f t="shared" si="5"/>
        <v/>
      </c>
    </row>
    <row r="377" spans="1:10" hidden="1" x14ac:dyDescent="0.25">
      <c r="A377" s="41"/>
      <c r="B377" s="48" t="str">
        <f>IF(A377&lt;&gt;"",DATE(YEAR(TRANSACTIONS!$A377),MONTH(TRANSACTIONS!$A377),DAY(TRANSACTIONS!$A377)),"")</f>
        <v/>
      </c>
      <c r="C377" s="49" t="str">
        <f>IF(A377&lt;&gt;"",TIME(HOUR(TRANSACTIONS!$A377),MINUTE(TRANSACTIONS!$A377),SECOND(TRANSACTIONS!$A377)),"")</f>
        <v/>
      </c>
      <c r="D377" s="42"/>
      <c r="E377" s="42"/>
      <c r="F377" s="43"/>
      <c r="G377" s="46" t="str">
        <f>IF(AND(A377&lt;&gt;"",F377&gt;1),IF(TRANSACTIONS!$E377=RAPPORTS!$F$9,0,IF(OR(TRANSACTIONS!$D377=RAPPORTS!$A$13,TRANSACTIONS!$D377=RAPPORTS!#REF!),VLOOKUP(TRANSACTIONS!$F377,FRAIS_D_ENVOI,3,TRUE),0)),"")</f>
        <v/>
      </c>
      <c r="H377" s="46" t="str">
        <f>IFERROR(TRANSACTIONS!$F377+TRANSACTIONS!$G377,"")</f>
        <v/>
      </c>
      <c r="I377" s="44"/>
      <c r="J377" s="40" t="str">
        <f t="shared" si="5"/>
        <v/>
      </c>
    </row>
    <row r="378" spans="1:10" hidden="1" x14ac:dyDescent="0.25">
      <c r="A378" s="41"/>
      <c r="B378" s="48" t="str">
        <f>IF(A378&lt;&gt;"",DATE(YEAR(TRANSACTIONS!$A378),MONTH(TRANSACTIONS!$A378),DAY(TRANSACTIONS!$A378)),"")</f>
        <v/>
      </c>
      <c r="C378" s="49" t="str">
        <f>IF(A378&lt;&gt;"",TIME(HOUR(TRANSACTIONS!$A378),MINUTE(TRANSACTIONS!$A378),SECOND(TRANSACTIONS!$A378)),"")</f>
        <v/>
      </c>
      <c r="D378" s="42"/>
      <c r="E378" s="42"/>
      <c r="F378" s="43"/>
      <c r="G378" s="46" t="str">
        <f>IF(AND(A378&lt;&gt;"",F378&gt;1),IF(TRANSACTIONS!$E378=RAPPORTS!$F$9,0,IF(OR(TRANSACTIONS!$D378=RAPPORTS!$A$13,TRANSACTIONS!$D378=RAPPORTS!#REF!),VLOOKUP(TRANSACTIONS!$F378,FRAIS_D_ENVOI,3,TRUE),0)),"")</f>
        <v/>
      </c>
      <c r="H378" s="46" t="str">
        <f>IFERROR(TRANSACTIONS!$F378+TRANSACTIONS!$G378,"")</f>
        <v/>
      </c>
      <c r="I378" s="44"/>
      <c r="J378" s="40" t="str">
        <f t="shared" si="5"/>
        <v/>
      </c>
    </row>
    <row r="379" spans="1:10" hidden="1" x14ac:dyDescent="0.25">
      <c r="A379" s="41"/>
      <c r="B379" s="48" t="str">
        <f>IF(A379&lt;&gt;"",DATE(YEAR(TRANSACTIONS!$A379),MONTH(TRANSACTIONS!$A379),DAY(TRANSACTIONS!$A379)),"")</f>
        <v/>
      </c>
      <c r="C379" s="49" t="str">
        <f>IF(A379&lt;&gt;"",TIME(HOUR(TRANSACTIONS!$A379),MINUTE(TRANSACTIONS!$A379),SECOND(TRANSACTIONS!$A379)),"")</f>
        <v/>
      </c>
      <c r="D379" s="42"/>
      <c r="E379" s="42"/>
      <c r="F379" s="43"/>
      <c r="G379" s="46" t="str">
        <f>IF(AND(A379&lt;&gt;"",F379&gt;1),IF(TRANSACTIONS!$E379=RAPPORTS!$F$9,0,IF(OR(TRANSACTIONS!$D379=RAPPORTS!$A$13,TRANSACTIONS!$D379=RAPPORTS!#REF!),VLOOKUP(TRANSACTIONS!$F379,FRAIS_D_ENVOI,3,TRUE),0)),"")</f>
        <v/>
      </c>
      <c r="H379" s="46" t="str">
        <f>IFERROR(TRANSACTIONS!$F379+TRANSACTIONS!$G379,"")</f>
        <v/>
      </c>
      <c r="I379" s="44"/>
      <c r="J379" s="40" t="str">
        <f t="shared" si="5"/>
        <v/>
      </c>
    </row>
    <row r="380" spans="1:10" hidden="1" x14ac:dyDescent="0.25">
      <c r="A380" s="41"/>
      <c r="B380" s="48" t="str">
        <f>IF(A380&lt;&gt;"",DATE(YEAR(TRANSACTIONS!$A380),MONTH(TRANSACTIONS!$A380),DAY(TRANSACTIONS!$A380)),"")</f>
        <v/>
      </c>
      <c r="C380" s="49" t="str">
        <f>IF(A380&lt;&gt;"",TIME(HOUR(TRANSACTIONS!$A380),MINUTE(TRANSACTIONS!$A380),SECOND(TRANSACTIONS!$A380)),"")</f>
        <v/>
      </c>
      <c r="D380" s="42"/>
      <c r="E380" s="42"/>
      <c r="F380" s="43"/>
      <c r="G380" s="46" t="str">
        <f>IF(AND(A380&lt;&gt;"",F380&gt;1),IF(TRANSACTIONS!$E380=RAPPORTS!$F$9,0,IF(OR(TRANSACTIONS!$D380=RAPPORTS!$A$13,TRANSACTIONS!$D380=RAPPORTS!#REF!),VLOOKUP(TRANSACTIONS!$F380,FRAIS_D_ENVOI,3,TRUE),0)),"")</f>
        <v/>
      </c>
      <c r="H380" s="46" t="str">
        <f>IFERROR(TRANSACTIONS!$F380+TRANSACTIONS!$G380,"")</f>
        <v/>
      </c>
      <c r="I380" s="44"/>
      <c r="J380" s="40" t="str">
        <f t="shared" si="5"/>
        <v/>
      </c>
    </row>
    <row r="381" spans="1:10" hidden="1" x14ac:dyDescent="0.25">
      <c r="A381" s="41"/>
      <c r="B381" s="48" t="str">
        <f>IF(A381&lt;&gt;"",DATE(YEAR(TRANSACTIONS!$A381),MONTH(TRANSACTIONS!$A381),DAY(TRANSACTIONS!$A381)),"")</f>
        <v/>
      </c>
      <c r="C381" s="49" t="str">
        <f>IF(A381&lt;&gt;"",TIME(HOUR(TRANSACTIONS!$A381),MINUTE(TRANSACTIONS!$A381),SECOND(TRANSACTIONS!$A381)),"")</f>
        <v/>
      </c>
      <c r="D381" s="42"/>
      <c r="E381" s="42"/>
      <c r="F381" s="43"/>
      <c r="G381" s="46" t="str">
        <f>IF(AND(A381&lt;&gt;"",F381&gt;1),IF(TRANSACTIONS!$E381=RAPPORTS!$F$9,0,IF(OR(TRANSACTIONS!$D381=RAPPORTS!$A$13,TRANSACTIONS!$D381=RAPPORTS!#REF!),VLOOKUP(TRANSACTIONS!$F381,FRAIS_D_ENVOI,3,TRUE),0)),"")</f>
        <v/>
      </c>
      <c r="H381" s="46" t="str">
        <f>IFERROR(TRANSACTIONS!$F381+TRANSACTIONS!$G381,"")</f>
        <v/>
      </c>
      <c r="I381" s="44"/>
      <c r="J381" s="40" t="str">
        <f t="shared" si="5"/>
        <v/>
      </c>
    </row>
    <row r="382" spans="1:10" hidden="1" x14ac:dyDescent="0.25">
      <c r="A382" s="41"/>
      <c r="B382" s="48" t="str">
        <f>IF(A382&lt;&gt;"",DATE(YEAR(TRANSACTIONS!$A382),MONTH(TRANSACTIONS!$A382),DAY(TRANSACTIONS!$A382)),"")</f>
        <v/>
      </c>
      <c r="C382" s="49" t="str">
        <f>IF(A382&lt;&gt;"",TIME(HOUR(TRANSACTIONS!$A382),MINUTE(TRANSACTIONS!$A382),SECOND(TRANSACTIONS!$A382)),"")</f>
        <v/>
      </c>
      <c r="D382" s="42"/>
      <c r="E382" s="42"/>
      <c r="F382" s="43"/>
      <c r="G382" s="46" t="str">
        <f>IF(AND(A382&lt;&gt;"",F382&gt;1),IF(TRANSACTIONS!$E382=RAPPORTS!$F$9,0,IF(OR(TRANSACTIONS!$D382=RAPPORTS!$A$13,TRANSACTIONS!$D382=RAPPORTS!#REF!),VLOOKUP(TRANSACTIONS!$F382,FRAIS_D_ENVOI,3,TRUE),0)),"")</f>
        <v/>
      </c>
      <c r="H382" s="46" t="str">
        <f>IFERROR(TRANSACTIONS!$F382+TRANSACTIONS!$G382,"")</f>
        <v/>
      </c>
      <c r="I382" s="44"/>
      <c r="J382" s="40" t="str">
        <f t="shared" si="5"/>
        <v/>
      </c>
    </row>
    <row r="383" spans="1:10" hidden="1" x14ac:dyDescent="0.25">
      <c r="A383" s="41"/>
      <c r="B383" s="48" t="str">
        <f>IF(A383&lt;&gt;"",DATE(YEAR(TRANSACTIONS!$A383),MONTH(TRANSACTIONS!$A383),DAY(TRANSACTIONS!$A383)),"")</f>
        <v/>
      </c>
      <c r="C383" s="49" t="str">
        <f>IF(A383&lt;&gt;"",TIME(HOUR(TRANSACTIONS!$A383),MINUTE(TRANSACTIONS!$A383),SECOND(TRANSACTIONS!$A383)),"")</f>
        <v/>
      </c>
      <c r="D383" s="42"/>
      <c r="E383" s="42"/>
      <c r="F383" s="43"/>
      <c r="G383" s="46" t="str">
        <f>IF(AND(A383&lt;&gt;"",F383&gt;1),IF(TRANSACTIONS!$E383=RAPPORTS!$F$9,0,IF(OR(TRANSACTIONS!$D383=RAPPORTS!$A$13,TRANSACTIONS!$D383=RAPPORTS!#REF!),VLOOKUP(TRANSACTIONS!$F383,FRAIS_D_ENVOI,3,TRUE),0)),"")</f>
        <v/>
      </c>
      <c r="H383" s="46" t="str">
        <f>IFERROR(TRANSACTIONS!$F383+TRANSACTIONS!$G383,"")</f>
        <v/>
      </c>
      <c r="I383" s="44"/>
      <c r="J383" s="40" t="str">
        <f t="shared" si="5"/>
        <v/>
      </c>
    </row>
    <row r="384" spans="1:10" hidden="1" x14ac:dyDescent="0.25">
      <c r="A384" s="41"/>
      <c r="B384" s="48" t="str">
        <f>IF(A384&lt;&gt;"",DATE(YEAR(TRANSACTIONS!$A384),MONTH(TRANSACTIONS!$A384),DAY(TRANSACTIONS!$A384)),"")</f>
        <v/>
      </c>
      <c r="C384" s="49" t="str">
        <f>IF(A384&lt;&gt;"",TIME(HOUR(TRANSACTIONS!$A384),MINUTE(TRANSACTIONS!$A384),SECOND(TRANSACTIONS!$A384)),"")</f>
        <v/>
      </c>
      <c r="D384" s="42"/>
      <c r="E384" s="42"/>
      <c r="F384" s="43"/>
      <c r="G384" s="46" t="str">
        <f>IF(AND(A384&lt;&gt;"",F384&gt;1),IF(TRANSACTIONS!$E384=RAPPORTS!$F$9,0,IF(OR(TRANSACTIONS!$D384=RAPPORTS!$A$13,TRANSACTIONS!$D384=RAPPORTS!#REF!),VLOOKUP(TRANSACTIONS!$F384,FRAIS_D_ENVOI,3,TRUE),0)),"")</f>
        <v/>
      </c>
      <c r="H384" s="46" t="str">
        <f>IFERROR(TRANSACTIONS!$F384+TRANSACTIONS!$G384,"")</f>
        <v/>
      </c>
      <c r="I384" s="44"/>
      <c r="J384" s="40" t="str">
        <f t="shared" si="5"/>
        <v/>
      </c>
    </row>
    <row r="385" spans="1:10" hidden="1" x14ac:dyDescent="0.25">
      <c r="A385" s="41"/>
      <c r="B385" s="48" t="str">
        <f>IF(A385&lt;&gt;"",DATE(YEAR(TRANSACTIONS!$A385),MONTH(TRANSACTIONS!$A385),DAY(TRANSACTIONS!$A385)),"")</f>
        <v/>
      </c>
      <c r="C385" s="49" t="str">
        <f>IF(A385&lt;&gt;"",TIME(HOUR(TRANSACTIONS!$A385),MINUTE(TRANSACTIONS!$A385),SECOND(TRANSACTIONS!$A385)),"")</f>
        <v/>
      </c>
      <c r="D385" s="42"/>
      <c r="E385" s="42"/>
      <c r="F385" s="43"/>
      <c r="G385" s="46" t="str">
        <f>IF(AND(A385&lt;&gt;"",F385&gt;1),IF(TRANSACTIONS!$E385=RAPPORTS!$F$9,0,IF(OR(TRANSACTIONS!$D385=RAPPORTS!$A$13,TRANSACTIONS!$D385=RAPPORTS!#REF!),VLOOKUP(TRANSACTIONS!$F385,FRAIS_D_ENVOI,3,TRUE),0)),"")</f>
        <v/>
      </c>
      <c r="H385" s="46" t="str">
        <f>IFERROR(TRANSACTIONS!$F385+TRANSACTIONS!$G385,"")</f>
        <v/>
      </c>
      <c r="I385" s="44"/>
      <c r="J385" s="40" t="str">
        <f t="shared" si="5"/>
        <v/>
      </c>
    </row>
    <row r="386" spans="1:10" hidden="1" x14ac:dyDescent="0.25">
      <c r="A386" s="41"/>
      <c r="B386" s="48" t="str">
        <f>IF(A386&lt;&gt;"",DATE(YEAR(TRANSACTIONS!$A386),MONTH(TRANSACTIONS!$A386),DAY(TRANSACTIONS!$A386)),"")</f>
        <v/>
      </c>
      <c r="C386" s="49" t="str">
        <f>IF(A386&lt;&gt;"",TIME(HOUR(TRANSACTIONS!$A386),MINUTE(TRANSACTIONS!$A386),SECOND(TRANSACTIONS!$A386)),"")</f>
        <v/>
      </c>
      <c r="D386" s="42"/>
      <c r="E386" s="42"/>
      <c r="F386" s="43"/>
      <c r="G386" s="46" t="str">
        <f>IF(AND(A386&lt;&gt;"",F386&gt;1),IF(TRANSACTIONS!$E386=RAPPORTS!$F$9,0,IF(OR(TRANSACTIONS!$D386=RAPPORTS!$A$13,TRANSACTIONS!$D386=RAPPORTS!#REF!),VLOOKUP(TRANSACTIONS!$F386,FRAIS_D_ENVOI,3,TRUE),0)),"")</f>
        <v/>
      </c>
      <c r="H386" s="46" t="str">
        <f>IFERROR(TRANSACTIONS!$F386+TRANSACTIONS!$G386,"")</f>
        <v/>
      </c>
      <c r="I386" s="44"/>
      <c r="J386" s="40" t="str">
        <f t="shared" si="5"/>
        <v/>
      </c>
    </row>
    <row r="387" spans="1:10" hidden="1" x14ac:dyDescent="0.25">
      <c r="A387" s="41"/>
      <c r="B387" s="48" t="str">
        <f>IF(A387&lt;&gt;"",DATE(YEAR(TRANSACTIONS!$A387),MONTH(TRANSACTIONS!$A387),DAY(TRANSACTIONS!$A387)),"")</f>
        <v/>
      </c>
      <c r="C387" s="49" t="str">
        <f>IF(A387&lt;&gt;"",TIME(HOUR(TRANSACTIONS!$A387),MINUTE(TRANSACTIONS!$A387),SECOND(TRANSACTIONS!$A387)),"")</f>
        <v/>
      </c>
      <c r="D387" s="42"/>
      <c r="E387" s="42"/>
      <c r="F387" s="43"/>
      <c r="G387" s="46" t="str">
        <f>IF(AND(A387&lt;&gt;"",F387&gt;1),IF(TRANSACTIONS!$E387=RAPPORTS!$F$9,0,IF(OR(TRANSACTIONS!$D387=RAPPORTS!$A$13,TRANSACTIONS!$D387=RAPPORTS!#REF!),VLOOKUP(TRANSACTIONS!$F387,FRAIS_D_ENVOI,3,TRUE),0)),"")</f>
        <v/>
      </c>
      <c r="H387" s="46" t="str">
        <f>IFERROR(TRANSACTIONS!$F387+TRANSACTIONS!$G387,"")</f>
        <v/>
      </c>
      <c r="I387" s="44"/>
      <c r="J387" s="40" t="str">
        <f t="shared" si="5"/>
        <v/>
      </c>
    </row>
    <row r="388" spans="1:10" hidden="1" x14ac:dyDescent="0.25">
      <c r="A388" s="41"/>
      <c r="B388" s="48" t="str">
        <f>IF(A388&lt;&gt;"",DATE(YEAR(TRANSACTIONS!$A388),MONTH(TRANSACTIONS!$A388),DAY(TRANSACTIONS!$A388)),"")</f>
        <v/>
      </c>
      <c r="C388" s="49" t="str">
        <f>IF(A388&lt;&gt;"",TIME(HOUR(TRANSACTIONS!$A388),MINUTE(TRANSACTIONS!$A388),SECOND(TRANSACTIONS!$A388)),"")</f>
        <v/>
      </c>
      <c r="D388" s="42"/>
      <c r="E388" s="42"/>
      <c r="F388" s="43"/>
      <c r="G388" s="46" t="str">
        <f>IF(AND(A388&lt;&gt;"",F388&gt;1),IF(TRANSACTIONS!$E388=RAPPORTS!$F$9,0,IF(OR(TRANSACTIONS!$D388=RAPPORTS!$A$13,TRANSACTIONS!$D388=RAPPORTS!#REF!),VLOOKUP(TRANSACTIONS!$F388,FRAIS_D_ENVOI,3,TRUE),0)),"")</f>
        <v/>
      </c>
      <c r="H388" s="46" t="str">
        <f>IFERROR(TRANSACTIONS!$F388+TRANSACTIONS!$G388,"")</f>
        <v/>
      </c>
      <c r="I388" s="44"/>
      <c r="J388" s="40" t="str">
        <f t="shared" ref="J388:J451" si="6">IF(G388&lt;&gt;"",$J$1*G388,"")</f>
        <v/>
      </c>
    </row>
    <row r="389" spans="1:10" hidden="1" x14ac:dyDescent="0.25">
      <c r="A389" s="41"/>
      <c r="B389" s="48" t="str">
        <f>IF(A389&lt;&gt;"",DATE(YEAR(TRANSACTIONS!$A389),MONTH(TRANSACTIONS!$A389),DAY(TRANSACTIONS!$A389)),"")</f>
        <v/>
      </c>
      <c r="C389" s="49" t="str">
        <f>IF(A389&lt;&gt;"",TIME(HOUR(TRANSACTIONS!$A389),MINUTE(TRANSACTIONS!$A389),SECOND(TRANSACTIONS!$A389)),"")</f>
        <v/>
      </c>
      <c r="D389" s="42"/>
      <c r="E389" s="42"/>
      <c r="F389" s="43"/>
      <c r="G389" s="46" t="str">
        <f>IF(AND(A389&lt;&gt;"",F389&gt;1),IF(TRANSACTIONS!$E389=RAPPORTS!$F$9,0,IF(OR(TRANSACTIONS!$D389=RAPPORTS!$A$13,TRANSACTIONS!$D389=RAPPORTS!#REF!),VLOOKUP(TRANSACTIONS!$F389,FRAIS_D_ENVOI,3,TRUE),0)),"")</f>
        <v/>
      </c>
      <c r="H389" s="46" t="str">
        <f>IFERROR(TRANSACTIONS!$F389+TRANSACTIONS!$G389,"")</f>
        <v/>
      </c>
      <c r="I389" s="44"/>
      <c r="J389" s="40" t="str">
        <f t="shared" si="6"/>
        <v/>
      </c>
    </row>
    <row r="390" spans="1:10" hidden="1" x14ac:dyDescent="0.25">
      <c r="A390" s="41"/>
      <c r="B390" s="48" t="str">
        <f>IF(A390&lt;&gt;"",DATE(YEAR(TRANSACTIONS!$A390),MONTH(TRANSACTIONS!$A390),DAY(TRANSACTIONS!$A390)),"")</f>
        <v/>
      </c>
      <c r="C390" s="49" t="str">
        <f>IF(A390&lt;&gt;"",TIME(HOUR(TRANSACTIONS!$A390),MINUTE(TRANSACTIONS!$A390),SECOND(TRANSACTIONS!$A390)),"")</f>
        <v/>
      </c>
      <c r="D390" s="42"/>
      <c r="E390" s="42"/>
      <c r="F390" s="43"/>
      <c r="G390" s="46" t="str">
        <f>IF(AND(A390&lt;&gt;"",F390&gt;1),IF(TRANSACTIONS!$E390=RAPPORTS!$F$9,0,IF(OR(TRANSACTIONS!$D390=RAPPORTS!$A$13,TRANSACTIONS!$D390=RAPPORTS!#REF!),VLOOKUP(TRANSACTIONS!$F390,FRAIS_D_ENVOI,3,TRUE),0)),"")</f>
        <v/>
      </c>
      <c r="H390" s="46" t="str">
        <f>IFERROR(TRANSACTIONS!$F390+TRANSACTIONS!$G390,"")</f>
        <v/>
      </c>
      <c r="I390" s="44"/>
      <c r="J390" s="40" t="str">
        <f t="shared" si="6"/>
        <v/>
      </c>
    </row>
    <row r="391" spans="1:10" hidden="1" x14ac:dyDescent="0.25">
      <c r="A391" s="41"/>
      <c r="B391" s="48" t="str">
        <f>IF(A391&lt;&gt;"",DATE(YEAR(TRANSACTIONS!$A391),MONTH(TRANSACTIONS!$A391),DAY(TRANSACTIONS!$A391)),"")</f>
        <v/>
      </c>
      <c r="C391" s="49" t="str">
        <f>IF(A391&lt;&gt;"",TIME(HOUR(TRANSACTIONS!$A391),MINUTE(TRANSACTIONS!$A391),SECOND(TRANSACTIONS!$A391)),"")</f>
        <v/>
      </c>
      <c r="D391" s="42"/>
      <c r="E391" s="42"/>
      <c r="F391" s="43"/>
      <c r="G391" s="46" t="str">
        <f>IF(AND(A391&lt;&gt;"",F391&gt;1),IF(TRANSACTIONS!$E391=RAPPORTS!$F$9,0,IF(OR(TRANSACTIONS!$D391=RAPPORTS!$A$13,TRANSACTIONS!$D391=RAPPORTS!#REF!),VLOOKUP(TRANSACTIONS!$F391,FRAIS_D_ENVOI,3,TRUE),0)),"")</f>
        <v/>
      </c>
      <c r="H391" s="46" t="str">
        <f>IFERROR(TRANSACTIONS!$F391+TRANSACTIONS!$G391,"")</f>
        <v/>
      </c>
      <c r="I391" s="44"/>
      <c r="J391" s="40" t="str">
        <f t="shared" si="6"/>
        <v/>
      </c>
    </row>
    <row r="392" spans="1:10" hidden="1" x14ac:dyDescent="0.25">
      <c r="A392" s="41"/>
      <c r="B392" s="48" t="str">
        <f>IF(A392&lt;&gt;"",DATE(YEAR(TRANSACTIONS!$A392),MONTH(TRANSACTIONS!$A392),DAY(TRANSACTIONS!$A392)),"")</f>
        <v/>
      </c>
      <c r="C392" s="49" t="str">
        <f>IF(A392&lt;&gt;"",TIME(HOUR(TRANSACTIONS!$A392),MINUTE(TRANSACTIONS!$A392),SECOND(TRANSACTIONS!$A392)),"")</f>
        <v/>
      </c>
      <c r="D392" s="42"/>
      <c r="E392" s="42"/>
      <c r="F392" s="43"/>
      <c r="G392" s="46" t="str">
        <f>IF(AND(A392&lt;&gt;"",F392&gt;1),IF(TRANSACTIONS!$E392=RAPPORTS!$F$9,0,IF(OR(TRANSACTIONS!$D392=RAPPORTS!$A$13,TRANSACTIONS!$D392=RAPPORTS!#REF!),VLOOKUP(TRANSACTIONS!$F392,FRAIS_D_ENVOI,3,TRUE),0)),"")</f>
        <v/>
      </c>
      <c r="H392" s="46" t="str">
        <f>IFERROR(TRANSACTIONS!$F392+TRANSACTIONS!$G392,"")</f>
        <v/>
      </c>
      <c r="I392" s="44"/>
      <c r="J392" s="40" t="str">
        <f t="shared" si="6"/>
        <v/>
      </c>
    </row>
    <row r="393" spans="1:10" hidden="1" x14ac:dyDescent="0.25">
      <c r="A393" s="41"/>
      <c r="B393" s="48" t="str">
        <f>IF(A393&lt;&gt;"",DATE(YEAR(TRANSACTIONS!$A393),MONTH(TRANSACTIONS!$A393),DAY(TRANSACTIONS!$A393)),"")</f>
        <v/>
      </c>
      <c r="C393" s="49" t="str">
        <f>IF(A393&lt;&gt;"",TIME(HOUR(TRANSACTIONS!$A393),MINUTE(TRANSACTIONS!$A393),SECOND(TRANSACTIONS!$A393)),"")</f>
        <v/>
      </c>
      <c r="D393" s="42"/>
      <c r="E393" s="42"/>
      <c r="F393" s="43"/>
      <c r="G393" s="46" t="str">
        <f>IF(AND(A393&lt;&gt;"",F393&gt;1),IF(TRANSACTIONS!$E393=RAPPORTS!$F$9,0,IF(OR(TRANSACTIONS!$D393=RAPPORTS!$A$13,TRANSACTIONS!$D393=RAPPORTS!#REF!),VLOOKUP(TRANSACTIONS!$F393,FRAIS_D_ENVOI,3,TRUE),0)),"")</f>
        <v/>
      </c>
      <c r="H393" s="46" t="str">
        <f>IFERROR(TRANSACTIONS!$F393+TRANSACTIONS!$G393,"")</f>
        <v/>
      </c>
      <c r="I393" s="44"/>
      <c r="J393" s="40" t="str">
        <f t="shared" si="6"/>
        <v/>
      </c>
    </row>
    <row r="394" spans="1:10" hidden="1" x14ac:dyDescent="0.25">
      <c r="A394" s="41"/>
      <c r="B394" s="48" t="str">
        <f>IF(A394&lt;&gt;"",DATE(YEAR(TRANSACTIONS!$A394),MONTH(TRANSACTIONS!$A394),DAY(TRANSACTIONS!$A394)),"")</f>
        <v/>
      </c>
      <c r="C394" s="49" t="str">
        <f>IF(A394&lt;&gt;"",TIME(HOUR(TRANSACTIONS!$A394),MINUTE(TRANSACTIONS!$A394),SECOND(TRANSACTIONS!$A394)),"")</f>
        <v/>
      </c>
      <c r="D394" s="42"/>
      <c r="E394" s="42"/>
      <c r="F394" s="43"/>
      <c r="G394" s="46" t="str">
        <f>IF(AND(A394&lt;&gt;"",F394&gt;1),IF(TRANSACTIONS!$E394=RAPPORTS!$F$9,0,IF(OR(TRANSACTIONS!$D394=RAPPORTS!$A$13,TRANSACTIONS!$D394=RAPPORTS!#REF!),VLOOKUP(TRANSACTIONS!$F394,FRAIS_D_ENVOI,3,TRUE),0)),"")</f>
        <v/>
      </c>
      <c r="H394" s="46" t="str">
        <f>IFERROR(TRANSACTIONS!$F394+TRANSACTIONS!$G394,"")</f>
        <v/>
      </c>
      <c r="I394" s="44"/>
      <c r="J394" s="40" t="str">
        <f t="shared" si="6"/>
        <v/>
      </c>
    </row>
    <row r="395" spans="1:10" hidden="1" x14ac:dyDescent="0.25">
      <c r="A395" s="41"/>
      <c r="B395" s="48" t="str">
        <f>IF(A395&lt;&gt;"",DATE(YEAR(TRANSACTIONS!$A395),MONTH(TRANSACTIONS!$A395),DAY(TRANSACTIONS!$A395)),"")</f>
        <v/>
      </c>
      <c r="C395" s="49" t="str">
        <f>IF(A395&lt;&gt;"",TIME(HOUR(TRANSACTIONS!$A395),MINUTE(TRANSACTIONS!$A395),SECOND(TRANSACTIONS!$A395)),"")</f>
        <v/>
      </c>
      <c r="D395" s="42"/>
      <c r="E395" s="42"/>
      <c r="F395" s="43"/>
      <c r="G395" s="46" t="str">
        <f>IF(AND(A395&lt;&gt;"",F395&gt;1),IF(TRANSACTIONS!$E395=RAPPORTS!$F$9,0,IF(OR(TRANSACTIONS!$D395=RAPPORTS!$A$13,TRANSACTIONS!$D395=RAPPORTS!#REF!),VLOOKUP(TRANSACTIONS!$F395,FRAIS_D_ENVOI,3,TRUE),0)),"")</f>
        <v/>
      </c>
      <c r="H395" s="46" t="str">
        <f>IFERROR(TRANSACTIONS!$F395+TRANSACTIONS!$G395,"")</f>
        <v/>
      </c>
      <c r="I395" s="44"/>
      <c r="J395" s="40" t="str">
        <f t="shared" si="6"/>
        <v/>
      </c>
    </row>
    <row r="396" spans="1:10" hidden="1" x14ac:dyDescent="0.25">
      <c r="A396" s="41"/>
      <c r="B396" s="48" t="str">
        <f>IF(A396&lt;&gt;"",DATE(YEAR(TRANSACTIONS!$A396),MONTH(TRANSACTIONS!$A396),DAY(TRANSACTIONS!$A396)),"")</f>
        <v/>
      </c>
      <c r="C396" s="49" t="str">
        <f>IF(A396&lt;&gt;"",TIME(HOUR(TRANSACTIONS!$A396),MINUTE(TRANSACTIONS!$A396),SECOND(TRANSACTIONS!$A396)),"")</f>
        <v/>
      </c>
      <c r="D396" s="42"/>
      <c r="E396" s="42"/>
      <c r="F396" s="43"/>
      <c r="G396" s="46" t="str">
        <f>IF(AND(A396&lt;&gt;"",F396&gt;1),IF(TRANSACTIONS!$E396=RAPPORTS!$F$9,0,IF(OR(TRANSACTIONS!$D396=RAPPORTS!$A$13,TRANSACTIONS!$D396=RAPPORTS!#REF!),VLOOKUP(TRANSACTIONS!$F396,FRAIS_D_ENVOI,3,TRUE),0)),"")</f>
        <v/>
      </c>
      <c r="H396" s="46" t="str">
        <f>IFERROR(TRANSACTIONS!$F396+TRANSACTIONS!$G396,"")</f>
        <v/>
      </c>
      <c r="I396" s="44"/>
      <c r="J396" s="40" t="str">
        <f t="shared" si="6"/>
        <v/>
      </c>
    </row>
    <row r="397" spans="1:10" hidden="1" x14ac:dyDescent="0.25">
      <c r="A397" s="41"/>
      <c r="B397" s="48" t="str">
        <f>IF(A397&lt;&gt;"",DATE(YEAR(TRANSACTIONS!$A397),MONTH(TRANSACTIONS!$A397),DAY(TRANSACTIONS!$A397)),"")</f>
        <v/>
      </c>
      <c r="C397" s="49" t="str">
        <f>IF(A397&lt;&gt;"",TIME(HOUR(TRANSACTIONS!$A397),MINUTE(TRANSACTIONS!$A397),SECOND(TRANSACTIONS!$A397)),"")</f>
        <v/>
      </c>
      <c r="D397" s="42"/>
      <c r="E397" s="42"/>
      <c r="F397" s="43"/>
      <c r="G397" s="46" t="str">
        <f>IF(AND(A397&lt;&gt;"",F397&gt;1),IF(TRANSACTIONS!$E397=RAPPORTS!$F$9,0,IF(OR(TRANSACTIONS!$D397=RAPPORTS!$A$13,TRANSACTIONS!$D397=RAPPORTS!#REF!),VLOOKUP(TRANSACTIONS!$F397,FRAIS_D_ENVOI,3,TRUE),0)),"")</f>
        <v/>
      </c>
      <c r="H397" s="46" t="str">
        <f>IFERROR(TRANSACTIONS!$F397+TRANSACTIONS!$G397,"")</f>
        <v/>
      </c>
      <c r="I397" s="44"/>
      <c r="J397" s="40" t="str">
        <f t="shared" si="6"/>
        <v/>
      </c>
    </row>
    <row r="398" spans="1:10" hidden="1" x14ac:dyDescent="0.25">
      <c r="A398" s="41"/>
      <c r="B398" s="48" t="str">
        <f>IF(A398&lt;&gt;"",DATE(YEAR(TRANSACTIONS!$A398),MONTH(TRANSACTIONS!$A398),DAY(TRANSACTIONS!$A398)),"")</f>
        <v/>
      </c>
      <c r="C398" s="49" t="str">
        <f>IF(A398&lt;&gt;"",TIME(HOUR(TRANSACTIONS!$A398),MINUTE(TRANSACTIONS!$A398),SECOND(TRANSACTIONS!$A398)),"")</f>
        <v/>
      </c>
      <c r="D398" s="42"/>
      <c r="E398" s="42"/>
      <c r="F398" s="43"/>
      <c r="G398" s="46" t="str">
        <f>IF(AND(A398&lt;&gt;"",F398&gt;1),IF(TRANSACTIONS!$E398=RAPPORTS!$F$9,0,IF(OR(TRANSACTIONS!$D398=RAPPORTS!$A$13,TRANSACTIONS!$D398=RAPPORTS!#REF!),VLOOKUP(TRANSACTIONS!$F398,FRAIS_D_ENVOI,3,TRUE),0)),"")</f>
        <v/>
      </c>
      <c r="H398" s="46" t="str">
        <f>IFERROR(TRANSACTIONS!$F398+TRANSACTIONS!$G398,"")</f>
        <v/>
      </c>
      <c r="I398" s="44"/>
      <c r="J398" s="40" t="str">
        <f t="shared" si="6"/>
        <v/>
      </c>
    </row>
    <row r="399" spans="1:10" hidden="1" x14ac:dyDescent="0.25">
      <c r="A399" s="41"/>
      <c r="B399" s="48" t="str">
        <f>IF(A399&lt;&gt;"",DATE(YEAR(TRANSACTIONS!$A399),MONTH(TRANSACTIONS!$A399),DAY(TRANSACTIONS!$A399)),"")</f>
        <v/>
      </c>
      <c r="C399" s="49" t="str">
        <f>IF(A399&lt;&gt;"",TIME(HOUR(TRANSACTIONS!$A399),MINUTE(TRANSACTIONS!$A399),SECOND(TRANSACTIONS!$A399)),"")</f>
        <v/>
      </c>
      <c r="D399" s="42"/>
      <c r="E399" s="42"/>
      <c r="F399" s="43"/>
      <c r="G399" s="46" t="str">
        <f>IF(AND(A399&lt;&gt;"",F399&gt;1),IF(TRANSACTIONS!$E399=RAPPORTS!$F$9,0,IF(OR(TRANSACTIONS!$D399=RAPPORTS!$A$13,TRANSACTIONS!$D399=RAPPORTS!#REF!),VLOOKUP(TRANSACTIONS!$F399,FRAIS_D_ENVOI,3,TRUE),0)),"")</f>
        <v/>
      </c>
      <c r="H399" s="46" t="str">
        <f>IFERROR(TRANSACTIONS!$F399+TRANSACTIONS!$G399,"")</f>
        <v/>
      </c>
      <c r="I399" s="44"/>
      <c r="J399" s="40" t="str">
        <f t="shared" si="6"/>
        <v/>
      </c>
    </row>
    <row r="400" spans="1:10" hidden="1" x14ac:dyDescent="0.25">
      <c r="A400" s="41"/>
      <c r="B400" s="48" t="str">
        <f>IF(A400&lt;&gt;"",DATE(YEAR(TRANSACTIONS!$A400),MONTH(TRANSACTIONS!$A400),DAY(TRANSACTIONS!$A400)),"")</f>
        <v/>
      </c>
      <c r="C400" s="49" t="str">
        <f>IF(A400&lt;&gt;"",TIME(HOUR(TRANSACTIONS!$A400),MINUTE(TRANSACTIONS!$A400),SECOND(TRANSACTIONS!$A400)),"")</f>
        <v/>
      </c>
      <c r="D400" s="42"/>
      <c r="E400" s="42"/>
      <c r="F400" s="43"/>
      <c r="G400" s="46" t="str">
        <f>IF(AND(A400&lt;&gt;"",F400&gt;1),IF(TRANSACTIONS!$E400=RAPPORTS!$F$9,0,IF(OR(TRANSACTIONS!$D400=RAPPORTS!$A$13,TRANSACTIONS!$D400=RAPPORTS!#REF!),VLOOKUP(TRANSACTIONS!$F400,FRAIS_D_ENVOI,3,TRUE),0)),"")</f>
        <v/>
      </c>
      <c r="H400" s="46" t="str">
        <f>IFERROR(TRANSACTIONS!$F400+TRANSACTIONS!$G400,"")</f>
        <v/>
      </c>
      <c r="I400" s="44"/>
      <c r="J400" s="40" t="str">
        <f t="shared" si="6"/>
        <v/>
      </c>
    </row>
    <row r="401" spans="1:10" hidden="1" x14ac:dyDescent="0.25">
      <c r="A401" s="41"/>
      <c r="B401" s="48" t="str">
        <f>IF(A401&lt;&gt;"",DATE(YEAR(TRANSACTIONS!$A401),MONTH(TRANSACTIONS!$A401),DAY(TRANSACTIONS!$A401)),"")</f>
        <v/>
      </c>
      <c r="C401" s="49" t="str">
        <f>IF(A401&lt;&gt;"",TIME(HOUR(TRANSACTIONS!$A401),MINUTE(TRANSACTIONS!$A401),SECOND(TRANSACTIONS!$A401)),"")</f>
        <v/>
      </c>
      <c r="D401" s="42"/>
      <c r="E401" s="42"/>
      <c r="F401" s="43"/>
      <c r="G401" s="46" t="str">
        <f>IF(AND(A401&lt;&gt;"",F401&gt;1),IF(TRANSACTIONS!$E401=RAPPORTS!$F$9,0,IF(OR(TRANSACTIONS!$D401=RAPPORTS!$A$13,TRANSACTIONS!$D401=RAPPORTS!#REF!),VLOOKUP(TRANSACTIONS!$F401,FRAIS_D_ENVOI,3,TRUE),0)),"")</f>
        <v/>
      </c>
      <c r="H401" s="46" t="str">
        <f>IFERROR(TRANSACTIONS!$F401+TRANSACTIONS!$G401,"")</f>
        <v/>
      </c>
      <c r="I401" s="44"/>
      <c r="J401" s="40" t="str">
        <f t="shared" si="6"/>
        <v/>
      </c>
    </row>
    <row r="402" spans="1:10" hidden="1" x14ac:dyDescent="0.25">
      <c r="A402" s="41"/>
      <c r="B402" s="48" t="str">
        <f>IF(A402&lt;&gt;"",DATE(YEAR(TRANSACTIONS!$A402),MONTH(TRANSACTIONS!$A402),DAY(TRANSACTIONS!$A402)),"")</f>
        <v/>
      </c>
      <c r="C402" s="49" t="str">
        <f>IF(A402&lt;&gt;"",TIME(HOUR(TRANSACTIONS!$A402),MINUTE(TRANSACTIONS!$A402),SECOND(TRANSACTIONS!$A402)),"")</f>
        <v/>
      </c>
      <c r="D402" s="42"/>
      <c r="E402" s="42"/>
      <c r="F402" s="43"/>
      <c r="G402" s="46" t="str">
        <f>IF(AND(A402&lt;&gt;"",F402&gt;1),IF(TRANSACTIONS!$E402=RAPPORTS!$F$9,0,IF(OR(TRANSACTIONS!$D402=RAPPORTS!$A$13,TRANSACTIONS!$D402=RAPPORTS!#REF!),VLOOKUP(TRANSACTIONS!$F402,FRAIS_D_ENVOI,3,TRUE),0)),"")</f>
        <v/>
      </c>
      <c r="H402" s="46" t="str">
        <f>IFERROR(TRANSACTIONS!$F402+TRANSACTIONS!$G402,"")</f>
        <v/>
      </c>
      <c r="I402" s="44"/>
      <c r="J402" s="40" t="str">
        <f t="shared" si="6"/>
        <v/>
      </c>
    </row>
    <row r="403" spans="1:10" hidden="1" x14ac:dyDescent="0.25">
      <c r="A403" s="41"/>
      <c r="B403" s="48" t="str">
        <f>IF(A403&lt;&gt;"",DATE(YEAR(TRANSACTIONS!$A403),MONTH(TRANSACTIONS!$A403),DAY(TRANSACTIONS!$A403)),"")</f>
        <v/>
      </c>
      <c r="C403" s="49" t="str">
        <f>IF(A403&lt;&gt;"",TIME(HOUR(TRANSACTIONS!$A403),MINUTE(TRANSACTIONS!$A403),SECOND(TRANSACTIONS!$A403)),"")</f>
        <v/>
      </c>
      <c r="D403" s="42"/>
      <c r="E403" s="42"/>
      <c r="F403" s="43"/>
      <c r="G403" s="46" t="str">
        <f>IF(AND(A403&lt;&gt;"",F403&gt;1),IF(TRANSACTIONS!$E403=RAPPORTS!$F$9,0,IF(OR(TRANSACTIONS!$D403=RAPPORTS!$A$13,TRANSACTIONS!$D403=RAPPORTS!#REF!),VLOOKUP(TRANSACTIONS!$F403,FRAIS_D_ENVOI,3,TRUE),0)),"")</f>
        <v/>
      </c>
      <c r="H403" s="46" t="str">
        <f>IFERROR(TRANSACTIONS!$F403+TRANSACTIONS!$G403,"")</f>
        <v/>
      </c>
      <c r="I403" s="44"/>
      <c r="J403" s="40" t="str">
        <f t="shared" si="6"/>
        <v/>
      </c>
    </row>
    <row r="404" spans="1:10" hidden="1" x14ac:dyDescent="0.25">
      <c r="A404" s="41"/>
      <c r="B404" s="48" t="str">
        <f>IF(A404&lt;&gt;"",DATE(YEAR(TRANSACTIONS!$A404),MONTH(TRANSACTIONS!$A404),DAY(TRANSACTIONS!$A404)),"")</f>
        <v/>
      </c>
      <c r="C404" s="49" t="str">
        <f>IF(A404&lt;&gt;"",TIME(HOUR(TRANSACTIONS!$A404),MINUTE(TRANSACTIONS!$A404),SECOND(TRANSACTIONS!$A404)),"")</f>
        <v/>
      </c>
      <c r="D404" s="42"/>
      <c r="E404" s="42"/>
      <c r="F404" s="43"/>
      <c r="G404" s="46" t="str">
        <f>IF(AND(A404&lt;&gt;"",F404&gt;1),IF(TRANSACTIONS!$E404=RAPPORTS!$F$9,0,IF(OR(TRANSACTIONS!$D404=RAPPORTS!$A$13,TRANSACTIONS!$D404=RAPPORTS!#REF!),VLOOKUP(TRANSACTIONS!$F404,FRAIS_D_ENVOI,3,TRUE),0)),"")</f>
        <v/>
      </c>
      <c r="H404" s="46" t="str">
        <f>IFERROR(TRANSACTIONS!$F404+TRANSACTIONS!$G404,"")</f>
        <v/>
      </c>
      <c r="I404" s="44"/>
      <c r="J404" s="40" t="str">
        <f t="shared" si="6"/>
        <v/>
      </c>
    </row>
    <row r="405" spans="1:10" hidden="1" x14ac:dyDescent="0.25">
      <c r="A405" s="41"/>
      <c r="B405" s="48" t="str">
        <f>IF(A405&lt;&gt;"",DATE(YEAR(TRANSACTIONS!$A405),MONTH(TRANSACTIONS!$A405),DAY(TRANSACTIONS!$A405)),"")</f>
        <v/>
      </c>
      <c r="C405" s="49" t="str">
        <f>IF(A405&lt;&gt;"",TIME(HOUR(TRANSACTIONS!$A405),MINUTE(TRANSACTIONS!$A405),SECOND(TRANSACTIONS!$A405)),"")</f>
        <v/>
      </c>
      <c r="D405" s="42"/>
      <c r="E405" s="42"/>
      <c r="F405" s="43"/>
      <c r="G405" s="46" t="str">
        <f>IF(AND(A405&lt;&gt;"",F405&gt;1),IF(TRANSACTIONS!$E405=RAPPORTS!$F$9,0,IF(OR(TRANSACTIONS!$D405=RAPPORTS!$A$13,TRANSACTIONS!$D405=RAPPORTS!#REF!),VLOOKUP(TRANSACTIONS!$F405,FRAIS_D_ENVOI,3,TRUE),0)),"")</f>
        <v/>
      </c>
      <c r="H405" s="46" t="str">
        <f>IFERROR(TRANSACTIONS!$F405+TRANSACTIONS!$G405,"")</f>
        <v/>
      </c>
      <c r="I405" s="44"/>
      <c r="J405" s="40" t="str">
        <f t="shared" si="6"/>
        <v/>
      </c>
    </row>
    <row r="406" spans="1:10" hidden="1" x14ac:dyDescent="0.25">
      <c r="A406" s="41"/>
      <c r="B406" s="48" t="str">
        <f>IF(A406&lt;&gt;"",DATE(YEAR(TRANSACTIONS!$A406),MONTH(TRANSACTIONS!$A406),DAY(TRANSACTIONS!$A406)),"")</f>
        <v/>
      </c>
      <c r="C406" s="49" t="str">
        <f>IF(A406&lt;&gt;"",TIME(HOUR(TRANSACTIONS!$A406),MINUTE(TRANSACTIONS!$A406),SECOND(TRANSACTIONS!$A406)),"")</f>
        <v/>
      </c>
      <c r="D406" s="42"/>
      <c r="E406" s="42"/>
      <c r="F406" s="43"/>
      <c r="G406" s="46" t="str">
        <f>IF(AND(A406&lt;&gt;"",F406&gt;1),IF(TRANSACTIONS!$E406=RAPPORTS!$F$9,0,IF(OR(TRANSACTIONS!$D406=RAPPORTS!$A$13,TRANSACTIONS!$D406=RAPPORTS!#REF!),VLOOKUP(TRANSACTIONS!$F406,FRAIS_D_ENVOI,3,TRUE),0)),"")</f>
        <v/>
      </c>
      <c r="H406" s="46" t="str">
        <f>IFERROR(TRANSACTIONS!$F406+TRANSACTIONS!$G406,"")</f>
        <v/>
      </c>
      <c r="I406" s="44"/>
      <c r="J406" s="40" t="str">
        <f t="shared" si="6"/>
        <v/>
      </c>
    </row>
    <row r="407" spans="1:10" hidden="1" x14ac:dyDescent="0.25">
      <c r="A407" s="41"/>
      <c r="B407" s="48" t="str">
        <f>IF(A407&lt;&gt;"",DATE(YEAR(TRANSACTIONS!$A407),MONTH(TRANSACTIONS!$A407),DAY(TRANSACTIONS!$A407)),"")</f>
        <v/>
      </c>
      <c r="C407" s="49" t="str">
        <f>IF(A407&lt;&gt;"",TIME(HOUR(TRANSACTIONS!$A407),MINUTE(TRANSACTIONS!$A407),SECOND(TRANSACTIONS!$A407)),"")</f>
        <v/>
      </c>
      <c r="D407" s="42"/>
      <c r="E407" s="42"/>
      <c r="F407" s="43"/>
      <c r="G407" s="46" t="str">
        <f>IF(AND(A407&lt;&gt;"",F407&gt;1),IF(TRANSACTIONS!$E407=RAPPORTS!$F$9,0,IF(OR(TRANSACTIONS!$D407=RAPPORTS!$A$13,TRANSACTIONS!$D407=RAPPORTS!#REF!),VLOOKUP(TRANSACTIONS!$F407,FRAIS_D_ENVOI,3,TRUE),0)),"")</f>
        <v/>
      </c>
      <c r="H407" s="46" t="str">
        <f>IFERROR(TRANSACTIONS!$F407+TRANSACTIONS!$G407,"")</f>
        <v/>
      </c>
      <c r="I407" s="44"/>
      <c r="J407" s="40" t="str">
        <f t="shared" si="6"/>
        <v/>
      </c>
    </row>
    <row r="408" spans="1:10" hidden="1" x14ac:dyDescent="0.25">
      <c r="A408" s="41"/>
      <c r="B408" s="48" t="str">
        <f>IF(A408&lt;&gt;"",DATE(YEAR(TRANSACTIONS!$A408),MONTH(TRANSACTIONS!$A408),DAY(TRANSACTIONS!$A408)),"")</f>
        <v/>
      </c>
      <c r="C408" s="49" t="str">
        <f>IF(A408&lt;&gt;"",TIME(HOUR(TRANSACTIONS!$A408),MINUTE(TRANSACTIONS!$A408),SECOND(TRANSACTIONS!$A408)),"")</f>
        <v/>
      </c>
      <c r="D408" s="42"/>
      <c r="E408" s="42"/>
      <c r="F408" s="43"/>
      <c r="G408" s="46" t="str">
        <f>IF(AND(A408&lt;&gt;"",F408&gt;1),IF(TRANSACTIONS!$E408=RAPPORTS!$F$9,0,IF(OR(TRANSACTIONS!$D408=RAPPORTS!$A$13,TRANSACTIONS!$D408=RAPPORTS!#REF!),VLOOKUP(TRANSACTIONS!$F408,FRAIS_D_ENVOI,3,TRUE),0)),"")</f>
        <v/>
      </c>
      <c r="H408" s="46" t="str">
        <f>IFERROR(TRANSACTIONS!$F408+TRANSACTIONS!$G408,"")</f>
        <v/>
      </c>
      <c r="I408" s="44"/>
      <c r="J408" s="40" t="str">
        <f t="shared" si="6"/>
        <v/>
      </c>
    </row>
    <row r="409" spans="1:10" hidden="1" x14ac:dyDescent="0.25">
      <c r="A409" s="41"/>
      <c r="B409" s="48" t="str">
        <f>IF(A409&lt;&gt;"",DATE(YEAR(TRANSACTIONS!$A409),MONTH(TRANSACTIONS!$A409),DAY(TRANSACTIONS!$A409)),"")</f>
        <v/>
      </c>
      <c r="C409" s="49" t="str">
        <f>IF(A409&lt;&gt;"",TIME(HOUR(TRANSACTIONS!$A409),MINUTE(TRANSACTIONS!$A409),SECOND(TRANSACTIONS!$A409)),"")</f>
        <v/>
      </c>
      <c r="D409" s="42"/>
      <c r="E409" s="42"/>
      <c r="F409" s="43"/>
      <c r="G409" s="46" t="str">
        <f>IF(AND(A409&lt;&gt;"",F409&gt;1),IF(TRANSACTIONS!$E409=RAPPORTS!$F$9,0,IF(OR(TRANSACTIONS!$D409=RAPPORTS!$A$13,TRANSACTIONS!$D409=RAPPORTS!#REF!),VLOOKUP(TRANSACTIONS!$F409,FRAIS_D_ENVOI,3,TRUE),0)),"")</f>
        <v/>
      </c>
      <c r="H409" s="46" t="str">
        <f>IFERROR(TRANSACTIONS!$F409+TRANSACTIONS!$G409,"")</f>
        <v/>
      </c>
      <c r="I409" s="44"/>
      <c r="J409" s="40" t="str">
        <f t="shared" si="6"/>
        <v/>
      </c>
    </row>
    <row r="410" spans="1:10" hidden="1" x14ac:dyDescent="0.25">
      <c r="A410" s="41"/>
      <c r="B410" s="48" t="str">
        <f>IF(A410&lt;&gt;"",DATE(YEAR(TRANSACTIONS!$A410),MONTH(TRANSACTIONS!$A410),DAY(TRANSACTIONS!$A410)),"")</f>
        <v/>
      </c>
      <c r="C410" s="49" t="str">
        <f>IF(A410&lt;&gt;"",TIME(HOUR(TRANSACTIONS!$A410),MINUTE(TRANSACTIONS!$A410),SECOND(TRANSACTIONS!$A410)),"")</f>
        <v/>
      </c>
      <c r="D410" s="42"/>
      <c r="E410" s="42"/>
      <c r="F410" s="43"/>
      <c r="G410" s="46" t="str">
        <f>IF(AND(A410&lt;&gt;"",F410&gt;1),IF(TRANSACTIONS!$E410=RAPPORTS!$F$9,0,IF(OR(TRANSACTIONS!$D410=RAPPORTS!$A$13,TRANSACTIONS!$D410=RAPPORTS!#REF!),VLOOKUP(TRANSACTIONS!$F410,FRAIS_D_ENVOI,3,TRUE),0)),"")</f>
        <v/>
      </c>
      <c r="H410" s="46" t="str">
        <f>IFERROR(TRANSACTIONS!$F410+TRANSACTIONS!$G410,"")</f>
        <v/>
      </c>
      <c r="I410" s="44"/>
      <c r="J410" s="40" t="str">
        <f t="shared" si="6"/>
        <v/>
      </c>
    </row>
    <row r="411" spans="1:10" hidden="1" x14ac:dyDescent="0.25">
      <c r="A411" s="41"/>
      <c r="B411" s="48" t="str">
        <f>IF(A411&lt;&gt;"",DATE(YEAR(TRANSACTIONS!$A411),MONTH(TRANSACTIONS!$A411),DAY(TRANSACTIONS!$A411)),"")</f>
        <v/>
      </c>
      <c r="C411" s="49" t="str">
        <f>IF(A411&lt;&gt;"",TIME(HOUR(TRANSACTIONS!$A411),MINUTE(TRANSACTIONS!$A411),SECOND(TRANSACTIONS!$A411)),"")</f>
        <v/>
      </c>
      <c r="D411" s="42"/>
      <c r="E411" s="42"/>
      <c r="F411" s="43"/>
      <c r="G411" s="46" t="str">
        <f>IF(AND(A411&lt;&gt;"",F411&gt;1),IF(TRANSACTIONS!$E411=RAPPORTS!$F$9,0,IF(OR(TRANSACTIONS!$D411=RAPPORTS!$A$13,TRANSACTIONS!$D411=RAPPORTS!#REF!),VLOOKUP(TRANSACTIONS!$F411,FRAIS_D_ENVOI,3,TRUE),0)),"")</f>
        <v/>
      </c>
      <c r="H411" s="46" t="str">
        <f>IFERROR(TRANSACTIONS!$F411+TRANSACTIONS!$G411,"")</f>
        <v/>
      </c>
      <c r="I411" s="44"/>
      <c r="J411" s="40" t="str">
        <f t="shared" si="6"/>
        <v/>
      </c>
    </row>
    <row r="412" spans="1:10" hidden="1" x14ac:dyDescent="0.25">
      <c r="A412" s="41"/>
      <c r="B412" s="48" t="str">
        <f>IF(A412&lt;&gt;"",DATE(YEAR(TRANSACTIONS!$A412),MONTH(TRANSACTIONS!$A412),DAY(TRANSACTIONS!$A412)),"")</f>
        <v/>
      </c>
      <c r="C412" s="49" t="str">
        <f>IF(A412&lt;&gt;"",TIME(HOUR(TRANSACTIONS!$A412),MINUTE(TRANSACTIONS!$A412),SECOND(TRANSACTIONS!$A412)),"")</f>
        <v/>
      </c>
      <c r="D412" s="42"/>
      <c r="E412" s="42"/>
      <c r="F412" s="43"/>
      <c r="G412" s="46" t="str">
        <f>IF(AND(A412&lt;&gt;"",F412&gt;1),IF(TRANSACTIONS!$E412=RAPPORTS!$F$9,0,IF(OR(TRANSACTIONS!$D412=RAPPORTS!$A$13,TRANSACTIONS!$D412=RAPPORTS!#REF!),VLOOKUP(TRANSACTIONS!$F412,FRAIS_D_ENVOI,3,TRUE),0)),"")</f>
        <v/>
      </c>
      <c r="H412" s="46" t="str">
        <f>IFERROR(TRANSACTIONS!$F412+TRANSACTIONS!$G412,"")</f>
        <v/>
      </c>
      <c r="I412" s="44"/>
      <c r="J412" s="40" t="str">
        <f t="shared" si="6"/>
        <v/>
      </c>
    </row>
    <row r="413" spans="1:10" hidden="1" x14ac:dyDescent="0.25">
      <c r="A413" s="41"/>
      <c r="B413" s="48" t="str">
        <f>IF(A413&lt;&gt;"",DATE(YEAR(TRANSACTIONS!$A413),MONTH(TRANSACTIONS!$A413),DAY(TRANSACTIONS!$A413)),"")</f>
        <v/>
      </c>
      <c r="C413" s="49" t="str">
        <f>IF(A413&lt;&gt;"",TIME(HOUR(TRANSACTIONS!$A413),MINUTE(TRANSACTIONS!$A413),SECOND(TRANSACTIONS!$A413)),"")</f>
        <v/>
      </c>
      <c r="D413" s="42"/>
      <c r="E413" s="42"/>
      <c r="F413" s="43"/>
      <c r="G413" s="46" t="str">
        <f>IF(AND(A413&lt;&gt;"",F413&gt;1),IF(TRANSACTIONS!$E413=RAPPORTS!$F$9,0,IF(OR(TRANSACTIONS!$D413=RAPPORTS!$A$13,TRANSACTIONS!$D413=RAPPORTS!#REF!),VLOOKUP(TRANSACTIONS!$F413,FRAIS_D_ENVOI,3,TRUE),0)),"")</f>
        <v/>
      </c>
      <c r="H413" s="46" t="str">
        <f>IFERROR(TRANSACTIONS!$F413+TRANSACTIONS!$G413,"")</f>
        <v/>
      </c>
      <c r="I413" s="44"/>
      <c r="J413" s="40" t="str">
        <f t="shared" si="6"/>
        <v/>
      </c>
    </row>
    <row r="414" spans="1:10" hidden="1" x14ac:dyDescent="0.25">
      <c r="A414" s="41"/>
      <c r="B414" s="48" t="str">
        <f>IF(A414&lt;&gt;"",DATE(YEAR(TRANSACTIONS!$A414),MONTH(TRANSACTIONS!$A414),DAY(TRANSACTIONS!$A414)),"")</f>
        <v/>
      </c>
      <c r="C414" s="49" t="str">
        <f>IF(A414&lt;&gt;"",TIME(HOUR(TRANSACTIONS!$A414),MINUTE(TRANSACTIONS!$A414),SECOND(TRANSACTIONS!$A414)),"")</f>
        <v/>
      </c>
      <c r="D414" s="42"/>
      <c r="E414" s="42"/>
      <c r="F414" s="43"/>
      <c r="G414" s="46" t="str">
        <f>IF(AND(A414&lt;&gt;"",F414&gt;1),IF(TRANSACTIONS!$E414=RAPPORTS!$F$9,0,IF(OR(TRANSACTIONS!$D414=RAPPORTS!$A$13,TRANSACTIONS!$D414=RAPPORTS!#REF!),VLOOKUP(TRANSACTIONS!$F414,FRAIS_D_ENVOI,3,TRUE),0)),"")</f>
        <v/>
      </c>
      <c r="H414" s="46" t="str">
        <f>IFERROR(TRANSACTIONS!$F414+TRANSACTIONS!$G414,"")</f>
        <v/>
      </c>
      <c r="I414" s="44"/>
      <c r="J414" s="40" t="str">
        <f t="shared" si="6"/>
        <v/>
      </c>
    </row>
    <row r="415" spans="1:10" hidden="1" x14ac:dyDescent="0.25">
      <c r="A415" s="41"/>
      <c r="B415" s="48" t="str">
        <f>IF(A415&lt;&gt;"",DATE(YEAR(TRANSACTIONS!$A415),MONTH(TRANSACTIONS!$A415),DAY(TRANSACTIONS!$A415)),"")</f>
        <v/>
      </c>
      <c r="C415" s="49" t="str">
        <f>IF(A415&lt;&gt;"",TIME(HOUR(TRANSACTIONS!$A415),MINUTE(TRANSACTIONS!$A415),SECOND(TRANSACTIONS!$A415)),"")</f>
        <v/>
      </c>
      <c r="D415" s="42"/>
      <c r="E415" s="42"/>
      <c r="F415" s="43"/>
      <c r="G415" s="46" t="str">
        <f>IF(AND(A415&lt;&gt;"",F415&gt;1),IF(TRANSACTIONS!$E415=RAPPORTS!$F$9,0,IF(OR(TRANSACTIONS!$D415=RAPPORTS!$A$13,TRANSACTIONS!$D415=RAPPORTS!#REF!),VLOOKUP(TRANSACTIONS!$F415,FRAIS_D_ENVOI,3,TRUE),0)),"")</f>
        <v/>
      </c>
      <c r="H415" s="46" t="str">
        <f>IFERROR(TRANSACTIONS!$F415+TRANSACTIONS!$G415,"")</f>
        <v/>
      </c>
      <c r="I415" s="44"/>
      <c r="J415" s="40" t="str">
        <f t="shared" si="6"/>
        <v/>
      </c>
    </row>
    <row r="416" spans="1:10" hidden="1" x14ac:dyDescent="0.25">
      <c r="A416" s="41"/>
      <c r="B416" s="48" t="str">
        <f>IF(A416&lt;&gt;"",DATE(YEAR(TRANSACTIONS!$A416),MONTH(TRANSACTIONS!$A416),DAY(TRANSACTIONS!$A416)),"")</f>
        <v/>
      </c>
      <c r="C416" s="49" t="str">
        <f>IF(A416&lt;&gt;"",TIME(HOUR(TRANSACTIONS!$A416),MINUTE(TRANSACTIONS!$A416),SECOND(TRANSACTIONS!$A416)),"")</f>
        <v/>
      </c>
      <c r="D416" s="42"/>
      <c r="E416" s="42"/>
      <c r="F416" s="43"/>
      <c r="G416" s="46" t="str">
        <f>IF(AND(A416&lt;&gt;"",F416&gt;1),IF(TRANSACTIONS!$E416=RAPPORTS!$F$9,0,IF(OR(TRANSACTIONS!$D416=RAPPORTS!$A$13,TRANSACTIONS!$D416=RAPPORTS!#REF!),VLOOKUP(TRANSACTIONS!$F416,FRAIS_D_ENVOI,3,TRUE),0)),"")</f>
        <v/>
      </c>
      <c r="H416" s="46" t="str">
        <f>IFERROR(TRANSACTIONS!$F416+TRANSACTIONS!$G416,"")</f>
        <v/>
      </c>
      <c r="I416" s="44"/>
      <c r="J416" s="40" t="str">
        <f t="shared" si="6"/>
        <v/>
      </c>
    </row>
    <row r="417" spans="1:10" hidden="1" x14ac:dyDescent="0.25">
      <c r="A417" s="41"/>
      <c r="B417" s="48" t="str">
        <f>IF(A417&lt;&gt;"",DATE(YEAR(TRANSACTIONS!$A417),MONTH(TRANSACTIONS!$A417),DAY(TRANSACTIONS!$A417)),"")</f>
        <v/>
      </c>
      <c r="C417" s="49" t="str">
        <f>IF(A417&lt;&gt;"",TIME(HOUR(TRANSACTIONS!$A417),MINUTE(TRANSACTIONS!$A417),SECOND(TRANSACTIONS!$A417)),"")</f>
        <v/>
      </c>
      <c r="D417" s="42"/>
      <c r="E417" s="42"/>
      <c r="F417" s="43"/>
      <c r="G417" s="46" t="str">
        <f>IF(AND(A417&lt;&gt;"",F417&gt;1),IF(TRANSACTIONS!$E417=RAPPORTS!$F$9,0,IF(OR(TRANSACTIONS!$D417=RAPPORTS!$A$13,TRANSACTIONS!$D417=RAPPORTS!#REF!),VLOOKUP(TRANSACTIONS!$F417,FRAIS_D_ENVOI,3,TRUE),0)),"")</f>
        <v/>
      </c>
      <c r="H417" s="46" t="str">
        <f>IFERROR(TRANSACTIONS!$F417+TRANSACTIONS!$G417,"")</f>
        <v/>
      </c>
      <c r="I417" s="44"/>
      <c r="J417" s="40" t="str">
        <f t="shared" si="6"/>
        <v/>
      </c>
    </row>
    <row r="418" spans="1:10" hidden="1" x14ac:dyDescent="0.25">
      <c r="A418" s="41"/>
      <c r="B418" s="48" t="str">
        <f>IF(A418&lt;&gt;"",DATE(YEAR(TRANSACTIONS!$A418),MONTH(TRANSACTIONS!$A418),DAY(TRANSACTIONS!$A418)),"")</f>
        <v/>
      </c>
      <c r="C418" s="49" t="str">
        <f>IF(A418&lt;&gt;"",TIME(HOUR(TRANSACTIONS!$A418),MINUTE(TRANSACTIONS!$A418),SECOND(TRANSACTIONS!$A418)),"")</f>
        <v/>
      </c>
      <c r="D418" s="42"/>
      <c r="E418" s="42"/>
      <c r="F418" s="43"/>
      <c r="G418" s="46" t="str">
        <f>IF(AND(A418&lt;&gt;"",F418&gt;1),IF(TRANSACTIONS!$E418=RAPPORTS!$F$9,0,IF(OR(TRANSACTIONS!$D418=RAPPORTS!$A$13,TRANSACTIONS!$D418=RAPPORTS!#REF!),VLOOKUP(TRANSACTIONS!$F418,FRAIS_D_ENVOI,3,TRUE),0)),"")</f>
        <v/>
      </c>
      <c r="H418" s="46" t="str">
        <f>IFERROR(TRANSACTIONS!$F418+TRANSACTIONS!$G418,"")</f>
        <v/>
      </c>
      <c r="I418" s="44"/>
      <c r="J418" s="40" t="str">
        <f t="shared" si="6"/>
        <v/>
      </c>
    </row>
    <row r="419" spans="1:10" hidden="1" x14ac:dyDescent="0.25">
      <c r="A419" s="41"/>
      <c r="B419" s="48" t="str">
        <f>IF(A419&lt;&gt;"",DATE(YEAR(TRANSACTIONS!$A419),MONTH(TRANSACTIONS!$A419),DAY(TRANSACTIONS!$A419)),"")</f>
        <v/>
      </c>
      <c r="C419" s="49" t="str">
        <f>IF(A419&lt;&gt;"",TIME(HOUR(TRANSACTIONS!$A419),MINUTE(TRANSACTIONS!$A419),SECOND(TRANSACTIONS!$A419)),"")</f>
        <v/>
      </c>
      <c r="D419" s="42"/>
      <c r="E419" s="42"/>
      <c r="F419" s="43"/>
      <c r="G419" s="46" t="str">
        <f>IF(AND(A419&lt;&gt;"",F419&gt;1),IF(TRANSACTIONS!$E419=RAPPORTS!$F$9,0,IF(OR(TRANSACTIONS!$D419=RAPPORTS!$A$13,TRANSACTIONS!$D419=RAPPORTS!#REF!),VLOOKUP(TRANSACTIONS!$F419,FRAIS_D_ENVOI,3,TRUE),0)),"")</f>
        <v/>
      </c>
      <c r="H419" s="46" t="str">
        <f>IFERROR(TRANSACTIONS!$F419+TRANSACTIONS!$G419,"")</f>
        <v/>
      </c>
      <c r="I419" s="44"/>
      <c r="J419" s="40" t="str">
        <f t="shared" si="6"/>
        <v/>
      </c>
    </row>
    <row r="420" spans="1:10" hidden="1" x14ac:dyDescent="0.25">
      <c r="A420" s="41"/>
      <c r="B420" s="48" t="str">
        <f>IF(A420&lt;&gt;"",DATE(YEAR(TRANSACTIONS!$A420),MONTH(TRANSACTIONS!$A420),DAY(TRANSACTIONS!$A420)),"")</f>
        <v/>
      </c>
      <c r="C420" s="49" t="str">
        <f>IF(A420&lt;&gt;"",TIME(HOUR(TRANSACTIONS!$A420),MINUTE(TRANSACTIONS!$A420),SECOND(TRANSACTIONS!$A420)),"")</f>
        <v/>
      </c>
      <c r="D420" s="42"/>
      <c r="E420" s="42"/>
      <c r="F420" s="43"/>
      <c r="G420" s="46" t="str">
        <f>IF(AND(A420&lt;&gt;"",F420&gt;1),IF(TRANSACTIONS!$E420=RAPPORTS!$F$9,0,IF(OR(TRANSACTIONS!$D420=RAPPORTS!$A$13,TRANSACTIONS!$D420=RAPPORTS!#REF!),VLOOKUP(TRANSACTIONS!$F420,FRAIS_D_ENVOI,3,TRUE),0)),"")</f>
        <v/>
      </c>
      <c r="H420" s="46" t="str">
        <f>IFERROR(TRANSACTIONS!$F420+TRANSACTIONS!$G420,"")</f>
        <v/>
      </c>
      <c r="I420" s="44"/>
      <c r="J420" s="40" t="str">
        <f t="shared" si="6"/>
        <v/>
      </c>
    </row>
    <row r="421" spans="1:10" hidden="1" x14ac:dyDescent="0.25">
      <c r="A421" s="41"/>
      <c r="B421" s="48" t="str">
        <f>IF(A421&lt;&gt;"",DATE(YEAR(TRANSACTIONS!$A421),MONTH(TRANSACTIONS!$A421),DAY(TRANSACTIONS!$A421)),"")</f>
        <v/>
      </c>
      <c r="C421" s="49" t="str">
        <f>IF(A421&lt;&gt;"",TIME(HOUR(TRANSACTIONS!$A421),MINUTE(TRANSACTIONS!$A421),SECOND(TRANSACTIONS!$A421)),"")</f>
        <v/>
      </c>
      <c r="D421" s="42"/>
      <c r="E421" s="42"/>
      <c r="F421" s="43"/>
      <c r="G421" s="46" t="str">
        <f>IF(AND(A421&lt;&gt;"",F421&gt;1),IF(TRANSACTIONS!$E421=RAPPORTS!$F$9,0,IF(OR(TRANSACTIONS!$D421=RAPPORTS!$A$13,TRANSACTIONS!$D421=RAPPORTS!#REF!),VLOOKUP(TRANSACTIONS!$F421,FRAIS_D_ENVOI,3,TRUE),0)),"")</f>
        <v/>
      </c>
      <c r="H421" s="46" t="str">
        <f>IFERROR(TRANSACTIONS!$F421+TRANSACTIONS!$G421,"")</f>
        <v/>
      </c>
      <c r="I421" s="44"/>
      <c r="J421" s="40" t="str">
        <f t="shared" si="6"/>
        <v/>
      </c>
    </row>
    <row r="422" spans="1:10" hidden="1" x14ac:dyDescent="0.25">
      <c r="A422" s="41"/>
      <c r="B422" s="48" t="str">
        <f>IF(A422&lt;&gt;"",DATE(YEAR(TRANSACTIONS!$A422),MONTH(TRANSACTIONS!$A422),DAY(TRANSACTIONS!$A422)),"")</f>
        <v/>
      </c>
      <c r="C422" s="49" t="str">
        <f>IF(A422&lt;&gt;"",TIME(HOUR(TRANSACTIONS!$A422),MINUTE(TRANSACTIONS!$A422),SECOND(TRANSACTIONS!$A422)),"")</f>
        <v/>
      </c>
      <c r="D422" s="42"/>
      <c r="E422" s="42"/>
      <c r="F422" s="43"/>
      <c r="G422" s="46" t="str">
        <f>IF(AND(A422&lt;&gt;"",F422&gt;1),IF(TRANSACTIONS!$E422=RAPPORTS!$F$9,0,IF(OR(TRANSACTIONS!$D422=RAPPORTS!$A$13,TRANSACTIONS!$D422=RAPPORTS!#REF!),VLOOKUP(TRANSACTIONS!$F422,FRAIS_D_ENVOI,3,TRUE),0)),"")</f>
        <v/>
      </c>
      <c r="H422" s="46" t="str">
        <f>IFERROR(TRANSACTIONS!$F422+TRANSACTIONS!$G422,"")</f>
        <v/>
      </c>
      <c r="I422" s="44"/>
      <c r="J422" s="40" t="str">
        <f t="shared" si="6"/>
        <v/>
      </c>
    </row>
    <row r="423" spans="1:10" hidden="1" x14ac:dyDescent="0.25">
      <c r="A423" s="41"/>
      <c r="B423" s="48" t="str">
        <f>IF(A423&lt;&gt;"",DATE(YEAR(TRANSACTIONS!$A423),MONTH(TRANSACTIONS!$A423),DAY(TRANSACTIONS!$A423)),"")</f>
        <v/>
      </c>
      <c r="C423" s="49" t="str">
        <f>IF(A423&lt;&gt;"",TIME(HOUR(TRANSACTIONS!$A423),MINUTE(TRANSACTIONS!$A423),SECOND(TRANSACTIONS!$A423)),"")</f>
        <v/>
      </c>
      <c r="D423" s="42"/>
      <c r="E423" s="42"/>
      <c r="F423" s="43"/>
      <c r="G423" s="46" t="str">
        <f>IF(AND(A423&lt;&gt;"",F423&gt;1),IF(TRANSACTIONS!$E423=RAPPORTS!$F$9,0,IF(OR(TRANSACTIONS!$D423=RAPPORTS!$A$13,TRANSACTIONS!$D423=RAPPORTS!#REF!),VLOOKUP(TRANSACTIONS!$F423,FRAIS_D_ENVOI,3,TRUE),0)),"")</f>
        <v/>
      </c>
      <c r="H423" s="46" t="str">
        <f>IFERROR(TRANSACTIONS!$F423+TRANSACTIONS!$G423,"")</f>
        <v/>
      </c>
      <c r="I423" s="44"/>
      <c r="J423" s="40" t="str">
        <f t="shared" si="6"/>
        <v/>
      </c>
    </row>
    <row r="424" spans="1:10" hidden="1" x14ac:dyDescent="0.25">
      <c r="A424" s="41"/>
      <c r="B424" s="48" t="str">
        <f>IF(A424&lt;&gt;"",DATE(YEAR(TRANSACTIONS!$A424),MONTH(TRANSACTIONS!$A424),DAY(TRANSACTIONS!$A424)),"")</f>
        <v/>
      </c>
      <c r="C424" s="49" t="str">
        <f>IF(A424&lt;&gt;"",TIME(HOUR(TRANSACTIONS!$A424),MINUTE(TRANSACTIONS!$A424),SECOND(TRANSACTIONS!$A424)),"")</f>
        <v/>
      </c>
      <c r="D424" s="42"/>
      <c r="E424" s="42"/>
      <c r="F424" s="43"/>
      <c r="G424" s="46" t="str">
        <f>IF(AND(A424&lt;&gt;"",F424&gt;1),IF(TRANSACTIONS!$E424=RAPPORTS!$F$9,0,IF(OR(TRANSACTIONS!$D424=RAPPORTS!$A$13,TRANSACTIONS!$D424=RAPPORTS!#REF!),VLOOKUP(TRANSACTIONS!$F424,FRAIS_D_ENVOI,3,TRUE),0)),"")</f>
        <v/>
      </c>
      <c r="H424" s="46" t="str">
        <f>IFERROR(TRANSACTIONS!$F424+TRANSACTIONS!$G424,"")</f>
        <v/>
      </c>
      <c r="I424" s="44"/>
      <c r="J424" s="40" t="str">
        <f t="shared" si="6"/>
        <v/>
      </c>
    </row>
    <row r="425" spans="1:10" hidden="1" x14ac:dyDescent="0.25">
      <c r="A425" s="41"/>
      <c r="B425" s="48" t="str">
        <f>IF(A425&lt;&gt;"",DATE(YEAR(TRANSACTIONS!$A425),MONTH(TRANSACTIONS!$A425),DAY(TRANSACTIONS!$A425)),"")</f>
        <v/>
      </c>
      <c r="C425" s="49" t="str">
        <f>IF(A425&lt;&gt;"",TIME(HOUR(TRANSACTIONS!$A425),MINUTE(TRANSACTIONS!$A425),SECOND(TRANSACTIONS!$A425)),"")</f>
        <v/>
      </c>
      <c r="D425" s="42"/>
      <c r="E425" s="42"/>
      <c r="F425" s="43"/>
      <c r="G425" s="46" t="str">
        <f>IF(AND(A425&lt;&gt;"",F425&gt;1),IF(TRANSACTIONS!$E425=RAPPORTS!$F$9,0,IF(OR(TRANSACTIONS!$D425=RAPPORTS!$A$13,TRANSACTIONS!$D425=RAPPORTS!#REF!),VLOOKUP(TRANSACTIONS!$F425,FRAIS_D_ENVOI,3,TRUE),0)),"")</f>
        <v/>
      </c>
      <c r="H425" s="46" t="str">
        <f>IFERROR(TRANSACTIONS!$F425+TRANSACTIONS!$G425,"")</f>
        <v/>
      </c>
      <c r="I425" s="44"/>
      <c r="J425" s="40" t="str">
        <f t="shared" si="6"/>
        <v/>
      </c>
    </row>
    <row r="426" spans="1:10" hidden="1" x14ac:dyDescent="0.25">
      <c r="A426" s="41"/>
      <c r="B426" s="48" t="str">
        <f>IF(A426&lt;&gt;"",DATE(YEAR(TRANSACTIONS!$A426),MONTH(TRANSACTIONS!$A426),DAY(TRANSACTIONS!$A426)),"")</f>
        <v/>
      </c>
      <c r="C426" s="49" t="str">
        <f>IF(A426&lt;&gt;"",TIME(HOUR(TRANSACTIONS!$A426),MINUTE(TRANSACTIONS!$A426),SECOND(TRANSACTIONS!$A426)),"")</f>
        <v/>
      </c>
      <c r="D426" s="42"/>
      <c r="E426" s="42"/>
      <c r="F426" s="43"/>
      <c r="G426" s="46" t="str">
        <f>IF(AND(A426&lt;&gt;"",F426&gt;1),IF(TRANSACTIONS!$E426=RAPPORTS!$F$9,0,IF(OR(TRANSACTIONS!$D426=RAPPORTS!$A$13,TRANSACTIONS!$D426=RAPPORTS!#REF!),VLOOKUP(TRANSACTIONS!$F426,FRAIS_D_ENVOI,3,TRUE),0)),"")</f>
        <v/>
      </c>
      <c r="H426" s="46" t="str">
        <f>IFERROR(TRANSACTIONS!$F426+TRANSACTIONS!$G426,"")</f>
        <v/>
      </c>
      <c r="I426" s="44"/>
      <c r="J426" s="40" t="str">
        <f t="shared" si="6"/>
        <v/>
      </c>
    </row>
    <row r="427" spans="1:10" hidden="1" x14ac:dyDescent="0.25">
      <c r="A427" s="41"/>
      <c r="B427" s="48" t="str">
        <f>IF(A427&lt;&gt;"",DATE(YEAR(TRANSACTIONS!$A427),MONTH(TRANSACTIONS!$A427),DAY(TRANSACTIONS!$A427)),"")</f>
        <v/>
      </c>
      <c r="C427" s="49" t="str">
        <f>IF(A427&lt;&gt;"",TIME(HOUR(TRANSACTIONS!$A427),MINUTE(TRANSACTIONS!$A427),SECOND(TRANSACTIONS!$A427)),"")</f>
        <v/>
      </c>
      <c r="D427" s="42"/>
      <c r="E427" s="42"/>
      <c r="F427" s="43"/>
      <c r="G427" s="46" t="str">
        <f>IF(AND(A427&lt;&gt;"",F427&gt;1),IF(TRANSACTIONS!$E427=RAPPORTS!$F$9,0,IF(OR(TRANSACTIONS!$D427=RAPPORTS!$A$13,TRANSACTIONS!$D427=RAPPORTS!#REF!),VLOOKUP(TRANSACTIONS!$F427,FRAIS_D_ENVOI,3,TRUE),0)),"")</f>
        <v/>
      </c>
      <c r="H427" s="46" t="str">
        <f>IFERROR(TRANSACTIONS!$F427+TRANSACTIONS!$G427,"")</f>
        <v/>
      </c>
      <c r="I427" s="44"/>
      <c r="J427" s="40" t="str">
        <f t="shared" si="6"/>
        <v/>
      </c>
    </row>
    <row r="428" spans="1:10" hidden="1" x14ac:dyDescent="0.25">
      <c r="A428" s="41"/>
      <c r="B428" s="48" t="str">
        <f>IF(A428&lt;&gt;"",DATE(YEAR(TRANSACTIONS!$A428),MONTH(TRANSACTIONS!$A428),DAY(TRANSACTIONS!$A428)),"")</f>
        <v/>
      </c>
      <c r="C428" s="49" t="str">
        <f>IF(A428&lt;&gt;"",TIME(HOUR(TRANSACTIONS!$A428),MINUTE(TRANSACTIONS!$A428),SECOND(TRANSACTIONS!$A428)),"")</f>
        <v/>
      </c>
      <c r="D428" s="42"/>
      <c r="E428" s="42"/>
      <c r="F428" s="43"/>
      <c r="G428" s="46" t="str">
        <f>IF(AND(A428&lt;&gt;"",F428&gt;1),IF(TRANSACTIONS!$E428=RAPPORTS!$F$9,0,IF(OR(TRANSACTIONS!$D428=RAPPORTS!$A$13,TRANSACTIONS!$D428=RAPPORTS!#REF!),VLOOKUP(TRANSACTIONS!$F428,FRAIS_D_ENVOI,3,TRUE),0)),"")</f>
        <v/>
      </c>
      <c r="H428" s="46" t="str">
        <f>IFERROR(TRANSACTIONS!$F428+TRANSACTIONS!$G428,"")</f>
        <v/>
      </c>
      <c r="I428" s="44"/>
      <c r="J428" s="40" t="str">
        <f t="shared" si="6"/>
        <v/>
      </c>
    </row>
    <row r="429" spans="1:10" hidden="1" x14ac:dyDescent="0.25">
      <c r="A429" s="41"/>
      <c r="B429" s="48" t="str">
        <f>IF(A429&lt;&gt;"",DATE(YEAR(TRANSACTIONS!$A429),MONTH(TRANSACTIONS!$A429),DAY(TRANSACTIONS!$A429)),"")</f>
        <v/>
      </c>
      <c r="C429" s="49" t="str">
        <f>IF(A429&lt;&gt;"",TIME(HOUR(TRANSACTIONS!$A429),MINUTE(TRANSACTIONS!$A429),SECOND(TRANSACTIONS!$A429)),"")</f>
        <v/>
      </c>
      <c r="D429" s="42"/>
      <c r="E429" s="42"/>
      <c r="F429" s="43"/>
      <c r="G429" s="46" t="str">
        <f>IF(AND(A429&lt;&gt;"",F429&gt;1),IF(TRANSACTIONS!$E429=RAPPORTS!$F$9,0,IF(OR(TRANSACTIONS!$D429=RAPPORTS!$A$13,TRANSACTIONS!$D429=RAPPORTS!#REF!),VLOOKUP(TRANSACTIONS!$F429,FRAIS_D_ENVOI,3,TRUE),0)),"")</f>
        <v/>
      </c>
      <c r="H429" s="46" t="str">
        <f>IFERROR(TRANSACTIONS!$F429+TRANSACTIONS!$G429,"")</f>
        <v/>
      </c>
      <c r="I429" s="44"/>
      <c r="J429" s="40" t="str">
        <f t="shared" si="6"/>
        <v/>
      </c>
    </row>
    <row r="430" spans="1:10" hidden="1" x14ac:dyDescent="0.25">
      <c r="A430" s="41"/>
      <c r="B430" s="48" t="str">
        <f>IF(A430&lt;&gt;"",DATE(YEAR(TRANSACTIONS!$A430),MONTH(TRANSACTIONS!$A430),DAY(TRANSACTIONS!$A430)),"")</f>
        <v/>
      </c>
      <c r="C430" s="49" t="str">
        <f>IF(A430&lt;&gt;"",TIME(HOUR(TRANSACTIONS!$A430),MINUTE(TRANSACTIONS!$A430),SECOND(TRANSACTIONS!$A430)),"")</f>
        <v/>
      </c>
      <c r="D430" s="42"/>
      <c r="E430" s="42"/>
      <c r="F430" s="43"/>
      <c r="G430" s="46" t="str">
        <f>IF(AND(A430&lt;&gt;"",F430&gt;1),IF(TRANSACTIONS!$E430=RAPPORTS!$F$9,0,IF(OR(TRANSACTIONS!$D430=RAPPORTS!$A$13,TRANSACTIONS!$D430=RAPPORTS!#REF!),VLOOKUP(TRANSACTIONS!$F430,FRAIS_D_ENVOI,3,TRUE),0)),"")</f>
        <v/>
      </c>
      <c r="H430" s="46" t="str">
        <f>IFERROR(TRANSACTIONS!$F430+TRANSACTIONS!$G430,"")</f>
        <v/>
      </c>
      <c r="I430" s="44"/>
      <c r="J430" s="40" t="str">
        <f t="shared" si="6"/>
        <v/>
      </c>
    </row>
    <row r="431" spans="1:10" hidden="1" x14ac:dyDescent="0.25">
      <c r="A431" s="41"/>
      <c r="B431" s="48" t="str">
        <f>IF(A431&lt;&gt;"",DATE(YEAR(TRANSACTIONS!$A431),MONTH(TRANSACTIONS!$A431),DAY(TRANSACTIONS!$A431)),"")</f>
        <v/>
      </c>
      <c r="C431" s="49" t="str">
        <f>IF(A431&lt;&gt;"",TIME(HOUR(TRANSACTIONS!$A431),MINUTE(TRANSACTIONS!$A431),SECOND(TRANSACTIONS!$A431)),"")</f>
        <v/>
      </c>
      <c r="D431" s="42"/>
      <c r="E431" s="42"/>
      <c r="F431" s="43"/>
      <c r="G431" s="46" t="str">
        <f>IF(AND(A431&lt;&gt;"",F431&gt;1),IF(TRANSACTIONS!$E431=RAPPORTS!$F$9,0,IF(OR(TRANSACTIONS!$D431=RAPPORTS!$A$13,TRANSACTIONS!$D431=RAPPORTS!#REF!),VLOOKUP(TRANSACTIONS!$F431,FRAIS_D_ENVOI,3,TRUE),0)),"")</f>
        <v/>
      </c>
      <c r="H431" s="46" t="str">
        <f>IFERROR(TRANSACTIONS!$F431+TRANSACTIONS!$G431,"")</f>
        <v/>
      </c>
      <c r="I431" s="44"/>
      <c r="J431" s="40" t="str">
        <f t="shared" si="6"/>
        <v/>
      </c>
    </row>
    <row r="432" spans="1:10" hidden="1" x14ac:dyDescent="0.25">
      <c r="A432" s="41"/>
      <c r="B432" s="48" t="str">
        <f>IF(A432&lt;&gt;"",DATE(YEAR(TRANSACTIONS!$A432),MONTH(TRANSACTIONS!$A432),DAY(TRANSACTIONS!$A432)),"")</f>
        <v/>
      </c>
      <c r="C432" s="49" t="str">
        <f>IF(A432&lt;&gt;"",TIME(HOUR(TRANSACTIONS!$A432),MINUTE(TRANSACTIONS!$A432),SECOND(TRANSACTIONS!$A432)),"")</f>
        <v/>
      </c>
      <c r="D432" s="42"/>
      <c r="E432" s="42"/>
      <c r="F432" s="43"/>
      <c r="G432" s="46" t="str">
        <f>IF(AND(A432&lt;&gt;"",F432&gt;1),IF(TRANSACTIONS!$E432=RAPPORTS!$F$9,0,IF(OR(TRANSACTIONS!$D432=RAPPORTS!$A$13,TRANSACTIONS!$D432=RAPPORTS!#REF!),VLOOKUP(TRANSACTIONS!$F432,FRAIS_D_ENVOI,3,TRUE),0)),"")</f>
        <v/>
      </c>
      <c r="H432" s="46" t="str">
        <f>IFERROR(TRANSACTIONS!$F432+TRANSACTIONS!$G432,"")</f>
        <v/>
      </c>
      <c r="I432" s="44"/>
      <c r="J432" s="40" t="str">
        <f t="shared" si="6"/>
        <v/>
      </c>
    </row>
    <row r="433" spans="1:10" hidden="1" x14ac:dyDescent="0.25">
      <c r="A433" s="41"/>
      <c r="B433" s="48" t="str">
        <f>IF(A433&lt;&gt;"",DATE(YEAR(TRANSACTIONS!$A433),MONTH(TRANSACTIONS!$A433),DAY(TRANSACTIONS!$A433)),"")</f>
        <v/>
      </c>
      <c r="C433" s="49" t="str">
        <f>IF(A433&lt;&gt;"",TIME(HOUR(TRANSACTIONS!$A433),MINUTE(TRANSACTIONS!$A433),SECOND(TRANSACTIONS!$A433)),"")</f>
        <v/>
      </c>
      <c r="D433" s="42"/>
      <c r="E433" s="42"/>
      <c r="F433" s="43"/>
      <c r="G433" s="46" t="str">
        <f>IF(AND(A433&lt;&gt;"",F433&gt;1),IF(TRANSACTIONS!$E433=RAPPORTS!$F$9,0,IF(OR(TRANSACTIONS!$D433=RAPPORTS!$A$13,TRANSACTIONS!$D433=RAPPORTS!#REF!),VLOOKUP(TRANSACTIONS!$F433,FRAIS_D_ENVOI,3,TRUE),0)),"")</f>
        <v/>
      </c>
      <c r="H433" s="46" t="str">
        <f>IFERROR(TRANSACTIONS!$F433+TRANSACTIONS!$G433,"")</f>
        <v/>
      </c>
      <c r="I433" s="44"/>
      <c r="J433" s="40" t="str">
        <f t="shared" si="6"/>
        <v/>
      </c>
    </row>
    <row r="434" spans="1:10" hidden="1" x14ac:dyDescent="0.25">
      <c r="A434" s="41"/>
      <c r="B434" s="48" t="str">
        <f>IF(A434&lt;&gt;"",DATE(YEAR(TRANSACTIONS!$A434),MONTH(TRANSACTIONS!$A434),DAY(TRANSACTIONS!$A434)),"")</f>
        <v/>
      </c>
      <c r="C434" s="49" t="str">
        <f>IF(A434&lt;&gt;"",TIME(HOUR(TRANSACTIONS!$A434),MINUTE(TRANSACTIONS!$A434),SECOND(TRANSACTIONS!$A434)),"")</f>
        <v/>
      </c>
      <c r="D434" s="42"/>
      <c r="E434" s="42"/>
      <c r="F434" s="43"/>
      <c r="G434" s="46" t="str">
        <f>IF(AND(A434&lt;&gt;"",F434&gt;1),IF(TRANSACTIONS!$E434=RAPPORTS!$F$9,0,IF(OR(TRANSACTIONS!$D434=RAPPORTS!$A$13,TRANSACTIONS!$D434=RAPPORTS!#REF!),VLOOKUP(TRANSACTIONS!$F434,FRAIS_D_ENVOI,3,TRUE),0)),"")</f>
        <v/>
      </c>
      <c r="H434" s="46" t="str">
        <f>IFERROR(TRANSACTIONS!$F434+TRANSACTIONS!$G434,"")</f>
        <v/>
      </c>
      <c r="I434" s="44"/>
      <c r="J434" s="40" t="str">
        <f t="shared" si="6"/>
        <v/>
      </c>
    </row>
    <row r="435" spans="1:10" hidden="1" x14ac:dyDescent="0.25">
      <c r="A435" s="41"/>
      <c r="B435" s="48" t="str">
        <f>IF(A435&lt;&gt;"",DATE(YEAR(TRANSACTIONS!$A435),MONTH(TRANSACTIONS!$A435),DAY(TRANSACTIONS!$A435)),"")</f>
        <v/>
      </c>
      <c r="C435" s="49" t="str">
        <f>IF(A435&lt;&gt;"",TIME(HOUR(TRANSACTIONS!$A435),MINUTE(TRANSACTIONS!$A435),SECOND(TRANSACTIONS!$A435)),"")</f>
        <v/>
      </c>
      <c r="D435" s="42"/>
      <c r="E435" s="42"/>
      <c r="F435" s="43"/>
      <c r="G435" s="46" t="str">
        <f>IF(AND(A435&lt;&gt;"",F435&gt;1),IF(TRANSACTIONS!$E435=RAPPORTS!$F$9,0,IF(OR(TRANSACTIONS!$D435=RAPPORTS!$A$13,TRANSACTIONS!$D435=RAPPORTS!#REF!),VLOOKUP(TRANSACTIONS!$F435,FRAIS_D_ENVOI,3,TRUE),0)),"")</f>
        <v/>
      </c>
      <c r="H435" s="46" t="str">
        <f>IFERROR(TRANSACTIONS!$F435+TRANSACTIONS!$G435,"")</f>
        <v/>
      </c>
      <c r="I435" s="44"/>
      <c r="J435" s="40" t="str">
        <f t="shared" si="6"/>
        <v/>
      </c>
    </row>
    <row r="436" spans="1:10" hidden="1" x14ac:dyDescent="0.25">
      <c r="A436" s="41"/>
      <c r="B436" s="48" t="str">
        <f>IF(A436&lt;&gt;"",DATE(YEAR(TRANSACTIONS!$A436),MONTH(TRANSACTIONS!$A436),DAY(TRANSACTIONS!$A436)),"")</f>
        <v/>
      </c>
      <c r="C436" s="49" t="str">
        <f>IF(A436&lt;&gt;"",TIME(HOUR(TRANSACTIONS!$A436),MINUTE(TRANSACTIONS!$A436),SECOND(TRANSACTIONS!$A436)),"")</f>
        <v/>
      </c>
      <c r="D436" s="42"/>
      <c r="E436" s="42"/>
      <c r="F436" s="43"/>
      <c r="G436" s="46" t="str">
        <f>IF(AND(A436&lt;&gt;"",F436&gt;1),IF(TRANSACTIONS!$E436=RAPPORTS!$F$9,0,IF(OR(TRANSACTIONS!$D436=RAPPORTS!$A$13,TRANSACTIONS!$D436=RAPPORTS!#REF!),VLOOKUP(TRANSACTIONS!$F436,FRAIS_D_ENVOI,3,TRUE),0)),"")</f>
        <v/>
      </c>
      <c r="H436" s="46" t="str">
        <f>IFERROR(TRANSACTIONS!$F436+TRANSACTIONS!$G436,"")</f>
        <v/>
      </c>
      <c r="I436" s="44"/>
      <c r="J436" s="40" t="str">
        <f t="shared" si="6"/>
        <v/>
      </c>
    </row>
    <row r="437" spans="1:10" hidden="1" x14ac:dyDescent="0.25">
      <c r="A437" s="41"/>
      <c r="B437" s="48" t="str">
        <f>IF(A437&lt;&gt;"",DATE(YEAR(TRANSACTIONS!$A437),MONTH(TRANSACTIONS!$A437),DAY(TRANSACTIONS!$A437)),"")</f>
        <v/>
      </c>
      <c r="C437" s="49" t="str">
        <f>IF(A437&lt;&gt;"",TIME(HOUR(TRANSACTIONS!$A437),MINUTE(TRANSACTIONS!$A437),SECOND(TRANSACTIONS!$A437)),"")</f>
        <v/>
      </c>
      <c r="D437" s="42"/>
      <c r="E437" s="42"/>
      <c r="F437" s="43"/>
      <c r="G437" s="46" t="str">
        <f>IF(AND(A437&lt;&gt;"",F437&gt;1),IF(TRANSACTIONS!$E437=RAPPORTS!$F$9,0,IF(OR(TRANSACTIONS!$D437=RAPPORTS!$A$13,TRANSACTIONS!$D437=RAPPORTS!#REF!),VLOOKUP(TRANSACTIONS!$F437,FRAIS_D_ENVOI,3,TRUE),0)),"")</f>
        <v/>
      </c>
      <c r="H437" s="46" t="str">
        <f>IFERROR(TRANSACTIONS!$F437+TRANSACTIONS!$G437,"")</f>
        <v/>
      </c>
      <c r="I437" s="44"/>
      <c r="J437" s="40" t="str">
        <f t="shared" si="6"/>
        <v/>
      </c>
    </row>
    <row r="438" spans="1:10" hidden="1" x14ac:dyDescent="0.25">
      <c r="A438" s="41"/>
      <c r="B438" s="48" t="str">
        <f>IF(A438&lt;&gt;"",DATE(YEAR(TRANSACTIONS!$A438),MONTH(TRANSACTIONS!$A438),DAY(TRANSACTIONS!$A438)),"")</f>
        <v/>
      </c>
      <c r="C438" s="49" t="str">
        <f>IF(A438&lt;&gt;"",TIME(HOUR(TRANSACTIONS!$A438),MINUTE(TRANSACTIONS!$A438),SECOND(TRANSACTIONS!$A438)),"")</f>
        <v/>
      </c>
      <c r="D438" s="42"/>
      <c r="E438" s="42"/>
      <c r="F438" s="43"/>
      <c r="G438" s="46" t="str">
        <f>IF(AND(A438&lt;&gt;"",F438&gt;1),IF(TRANSACTIONS!$E438=RAPPORTS!$F$9,0,IF(OR(TRANSACTIONS!$D438=RAPPORTS!$A$13,TRANSACTIONS!$D438=RAPPORTS!#REF!),VLOOKUP(TRANSACTIONS!$F438,FRAIS_D_ENVOI,3,TRUE),0)),"")</f>
        <v/>
      </c>
      <c r="H438" s="46" t="str">
        <f>IFERROR(TRANSACTIONS!$F438+TRANSACTIONS!$G438,"")</f>
        <v/>
      </c>
      <c r="I438" s="44"/>
      <c r="J438" s="40" t="str">
        <f t="shared" si="6"/>
        <v/>
      </c>
    </row>
    <row r="439" spans="1:10" hidden="1" x14ac:dyDescent="0.25">
      <c r="A439" s="41"/>
      <c r="B439" s="48" t="str">
        <f>IF(A439&lt;&gt;"",DATE(YEAR(TRANSACTIONS!$A439),MONTH(TRANSACTIONS!$A439),DAY(TRANSACTIONS!$A439)),"")</f>
        <v/>
      </c>
      <c r="C439" s="49" t="str">
        <f>IF(A439&lt;&gt;"",TIME(HOUR(TRANSACTIONS!$A439),MINUTE(TRANSACTIONS!$A439),SECOND(TRANSACTIONS!$A439)),"")</f>
        <v/>
      </c>
      <c r="D439" s="42"/>
      <c r="E439" s="42"/>
      <c r="F439" s="43"/>
      <c r="G439" s="46" t="str">
        <f>IF(AND(A439&lt;&gt;"",F439&gt;1),IF(TRANSACTIONS!$E439=RAPPORTS!$F$9,0,IF(OR(TRANSACTIONS!$D439=RAPPORTS!$A$13,TRANSACTIONS!$D439=RAPPORTS!#REF!),VLOOKUP(TRANSACTIONS!$F439,FRAIS_D_ENVOI,3,TRUE),0)),"")</f>
        <v/>
      </c>
      <c r="H439" s="46" t="str">
        <f>IFERROR(TRANSACTIONS!$F439+TRANSACTIONS!$G439,"")</f>
        <v/>
      </c>
      <c r="I439" s="44"/>
      <c r="J439" s="40" t="str">
        <f t="shared" si="6"/>
        <v/>
      </c>
    </row>
    <row r="440" spans="1:10" hidden="1" x14ac:dyDescent="0.25">
      <c r="A440" s="41"/>
      <c r="B440" s="48" t="str">
        <f>IF(A440&lt;&gt;"",DATE(YEAR(TRANSACTIONS!$A440),MONTH(TRANSACTIONS!$A440),DAY(TRANSACTIONS!$A440)),"")</f>
        <v/>
      </c>
      <c r="C440" s="49" t="str">
        <f>IF(A440&lt;&gt;"",TIME(HOUR(TRANSACTIONS!$A440),MINUTE(TRANSACTIONS!$A440),SECOND(TRANSACTIONS!$A440)),"")</f>
        <v/>
      </c>
      <c r="D440" s="42"/>
      <c r="E440" s="42"/>
      <c r="F440" s="43"/>
      <c r="G440" s="46" t="str">
        <f>IF(AND(A440&lt;&gt;"",F440&gt;1),IF(TRANSACTIONS!$E440=RAPPORTS!$F$9,0,IF(OR(TRANSACTIONS!$D440=RAPPORTS!$A$13,TRANSACTIONS!$D440=RAPPORTS!#REF!),VLOOKUP(TRANSACTIONS!$F440,FRAIS_D_ENVOI,3,TRUE),0)),"")</f>
        <v/>
      </c>
      <c r="H440" s="46" t="str">
        <f>IFERROR(TRANSACTIONS!$F440+TRANSACTIONS!$G440,"")</f>
        <v/>
      </c>
      <c r="I440" s="44"/>
      <c r="J440" s="40" t="str">
        <f t="shared" si="6"/>
        <v/>
      </c>
    </row>
    <row r="441" spans="1:10" hidden="1" x14ac:dyDescent="0.25">
      <c r="A441" s="41"/>
      <c r="B441" s="48" t="str">
        <f>IF(A441&lt;&gt;"",DATE(YEAR(TRANSACTIONS!$A441),MONTH(TRANSACTIONS!$A441),DAY(TRANSACTIONS!$A441)),"")</f>
        <v/>
      </c>
      <c r="C441" s="49" t="str">
        <f>IF(A441&lt;&gt;"",TIME(HOUR(TRANSACTIONS!$A441),MINUTE(TRANSACTIONS!$A441),SECOND(TRANSACTIONS!$A441)),"")</f>
        <v/>
      </c>
      <c r="D441" s="42"/>
      <c r="E441" s="42"/>
      <c r="F441" s="43"/>
      <c r="G441" s="46" t="str">
        <f>IF(AND(A441&lt;&gt;"",F441&gt;1),IF(TRANSACTIONS!$E441=RAPPORTS!$F$9,0,IF(OR(TRANSACTIONS!$D441=RAPPORTS!$A$13,TRANSACTIONS!$D441=RAPPORTS!#REF!),VLOOKUP(TRANSACTIONS!$F441,FRAIS_D_ENVOI,3,TRUE),0)),"")</f>
        <v/>
      </c>
      <c r="H441" s="46" t="str">
        <f>IFERROR(TRANSACTIONS!$F441+TRANSACTIONS!$G441,"")</f>
        <v/>
      </c>
      <c r="I441" s="44"/>
      <c r="J441" s="40" t="str">
        <f t="shared" si="6"/>
        <v/>
      </c>
    </row>
    <row r="442" spans="1:10" hidden="1" x14ac:dyDescent="0.25">
      <c r="A442" s="41"/>
      <c r="B442" s="48" t="str">
        <f>IF(A442&lt;&gt;"",DATE(YEAR(TRANSACTIONS!$A442),MONTH(TRANSACTIONS!$A442),DAY(TRANSACTIONS!$A442)),"")</f>
        <v/>
      </c>
      <c r="C442" s="49" t="str">
        <f>IF(A442&lt;&gt;"",TIME(HOUR(TRANSACTIONS!$A442),MINUTE(TRANSACTIONS!$A442),SECOND(TRANSACTIONS!$A442)),"")</f>
        <v/>
      </c>
      <c r="D442" s="42"/>
      <c r="E442" s="42"/>
      <c r="F442" s="43"/>
      <c r="G442" s="46" t="str">
        <f>IF(AND(A442&lt;&gt;"",F442&gt;1),IF(TRANSACTIONS!$E442=RAPPORTS!$F$9,0,IF(OR(TRANSACTIONS!$D442=RAPPORTS!$A$13,TRANSACTIONS!$D442=RAPPORTS!#REF!),VLOOKUP(TRANSACTIONS!$F442,FRAIS_D_ENVOI,3,TRUE),0)),"")</f>
        <v/>
      </c>
      <c r="H442" s="46" t="str">
        <f>IFERROR(TRANSACTIONS!$F442+TRANSACTIONS!$G442,"")</f>
        <v/>
      </c>
      <c r="I442" s="44"/>
      <c r="J442" s="40" t="str">
        <f t="shared" si="6"/>
        <v/>
      </c>
    </row>
    <row r="443" spans="1:10" hidden="1" x14ac:dyDescent="0.25">
      <c r="A443" s="41"/>
      <c r="B443" s="48" t="str">
        <f>IF(A443&lt;&gt;"",DATE(YEAR(TRANSACTIONS!$A443),MONTH(TRANSACTIONS!$A443),DAY(TRANSACTIONS!$A443)),"")</f>
        <v/>
      </c>
      <c r="C443" s="49" t="str">
        <f>IF(A443&lt;&gt;"",TIME(HOUR(TRANSACTIONS!$A443),MINUTE(TRANSACTIONS!$A443),SECOND(TRANSACTIONS!$A443)),"")</f>
        <v/>
      </c>
      <c r="D443" s="42"/>
      <c r="E443" s="42"/>
      <c r="F443" s="43"/>
      <c r="G443" s="46" t="str">
        <f>IF(AND(A443&lt;&gt;"",F443&gt;1),IF(TRANSACTIONS!$E443=RAPPORTS!$F$9,0,IF(OR(TRANSACTIONS!$D443=RAPPORTS!$A$13,TRANSACTIONS!$D443=RAPPORTS!#REF!),VLOOKUP(TRANSACTIONS!$F443,FRAIS_D_ENVOI,3,TRUE),0)),"")</f>
        <v/>
      </c>
      <c r="H443" s="46" t="str">
        <f>IFERROR(TRANSACTIONS!$F443+TRANSACTIONS!$G443,"")</f>
        <v/>
      </c>
      <c r="I443" s="44"/>
      <c r="J443" s="40" t="str">
        <f t="shared" si="6"/>
        <v/>
      </c>
    </row>
    <row r="444" spans="1:10" hidden="1" x14ac:dyDescent="0.25">
      <c r="A444" s="41"/>
      <c r="B444" s="48" t="str">
        <f>IF(A444&lt;&gt;"",DATE(YEAR(TRANSACTIONS!$A444),MONTH(TRANSACTIONS!$A444),DAY(TRANSACTIONS!$A444)),"")</f>
        <v/>
      </c>
      <c r="C444" s="49" t="str">
        <f>IF(A444&lt;&gt;"",TIME(HOUR(TRANSACTIONS!$A444),MINUTE(TRANSACTIONS!$A444),SECOND(TRANSACTIONS!$A444)),"")</f>
        <v/>
      </c>
      <c r="D444" s="42"/>
      <c r="E444" s="42"/>
      <c r="F444" s="43"/>
      <c r="G444" s="46" t="str">
        <f>IF(AND(A444&lt;&gt;"",F444&gt;1),IF(TRANSACTIONS!$E444=RAPPORTS!$F$9,0,IF(OR(TRANSACTIONS!$D444=RAPPORTS!$A$13,TRANSACTIONS!$D444=RAPPORTS!#REF!),VLOOKUP(TRANSACTIONS!$F444,FRAIS_D_ENVOI,3,TRUE),0)),"")</f>
        <v/>
      </c>
      <c r="H444" s="46" t="str">
        <f>IFERROR(TRANSACTIONS!$F444+TRANSACTIONS!$G444,"")</f>
        <v/>
      </c>
      <c r="I444" s="44"/>
      <c r="J444" s="40" t="str">
        <f t="shared" si="6"/>
        <v/>
      </c>
    </row>
    <row r="445" spans="1:10" hidden="1" x14ac:dyDescent="0.25">
      <c r="A445" s="41"/>
      <c r="B445" s="48" t="str">
        <f>IF(A445&lt;&gt;"",DATE(YEAR(TRANSACTIONS!$A445),MONTH(TRANSACTIONS!$A445),DAY(TRANSACTIONS!$A445)),"")</f>
        <v/>
      </c>
      <c r="C445" s="49" t="str">
        <f>IF(A445&lt;&gt;"",TIME(HOUR(TRANSACTIONS!$A445),MINUTE(TRANSACTIONS!$A445),SECOND(TRANSACTIONS!$A445)),"")</f>
        <v/>
      </c>
      <c r="D445" s="42"/>
      <c r="E445" s="42"/>
      <c r="F445" s="43"/>
      <c r="G445" s="46" t="str">
        <f>IF(AND(A445&lt;&gt;"",F445&gt;1),IF(TRANSACTIONS!$E445=RAPPORTS!$F$9,0,IF(OR(TRANSACTIONS!$D445=RAPPORTS!$A$13,TRANSACTIONS!$D445=RAPPORTS!#REF!),VLOOKUP(TRANSACTIONS!$F445,FRAIS_D_ENVOI,3,TRUE),0)),"")</f>
        <v/>
      </c>
      <c r="H445" s="46" t="str">
        <f>IFERROR(TRANSACTIONS!$F445+TRANSACTIONS!$G445,"")</f>
        <v/>
      </c>
      <c r="I445" s="44"/>
      <c r="J445" s="40" t="str">
        <f t="shared" si="6"/>
        <v/>
      </c>
    </row>
    <row r="446" spans="1:10" hidden="1" x14ac:dyDescent="0.25">
      <c r="A446" s="41"/>
      <c r="B446" s="48" t="str">
        <f>IF(A446&lt;&gt;"",DATE(YEAR(TRANSACTIONS!$A446),MONTH(TRANSACTIONS!$A446),DAY(TRANSACTIONS!$A446)),"")</f>
        <v/>
      </c>
      <c r="C446" s="49" t="str">
        <f>IF(A446&lt;&gt;"",TIME(HOUR(TRANSACTIONS!$A446),MINUTE(TRANSACTIONS!$A446),SECOND(TRANSACTIONS!$A446)),"")</f>
        <v/>
      </c>
      <c r="D446" s="42"/>
      <c r="E446" s="42"/>
      <c r="F446" s="43"/>
      <c r="G446" s="46" t="str">
        <f>IF(AND(A446&lt;&gt;"",F446&gt;1),IF(TRANSACTIONS!$E446=RAPPORTS!$F$9,0,IF(OR(TRANSACTIONS!$D446=RAPPORTS!$A$13,TRANSACTIONS!$D446=RAPPORTS!#REF!),VLOOKUP(TRANSACTIONS!$F446,FRAIS_D_ENVOI,3,TRUE),0)),"")</f>
        <v/>
      </c>
      <c r="H446" s="46" t="str">
        <f>IFERROR(TRANSACTIONS!$F446+TRANSACTIONS!$G446,"")</f>
        <v/>
      </c>
      <c r="I446" s="44"/>
      <c r="J446" s="40" t="str">
        <f t="shared" si="6"/>
        <v/>
      </c>
    </row>
    <row r="447" spans="1:10" hidden="1" x14ac:dyDescent="0.25">
      <c r="A447" s="41"/>
      <c r="B447" s="48" t="str">
        <f>IF(A447&lt;&gt;"",DATE(YEAR(TRANSACTIONS!$A447),MONTH(TRANSACTIONS!$A447),DAY(TRANSACTIONS!$A447)),"")</f>
        <v/>
      </c>
      <c r="C447" s="49" t="str">
        <f>IF(A447&lt;&gt;"",TIME(HOUR(TRANSACTIONS!$A447),MINUTE(TRANSACTIONS!$A447),SECOND(TRANSACTIONS!$A447)),"")</f>
        <v/>
      </c>
      <c r="D447" s="42"/>
      <c r="E447" s="42"/>
      <c r="F447" s="43"/>
      <c r="G447" s="46" t="str">
        <f>IF(AND(A447&lt;&gt;"",F447&gt;1),IF(TRANSACTIONS!$E447=RAPPORTS!$F$9,0,IF(OR(TRANSACTIONS!$D447=RAPPORTS!$A$13,TRANSACTIONS!$D447=RAPPORTS!#REF!),VLOOKUP(TRANSACTIONS!$F447,FRAIS_D_ENVOI,3,TRUE),0)),"")</f>
        <v/>
      </c>
      <c r="H447" s="46" t="str">
        <f>IFERROR(TRANSACTIONS!$F447+TRANSACTIONS!$G447,"")</f>
        <v/>
      </c>
      <c r="I447" s="44"/>
      <c r="J447" s="40" t="str">
        <f t="shared" si="6"/>
        <v/>
      </c>
    </row>
    <row r="448" spans="1:10" hidden="1" x14ac:dyDescent="0.25">
      <c r="A448" s="41"/>
      <c r="B448" s="48" t="str">
        <f>IF(A448&lt;&gt;"",DATE(YEAR(TRANSACTIONS!$A448),MONTH(TRANSACTIONS!$A448),DAY(TRANSACTIONS!$A448)),"")</f>
        <v/>
      </c>
      <c r="C448" s="49" t="str">
        <f>IF(A448&lt;&gt;"",TIME(HOUR(TRANSACTIONS!$A448),MINUTE(TRANSACTIONS!$A448),SECOND(TRANSACTIONS!$A448)),"")</f>
        <v/>
      </c>
      <c r="D448" s="42"/>
      <c r="E448" s="42"/>
      <c r="F448" s="43"/>
      <c r="G448" s="46" t="str">
        <f>IF(AND(A448&lt;&gt;"",F448&gt;1),IF(TRANSACTIONS!$E448=RAPPORTS!$F$9,0,IF(OR(TRANSACTIONS!$D448=RAPPORTS!$A$13,TRANSACTIONS!$D448=RAPPORTS!#REF!),VLOOKUP(TRANSACTIONS!$F448,FRAIS_D_ENVOI,3,TRUE),0)),"")</f>
        <v/>
      </c>
      <c r="H448" s="46" t="str">
        <f>IFERROR(TRANSACTIONS!$F448+TRANSACTIONS!$G448,"")</f>
        <v/>
      </c>
      <c r="I448" s="44"/>
      <c r="J448" s="40" t="str">
        <f t="shared" si="6"/>
        <v/>
      </c>
    </row>
    <row r="449" spans="1:10" hidden="1" x14ac:dyDescent="0.25">
      <c r="A449" s="41"/>
      <c r="B449" s="48" t="str">
        <f>IF(A449&lt;&gt;"",DATE(YEAR(TRANSACTIONS!$A449),MONTH(TRANSACTIONS!$A449),DAY(TRANSACTIONS!$A449)),"")</f>
        <v/>
      </c>
      <c r="C449" s="49" t="str">
        <f>IF(A449&lt;&gt;"",TIME(HOUR(TRANSACTIONS!$A449),MINUTE(TRANSACTIONS!$A449),SECOND(TRANSACTIONS!$A449)),"")</f>
        <v/>
      </c>
      <c r="D449" s="42"/>
      <c r="E449" s="42"/>
      <c r="F449" s="43"/>
      <c r="G449" s="46" t="str">
        <f>IF(AND(A449&lt;&gt;"",F449&gt;1),IF(TRANSACTIONS!$E449=RAPPORTS!$F$9,0,IF(OR(TRANSACTIONS!$D449=RAPPORTS!$A$13,TRANSACTIONS!$D449=RAPPORTS!#REF!),VLOOKUP(TRANSACTIONS!$F449,FRAIS_D_ENVOI,3,TRUE),0)),"")</f>
        <v/>
      </c>
      <c r="H449" s="46" t="str">
        <f>IFERROR(TRANSACTIONS!$F449+TRANSACTIONS!$G449,"")</f>
        <v/>
      </c>
      <c r="I449" s="44"/>
      <c r="J449" s="40" t="str">
        <f t="shared" si="6"/>
        <v/>
      </c>
    </row>
    <row r="450" spans="1:10" hidden="1" x14ac:dyDescent="0.25">
      <c r="A450" s="41"/>
      <c r="B450" s="48" t="str">
        <f>IF(A450&lt;&gt;"",DATE(YEAR(TRANSACTIONS!$A450),MONTH(TRANSACTIONS!$A450),DAY(TRANSACTIONS!$A450)),"")</f>
        <v/>
      </c>
      <c r="C450" s="49" t="str">
        <f>IF(A450&lt;&gt;"",TIME(HOUR(TRANSACTIONS!$A450),MINUTE(TRANSACTIONS!$A450),SECOND(TRANSACTIONS!$A450)),"")</f>
        <v/>
      </c>
      <c r="D450" s="42"/>
      <c r="E450" s="42"/>
      <c r="F450" s="43"/>
      <c r="G450" s="46" t="str">
        <f>IF(AND(A450&lt;&gt;"",F450&gt;1),IF(TRANSACTIONS!$E450=RAPPORTS!$F$9,0,IF(OR(TRANSACTIONS!$D450=RAPPORTS!$A$13,TRANSACTIONS!$D450=RAPPORTS!#REF!),VLOOKUP(TRANSACTIONS!$F450,FRAIS_D_ENVOI,3,TRUE),0)),"")</f>
        <v/>
      </c>
      <c r="H450" s="46" t="str">
        <f>IFERROR(TRANSACTIONS!$F450+TRANSACTIONS!$G450,"")</f>
        <v/>
      </c>
      <c r="I450" s="44"/>
      <c r="J450" s="40" t="str">
        <f t="shared" si="6"/>
        <v/>
      </c>
    </row>
    <row r="451" spans="1:10" hidden="1" x14ac:dyDescent="0.25">
      <c r="A451" s="41"/>
      <c r="B451" s="48" t="str">
        <f>IF(A451&lt;&gt;"",DATE(YEAR(TRANSACTIONS!$A451),MONTH(TRANSACTIONS!$A451),DAY(TRANSACTIONS!$A451)),"")</f>
        <v/>
      </c>
      <c r="C451" s="49" t="str">
        <f>IF(A451&lt;&gt;"",TIME(HOUR(TRANSACTIONS!$A451),MINUTE(TRANSACTIONS!$A451),SECOND(TRANSACTIONS!$A451)),"")</f>
        <v/>
      </c>
      <c r="D451" s="42"/>
      <c r="E451" s="42"/>
      <c r="F451" s="43"/>
      <c r="G451" s="46" t="str">
        <f>IF(AND(A451&lt;&gt;"",F451&gt;1),IF(TRANSACTIONS!$E451=RAPPORTS!$F$9,0,IF(OR(TRANSACTIONS!$D451=RAPPORTS!$A$13,TRANSACTIONS!$D451=RAPPORTS!#REF!),VLOOKUP(TRANSACTIONS!$F451,FRAIS_D_ENVOI,3,TRUE),0)),"")</f>
        <v/>
      </c>
      <c r="H451" s="46" t="str">
        <f>IFERROR(TRANSACTIONS!$F451+TRANSACTIONS!$G451,"")</f>
        <v/>
      </c>
      <c r="I451" s="44"/>
      <c r="J451" s="40" t="str">
        <f t="shared" si="6"/>
        <v/>
      </c>
    </row>
    <row r="452" spans="1:10" hidden="1" x14ac:dyDescent="0.25">
      <c r="A452" s="41"/>
      <c r="B452" s="48" t="str">
        <f>IF(A452&lt;&gt;"",DATE(YEAR(TRANSACTIONS!$A452),MONTH(TRANSACTIONS!$A452),DAY(TRANSACTIONS!$A452)),"")</f>
        <v/>
      </c>
      <c r="C452" s="49" t="str">
        <f>IF(A452&lt;&gt;"",TIME(HOUR(TRANSACTIONS!$A452),MINUTE(TRANSACTIONS!$A452),SECOND(TRANSACTIONS!$A452)),"")</f>
        <v/>
      </c>
      <c r="D452" s="42"/>
      <c r="E452" s="42"/>
      <c r="F452" s="43"/>
      <c r="G452" s="46" t="str">
        <f>IF(AND(A452&lt;&gt;"",F452&gt;1),IF(TRANSACTIONS!$E452=RAPPORTS!$F$9,0,IF(OR(TRANSACTIONS!$D452=RAPPORTS!$A$13,TRANSACTIONS!$D452=RAPPORTS!#REF!),VLOOKUP(TRANSACTIONS!$F452,FRAIS_D_ENVOI,3,TRUE),0)),"")</f>
        <v/>
      </c>
      <c r="H452" s="46" t="str">
        <f>IFERROR(TRANSACTIONS!$F452+TRANSACTIONS!$G452,"")</f>
        <v/>
      </c>
      <c r="I452" s="44"/>
      <c r="J452" s="40" t="str">
        <f t="shared" ref="J452:J515" si="7">IF(G452&lt;&gt;"",$J$1*G452,"")</f>
        <v/>
      </c>
    </row>
    <row r="453" spans="1:10" hidden="1" x14ac:dyDescent="0.25">
      <c r="A453" s="41"/>
      <c r="B453" s="48" t="str">
        <f>IF(A453&lt;&gt;"",DATE(YEAR(TRANSACTIONS!$A453),MONTH(TRANSACTIONS!$A453),DAY(TRANSACTIONS!$A453)),"")</f>
        <v/>
      </c>
      <c r="C453" s="49" t="str">
        <f>IF(A453&lt;&gt;"",TIME(HOUR(TRANSACTIONS!$A453),MINUTE(TRANSACTIONS!$A453),SECOND(TRANSACTIONS!$A453)),"")</f>
        <v/>
      </c>
      <c r="D453" s="42"/>
      <c r="E453" s="42"/>
      <c r="F453" s="43"/>
      <c r="G453" s="46" t="str">
        <f>IF(AND(A453&lt;&gt;"",F453&gt;1),IF(TRANSACTIONS!$E453=RAPPORTS!$F$9,0,IF(OR(TRANSACTIONS!$D453=RAPPORTS!$A$13,TRANSACTIONS!$D453=RAPPORTS!#REF!),VLOOKUP(TRANSACTIONS!$F453,FRAIS_D_ENVOI,3,TRUE),0)),"")</f>
        <v/>
      </c>
      <c r="H453" s="46" t="str">
        <f>IFERROR(TRANSACTIONS!$F453+TRANSACTIONS!$G453,"")</f>
        <v/>
      </c>
      <c r="I453" s="44"/>
      <c r="J453" s="40" t="str">
        <f t="shared" si="7"/>
        <v/>
      </c>
    </row>
    <row r="454" spans="1:10" hidden="1" x14ac:dyDescent="0.25">
      <c r="A454" s="41"/>
      <c r="B454" s="48" t="str">
        <f>IF(A454&lt;&gt;"",DATE(YEAR(TRANSACTIONS!$A454),MONTH(TRANSACTIONS!$A454),DAY(TRANSACTIONS!$A454)),"")</f>
        <v/>
      </c>
      <c r="C454" s="49" t="str">
        <f>IF(A454&lt;&gt;"",TIME(HOUR(TRANSACTIONS!$A454),MINUTE(TRANSACTIONS!$A454),SECOND(TRANSACTIONS!$A454)),"")</f>
        <v/>
      </c>
      <c r="D454" s="42"/>
      <c r="E454" s="42"/>
      <c r="F454" s="43"/>
      <c r="G454" s="46" t="str">
        <f>IF(AND(A454&lt;&gt;"",F454&gt;1),IF(TRANSACTIONS!$E454=RAPPORTS!$F$9,0,IF(OR(TRANSACTIONS!$D454=RAPPORTS!$A$13,TRANSACTIONS!$D454=RAPPORTS!#REF!),VLOOKUP(TRANSACTIONS!$F454,FRAIS_D_ENVOI,3,TRUE),0)),"")</f>
        <v/>
      </c>
      <c r="H454" s="46" t="str">
        <f>IFERROR(TRANSACTIONS!$F454+TRANSACTIONS!$G454,"")</f>
        <v/>
      </c>
      <c r="I454" s="44"/>
      <c r="J454" s="40" t="str">
        <f t="shared" si="7"/>
        <v/>
      </c>
    </row>
    <row r="455" spans="1:10" hidden="1" x14ac:dyDescent="0.25">
      <c r="A455" s="41"/>
      <c r="B455" s="48" t="str">
        <f>IF(A455&lt;&gt;"",DATE(YEAR(TRANSACTIONS!$A455),MONTH(TRANSACTIONS!$A455),DAY(TRANSACTIONS!$A455)),"")</f>
        <v/>
      </c>
      <c r="C455" s="49" t="str">
        <f>IF(A455&lt;&gt;"",TIME(HOUR(TRANSACTIONS!$A455),MINUTE(TRANSACTIONS!$A455),SECOND(TRANSACTIONS!$A455)),"")</f>
        <v/>
      </c>
      <c r="D455" s="42"/>
      <c r="E455" s="42"/>
      <c r="F455" s="43"/>
      <c r="G455" s="46" t="str">
        <f>IF(AND(A455&lt;&gt;"",F455&gt;1),IF(TRANSACTIONS!$E455=RAPPORTS!$F$9,0,IF(OR(TRANSACTIONS!$D455=RAPPORTS!$A$13,TRANSACTIONS!$D455=RAPPORTS!#REF!),VLOOKUP(TRANSACTIONS!$F455,FRAIS_D_ENVOI,3,TRUE),0)),"")</f>
        <v/>
      </c>
      <c r="H455" s="46" t="str">
        <f>IFERROR(TRANSACTIONS!$F455+TRANSACTIONS!$G455,"")</f>
        <v/>
      </c>
      <c r="I455" s="44"/>
      <c r="J455" s="40" t="str">
        <f t="shared" si="7"/>
        <v/>
      </c>
    </row>
    <row r="456" spans="1:10" hidden="1" x14ac:dyDescent="0.25">
      <c r="A456" s="41"/>
      <c r="B456" s="48" t="str">
        <f>IF(A456&lt;&gt;"",DATE(YEAR(TRANSACTIONS!$A456),MONTH(TRANSACTIONS!$A456),DAY(TRANSACTIONS!$A456)),"")</f>
        <v/>
      </c>
      <c r="C456" s="49" t="str">
        <f>IF(A456&lt;&gt;"",TIME(HOUR(TRANSACTIONS!$A456),MINUTE(TRANSACTIONS!$A456),SECOND(TRANSACTIONS!$A456)),"")</f>
        <v/>
      </c>
      <c r="D456" s="42"/>
      <c r="E456" s="42"/>
      <c r="F456" s="43"/>
      <c r="G456" s="46" t="str">
        <f>IF(AND(A456&lt;&gt;"",F456&gt;1),IF(TRANSACTIONS!$E456=RAPPORTS!$F$9,0,IF(OR(TRANSACTIONS!$D456=RAPPORTS!$A$13,TRANSACTIONS!$D456=RAPPORTS!#REF!),VLOOKUP(TRANSACTIONS!$F456,FRAIS_D_ENVOI,3,TRUE),0)),"")</f>
        <v/>
      </c>
      <c r="H456" s="46" t="str">
        <f>IFERROR(TRANSACTIONS!$F456+TRANSACTIONS!$G456,"")</f>
        <v/>
      </c>
      <c r="I456" s="44"/>
      <c r="J456" s="40" t="str">
        <f t="shared" si="7"/>
        <v/>
      </c>
    </row>
    <row r="457" spans="1:10" hidden="1" x14ac:dyDescent="0.25">
      <c r="A457" s="41"/>
      <c r="B457" s="48" t="str">
        <f>IF(A457&lt;&gt;"",DATE(YEAR(TRANSACTIONS!$A457),MONTH(TRANSACTIONS!$A457),DAY(TRANSACTIONS!$A457)),"")</f>
        <v/>
      </c>
      <c r="C457" s="49" t="str">
        <f>IF(A457&lt;&gt;"",TIME(HOUR(TRANSACTIONS!$A457),MINUTE(TRANSACTIONS!$A457),SECOND(TRANSACTIONS!$A457)),"")</f>
        <v/>
      </c>
      <c r="D457" s="42"/>
      <c r="E457" s="42"/>
      <c r="F457" s="43"/>
      <c r="G457" s="46" t="str">
        <f>IF(AND(A457&lt;&gt;"",F457&gt;1),IF(TRANSACTIONS!$E457=RAPPORTS!$F$9,0,IF(OR(TRANSACTIONS!$D457=RAPPORTS!$A$13,TRANSACTIONS!$D457=RAPPORTS!#REF!),VLOOKUP(TRANSACTIONS!$F457,FRAIS_D_ENVOI,3,TRUE),0)),"")</f>
        <v/>
      </c>
      <c r="H457" s="46" t="str">
        <f>IFERROR(TRANSACTIONS!$F457+TRANSACTIONS!$G457,"")</f>
        <v/>
      </c>
      <c r="I457" s="44"/>
      <c r="J457" s="40" t="str">
        <f t="shared" si="7"/>
        <v/>
      </c>
    </row>
    <row r="458" spans="1:10" hidden="1" x14ac:dyDescent="0.25">
      <c r="A458" s="41"/>
      <c r="B458" s="48" t="str">
        <f>IF(A458&lt;&gt;"",DATE(YEAR(TRANSACTIONS!$A458),MONTH(TRANSACTIONS!$A458),DAY(TRANSACTIONS!$A458)),"")</f>
        <v/>
      </c>
      <c r="C458" s="49" t="str">
        <f>IF(A458&lt;&gt;"",TIME(HOUR(TRANSACTIONS!$A458),MINUTE(TRANSACTIONS!$A458),SECOND(TRANSACTIONS!$A458)),"")</f>
        <v/>
      </c>
      <c r="D458" s="42"/>
      <c r="E458" s="42"/>
      <c r="F458" s="43"/>
      <c r="G458" s="46" t="str">
        <f>IF(AND(A458&lt;&gt;"",F458&gt;1),IF(TRANSACTIONS!$E458=RAPPORTS!$F$9,0,IF(OR(TRANSACTIONS!$D458=RAPPORTS!$A$13,TRANSACTIONS!$D458=RAPPORTS!#REF!),VLOOKUP(TRANSACTIONS!$F458,FRAIS_D_ENVOI,3,TRUE),0)),"")</f>
        <v/>
      </c>
      <c r="H458" s="46" t="str">
        <f>IFERROR(TRANSACTIONS!$F458+TRANSACTIONS!$G458,"")</f>
        <v/>
      </c>
      <c r="I458" s="44"/>
      <c r="J458" s="40" t="str">
        <f t="shared" si="7"/>
        <v/>
      </c>
    </row>
    <row r="459" spans="1:10" hidden="1" x14ac:dyDescent="0.25">
      <c r="A459" s="41"/>
      <c r="B459" s="48" t="str">
        <f>IF(A459&lt;&gt;"",DATE(YEAR(TRANSACTIONS!$A459),MONTH(TRANSACTIONS!$A459),DAY(TRANSACTIONS!$A459)),"")</f>
        <v/>
      </c>
      <c r="C459" s="49" t="str">
        <f>IF(A459&lt;&gt;"",TIME(HOUR(TRANSACTIONS!$A459),MINUTE(TRANSACTIONS!$A459),SECOND(TRANSACTIONS!$A459)),"")</f>
        <v/>
      </c>
      <c r="D459" s="42"/>
      <c r="E459" s="42"/>
      <c r="F459" s="43"/>
      <c r="G459" s="46" t="str">
        <f>IF(AND(A459&lt;&gt;"",F459&gt;1),IF(TRANSACTIONS!$E459=RAPPORTS!$F$9,0,IF(OR(TRANSACTIONS!$D459=RAPPORTS!$A$13,TRANSACTIONS!$D459=RAPPORTS!#REF!),VLOOKUP(TRANSACTIONS!$F459,FRAIS_D_ENVOI,3,TRUE),0)),"")</f>
        <v/>
      </c>
      <c r="H459" s="46" t="str">
        <f>IFERROR(TRANSACTIONS!$F459+TRANSACTIONS!$G459,"")</f>
        <v/>
      </c>
      <c r="I459" s="44"/>
      <c r="J459" s="40" t="str">
        <f t="shared" si="7"/>
        <v/>
      </c>
    </row>
    <row r="460" spans="1:10" hidden="1" x14ac:dyDescent="0.25">
      <c r="A460" s="41"/>
      <c r="B460" s="48" t="str">
        <f>IF(A460&lt;&gt;"",DATE(YEAR(TRANSACTIONS!$A460),MONTH(TRANSACTIONS!$A460),DAY(TRANSACTIONS!$A460)),"")</f>
        <v/>
      </c>
      <c r="C460" s="49" t="str">
        <f>IF(A460&lt;&gt;"",TIME(HOUR(TRANSACTIONS!$A460),MINUTE(TRANSACTIONS!$A460),SECOND(TRANSACTIONS!$A460)),"")</f>
        <v/>
      </c>
      <c r="D460" s="42"/>
      <c r="E460" s="42"/>
      <c r="F460" s="43"/>
      <c r="G460" s="46" t="str">
        <f>IF(AND(A460&lt;&gt;"",F460&gt;1),IF(TRANSACTIONS!$E460=RAPPORTS!$F$9,0,IF(OR(TRANSACTIONS!$D460=RAPPORTS!$A$13,TRANSACTIONS!$D460=RAPPORTS!#REF!),VLOOKUP(TRANSACTIONS!$F460,FRAIS_D_ENVOI,3,TRUE),0)),"")</f>
        <v/>
      </c>
      <c r="H460" s="46" t="str">
        <f>IFERROR(TRANSACTIONS!$F460+TRANSACTIONS!$G460,"")</f>
        <v/>
      </c>
      <c r="I460" s="44"/>
      <c r="J460" s="40" t="str">
        <f t="shared" si="7"/>
        <v/>
      </c>
    </row>
    <row r="461" spans="1:10" hidden="1" x14ac:dyDescent="0.25">
      <c r="A461" s="41"/>
      <c r="B461" s="48" t="str">
        <f>IF(A461&lt;&gt;"",DATE(YEAR(TRANSACTIONS!$A461),MONTH(TRANSACTIONS!$A461),DAY(TRANSACTIONS!$A461)),"")</f>
        <v/>
      </c>
      <c r="C461" s="49" t="str">
        <f>IF(A461&lt;&gt;"",TIME(HOUR(TRANSACTIONS!$A461),MINUTE(TRANSACTIONS!$A461),SECOND(TRANSACTIONS!$A461)),"")</f>
        <v/>
      </c>
      <c r="D461" s="42"/>
      <c r="E461" s="42"/>
      <c r="F461" s="43"/>
      <c r="G461" s="46" t="str">
        <f>IF(AND(A461&lt;&gt;"",F461&gt;1),IF(TRANSACTIONS!$E461=RAPPORTS!$F$9,0,IF(OR(TRANSACTIONS!$D461=RAPPORTS!$A$13,TRANSACTIONS!$D461=RAPPORTS!#REF!),VLOOKUP(TRANSACTIONS!$F461,FRAIS_D_ENVOI,3,TRUE),0)),"")</f>
        <v/>
      </c>
      <c r="H461" s="46" t="str">
        <f>IFERROR(TRANSACTIONS!$F461+TRANSACTIONS!$G461,"")</f>
        <v/>
      </c>
      <c r="I461" s="44"/>
      <c r="J461" s="40" t="str">
        <f t="shared" si="7"/>
        <v/>
      </c>
    </row>
    <row r="462" spans="1:10" hidden="1" x14ac:dyDescent="0.25">
      <c r="A462" s="41"/>
      <c r="B462" s="48" t="str">
        <f>IF(A462&lt;&gt;"",DATE(YEAR(TRANSACTIONS!$A462),MONTH(TRANSACTIONS!$A462),DAY(TRANSACTIONS!$A462)),"")</f>
        <v/>
      </c>
      <c r="C462" s="49" t="str">
        <f>IF(A462&lt;&gt;"",TIME(HOUR(TRANSACTIONS!$A462),MINUTE(TRANSACTIONS!$A462),SECOND(TRANSACTIONS!$A462)),"")</f>
        <v/>
      </c>
      <c r="D462" s="42"/>
      <c r="E462" s="42"/>
      <c r="F462" s="43"/>
      <c r="G462" s="46" t="str">
        <f>IF(AND(A462&lt;&gt;"",F462&gt;1),IF(TRANSACTIONS!$E462=RAPPORTS!$F$9,0,IF(OR(TRANSACTIONS!$D462=RAPPORTS!$A$13,TRANSACTIONS!$D462=RAPPORTS!#REF!),VLOOKUP(TRANSACTIONS!$F462,FRAIS_D_ENVOI,3,TRUE),0)),"")</f>
        <v/>
      </c>
      <c r="H462" s="46" t="str">
        <f>IFERROR(TRANSACTIONS!$F462+TRANSACTIONS!$G462,"")</f>
        <v/>
      </c>
      <c r="I462" s="44"/>
      <c r="J462" s="40" t="str">
        <f t="shared" si="7"/>
        <v/>
      </c>
    </row>
    <row r="463" spans="1:10" hidden="1" x14ac:dyDescent="0.25">
      <c r="A463" s="41"/>
      <c r="B463" s="48" t="str">
        <f>IF(A463&lt;&gt;"",DATE(YEAR(TRANSACTIONS!$A463),MONTH(TRANSACTIONS!$A463),DAY(TRANSACTIONS!$A463)),"")</f>
        <v/>
      </c>
      <c r="C463" s="49" t="str">
        <f>IF(A463&lt;&gt;"",TIME(HOUR(TRANSACTIONS!$A463),MINUTE(TRANSACTIONS!$A463),SECOND(TRANSACTIONS!$A463)),"")</f>
        <v/>
      </c>
      <c r="D463" s="42"/>
      <c r="E463" s="42"/>
      <c r="F463" s="43"/>
      <c r="G463" s="46" t="str">
        <f>IF(AND(A463&lt;&gt;"",F463&gt;1),IF(TRANSACTIONS!$E463=RAPPORTS!$F$9,0,IF(OR(TRANSACTIONS!$D463=RAPPORTS!$A$13,TRANSACTIONS!$D463=RAPPORTS!#REF!),VLOOKUP(TRANSACTIONS!$F463,FRAIS_D_ENVOI,3,TRUE),0)),"")</f>
        <v/>
      </c>
      <c r="H463" s="46" t="str">
        <f>IFERROR(TRANSACTIONS!$F463+TRANSACTIONS!$G463,"")</f>
        <v/>
      </c>
      <c r="I463" s="44"/>
      <c r="J463" s="40" t="str">
        <f t="shared" si="7"/>
        <v/>
      </c>
    </row>
    <row r="464" spans="1:10" hidden="1" x14ac:dyDescent="0.25">
      <c r="A464" s="41"/>
      <c r="B464" s="48" t="str">
        <f>IF(A464&lt;&gt;"",DATE(YEAR(TRANSACTIONS!$A464),MONTH(TRANSACTIONS!$A464),DAY(TRANSACTIONS!$A464)),"")</f>
        <v/>
      </c>
      <c r="C464" s="49" t="str">
        <f>IF(A464&lt;&gt;"",TIME(HOUR(TRANSACTIONS!$A464),MINUTE(TRANSACTIONS!$A464),SECOND(TRANSACTIONS!$A464)),"")</f>
        <v/>
      </c>
      <c r="D464" s="42"/>
      <c r="E464" s="42"/>
      <c r="F464" s="43"/>
      <c r="G464" s="46" t="str">
        <f>IF(AND(A464&lt;&gt;"",F464&gt;1),IF(TRANSACTIONS!$E464=RAPPORTS!$F$9,0,IF(OR(TRANSACTIONS!$D464=RAPPORTS!$A$13,TRANSACTIONS!$D464=RAPPORTS!#REF!),VLOOKUP(TRANSACTIONS!$F464,FRAIS_D_ENVOI,3,TRUE),0)),"")</f>
        <v/>
      </c>
      <c r="H464" s="46" t="str">
        <f>IFERROR(TRANSACTIONS!$F464+TRANSACTIONS!$G464,"")</f>
        <v/>
      </c>
      <c r="I464" s="44"/>
      <c r="J464" s="40" t="str">
        <f t="shared" si="7"/>
        <v/>
      </c>
    </row>
    <row r="465" spans="1:10" hidden="1" x14ac:dyDescent="0.25">
      <c r="A465" s="41"/>
      <c r="B465" s="48" t="str">
        <f>IF(A465&lt;&gt;"",DATE(YEAR(TRANSACTIONS!$A465),MONTH(TRANSACTIONS!$A465),DAY(TRANSACTIONS!$A465)),"")</f>
        <v/>
      </c>
      <c r="C465" s="49" t="str">
        <f>IF(A465&lt;&gt;"",TIME(HOUR(TRANSACTIONS!$A465),MINUTE(TRANSACTIONS!$A465),SECOND(TRANSACTIONS!$A465)),"")</f>
        <v/>
      </c>
      <c r="D465" s="42"/>
      <c r="E465" s="42"/>
      <c r="F465" s="43"/>
      <c r="G465" s="46" t="str">
        <f>IF(AND(A465&lt;&gt;"",F465&gt;1),IF(TRANSACTIONS!$E465=RAPPORTS!$F$9,0,IF(OR(TRANSACTIONS!$D465=RAPPORTS!$A$13,TRANSACTIONS!$D465=RAPPORTS!#REF!),VLOOKUP(TRANSACTIONS!$F465,FRAIS_D_ENVOI,3,TRUE),0)),"")</f>
        <v/>
      </c>
      <c r="H465" s="46" t="str">
        <f>IFERROR(TRANSACTIONS!$F465+TRANSACTIONS!$G465,"")</f>
        <v/>
      </c>
      <c r="I465" s="44"/>
      <c r="J465" s="40" t="str">
        <f t="shared" si="7"/>
        <v/>
      </c>
    </row>
    <row r="466" spans="1:10" hidden="1" x14ac:dyDescent="0.25">
      <c r="A466" s="41"/>
      <c r="B466" s="48" t="str">
        <f>IF(A466&lt;&gt;"",DATE(YEAR(TRANSACTIONS!$A466),MONTH(TRANSACTIONS!$A466),DAY(TRANSACTIONS!$A466)),"")</f>
        <v/>
      </c>
      <c r="C466" s="49" t="str">
        <f>IF(A466&lt;&gt;"",TIME(HOUR(TRANSACTIONS!$A466),MINUTE(TRANSACTIONS!$A466),SECOND(TRANSACTIONS!$A466)),"")</f>
        <v/>
      </c>
      <c r="D466" s="42"/>
      <c r="E466" s="42"/>
      <c r="F466" s="43"/>
      <c r="G466" s="46" t="str">
        <f>IF(AND(A466&lt;&gt;"",F466&gt;1),IF(TRANSACTIONS!$E466=RAPPORTS!$F$9,0,IF(OR(TRANSACTIONS!$D466=RAPPORTS!$A$13,TRANSACTIONS!$D466=RAPPORTS!#REF!),VLOOKUP(TRANSACTIONS!$F466,FRAIS_D_ENVOI,3,TRUE),0)),"")</f>
        <v/>
      </c>
      <c r="H466" s="46" t="str">
        <f>IFERROR(TRANSACTIONS!$F466+TRANSACTIONS!$G466,"")</f>
        <v/>
      </c>
      <c r="I466" s="44"/>
      <c r="J466" s="40" t="str">
        <f t="shared" si="7"/>
        <v/>
      </c>
    </row>
    <row r="467" spans="1:10" hidden="1" x14ac:dyDescent="0.25">
      <c r="A467" s="41"/>
      <c r="B467" s="48" t="str">
        <f>IF(A467&lt;&gt;"",DATE(YEAR(TRANSACTIONS!$A467),MONTH(TRANSACTIONS!$A467),DAY(TRANSACTIONS!$A467)),"")</f>
        <v/>
      </c>
      <c r="C467" s="49" t="str">
        <f>IF(A467&lt;&gt;"",TIME(HOUR(TRANSACTIONS!$A467),MINUTE(TRANSACTIONS!$A467),SECOND(TRANSACTIONS!$A467)),"")</f>
        <v/>
      </c>
      <c r="D467" s="42"/>
      <c r="E467" s="42"/>
      <c r="F467" s="43"/>
      <c r="G467" s="46" t="str">
        <f>IF(AND(A467&lt;&gt;"",F467&gt;1),IF(TRANSACTIONS!$E467=RAPPORTS!$F$9,0,IF(OR(TRANSACTIONS!$D467=RAPPORTS!$A$13,TRANSACTIONS!$D467=RAPPORTS!#REF!),VLOOKUP(TRANSACTIONS!$F467,FRAIS_D_ENVOI,3,TRUE),0)),"")</f>
        <v/>
      </c>
      <c r="H467" s="46" t="str">
        <f>IFERROR(TRANSACTIONS!$F467+TRANSACTIONS!$G467,"")</f>
        <v/>
      </c>
      <c r="I467" s="44"/>
      <c r="J467" s="40" t="str">
        <f t="shared" si="7"/>
        <v/>
      </c>
    </row>
    <row r="468" spans="1:10" hidden="1" x14ac:dyDescent="0.25">
      <c r="A468" s="41"/>
      <c r="B468" s="48" t="str">
        <f>IF(A468&lt;&gt;"",DATE(YEAR(TRANSACTIONS!$A468),MONTH(TRANSACTIONS!$A468),DAY(TRANSACTIONS!$A468)),"")</f>
        <v/>
      </c>
      <c r="C468" s="49" t="str">
        <f>IF(A468&lt;&gt;"",TIME(HOUR(TRANSACTIONS!$A468),MINUTE(TRANSACTIONS!$A468),SECOND(TRANSACTIONS!$A468)),"")</f>
        <v/>
      </c>
      <c r="D468" s="42"/>
      <c r="E468" s="42"/>
      <c r="F468" s="43"/>
      <c r="G468" s="46" t="str">
        <f>IF(AND(A468&lt;&gt;"",F468&gt;1),IF(TRANSACTIONS!$E468=RAPPORTS!$F$9,0,IF(OR(TRANSACTIONS!$D468=RAPPORTS!$A$13,TRANSACTIONS!$D468=RAPPORTS!#REF!),VLOOKUP(TRANSACTIONS!$F468,FRAIS_D_ENVOI,3,TRUE),0)),"")</f>
        <v/>
      </c>
      <c r="H468" s="46" t="str">
        <f>IFERROR(TRANSACTIONS!$F468+TRANSACTIONS!$G468,"")</f>
        <v/>
      </c>
      <c r="I468" s="44"/>
      <c r="J468" s="40" t="str">
        <f t="shared" si="7"/>
        <v/>
      </c>
    </row>
    <row r="469" spans="1:10" hidden="1" x14ac:dyDescent="0.25">
      <c r="A469" s="41"/>
      <c r="B469" s="48" t="str">
        <f>IF(A469&lt;&gt;"",DATE(YEAR(TRANSACTIONS!$A469),MONTH(TRANSACTIONS!$A469),DAY(TRANSACTIONS!$A469)),"")</f>
        <v/>
      </c>
      <c r="C469" s="49" t="str">
        <f>IF(A469&lt;&gt;"",TIME(HOUR(TRANSACTIONS!$A469),MINUTE(TRANSACTIONS!$A469),SECOND(TRANSACTIONS!$A469)),"")</f>
        <v/>
      </c>
      <c r="D469" s="42"/>
      <c r="E469" s="42"/>
      <c r="F469" s="43"/>
      <c r="G469" s="46" t="str">
        <f>IF(AND(A469&lt;&gt;"",F469&gt;1),IF(TRANSACTIONS!$E469=RAPPORTS!$F$9,0,IF(OR(TRANSACTIONS!$D469=RAPPORTS!$A$13,TRANSACTIONS!$D469=RAPPORTS!#REF!),VLOOKUP(TRANSACTIONS!$F469,FRAIS_D_ENVOI,3,TRUE),0)),"")</f>
        <v/>
      </c>
      <c r="H469" s="46" t="str">
        <f>IFERROR(TRANSACTIONS!$F469+TRANSACTIONS!$G469,"")</f>
        <v/>
      </c>
      <c r="I469" s="44"/>
      <c r="J469" s="40" t="str">
        <f t="shared" si="7"/>
        <v/>
      </c>
    </row>
    <row r="470" spans="1:10" hidden="1" x14ac:dyDescent="0.25">
      <c r="A470" s="41"/>
      <c r="B470" s="48" t="str">
        <f>IF(A470&lt;&gt;"",DATE(YEAR(TRANSACTIONS!$A470),MONTH(TRANSACTIONS!$A470),DAY(TRANSACTIONS!$A470)),"")</f>
        <v/>
      </c>
      <c r="C470" s="49" t="str">
        <f>IF(A470&lt;&gt;"",TIME(HOUR(TRANSACTIONS!$A470),MINUTE(TRANSACTIONS!$A470),SECOND(TRANSACTIONS!$A470)),"")</f>
        <v/>
      </c>
      <c r="D470" s="42"/>
      <c r="E470" s="42"/>
      <c r="F470" s="43"/>
      <c r="G470" s="46" t="str">
        <f>IF(AND(A470&lt;&gt;"",F470&gt;1),IF(TRANSACTIONS!$E470=RAPPORTS!$F$9,0,IF(OR(TRANSACTIONS!$D470=RAPPORTS!$A$13,TRANSACTIONS!$D470=RAPPORTS!#REF!),VLOOKUP(TRANSACTIONS!$F470,FRAIS_D_ENVOI,3,TRUE),0)),"")</f>
        <v/>
      </c>
      <c r="H470" s="46" t="str">
        <f>IFERROR(TRANSACTIONS!$F470+TRANSACTIONS!$G470,"")</f>
        <v/>
      </c>
      <c r="I470" s="44"/>
      <c r="J470" s="40" t="str">
        <f t="shared" si="7"/>
        <v/>
      </c>
    </row>
    <row r="471" spans="1:10" hidden="1" x14ac:dyDescent="0.25">
      <c r="A471" s="41"/>
      <c r="B471" s="48" t="str">
        <f>IF(A471&lt;&gt;"",DATE(YEAR(TRANSACTIONS!$A471),MONTH(TRANSACTIONS!$A471),DAY(TRANSACTIONS!$A471)),"")</f>
        <v/>
      </c>
      <c r="C471" s="49" t="str">
        <f>IF(A471&lt;&gt;"",TIME(HOUR(TRANSACTIONS!$A471),MINUTE(TRANSACTIONS!$A471),SECOND(TRANSACTIONS!$A471)),"")</f>
        <v/>
      </c>
      <c r="D471" s="42"/>
      <c r="E471" s="42"/>
      <c r="F471" s="43"/>
      <c r="G471" s="46" t="str">
        <f>IF(AND(A471&lt;&gt;"",F471&gt;1),IF(TRANSACTIONS!$E471=RAPPORTS!$F$9,0,IF(OR(TRANSACTIONS!$D471=RAPPORTS!$A$13,TRANSACTIONS!$D471=RAPPORTS!#REF!),VLOOKUP(TRANSACTIONS!$F471,FRAIS_D_ENVOI,3,TRUE),0)),"")</f>
        <v/>
      </c>
      <c r="H471" s="46" t="str">
        <f>IFERROR(TRANSACTIONS!$F471+TRANSACTIONS!$G471,"")</f>
        <v/>
      </c>
      <c r="I471" s="44"/>
      <c r="J471" s="40" t="str">
        <f t="shared" si="7"/>
        <v/>
      </c>
    </row>
    <row r="472" spans="1:10" hidden="1" x14ac:dyDescent="0.25">
      <c r="A472" s="41"/>
      <c r="B472" s="48" t="str">
        <f>IF(A472&lt;&gt;"",DATE(YEAR(TRANSACTIONS!$A472),MONTH(TRANSACTIONS!$A472),DAY(TRANSACTIONS!$A472)),"")</f>
        <v/>
      </c>
      <c r="C472" s="49" t="str">
        <f>IF(A472&lt;&gt;"",TIME(HOUR(TRANSACTIONS!$A472),MINUTE(TRANSACTIONS!$A472),SECOND(TRANSACTIONS!$A472)),"")</f>
        <v/>
      </c>
      <c r="D472" s="42"/>
      <c r="E472" s="42"/>
      <c r="F472" s="43"/>
      <c r="G472" s="46" t="str">
        <f>IF(AND(A472&lt;&gt;"",F472&gt;1),IF(TRANSACTIONS!$E472=RAPPORTS!$F$9,0,IF(OR(TRANSACTIONS!$D472=RAPPORTS!$A$13,TRANSACTIONS!$D472=RAPPORTS!#REF!),VLOOKUP(TRANSACTIONS!$F472,FRAIS_D_ENVOI,3,TRUE),0)),"")</f>
        <v/>
      </c>
      <c r="H472" s="46" t="str">
        <f>IFERROR(TRANSACTIONS!$F472+TRANSACTIONS!$G472,"")</f>
        <v/>
      </c>
      <c r="I472" s="44"/>
      <c r="J472" s="40" t="str">
        <f t="shared" si="7"/>
        <v/>
      </c>
    </row>
    <row r="473" spans="1:10" hidden="1" x14ac:dyDescent="0.25">
      <c r="A473" s="41"/>
      <c r="B473" s="48" t="str">
        <f>IF(A473&lt;&gt;"",DATE(YEAR(TRANSACTIONS!$A473),MONTH(TRANSACTIONS!$A473),DAY(TRANSACTIONS!$A473)),"")</f>
        <v/>
      </c>
      <c r="C473" s="49" t="str">
        <f>IF(A473&lt;&gt;"",TIME(HOUR(TRANSACTIONS!$A473),MINUTE(TRANSACTIONS!$A473),SECOND(TRANSACTIONS!$A473)),"")</f>
        <v/>
      </c>
      <c r="D473" s="42"/>
      <c r="E473" s="42"/>
      <c r="F473" s="43"/>
      <c r="G473" s="46" t="str">
        <f>IF(AND(A473&lt;&gt;"",F473&gt;1),IF(TRANSACTIONS!$E473=RAPPORTS!$F$9,0,IF(OR(TRANSACTIONS!$D473=RAPPORTS!$A$13,TRANSACTIONS!$D473=RAPPORTS!#REF!),VLOOKUP(TRANSACTIONS!$F473,FRAIS_D_ENVOI,3,TRUE),0)),"")</f>
        <v/>
      </c>
      <c r="H473" s="46" t="str">
        <f>IFERROR(TRANSACTIONS!$F473+TRANSACTIONS!$G473,"")</f>
        <v/>
      </c>
      <c r="I473" s="44"/>
      <c r="J473" s="40" t="str">
        <f t="shared" si="7"/>
        <v/>
      </c>
    </row>
    <row r="474" spans="1:10" hidden="1" x14ac:dyDescent="0.25">
      <c r="A474" s="41"/>
      <c r="B474" s="48" t="str">
        <f>IF(A474&lt;&gt;"",DATE(YEAR(TRANSACTIONS!$A474),MONTH(TRANSACTIONS!$A474),DAY(TRANSACTIONS!$A474)),"")</f>
        <v/>
      </c>
      <c r="C474" s="49" t="str">
        <f>IF(A474&lt;&gt;"",TIME(HOUR(TRANSACTIONS!$A474),MINUTE(TRANSACTIONS!$A474),SECOND(TRANSACTIONS!$A474)),"")</f>
        <v/>
      </c>
      <c r="D474" s="42"/>
      <c r="E474" s="42"/>
      <c r="F474" s="43"/>
      <c r="G474" s="46" t="str">
        <f>IF(AND(A474&lt;&gt;"",F474&gt;1),IF(TRANSACTIONS!$E474=RAPPORTS!$F$9,0,IF(OR(TRANSACTIONS!$D474=RAPPORTS!$A$13,TRANSACTIONS!$D474=RAPPORTS!#REF!),VLOOKUP(TRANSACTIONS!$F474,FRAIS_D_ENVOI,3,TRUE),0)),"")</f>
        <v/>
      </c>
      <c r="H474" s="46" t="str">
        <f>IFERROR(TRANSACTIONS!$F474+TRANSACTIONS!$G474,"")</f>
        <v/>
      </c>
      <c r="I474" s="44"/>
      <c r="J474" s="40" t="str">
        <f t="shared" si="7"/>
        <v/>
      </c>
    </row>
    <row r="475" spans="1:10" hidden="1" x14ac:dyDescent="0.25">
      <c r="A475" s="41"/>
      <c r="B475" s="48" t="str">
        <f>IF(A475&lt;&gt;"",DATE(YEAR(TRANSACTIONS!$A475),MONTH(TRANSACTIONS!$A475),DAY(TRANSACTIONS!$A475)),"")</f>
        <v/>
      </c>
      <c r="C475" s="49" t="str">
        <f>IF(A475&lt;&gt;"",TIME(HOUR(TRANSACTIONS!$A475),MINUTE(TRANSACTIONS!$A475),SECOND(TRANSACTIONS!$A475)),"")</f>
        <v/>
      </c>
      <c r="D475" s="42"/>
      <c r="E475" s="42"/>
      <c r="F475" s="43"/>
      <c r="G475" s="46" t="str">
        <f>IF(AND(A475&lt;&gt;"",F475&gt;1),IF(TRANSACTIONS!$E475=RAPPORTS!$F$9,0,IF(OR(TRANSACTIONS!$D475=RAPPORTS!$A$13,TRANSACTIONS!$D475=RAPPORTS!#REF!),VLOOKUP(TRANSACTIONS!$F475,FRAIS_D_ENVOI,3,TRUE),0)),"")</f>
        <v/>
      </c>
      <c r="H475" s="46" t="str">
        <f>IFERROR(TRANSACTIONS!$F475+TRANSACTIONS!$G475,"")</f>
        <v/>
      </c>
      <c r="I475" s="44"/>
      <c r="J475" s="40" t="str">
        <f t="shared" si="7"/>
        <v/>
      </c>
    </row>
    <row r="476" spans="1:10" hidden="1" x14ac:dyDescent="0.25">
      <c r="A476" s="41"/>
      <c r="B476" s="48" t="str">
        <f>IF(A476&lt;&gt;"",DATE(YEAR(TRANSACTIONS!$A476),MONTH(TRANSACTIONS!$A476),DAY(TRANSACTIONS!$A476)),"")</f>
        <v/>
      </c>
      <c r="C476" s="49" t="str">
        <f>IF(A476&lt;&gt;"",TIME(HOUR(TRANSACTIONS!$A476),MINUTE(TRANSACTIONS!$A476),SECOND(TRANSACTIONS!$A476)),"")</f>
        <v/>
      </c>
      <c r="D476" s="42"/>
      <c r="E476" s="42"/>
      <c r="F476" s="43"/>
      <c r="G476" s="46" t="str">
        <f>IF(AND(A476&lt;&gt;"",F476&gt;1),IF(TRANSACTIONS!$E476=RAPPORTS!$F$9,0,IF(OR(TRANSACTIONS!$D476=RAPPORTS!$A$13,TRANSACTIONS!$D476=RAPPORTS!#REF!),VLOOKUP(TRANSACTIONS!$F476,FRAIS_D_ENVOI,3,TRUE),0)),"")</f>
        <v/>
      </c>
      <c r="H476" s="46" t="str">
        <f>IFERROR(TRANSACTIONS!$F476+TRANSACTIONS!$G476,"")</f>
        <v/>
      </c>
      <c r="I476" s="44"/>
      <c r="J476" s="40" t="str">
        <f t="shared" si="7"/>
        <v/>
      </c>
    </row>
    <row r="477" spans="1:10" hidden="1" x14ac:dyDescent="0.25">
      <c r="A477" s="41"/>
      <c r="B477" s="48" t="str">
        <f>IF(A477&lt;&gt;"",DATE(YEAR(TRANSACTIONS!$A477),MONTH(TRANSACTIONS!$A477),DAY(TRANSACTIONS!$A477)),"")</f>
        <v/>
      </c>
      <c r="C477" s="49" t="str">
        <f>IF(A477&lt;&gt;"",TIME(HOUR(TRANSACTIONS!$A477),MINUTE(TRANSACTIONS!$A477),SECOND(TRANSACTIONS!$A477)),"")</f>
        <v/>
      </c>
      <c r="D477" s="42"/>
      <c r="E477" s="42"/>
      <c r="F477" s="43"/>
      <c r="G477" s="46" t="str">
        <f>IF(AND(A477&lt;&gt;"",F477&gt;1),IF(TRANSACTIONS!$E477=RAPPORTS!$F$9,0,IF(OR(TRANSACTIONS!$D477=RAPPORTS!$A$13,TRANSACTIONS!$D477=RAPPORTS!#REF!),VLOOKUP(TRANSACTIONS!$F477,FRAIS_D_ENVOI,3,TRUE),0)),"")</f>
        <v/>
      </c>
      <c r="H477" s="46" t="str">
        <f>IFERROR(TRANSACTIONS!$F477+TRANSACTIONS!$G477,"")</f>
        <v/>
      </c>
      <c r="I477" s="44"/>
      <c r="J477" s="40" t="str">
        <f t="shared" si="7"/>
        <v/>
      </c>
    </row>
    <row r="478" spans="1:10" hidden="1" x14ac:dyDescent="0.25">
      <c r="A478" s="41"/>
      <c r="B478" s="48" t="str">
        <f>IF(A478&lt;&gt;"",DATE(YEAR(TRANSACTIONS!$A478),MONTH(TRANSACTIONS!$A478),DAY(TRANSACTIONS!$A478)),"")</f>
        <v/>
      </c>
      <c r="C478" s="49" t="str">
        <f>IF(A478&lt;&gt;"",TIME(HOUR(TRANSACTIONS!$A478),MINUTE(TRANSACTIONS!$A478),SECOND(TRANSACTIONS!$A478)),"")</f>
        <v/>
      </c>
      <c r="D478" s="42"/>
      <c r="E478" s="42"/>
      <c r="F478" s="43"/>
      <c r="G478" s="46" t="str">
        <f>IF(AND(A478&lt;&gt;"",F478&gt;1),IF(TRANSACTIONS!$E478=RAPPORTS!$F$9,0,IF(OR(TRANSACTIONS!$D478=RAPPORTS!$A$13,TRANSACTIONS!$D478=RAPPORTS!#REF!),VLOOKUP(TRANSACTIONS!$F478,FRAIS_D_ENVOI,3,TRUE),0)),"")</f>
        <v/>
      </c>
      <c r="H478" s="46" t="str">
        <f>IFERROR(TRANSACTIONS!$F478+TRANSACTIONS!$G478,"")</f>
        <v/>
      </c>
      <c r="I478" s="44"/>
      <c r="J478" s="40" t="str">
        <f t="shared" si="7"/>
        <v/>
      </c>
    </row>
    <row r="479" spans="1:10" hidden="1" x14ac:dyDescent="0.25">
      <c r="A479" s="41"/>
      <c r="B479" s="48" t="str">
        <f>IF(A479&lt;&gt;"",DATE(YEAR(TRANSACTIONS!$A479),MONTH(TRANSACTIONS!$A479),DAY(TRANSACTIONS!$A479)),"")</f>
        <v/>
      </c>
      <c r="C479" s="49" t="str">
        <f>IF(A479&lt;&gt;"",TIME(HOUR(TRANSACTIONS!$A479),MINUTE(TRANSACTIONS!$A479),SECOND(TRANSACTIONS!$A479)),"")</f>
        <v/>
      </c>
      <c r="D479" s="42"/>
      <c r="E479" s="42"/>
      <c r="F479" s="43"/>
      <c r="G479" s="46" t="str">
        <f>IF(AND(A479&lt;&gt;"",F479&gt;1),IF(TRANSACTIONS!$E479=RAPPORTS!$F$9,0,IF(OR(TRANSACTIONS!$D479=RAPPORTS!$A$13,TRANSACTIONS!$D479=RAPPORTS!#REF!),VLOOKUP(TRANSACTIONS!$F479,FRAIS_D_ENVOI,3,TRUE),0)),"")</f>
        <v/>
      </c>
      <c r="H479" s="46" t="str">
        <f>IFERROR(TRANSACTIONS!$F479+TRANSACTIONS!$G479,"")</f>
        <v/>
      </c>
      <c r="I479" s="44"/>
      <c r="J479" s="40" t="str">
        <f t="shared" si="7"/>
        <v/>
      </c>
    </row>
    <row r="480" spans="1:10" hidden="1" x14ac:dyDescent="0.25">
      <c r="A480" s="41"/>
      <c r="B480" s="48" t="str">
        <f>IF(A480&lt;&gt;"",DATE(YEAR(TRANSACTIONS!$A480),MONTH(TRANSACTIONS!$A480),DAY(TRANSACTIONS!$A480)),"")</f>
        <v/>
      </c>
      <c r="C480" s="49" t="str">
        <f>IF(A480&lt;&gt;"",TIME(HOUR(TRANSACTIONS!$A480),MINUTE(TRANSACTIONS!$A480),SECOND(TRANSACTIONS!$A480)),"")</f>
        <v/>
      </c>
      <c r="D480" s="42"/>
      <c r="E480" s="42"/>
      <c r="F480" s="43"/>
      <c r="G480" s="46" t="str">
        <f>IF(AND(A480&lt;&gt;"",F480&gt;1),IF(TRANSACTIONS!$E480=RAPPORTS!$F$9,0,IF(OR(TRANSACTIONS!$D480=RAPPORTS!$A$13,TRANSACTIONS!$D480=RAPPORTS!#REF!),VLOOKUP(TRANSACTIONS!$F480,FRAIS_D_ENVOI,3,TRUE),0)),"")</f>
        <v/>
      </c>
      <c r="H480" s="46" t="str">
        <f>IFERROR(TRANSACTIONS!$F480+TRANSACTIONS!$G480,"")</f>
        <v/>
      </c>
      <c r="I480" s="44"/>
      <c r="J480" s="40" t="str">
        <f t="shared" si="7"/>
        <v/>
      </c>
    </row>
    <row r="481" spans="1:10" hidden="1" x14ac:dyDescent="0.25">
      <c r="A481" s="41"/>
      <c r="B481" s="48" t="str">
        <f>IF(A481&lt;&gt;"",DATE(YEAR(TRANSACTIONS!$A481),MONTH(TRANSACTIONS!$A481),DAY(TRANSACTIONS!$A481)),"")</f>
        <v/>
      </c>
      <c r="C481" s="49" t="str">
        <f>IF(A481&lt;&gt;"",TIME(HOUR(TRANSACTIONS!$A481),MINUTE(TRANSACTIONS!$A481),SECOND(TRANSACTIONS!$A481)),"")</f>
        <v/>
      </c>
      <c r="D481" s="42"/>
      <c r="E481" s="42"/>
      <c r="F481" s="43"/>
      <c r="G481" s="46" t="str">
        <f>IF(AND(A481&lt;&gt;"",F481&gt;1),IF(TRANSACTIONS!$E481=RAPPORTS!$F$9,0,IF(OR(TRANSACTIONS!$D481=RAPPORTS!$A$13,TRANSACTIONS!$D481=RAPPORTS!#REF!),VLOOKUP(TRANSACTIONS!$F481,FRAIS_D_ENVOI,3,TRUE),0)),"")</f>
        <v/>
      </c>
      <c r="H481" s="46" t="str">
        <f>IFERROR(TRANSACTIONS!$F481+TRANSACTIONS!$G481,"")</f>
        <v/>
      </c>
      <c r="I481" s="44"/>
      <c r="J481" s="40" t="str">
        <f t="shared" si="7"/>
        <v/>
      </c>
    </row>
    <row r="482" spans="1:10" hidden="1" x14ac:dyDescent="0.25">
      <c r="A482" s="41"/>
      <c r="B482" s="48" t="str">
        <f>IF(A482&lt;&gt;"",DATE(YEAR(TRANSACTIONS!$A482),MONTH(TRANSACTIONS!$A482),DAY(TRANSACTIONS!$A482)),"")</f>
        <v/>
      </c>
      <c r="C482" s="49" t="str">
        <f>IF(A482&lt;&gt;"",TIME(HOUR(TRANSACTIONS!$A482),MINUTE(TRANSACTIONS!$A482),SECOND(TRANSACTIONS!$A482)),"")</f>
        <v/>
      </c>
      <c r="D482" s="42"/>
      <c r="E482" s="42"/>
      <c r="F482" s="43"/>
      <c r="G482" s="46" t="str">
        <f>IF(AND(A482&lt;&gt;"",F482&gt;1),IF(TRANSACTIONS!$E482=RAPPORTS!$F$9,0,IF(OR(TRANSACTIONS!$D482=RAPPORTS!$A$13,TRANSACTIONS!$D482=RAPPORTS!#REF!),VLOOKUP(TRANSACTIONS!$F482,FRAIS_D_ENVOI,3,TRUE),0)),"")</f>
        <v/>
      </c>
      <c r="H482" s="46" t="str">
        <f>IFERROR(TRANSACTIONS!$F482+TRANSACTIONS!$G482,"")</f>
        <v/>
      </c>
      <c r="I482" s="44"/>
      <c r="J482" s="40" t="str">
        <f t="shared" si="7"/>
        <v/>
      </c>
    </row>
    <row r="483" spans="1:10" hidden="1" x14ac:dyDescent="0.25">
      <c r="A483" s="41"/>
      <c r="B483" s="48" t="str">
        <f>IF(A483&lt;&gt;"",DATE(YEAR(TRANSACTIONS!$A483),MONTH(TRANSACTIONS!$A483),DAY(TRANSACTIONS!$A483)),"")</f>
        <v/>
      </c>
      <c r="C483" s="49" t="str">
        <f>IF(A483&lt;&gt;"",TIME(HOUR(TRANSACTIONS!$A483),MINUTE(TRANSACTIONS!$A483),SECOND(TRANSACTIONS!$A483)),"")</f>
        <v/>
      </c>
      <c r="D483" s="42"/>
      <c r="E483" s="42"/>
      <c r="F483" s="43"/>
      <c r="G483" s="46" t="str">
        <f>IF(AND(A483&lt;&gt;"",F483&gt;1),IF(TRANSACTIONS!$E483=RAPPORTS!$F$9,0,IF(OR(TRANSACTIONS!$D483=RAPPORTS!$A$13,TRANSACTIONS!$D483=RAPPORTS!#REF!),VLOOKUP(TRANSACTIONS!$F483,FRAIS_D_ENVOI,3,TRUE),0)),"")</f>
        <v/>
      </c>
      <c r="H483" s="46" t="str">
        <f>IFERROR(TRANSACTIONS!$F483+TRANSACTIONS!$G483,"")</f>
        <v/>
      </c>
      <c r="I483" s="44"/>
      <c r="J483" s="40" t="str">
        <f t="shared" si="7"/>
        <v/>
      </c>
    </row>
    <row r="484" spans="1:10" hidden="1" x14ac:dyDescent="0.25">
      <c r="A484" s="41"/>
      <c r="B484" s="48" t="str">
        <f>IF(A484&lt;&gt;"",DATE(YEAR(TRANSACTIONS!$A484),MONTH(TRANSACTIONS!$A484),DAY(TRANSACTIONS!$A484)),"")</f>
        <v/>
      </c>
      <c r="C484" s="49" t="str">
        <f>IF(A484&lt;&gt;"",TIME(HOUR(TRANSACTIONS!$A484),MINUTE(TRANSACTIONS!$A484),SECOND(TRANSACTIONS!$A484)),"")</f>
        <v/>
      </c>
      <c r="D484" s="42"/>
      <c r="E484" s="42"/>
      <c r="F484" s="43"/>
      <c r="G484" s="46" t="str">
        <f>IF(AND(A484&lt;&gt;"",F484&gt;1),IF(TRANSACTIONS!$E484=RAPPORTS!$F$9,0,IF(OR(TRANSACTIONS!$D484=RAPPORTS!$A$13,TRANSACTIONS!$D484=RAPPORTS!#REF!),VLOOKUP(TRANSACTIONS!$F484,FRAIS_D_ENVOI,3,TRUE),0)),"")</f>
        <v/>
      </c>
      <c r="H484" s="46" t="str">
        <f>IFERROR(TRANSACTIONS!$F484+TRANSACTIONS!$G484,"")</f>
        <v/>
      </c>
      <c r="I484" s="44"/>
      <c r="J484" s="40" t="str">
        <f t="shared" si="7"/>
        <v/>
      </c>
    </row>
    <row r="485" spans="1:10" hidden="1" x14ac:dyDescent="0.25">
      <c r="A485" s="41"/>
      <c r="B485" s="48" t="str">
        <f>IF(A485&lt;&gt;"",DATE(YEAR(TRANSACTIONS!$A485),MONTH(TRANSACTIONS!$A485),DAY(TRANSACTIONS!$A485)),"")</f>
        <v/>
      </c>
      <c r="C485" s="49" t="str">
        <f>IF(A485&lt;&gt;"",TIME(HOUR(TRANSACTIONS!$A485),MINUTE(TRANSACTIONS!$A485),SECOND(TRANSACTIONS!$A485)),"")</f>
        <v/>
      </c>
      <c r="D485" s="42"/>
      <c r="E485" s="42"/>
      <c r="F485" s="43"/>
      <c r="G485" s="46" t="str">
        <f>IF(AND(A485&lt;&gt;"",F485&gt;1),IF(TRANSACTIONS!$E485=RAPPORTS!$F$9,0,IF(OR(TRANSACTIONS!$D485=RAPPORTS!$A$13,TRANSACTIONS!$D485=RAPPORTS!#REF!),VLOOKUP(TRANSACTIONS!$F485,FRAIS_D_ENVOI,3,TRUE),0)),"")</f>
        <v/>
      </c>
      <c r="H485" s="46" t="str">
        <f>IFERROR(TRANSACTIONS!$F485+TRANSACTIONS!$G485,"")</f>
        <v/>
      </c>
      <c r="I485" s="44"/>
      <c r="J485" s="40" t="str">
        <f t="shared" si="7"/>
        <v/>
      </c>
    </row>
    <row r="486" spans="1:10" hidden="1" x14ac:dyDescent="0.25">
      <c r="A486" s="41"/>
      <c r="B486" s="48" t="str">
        <f>IF(A486&lt;&gt;"",DATE(YEAR(TRANSACTIONS!$A486),MONTH(TRANSACTIONS!$A486),DAY(TRANSACTIONS!$A486)),"")</f>
        <v/>
      </c>
      <c r="C486" s="49" t="str">
        <f>IF(A486&lt;&gt;"",TIME(HOUR(TRANSACTIONS!$A486),MINUTE(TRANSACTIONS!$A486),SECOND(TRANSACTIONS!$A486)),"")</f>
        <v/>
      </c>
      <c r="D486" s="42"/>
      <c r="E486" s="42"/>
      <c r="F486" s="43"/>
      <c r="G486" s="46" t="str">
        <f>IF(AND(A486&lt;&gt;"",F486&gt;1),IF(TRANSACTIONS!$E486=RAPPORTS!$F$9,0,IF(OR(TRANSACTIONS!$D486=RAPPORTS!$A$13,TRANSACTIONS!$D486=RAPPORTS!#REF!),VLOOKUP(TRANSACTIONS!$F486,FRAIS_D_ENVOI,3,TRUE),0)),"")</f>
        <v/>
      </c>
      <c r="H486" s="46" t="str">
        <f>IFERROR(TRANSACTIONS!$F486+TRANSACTIONS!$G486,"")</f>
        <v/>
      </c>
      <c r="I486" s="44"/>
      <c r="J486" s="40" t="str">
        <f t="shared" si="7"/>
        <v/>
      </c>
    </row>
    <row r="487" spans="1:10" hidden="1" x14ac:dyDescent="0.25">
      <c r="A487" s="41"/>
      <c r="B487" s="48" t="str">
        <f>IF(A487&lt;&gt;"",DATE(YEAR(TRANSACTIONS!$A487),MONTH(TRANSACTIONS!$A487),DAY(TRANSACTIONS!$A487)),"")</f>
        <v/>
      </c>
      <c r="C487" s="49" t="str">
        <f>IF(A487&lt;&gt;"",TIME(HOUR(TRANSACTIONS!$A487),MINUTE(TRANSACTIONS!$A487),SECOND(TRANSACTIONS!$A487)),"")</f>
        <v/>
      </c>
      <c r="D487" s="42"/>
      <c r="E487" s="42"/>
      <c r="F487" s="43"/>
      <c r="G487" s="46" t="str">
        <f>IF(AND(A487&lt;&gt;"",F487&gt;1),IF(TRANSACTIONS!$E487=RAPPORTS!$F$9,0,IF(OR(TRANSACTIONS!$D487=RAPPORTS!$A$13,TRANSACTIONS!$D487=RAPPORTS!#REF!),VLOOKUP(TRANSACTIONS!$F487,FRAIS_D_ENVOI,3,TRUE),0)),"")</f>
        <v/>
      </c>
      <c r="H487" s="46" t="str">
        <f>IFERROR(TRANSACTIONS!$F487+TRANSACTIONS!$G487,"")</f>
        <v/>
      </c>
      <c r="I487" s="44"/>
      <c r="J487" s="40" t="str">
        <f t="shared" si="7"/>
        <v/>
      </c>
    </row>
    <row r="488" spans="1:10" hidden="1" x14ac:dyDescent="0.25">
      <c r="A488" s="41"/>
      <c r="B488" s="48" t="str">
        <f>IF(A488&lt;&gt;"",DATE(YEAR(TRANSACTIONS!$A488),MONTH(TRANSACTIONS!$A488),DAY(TRANSACTIONS!$A488)),"")</f>
        <v/>
      </c>
      <c r="C488" s="49" t="str">
        <f>IF(A488&lt;&gt;"",TIME(HOUR(TRANSACTIONS!$A488),MINUTE(TRANSACTIONS!$A488),SECOND(TRANSACTIONS!$A488)),"")</f>
        <v/>
      </c>
      <c r="D488" s="42"/>
      <c r="E488" s="42"/>
      <c r="F488" s="43"/>
      <c r="G488" s="46" t="str">
        <f>IF(AND(A488&lt;&gt;"",F488&gt;1),IF(TRANSACTIONS!$E488=RAPPORTS!$F$9,0,IF(OR(TRANSACTIONS!$D488=RAPPORTS!$A$13,TRANSACTIONS!$D488=RAPPORTS!#REF!),VLOOKUP(TRANSACTIONS!$F488,FRAIS_D_ENVOI,3,TRUE),0)),"")</f>
        <v/>
      </c>
      <c r="H488" s="46" t="str">
        <f>IFERROR(TRANSACTIONS!$F488+TRANSACTIONS!$G488,"")</f>
        <v/>
      </c>
      <c r="I488" s="44"/>
      <c r="J488" s="40" t="str">
        <f t="shared" si="7"/>
        <v/>
      </c>
    </row>
    <row r="489" spans="1:10" hidden="1" x14ac:dyDescent="0.25">
      <c r="A489" s="41"/>
      <c r="B489" s="48" t="str">
        <f>IF(A489&lt;&gt;"",DATE(YEAR(TRANSACTIONS!$A489),MONTH(TRANSACTIONS!$A489),DAY(TRANSACTIONS!$A489)),"")</f>
        <v/>
      </c>
      <c r="C489" s="49" t="str">
        <f>IF(A489&lt;&gt;"",TIME(HOUR(TRANSACTIONS!$A489),MINUTE(TRANSACTIONS!$A489),SECOND(TRANSACTIONS!$A489)),"")</f>
        <v/>
      </c>
      <c r="D489" s="42"/>
      <c r="E489" s="42"/>
      <c r="F489" s="43"/>
      <c r="G489" s="46" t="str">
        <f>IF(AND(A489&lt;&gt;"",F489&gt;1),IF(TRANSACTIONS!$E489=RAPPORTS!$F$9,0,IF(OR(TRANSACTIONS!$D489=RAPPORTS!$A$13,TRANSACTIONS!$D489=RAPPORTS!#REF!),VLOOKUP(TRANSACTIONS!$F489,FRAIS_D_ENVOI,3,TRUE),0)),"")</f>
        <v/>
      </c>
      <c r="H489" s="46" t="str">
        <f>IFERROR(TRANSACTIONS!$F489+TRANSACTIONS!$G489,"")</f>
        <v/>
      </c>
      <c r="I489" s="44"/>
      <c r="J489" s="40" t="str">
        <f t="shared" si="7"/>
        <v/>
      </c>
    </row>
    <row r="490" spans="1:10" hidden="1" x14ac:dyDescent="0.25">
      <c r="A490" s="41"/>
      <c r="B490" s="48" t="str">
        <f>IF(A490&lt;&gt;"",DATE(YEAR(TRANSACTIONS!$A490),MONTH(TRANSACTIONS!$A490),DAY(TRANSACTIONS!$A490)),"")</f>
        <v/>
      </c>
      <c r="C490" s="49" t="str">
        <f>IF(A490&lt;&gt;"",TIME(HOUR(TRANSACTIONS!$A490),MINUTE(TRANSACTIONS!$A490),SECOND(TRANSACTIONS!$A490)),"")</f>
        <v/>
      </c>
      <c r="D490" s="42"/>
      <c r="E490" s="42"/>
      <c r="F490" s="43"/>
      <c r="G490" s="46" t="str">
        <f>IF(AND(A490&lt;&gt;"",F490&gt;1),IF(TRANSACTIONS!$E490=RAPPORTS!$F$9,0,IF(OR(TRANSACTIONS!$D490=RAPPORTS!$A$13,TRANSACTIONS!$D490=RAPPORTS!#REF!),VLOOKUP(TRANSACTIONS!$F490,FRAIS_D_ENVOI,3,TRUE),0)),"")</f>
        <v/>
      </c>
      <c r="H490" s="46" t="str">
        <f>IFERROR(TRANSACTIONS!$F490+TRANSACTIONS!$G490,"")</f>
        <v/>
      </c>
      <c r="I490" s="44"/>
      <c r="J490" s="40" t="str">
        <f t="shared" si="7"/>
        <v/>
      </c>
    </row>
    <row r="491" spans="1:10" hidden="1" x14ac:dyDescent="0.25">
      <c r="A491" s="41"/>
      <c r="B491" s="48" t="str">
        <f>IF(A491&lt;&gt;"",DATE(YEAR(TRANSACTIONS!$A491),MONTH(TRANSACTIONS!$A491),DAY(TRANSACTIONS!$A491)),"")</f>
        <v/>
      </c>
      <c r="C491" s="49" t="str">
        <f>IF(A491&lt;&gt;"",TIME(HOUR(TRANSACTIONS!$A491),MINUTE(TRANSACTIONS!$A491),SECOND(TRANSACTIONS!$A491)),"")</f>
        <v/>
      </c>
      <c r="D491" s="42"/>
      <c r="E491" s="42"/>
      <c r="F491" s="43"/>
      <c r="G491" s="46" t="str">
        <f>IF(AND(A491&lt;&gt;"",F491&gt;1),IF(TRANSACTIONS!$E491=RAPPORTS!$F$9,0,IF(OR(TRANSACTIONS!$D491=RAPPORTS!$A$13,TRANSACTIONS!$D491=RAPPORTS!#REF!),VLOOKUP(TRANSACTIONS!$F491,FRAIS_D_ENVOI,3,TRUE),0)),"")</f>
        <v/>
      </c>
      <c r="H491" s="46" t="str">
        <f>IFERROR(TRANSACTIONS!$F491+TRANSACTIONS!$G491,"")</f>
        <v/>
      </c>
      <c r="I491" s="44"/>
      <c r="J491" s="40" t="str">
        <f t="shared" si="7"/>
        <v/>
      </c>
    </row>
    <row r="492" spans="1:10" hidden="1" x14ac:dyDescent="0.25">
      <c r="A492" s="41"/>
      <c r="B492" s="48" t="str">
        <f>IF(A492&lt;&gt;"",DATE(YEAR(TRANSACTIONS!$A492),MONTH(TRANSACTIONS!$A492),DAY(TRANSACTIONS!$A492)),"")</f>
        <v/>
      </c>
      <c r="C492" s="49" t="str">
        <f>IF(A492&lt;&gt;"",TIME(HOUR(TRANSACTIONS!$A492),MINUTE(TRANSACTIONS!$A492),SECOND(TRANSACTIONS!$A492)),"")</f>
        <v/>
      </c>
      <c r="D492" s="42"/>
      <c r="E492" s="42"/>
      <c r="F492" s="43"/>
      <c r="G492" s="46" t="str">
        <f>IF(AND(A492&lt;&gt;"",F492&gt;1),IF(TRANSACTIONS!$E492=RAPPORTS!$F$9,0,IF(OR(TRANSACTIONS!$D492=RAPPORTS!$A$13,TRANSACTIONS!$D492=RAPPORTS!#REF!),VLOOKUP(TRANSACTIONS!$F492,FRAIS_D_ENVOI,3,TRUE),0)),"")</f>
        <v/>
      </c>
      <c r="H492" s="46" t="str">
        <f>IFERROR(TRANSACTIONS!$F492+TRANSACTIONS!$G492,"")</f>
        <v/>
      </c>
      <c r="I492" s="44"/>
      <c r="J492" s="40" t="str">
        <f t="shared" si="7"/>
        <v/>
      </c>
    </row>
    <row r="493" spans="1:10" hidden="1" x14ac:dyDescent="0.25">
      <c r="A493" s="41"/>
      <c r="B493" s="48" t="str">
        <f>IF(A493&lt;&gt;"",DATE(YEAR(TRANSACTIONS!$A493),MONTH(TRANSACTIONS!$A493),DAY(TRANSACTIONS!$A493)),"")</f>
        <v/>
      </c>
      <c r="C493" s="49" t="str">
        <f>IF(A493&lt;&gt;"",TIME(HOUR(TRANSACTIONS!$A493),MINUTE(TRANSACTIONS!$A493),SECOND(TRANSACTIONS!$A493)),"")</f>
        <v/>
      </c>
      <c r="D493" s="42"/>
      <c r="E493" s="42"/>
      <c r="F493" s="43"/>
      <c r="G493" s="46" t="str">
        <f>IF(AND(A493&lt;&gt;"",F493&gt;1),IF(TRANSACTIONS!$E493=RAPPORTS!$F$9,0,IF(OR(TRANSACTIONS!$D493=RAPPORTS!$A$13,TRANSACTIONS!$D493=RAPPORTS!#REF!),VLOOKUP(TRANSACTIONS!$F493,FRAIS_D_ENVOI,3,TRUE),0)),"")</f>
        <v/>
      </c>
      <c r="H493" s="46" t="str">
        <f>IFERROR(TRANSACTIONS!$F493+TRANSACTIONS!$G493,"")</f>
        <v/>
      </c>
      <c r="I493" s="44"/>
      <c r="J493" s="40" t="str">
        <f t="shared" si="7"/>
        <v/>
      </c>
    </row>
    <row r="494" spans="1:10" hidden="1" x14ac:dyDescent="0.25">
      <c r="A494" s="41"/>
      <c r="B494" s="48" t="str">
        <f>IF(A494&lt;&gt;"",DATE(YEAR(TRANSACTIONS!$A494),MONTH(TRANSACTIONS!$A494),DAY(TRANSACTIONS!$A494)),"")</f>
        <v/>
      </c>
      <c r="C494" s="49" t="str">
        <f>IF(A494&lt;&gt;"",TIME(HOUR(TRANSACTIONS!$A494),MINUTE(TRANSACTIONS!$A494),SECOND(TRANSACTIONS!$A494)),"")</f>
        <v/>
      </c>
      <c r="D494" s="42"/>
      <c r="E494" s="42"/>
      <c r="F494" s="43"/>
      <c r="G494" s="46" t="str">
        <f>IF(AND(A494&lt;&gt;"",F494&gt;1),IF(TRANSACTIONS!$E494=RAPPORTS!$F$9,0,IF(OR(TRANSACTIONS!$D494=RAPPORTS!$A$13,TRANSACTIONS!$D494=RAPPORTS!#REF!),VLOOKUP(TRANSACTIONS!$F494,FRAIS_D_ENVOI,3,TRUE),0)),"")</f>
        <v/>
      </c>
      <c r="H494" s="46" t="str">
        <f>IFERROR(TRANSACTIONS!$F494+TRANSACTIONS!$G494,"")</f>
        <v/>
      </c>
      <c r="I494" s="44"/>
      <c r="J494" s="40" t="str">
        <f t="shared" si="7"/>
        <v/>
      </c>
    </row>
    <row r="495" spans="1:10" hidden="1" x14ac:dyDescent="0.25">
      <c r="A495" s="41"/>
      <c r="B495" s="48" t="str">
        <f>IF(A495&lt;&gt;"",DATE(YEAR(TRANSACTIONS!$A495),MONTH(TRANSACTIONS!$A495),DAY(TRANSACTIONS!$A495)),"")</f>
        <v/>
      </c>
      <c r="C495" s="49" t="str">
        <f>IF(A495&lt;&gt;"",TIME(HOUR(TRANSACTIONS!$A495),MINUTE(TRANSACTIONS!$A495),SECOND(TRANSACTIONS!$A495)),"")</f>
        <v/>
      </c>
      <c r="D495" s="42"/>
      <c r="E495" s="42"/>
      <c r="F495" s="43"/>
      <c r="G495" s="46" t="str">
        <f>IF(AND(A495&lt;&gt;"",F495&gt;1),IF(TRANSACTIONS!$E495=RAPPORTS!$F$9,0,IF(OR(TRANSACTIONS!$D495=RAPPORTS!$A$13,TRANSACTIONS!$D495=RAPPORTS!#REF!),VLOOKUP(TRANSACTIONS!$F495,FRAIS_D_ENVOI,3,TRUE),0)),"")</f>
        <v/>
      </c>
      <c r="H495" s="46" t="str">
        <f>IFERROR(TRANSACTIONS!$F495+TRANSACTIONS!$G495,"")</f>
        <v/>
      </c>
      <c r="I495" s="44"/>
      <c r="J495" s="40" t="str">
        <f t="shared" si="7"/>
        <v/>
      </c>
    </row>
    <row r="496" spans="1:10" hidden="1" x14ac:dyDescent="0.25">
      <c r="A496" s="41"/>
      <c r="B496" s="48" t="str">
        <f>IF(A496&lt;&gt;"",DATE(YEAR(TRANSACTIONS!$A496),MONTH(TRANSACTIONS!$A496),DAY(TRANSACTIONS!$A496)),"")</f>
        <v/>
      </c>
      <c r="C496" s="49" t="str">
        <f>IF(A496&lt;&gt;"",TIME(HOUR(TRANSACTIONS!$A496),MINUTE(TRANSACTIONS!$A496),SECOND(TRANSACTIONS!$A496)),"")</f>
        <v/>
      </c>
      <c r="D496" s="42"/>
      <c r="E496" s="42"/>
      <c r="F496" s="43"/>
      <c r="G496" s="46" t="str">
        <f>IF(AND(A496&lt;&gt;"",F496&gt;1),IF(TRANSACTIONS!$E496=RAPPORTS!$F$9,0,IF(OR(TRANSACTIONS!$D496=RAPPORTS!$A$13,TRANSACTIONS!$D496=RAPPORTS!#REF!),VLOOKUP(TRANSACTIONS!$F496,FRAIS_D_ENVOI,3,TRUE),0)),"")</f>
        <v/>
      </c>
      <c r="H496" s="46" t="str">
        <f>IFERROR(TRANSACTIONS!$F496+TRANSACTIONS!$G496,"")</f>
        <v/>
      </c>
      <c r="I496" s="44"/>
      <c r="J496" s="40" t="str">
        <f t="shared" si="7"/>
        <v/>
      </c>
    </row>
    <row r="497" spans="1:10" hidden="1" x14ac:dyDescent="0.25">
      <c r="A497" s="41"/>
      <c r="B497" s="48" t="str">
        <f>IF(A497&lt;&gt;"",DATE(YEAR(TRANSACTIONS!$A497),MONTH(TRANSACTIONS!$A497),DAY(TRANSACTIONS!$A497)),"")</f>
        <v/>
      </c>
      <c r="C497" s="49" t="str">
        <f>IF(A497&lt;&gt;"",TIME(HOUR(TRANSACTIONS!$A497),MINUTE(TRANSACTIONS!$A497),SECOND(TRANSACTIONS!$A497)),"")</f>
        <v/>
      </c>
      <c r="D497" s="42"/>
      <c r="E497" s="42"/>
      <c r="F497" s="43"/>
      <c r="G497" s="46" t="str">
        <f>IF(AND(A497&lt;&gt;"",F497&gt;1),IF(TRANSACTIONS!$E497=RAPPORTS!$F$9,0,IF(OR(TRANSACTIONS!$D497=RAPPORTS!$A$13,TRANSACTIONS!$D497=RAPPORTS!#REF!),VLOOKUP(TRANSACTIONS!$F497,FRAIS_D_ENVOI,3,TRUE),0)),"")</f>
        <v/>
      </c>
      <c r="H497" s="46" t="str">
        <f>IFERROR(TRANSACTIONS!$F497+TRANSACTIONS!$G497,"")</f>
        <v/>
      </c>
      <c r="I497" s="44"/>
      <c r="J497" s="40" t="str">
        <f t="shared" si="7"/>
        <v/>
      </c>
    </row>
    <row r="498" spans="1:10" hidden="1" x14ac:dyDescent="0.25">
      <c r="A498" s="41"/>
      <c r="B498" s="48" t="str">
        <f>IF(A498&lt;&gt;"",DATE(YEAR(TRANSACTIONS!$A498),MONTH(TRANSACTIONS!$A498),DAY(TRANSACTIONS!$A498)),"")</f>
        <v/>
      </c>
      <c r="C498" s="49" t="str">
        <f>IF(A498&lt;&gt;"",TIME(HOUR(TRANSACTIONS!$A498),MINUTE(TRANSACTIONS!$A498),SECOND(TRANSACTIONS!$A498)),"")</f>
        <v/>
      </c>
      <c r="D498" s="42"/>
      <c r="E498" s="42"/>
      <c r="F498" s="43"/>
      <c r="G498" s="46" t="str">
        <f>IF(AND(A498&lt;&gt;"",F498&gt;1),IF(TRANSACTIONS!$E498=RAPPORTS!$F$9,0,IF(OR(TRANSACTIONS!$D498=RAPPORTS!$A$13,TRANSACTIONS!$D498=RAPPORTS!#REF!),VLOOKUP(TRANSACTIONS!$F498,FRAIS_D_ENVOI,3,TRUE),0)),"")</f>
        <v/>
      </c>
      <c r="H498" s="46" t="str">
        <f>IFERROR(TRANSACTIONS!$F498+TRANSACTIONS!$G498,"")</f>
        <v/>
      </c>
      <c r="I498" s="44"/>
      <c r="J498" s="40" t="str">
        <f t="shared" si="7"/>
        <v/>
      </c>
    </row>
    <row r="499" spans="1:10" hidden="1" x14ac:dyDescent="0.25">
      <c r="A499" s="41"/>
      <c r="B499" s="48" t="str">
        <f>IF(A499&lt;&gt;"",DATE(YEAR(TRANSACTIONS!$A499),MONTH(TRANSACTIONS!$A499),DAY(TRANSACTIONS!$A499)),"")</f>
        <v/>
      </c>
      <c r="C499" s="49" t="str">
        <f>IF(A499&lt;&gt;"",TIME(HOUR(TRANSACTIONS!$A499),MINUTE(TRANSACTIONS!$A499),SECOND(TRANSACTIONS!$A499)),"")</f>
        <v/>
      </c>
      <c r="D499" s="42"/>
      <c r="E499" s="42"/>
      <c r="F499" s="43"/>
      <c r="G499" s="46" t="str">
        <f>IF(AND(A499&lt;&gt;"",F499&gt;1),IF(TRANSACTIONS!$E499=RAPPORTS!$F$9,0,IF(OR(TRANSACTIONS!$D499=RAPPORTS!$A$13,TRANSACTIONS!$D499=RAPPORTS!#REF!),VLOOKUP(TRANSACTIONS!$F499,FRAIS_D_ENVOI,3,TRUE),0)),"")</f>
        <v/>
      </c>
      <c r="H499" s="46" t="str">
        <f>IFERROR(TRANSACTIONS!$F499+TRANSACTIONS!$G499,"")</f>
        <v/>
      </c>
      <c r="I499" s="44"/>
      <c r="J499" s="40" t="str">
        <f t="shared" si="7"/>
        <v/>
      </c>
    </row>
    <row r="500" spans="1:10" hidden="1" x14ac:dyDescent="0.25">
      <c r="A500" s="41"/>
      <c r="B500" s="48" t="str">
        <f>IF(A500&lt;&gt;"",DATE(YEAR(TRANSACTIONS!$A500),MONTH(TRANSACTIONS!$A500),DAY(TRANSACTIONS!$A500)),"")</f>
        <v/>
      </c>
      <c r="C500" s="49" t="str">
        <f>IF(A500&lt;&gt;"",TIME(HOUR(TRANSACTIONS!$A500),MINUTE(TRANSACTIONS!$A500),SECOND(TRANSACTIONS!$A500)),"")</f>
        <v/>
      </c>
      <c r="D500" s="42"/>
      <c r="E500" s="42"/>
      <c r="F500" s="43"/>
      <c r="G500" s="46" t="str">
        <f>IF(AND(A500&lt;&gt;"",F500&gt;1),IF(TRANSACTIONS!$E500=RAPPORTS!$F$9,0,IF(OR(TRANSACTIONS!$D500=RAPPORTS!$A$13,TRANSACTIONS!$D500=RAPPORTS!#REF!),VLOOKUP(TRANSACTIONS!$F500,FRAIS_D_ENVOI,3,TRUE),0)),"")</f>
        <v/>
      </c>
      <c r="H500" s="46" t="str">
        <f>IFERROR(TRANSACTIONS!$F500+TRANSACTIONS!$G500,"")</f>
        <v/>
      </c>
      <c r="I500" s="44"/>
      <c r="J500" s="40" t="str">
        <f t="shared" si="7"/>
        <v/>
      </c>
    </row>
    <row r="501" spans="1:10" hidden="1" x14ac:dyDescent="0.25">
      <c r="A501" s="41"/>
      <c r="B501" s="48" t="str">
        <f>IF(A501&lt;&gt;"",DATE(YEAR(TRANSACTIONS!$A501),MONTH(TRANSACTIONS!$A501),DAY(TRANSACTIONS!$A501)),"")</f>
        <v/>
      </c>
      <c r="C501" s="49" t="str">
        <f>IF(A501&lt;&gt;"",TIME(HOUR(TRANSACTIONS!$A501),MINUTE(TRANSACTIONS!$A501),SECOND(TRANSACTIONS!$A501)),"")</f>
        <v/>
      </c>
      <c r="D501" s="42"/>
      <c r="E501" s="42"/>
      <c r="F501" s="43"/>
      <c r="G501" s="46" t="str">
        <f>IF(AND(A501&lt;&gt;"",F501&gt;1),IF(TRANSACTIONS!$E501=RAPPORTS!$F$9,0,IF(OR(TRANSACTIONS!$D501=RAPPORTS!$A$13,TRANSACTIONS!$D501=RAPPORTS!#REF!),VLOOKUP(TRANSACTIONS!$F501,FRAIS_D_ENVOI,3,TRUE),0)),"")</f>
        <v/>
      </c>
      <c r="H501" s="46" t="str">
        <f>IFERROR(TRANSACTIONS!$F501+TRANSACTIONS!$G501,"")</f>
        <v/>
      </c>
      <c r="I501" s="44"/>
      <c r="J501" s="40" t="str">
        <f t="shared" si="7"/>
        <v/>
      </c>
    </row>
    <row r="502" spans="1:10" hidden="1" x14ac:dyDescent="0.25">
      <c r="A502" s="41"/>
      <c r="B502" s="48" t="str">
        <f>IF(A502&lt;&gt;"",DATE(YEAR(TRANSACTIONS!$A502),MONTH(TRANSACTIONS!$A502),DAY(TRANSACTIONS!$A502)),"")</f>
        <v/>
      </c>
      <c r="C502" s="49" t="str">
        <f>IF(A502&lt;&gt;"",TIME(HOUR(TRANSACTIONS!$A502),MINUTE(TRANSACTIONS!$A502),SECOND(TRANSACTIONS!$A502)),"")</f>
        <v/>
      </c>
      <c r="D502" s="42"/>
      <c r="E502" s="42"/>
      <c r="F502" s="43"/>
      <c r="G502" s="46" t="str">
        <f>IF(AND(A502&lt;&gt;"",F502&gt;1),IF(TRANSACTIONS!$E502=RAPPORTS!$F$9,0,IF(OR(TRANSACTIONS!$D502=RAPPORTS!$A$13,TRANSACTIONS!$D502=RAPPORTS!#REF!),VLOOKUP(TRANSACTIONS!$F502,FRAIS_D_ENVOI,3,TRUE),0)),"")</f>
        <v/>
      </c>
      <c r="H502" s="46" t="str">
        <f>IFERROR(TRANSACTIONS!$F502+TRANSACTIONS!$G502,"")</f>
        <v/>
      </c>
      <c r="I502" s="44"/>
      <c r="J502" s="40" t="str">
        <f t="shared" si="7"/>
        <v/>
      </c>
    </row>
    <row r="503" spans="1:10" hidden="1" x14ac:dyDescent="0.25">
      <c r="A503" s="41"/>
      <c r="B503" s="48" t="str">
        <f>IF(A503&lt;&gt;"",DATE(YEAR(TRANSACTIONS!$A503),MONTH(TRANSACTIONS!$A503),DAY(TRANSACTIONS!$A503)),"")</f>
        <v/>
      </c>
      <c r="C503" s="49" t="str">
        <f>IF(A503&lt;&gt;"",TIME(HOUR(TRANSACTIONS!$A503),MINUTE(TRANSACTIONS!$A503),SECOND(TRANSACTIONS!$A503)),"")</f>
        <v/>
      </c>
      <c r="D503" s="42"/>
      <c r="E503" s="42"/>
      <c r="F503" s="43"/>
      <c r="G503" s="46" t="str">
        <f>IF(AND(A503&lt;&gt;"",F503&gt;1),IF(TRANSACTIONS!$E503=RAPPORTS!$F$9,0,IF(OR(TRANSACTIONS!$D503=RAPPORTS!$A$13,TRANSACTIONS!$D503=RAPPORTS!#REF!),VLOOKUP(TRANSACTIONS!$F503,FRAIS_D_ENVOI,3,TRUE),0)),"")</f>
        <v/>
      </c>
      <c r="H503" s="46" t="str">
        <f>IFERROR(TRANSACTIONS!$F503+TRANSACTIONS!$G503,"")</f>
        <v/>
      </c>
      <c r="I503" s="44"/>
      <c r="J503" s="40" t="str">
        <f t="shared" si="7"/>
        <v/>
      </c>
    </row>
    <row r="504" spans="1:10" hidden="1" x14ac:dyDescent="0.25">
      <c r="A504" s="41"/>
      <c r="B504" s="48" t="str">
        <f>IF(A504&lt;&gt;"",DATE(YEAR(TRANSACTIONS!$A504),MONTH(TRANSACTIONS!$A504),DAY(TRANSACTIONS!$A504)),"")</f>
        <v/>
      </c>
      <c r="C504" s="49" t="str">
        <f>IF(A504&lt;&gt;"",TIME(HOUR(TRANSACTIONS!$A504),MINUTE(TRANSACTIONS!$A504),SECOND(TRANSACTIONS!$A504)),"")</f>
        <v/>
      </c>
      <c r="D504" s="42"/>
      <c r="E504" s="42"/>
      <c r="F504" s="43"/>
      <c r="G504" s="46" t="str">
        <f>IF(AND(A504&lt;&gt;"",F504&gt;1),IF(TRANSACTIONS!$E504=RAPPORTS!$F$9,0,IF(OR(TRANSACTIONS!$D504=RAPPORTS!$A$13,TRANSACTIONS!$D504=RAPPORTS!#REF!),VLOOKUP(TRANSACTIONS!$F504,FRAIS_D_ENVOI,3,TRUE),0)),"")</f>
        <v/>
      </c>
      <c r="H504" s="46" t="str">
        <f>IFERROR(TRANSACTIONS!$F504+TRANSACTIONS!$G504,"")</f>
        <v/>
      </c>
      <c r="I504" s="44"/>
      <c r="J504" s="40" t="str">
        <f t="shared" si="7"/>
        <v/>
      </c>
    </row>
    <row r="505" spans="1:10" hidden="1" x14ac:dyDescent="0.25">
      <c r="A505" s="41"/>
      <c r="B505" s="48" t="str">
        <f>IF(A505&lt;&gt;"",DATE(YEAR(TRANSACTIONS!$A505),MONTH(TRANSACTIONS!$A505),DAY(TRANSACTIONS!$A505)),"")</f>
        <v/>
      </c>
      <c r="C505" s="49" t="str">
        <f>IF(A505&lt;&gt;"",TIME(HOUR(TRANSACTIONS!$A505),MINUTE(TRANSACTIONS!$A505),SECOND(TRANSACTIONS!$A505)),"")</f>
        <v/>
      </c>
      <c r="D505" s="42"/>
      <c r="E505" s="42"/>
      <c r="F505" s="43"/>
      <c r="G505" s="46" t="str">
        <f>IF(AND(A505&lt;&gt;"",F505&gt;1),IF(TRANSACTIONS!$E505=RAPPORTS!$F$9,0,IF(OR(TRANSACTIONS!$D505=RAPPORTS!$A$13,TRANSACTIONS!$D505=RAPPORTS!#REF!),VLOOKUP(TRANSACTIONS!$F505,FRAIS_D_ENVOI,3,TRUE),0)),"")</f>
        <v/>
      </c>
      <c r="H505" s="46" t="str">
        <f>IFERROR(TRANSACTIONS!$F505+TRANSACTIONS!$G505,"")</f>
        <v/>
      </c>
      <c r="I505" s="44"/>
      <c r="J505" s="40" t="str">
        <f t="shared" si="7"/>
        <v/>
      </c>
    </row>
    <row r="506" spans="1:10" hidden="1" x14ac:dyDescent="0.25">
      <c r="A506" s="41"/>
      <c r="B506" s="48" t="str">
        <f>IF(A506&lt;&gt;"",DATE(YEAR(TRANSACTIONS!$A506),MONTH(TRANSACTIONS!$A506),DAY(TRANSACTIONS!$A506)),"")</f>
        <v/>
      </c>
      <c r="C506" s="49" t="str">
        <f>IF(A506&lt;&gt;"",TIME(HOUR(TRANSACTIONS!$A506),MINUTE(TRANSACTIONS!$A506),SECOND(TRANSACTIONS!$A506)),"")</f>
        <v/>
      </c>
      <c r="D506" s="42"/>
      <c r="E506" s="42"/>
      <c r="F506" s="43"/>
      <c r="G506" s="46" t="str">
        <f>IF(AND(A506&lt;&gt;"",F506&gt;1),IF(TRANSACTIONS!$E506=RAPPORTS!$F$9,0,IF(OR(TRANSACTIONS!$D506=RAPPORTS!$A$13,TRANSACTIONS!$D506=RAPPORTS!#REF!),VLOOKUP(TRANSACTIONS!$F506,FRAIS_D_ENVOI,3,TRUE),0)),"")</f>
        <v/>
      </c>
      <c r="H506" s="46" t="str">
        <f>IFERROR(TRANSACTIONS!$F506+TRANSACTIONS!$G506,"")</f>
        <v/>
      </c>
      <c r="I506" s="44"/>
      <c r="J506" s="40" t="str">
        <f t="shared" si="7"/>
        <v/>
      </c>
    </row>
    <row r="507" spans="1:10" hidden="1" x14ac:dyDescent="0.25">
      <c r="A507" s="41"/>
      <c r="B507" s="48" t="str">
        <f>IF(A507&lt;&gt;"",DATE(YEAR(TRANSACTIONS!$A507),MONTH(TRANSACTIONS!$A507),DAY(TRANSACTIONS!$A507)),"")</f>
        <v/>
      </c>
      <c r="C507" s="49" t="str">
        <f>IF(A507&lt;&gt;"",TIME(HOUR(TRANSACTIONS!$A507),MINUTE(TRANSACTIONS!$A507),SECOND(TRANSACTIONS!$A507)),"")</f>
        <v/>
      </c>
      <c r="D507" s="42"/>
      <c r="E507" s="42"/>
      <c r="F507" s="43"/>
      <c r="G507" s="46" t="str">
        <f>IF(AND(A507&lt;&gt;"",F507&gt;1),IF(TRANSACTIONS!$E507=RAPPORTS!$F$9,0,IF(OR(TRANSACTIONS!$D507=RAPPORTS!$A$13,TRANSACTIONS!$D507=RAPPORTS!#REF!),VLOOKUP(TRANSACTIONS!$F507,FRAIS_D_ENVOI,3,TRUE),0)),"")</f>
        <v/>
      </c>
      <c r="H507" s="46" t="str">
        <f>IFERROR(TRANSACTIONS!$F507+TRANSACTIONS!$G507,"")</f>
        <v/>
      </c>
      <c r="I507" s="44"/>
      <c r="J507" s="40" t="str">
        <f t="shared" si="7"/>
        <v/>
      </c>
    </row>
    <row r="508" spans="1:10" hidden="1" x14ac:dyDescent="0.25">
      <c r="A508" s="41"/>
      <c r="B508" s="48" t="str">
        <f>IF(A508&lt;&gt;"",DATE(YEAR(TRANSACTIONS!$A508),MONTH(TRANSACTIONS!$A508),DAY(TRANSACTIONS!$A508)),"")</f>
        <v/>
      </c>
      <c r="C508" s="49" t="str">
        <f>IF(A508&lt;&gt;"",TIME(HOUR(TRANSACTIONS!$A508),MINUTE(TRANSACTIONS!$A508),SECOND(TRANSACTIONS!$A508)),"")</f>
        <v/>
      </c>
      <c r="D508" s="42"/>
      <c r="E508" s="42"/>
      <c r="F508" s="43"/>
      <c r="G508" s="46" t="str">
        <f>IF(AND(A508&lt;&gt;"",F508&gt;1),IF(TRANSACTIONS!$E508=RAPPORTS!$F$9,0,IF(OR(TRANSACTIONS!$D508=RAPPORTS!$A$13,TRANSACTIONS!$D508=RAPPORTS!#REF!),VLOOKUP(TRANSACTIONS!$F508,FRAIS_D_ENVOI,3,TRUE),0)),"")</f>
        <v/>
      </c>
      <c r="H508" s="46" t="str">
        <f>IFERROR(TRANSACTIONS!$F508+TRANSACTIONS!$G508,"")</f>
        <v/>
      </c>
      <c r="I508" s="44"/>
      <c r="J508" s="40" t="str">
        <f t="shared" si="7"/>
        <v/>
      </c>
    </row>
    <row r="509" spans="1:10" hidden="1" x14ac:dyDescent="0.25">
      <c r="A509" s="41"/>
      <c r="B509" s="48" t="str">
        <f>IF(A509&lt;&gt;"",DATE(YEAR(TRANSACTIONS!$A509),MONTH(TRANSACTIONS!$A509),DAY(TRANSACTIONS!$A509)),"")</f>
        <v/>
      </c>
      <c r="C509" s="49" t="str">
        <f>IF(A509&lt;&gt;"",TIME(HOUR(TRANSACTIONS!$A509),MINUTE(TRANSACTIONS!$A509),SECOND(TRANSACTIONS!$A509)),"")</f>
        <v/>
      </c>
      <c r="D509" s="42"/>
      <c r="E509" s="42"/>
      <c r="F509" s="43"/>
      <c r="G509" s="46" t="str">
        <f>IF(AND(A509&lt;&gt;"",F509&gt;1),IF(TRANSACTIONS!$E509=RAPPORTS!$F$9,0,IF(OR(TRANSACTIONS!$D509=RAPPORTS!$A$13,TRANSACTIONS!$D509=RAPPORTS!#REF!),VLOOKUP(TRANSACTIONS!$F509,FRAIS_D_ENVOI,3,TRUE),0)),"")</f>
        <v/>
      </c>
      <c r="H509" s="46" t="str">
        <f>IFERROR(TRANSACTIONS!$F509+TRANSACTIONS!$G509,"")</f>
        <v/>
      </c>
      <c r="I509" s="44"/>
      <c r="J509" s="40" t="str">
        <f t="shared" si="7"/>
        <v/>
      </c>
    </row>
    <row r="510" spans="1:10" hidden="1" x14ac:dyDescent="0.25">
      <c r="A510" s="41"/>
      <c r="B510" s="48" t="str">
        <f>IF(A510&lt;&gt;"",DATE(YEAR(TRANSACTIONS!$A510),MONTH(TRANSACTIONS!$A510),DAY(TRANSACTIONS!$A510)),"")</f>
        <v/>
      </c>
      <c r="C510" s="49" t="str">
        <f>IF(A510&lt;&gt;"",TIME(HOUR(TRANSACTIONS!$A510),MINUTE(TRANSACTIONS!$A510),SECOND(TRANSACTIONS!$A510)),"")</f>
        <v/>
      </c>
      <c r="D510" s="42"/>
      <c r="E510" s="42"/>
      <c r="F510" s="43"/>
      <c r="G510" s="46" t="str">
        <f>IF(AND(A510&lt;&gt;"",F510&gt;1),IF(TRANSACTIONS!$E510=RAPPORTS!$F$9,0,IF(OR(TRANSACTIONS!$D510=RAPPORTS!$A$13,TRANSACTIONS!$D510=RAPPORTS!#REF!),VLOOKUP(TRANSACTIONS!$F510,FRAIS_D_ENVOI,3,TRUE),0)),"")</f>
        <v/>
      </c>
      <c r="H510" s="46" t="str">
        <f>IFERROR(TRANSACTIONS!$F510+TRANSACTIONS!$G510,"")</f>
        <v/>
      </c>
      <c r="I510" s="44"/>
      <c r="J510" s="40" t="str">
        <f t="shared" si="7"/>
        <v/>
      </c>
    </row>
    <row r="511" spans="1:10" hidden="1" x14ac:dyDescent="0.25">
      <c r="A511" s="41"/>
      <c r="B511" s="48" t="str">
        <f>IF(A511&lt;&gt;"",DATE(YEAR(TRANSACTIONS!$A511),MONTH(TRANSACTIONS!$A511),DAY(TRANSACTIONS!$A511)),"")</f>
        <v/>
      </c>
      <c r="C511" s="49" t="str">
        <f>IF(A511&lt;&gt;"",TIME(HOUR(TRANSACTIONS!$A511),MINUTE(TRANSACTIONS!$A511),SECOND(TRANSACTIONS!$A511)),"")</f>
        <v/>
      </c>
      <c r="D511" s="42"/>
      <c r="E511" s="42"/>
      <c r="F511" s="43"/>
      <c r="G511" s="46" t="str">
        <f>IF(AND(A511&lt;&gt;"",F511&gt;1),IF(TRANSACTIONS!$E511=RAPPORTS!$F$9,0,IF(OR(TRANSACTIONS!$D511=RAPPORTS!$A$13,TRANSACTIONS!$D511=RAPPORTS!#REF!),VLOOKUP(TRANSACTIONS!$F511,FRAIS_D_ENVOI,3,TRUE),0)),"")</f>
        <v/>
      </c>
      <c r="H511" s="46" t="str">
        <f>IFERROR(TRANSACTIONS!$F511+TRANSACTIONS!$G511,"")</f>
        <v/>
      </c>
      <c r="I511" s="44"/>
      <c r="J511" s="40" t="str">
        <f t="shared" si="7"/>
        <v/>
      </c>
    </row>
    <row r="512" spans="1:10" hidden="1" x14ac:dyDescent="0.25">
      <c r="A512" s="41"/>
      <c r="B512" s="48" t="str">
        <f>IF(A512&lt;&gt;"",DATE(YEAR(TRANSACTIONS!$A512),MONTH(TRANSACTIONS!$A512),DAY(TRANSACTIONS!$A512)),"")</f>
        <v/>
      </c>
      <c r="C512" s="49" t="str">
        <f>IF(A512&lt;&gt;"",TIME(HOUR(TRANSACTIONS!$A512),MINUTE(TRANSACTIONS!$A512),SECOND(TRANSACTIONS!$A512)),"")</f>
        <v/>
      </c>
      <c r="D512" s="42"/>
      <c r="E512" s="42"/>
      <c r="F512" s="43"/>
      <c r="G512" s="46" t="str">
        <f>IF(AND(A512&lt;&gt;"",F512&gt;1),IF(TRANSACTIONS!$E512=RAPPORTS!$F$9,0,IF(OR(TRANSACTIONS!$D512=RAPPORTS!$A$13,TRANSACTIONS!$D512=RAPPORTS!#REF!),VLOOKUP(TRANSACTIONS!$F512,FRAIS_D_ENVOI,3,TRUE),0)),"")</f>
        <v/>
      </c>
      <c r="H512" s="46" t="str">
        <f>IFERROR(TRANSACTIONS!$F512+TRANSACTIONS!$G512,"")</f>
        <v/>
      </c>
      <c r="I512" s="44"/>
      <c r="J512" s="40" t="str">
        <f t="shared" si="7"/>
        <v/>
      </c>
    </row>
    <row r="513" spans="1:10" hidden="1" x14ac:dyDescent="0.25">
      <c r="A513" s="41"/>
      <c r="B513" s="48" t="str">
        <f>IF(A513&lt;&gt;"",DATE(YEAR(TRANSACTIONS!$A513),MONTH(TRANSACTIONS!$A513),DAY(TRANSACTIONS!$A513)),"")</f>
        <v/>
      </c>
      <c r="C513" s="49" t="str">
        <f>IF(A513&lt;&gt;"",TIME(HOUR(TRANSACTIONS!$A513),MINUTE(TRANSACTIONS!$A513),SECOND(TRANSACTIONS!$A513)),"")</f>
        <v/>
      </c>
      <c r="D513" s="42"/>
      <c r="E513" s="42"/>
      <c r="F513" s="43"/>
      <c r="G513" s="46" t="str">
        <f>IF(AND(A513&lt;&gt;"",F513&gt;1),IF(TRANSACTIONS!$E513=RAPPORTS!$F$9,0,IF(OR(TRANSACTIONS!$D513=RAPPORTS!$A$13,TRANSACTIONS!$D513=RAPPORTS!#REF!),VLOOKUP(TRANSACTIONS!$F513,FRAIS_D_ENVOI,3,TRUE),0)),"")</f>
        <v/>
      </c>
      <c r="H513" s="46" t="str">
        <f>IFERROR(TRANSACTIONS!$F513+TRANSACTIONS!$G513,"")</f>
        <v/>
      </c>
      <c r="I513" s="44"/>
      <c r="J513" s="40" t="str">
        <f t="shared" si="7"/>
        <v/>
      </c>
    </row>
    <row r="514" spans="1:10" hidden="1" x14ac:dyDescent="0.25">
      <c r="A514" s="41"/>
      <c r="B514" s="48" t="str">
        <f>IF(A514&lt;&gt;"",DATE(YEAR(TRANSACTIONS!$A514),MONTH(TRANSACTIONS!$A514),DAY(TRANSACTIONS!$A514)),"")</f>
        <v/>
      </c>
      <c r="C514" s="49" t="str">
        <f>IF(A514&lt;&gt;"",TIME(HOUR(TRANSACTIONS!$A514),MINUTE(TRANSACTIONS!$A514),SECOND(TRANSACTIONS!$A514)),"")</f>
        <v/>
      </c>
      <c r="D514" s="42"/>
      <c r="E514" s="42"/>
      <c r="F514" s="43"/>
      <c r="G514" s="46" t="str">
        <f>IF(AND(A514&lt;&gt;"",F514&gt;1),IF(TRANSACTIONS!$E514=RAPPORTS!$F$9,0,IF(OR(TRANSACTIONS!$D514=RAPPORTS!$A$13,TRANSACTIONS!$D514=RAPPORTS!#REF!),VLOOKUP(TRANSACTIONS!$F514,FRAIS_D_ENVOI,3,TRUE),0)),"")</f>
        <v/>
      </c>
      <c r="H514" s="46" t="str">
        <f>IFERROR(TRANSACTIONS!$F514+TRANSACTIONS!$G514,"")</f>
        <v/>
      </c>
      <c r="I514" s="44"/>
      <c r="J514" s="40" t="str">
        <f t="shared" si="7"/>
        <v/>
      </c>
    </row>
    <row r="515" spans="1:10" hidden="1" x14ac:dyDescent="0.25">
      <c r="A515" s="41"/>
      <c r="B515" s="48" t="str">
        <f>IF(A515&lt;&gt;"",DATE(YEAR(TRANSACTIONS!$A515),MONTH(TRANSACTIONS!$A515),DAY(TRANSACTIONS!$A515)),"")</f>
        <v/>
      </c>
      <c r="C515" s="49" t="str">
        <f>IF(A515&lt;&gt;"",TIME(HOUR(TRANSACTIONS!$A515),MINUTE(TRANSACTIONS!$A515),SECOND(TRANSACTIONS!$A515)),"")</f>
        <v/>
      </c>
      <c r="D515" s="42"/>
      <c r="E515" s="42"/>
      <c r="F515" s="43"/>
      <c r="G515" s="46" t="str">
        <f>IF(AND(A515&lt;&gt;"",F515&gt;1),IF(TRANSACTIONS!$E515=RAPPORTS!$F$9,0,IF(OR(TRANSACTIONS!$D515=RAPPORTS!$A$13,TRANSACTIONS!$D515=RAPPORTS!#REF!),VLOOKUP(TRANSACTIONS!$F515,FRAIS_D_ENVOI,3,TRUE),0)),"")</f>
        <v/>
      </c>
      <c r="H515" s="46" t="str">
        <f>IFERROR(TRANSACTIONS!$F515+TRANSACTIONS!$G515,"")</f>
        <v/>
      </c>
      <c r="I515" s="44"/>
      <c r="J515" s="40" t="str">
        <f t="shared" si="7"/>
        <v/>
      </c>
    </row>
    <row r="516" spans="1:10" hidden="1" x14ac:dyDescent="0.25">
      <c r="A516" s="41"/>
      <c r="B516" s="48" t="str">
        <f>IF(A516&lt;&gt;"",DATE(YEAR(TRANSACTIONS!$A516),MONTH(TRANSACTIONS!$A516),DAY(TRANSACTIONS!$A516)),"")</f>
        <v/>
      </c>
      <c r="C516" s="49" t="str">
        <f>IF(A516&lt;&gt;"",TIME(HOUR(TRANSACTIONS!$A516),MINUTE(TRANSACTIONS!$A516),SECOND(TRANSACTIONS!$A516)),"")</f>
        <v/>
      </c>
      <c r="D516" s="42"/>
      <c r="E516" s="42"/>
      <c r="F516" s="43"/>
      <c r="G516" s="46" t="str">
        <f>IF(AND(A516&lt;&gt;"",F516&gt;1),IF(TRANSACTIONS!$E516=RAPPORTS!$F$9,0,IF(OR(TRANSACTIONS!$D516=RAPPORTS!$A$13,TRANSACTIONS!$D516=RAPPORTS!#REF!),VLOOKUP(TRANSACTIONS!$F516,FRAIS_D_ENVOI,3,TRUE),0)),"")</f>
        <v/>
      </c>
      <c r="H516" s="46" t="str">
        <f>IFERROR(TRANSACTIONS!$F516+TRANSACTIONS!$G516,"")</f>
        <v/>
      </c>
      <c r="I516" s="44"/>
      <c r="J516" s="40" t="str">
        <f t="shared" ref="J516:J579" si="8">IF(G516&lt;&gt;"",$J$1*G516,"")</f>
        <v/>
      </c>
    </row>
    <row r="517" spans="1:10" hidden="1" x14ac:dyDescent="0.25">
      <c r="A517" s="41"/>
      <c r="B517" s="48" t="str">
        <f>IF(A517&lt;&gt;"",DATE(YEAR(TRANSACTIONS!$A517),MONTH(TRANSACTIONS!$A517),DAY(TRANSACTIONS!$A517)),"")</f>
        <v/>
      </c>
      <c r="C517" s="49" t="str">
        <f>IF(A517&lt;&gt;"",TIME(HOUR(TRANSACTIONS!$A517),MINUTE(TRANSACTIONS!$A517),SECOND(TRANSACTIONS!$A517)),"")</f>
        <v/>
      </c>
      <c r="D517" s="42"/>
      <c r="E517" s="42"/>
      <c r="F517" s="43"/>
      <c r="G517" s="46" t="str">
        <f>IF(AND(A517&lt;&gt;"",F517&gt;1),IF(TRANSACTIONS!$E517=RAPPORTS!$F$9,0,IF(OR(TRANSACTIONS!$D517=RAPPORTS!$A$13,TRANSACTIONS!$D517=RAPPORTS!#REF!),VLOOKUP(TRANSACTIONS!$F517,FRAIS_D_ENVOI,3,TRUE),0)),"")</f>
        <v/>
      </c>
      <c r="H517" s="46" t="str">
        <f>IFERROR(TRANSACTIONS!$F517+TRANSACTIONS!$G517,"")</f>
        <v/>
      </c>
      <c r="I517" s="44"/>
      <c r="J517" s="40" t="str">
        <f t="shared" si="8"/>
        <v/>
      </c>
    </row>
    <row r="518" spans="1:10" hidden="1" x14ac:dyDescent="0.25">
      <c r="A518" s="41"/>
      <c r="B518" s="48" t="str">
        <f>IF(A518&lt;&gt;"",DATE(YEAR(TRANSACTIONS!$A518),MONTH(TRANSACTIONS!$A518),DAY(TRANSACTIONS!$A518)),"")</f>
        <v/>
      </c>
      <c r="C518" s="49" t="str">
        <f>IF(A518&lt;&gt;"",TIME(HOUR(TRANSACTIONS!$A518),MINUTE(TRANSACTIONS!$A518),SECOND(TRANSACTIONS!$A518)),"")</f>
        <v/>
      </c>
      <c r="D518" s="42"/>
      <c r="E518" s="42"/>
      <c r="F518" s="43"/>
      <c r="G518" s="46" t="str">
        <f>IF(AND(A518&lt;&gt;"",F518&gt;1),IF(TRANSACTIONS!$E518=RAPPORTS!$F$9,0,IF(OR(TRANSACTIONS!$D518=RAPPORTS!$A$13,TRANSACTIONS!$D518=RAPPORTS!#REF!),VLOOKUP(TRANSACTIONS!$F518,FRAIS_D_ENVOI,3,TRUE),0)),"")</f>
        <v/>
      </c>
      <c r="H518" s="46" t="str">
        <f>IFERROR(TRANSACTIONS!$F518+TRANSACTIONS!$G518,"")</f>
        <v/>
      </c>
      <c r="I518" s="44"/>
      <c r="J518" s="40" t="str">
        <f t="shared" si="8"/>
        <v/>
      </c>
    </row>
    <row r="519" spans="1:10" hidden="1" x14ac:dyDescent="0.25">
      <c r="A519" s="41"/>
      <c r="B519" s="48" t="str">
        <f>IF(A519&lt;&gt;"",DATE(YEAR(TRANSACTIONS!$A519),MONTH(TRANSACTIONS!$A519),DAY(TRANSACTIONS!$A519)),"")</f>
        <v/>
      </c>
      <c r="C519" s="49" t="str">
        <f>IF(A519&lt;&gt;"",TIME(HOUR(TRANSACTIONS!$A519),MINUTE(TRANSACTIONS!$A519),SECOND(TRANSACTIONS!$A519)),"")</f>
        <v/>
      </c>
      <c r="D519" s="42"/>
      <c r="E519" s="42"/>
      <c r="F519" s="43"/>
      <c r="G519" s="46" t="str">
        <f>IF(AND(A519&lt;&gt;"",F519&gt;1),IF(TRANSACTIONS!$E519=RAPPORTS!$F$9,0,IF(OR(TRANSACTIONS!$D519=RAPPORTS!$A$13,TRANSACTIONS!$D519=RAPPORTS!#REF!),VLOOKUP(TRANSACTIONS!$F519,FRAIS_D_ENVOI,3,TRUE),0)),"")</f>
        <v/>
      </c>
      <c r="H519" s="46" t="str">
        <f>IFERROR(TRANSACTIONS!$F519+TRANSACTIONS!$G519,"")</f>
        <v/>
      </c>
      <c r="I519" s="44"/>
      <c r="J519" s="40" t="str">
        <f t="shared" si="8"/>
        <v/>
      </c>
    </row>
    <row r="520" spans="1:10" hidden="1" x14ac:dyDescent="0.25">
      <c r="A520" s="41"/>
      <c r="B520" s="48" t="str">
        <f>IF(A520&lt;&gt;"",DATE(YEAR(TRANSACTIONS!$A520),MONTH(TRANSACTIONS!$A520),DAY(TRANSACTIONS!$A520)),"")</f>
        <v/>
      </c>
      <c r="C520" s="49" t="str">
        <f>IF(A520&lt;&gt;"",TIME(HOUR(TRANSACTIONS!$A520),MINUTE(TRANSACTIONS!$A520),SECOND(TRANSACTIONS!$A520)),"")</f>
        <v/>
      </c>
      <c r="D520" s="42"/>
      <c r="E520" s="42"/>
      <c r="F520" s="43"/>
      <c r="G520" s="46" t="str">
        <f>IF(AND(A520&lt;&gt;"",F520&gt;1),IF(TRANSACTIONS!$E520=RAPPORTS!$F$9,0,IF(OR(TRANSACTIONS!$D520=RAPPORTS!$A$13,TRANSACTIONS!$D520=RAPPORTS!#REF!),VLOOKUP(TRANSACTIONS!$F520,FRAIS_D_ENVOI,3,TRUE),0)),"")</f>
        <v/>
      </c>
      <c r="H520" s="46" t="str">
        <f>IFERROR(TRANSACTIONS!$F520+TRANSACTIONS!$G520,"")</f>
        <v/>
      </c>
      <c r="I520" s="44"/>
      <c r="J520" s="40" t="str">
        <f t="shared" si="8"/>
        <v/>
      </c>
    </row>
    <row r="521" spans="1:10" hidden="1" x14ac:dyDescent="0.25">
      <c r="A521" s="41"/>
      <c r="B521" s="48" t="str">
        <f>IF(A521&lt;&gt;"",DATE(YEAR(TRANSACTIONS!$A521),MONTH(TRANSACTIONS!$A521),DAY(TRANSACTIONS!$A521)),"")</f>
        <v/>
      </c>
      <c r="C521" s="49" t="str">
        <f>IF(A521&lt;&gt;"",TIME(HOUR(TRANSACTIONS!$A521),MINUTE(TRANSACTIONS!$A521),SECOND(TRANSACTIONS!$A521)),"")</f>
        <v/>
      </c>
      <c r="D521" s="42"/>
      <c r="E521" s="42"/>
      <c r="F521" s="43"/>
      <c r="G521" s="46" t="str">
        <f>IF(AND(A521&lt;&gt;"",F521&gt;1),IF(TRANSACTIONS!$E521=RAPPORTS!$F$9,0,IF(OR(TRANSACTIONS!$D521=RAPPORTS!$A$13,TRANSACTIONS!$D521=RAPPORTS!#REF!),VLOOKUP(TRANSACTIONS!$F521,FRAIS_D_ENVOI,3,TRUE),0)),"")</f>
        <v/>
      </c>
      <c r="H521" s="46" t="str">
        <f>IFERROR(TRANSACTIONS!$F521+TRANSACTIONS!$G521,"")</f>
        <v/>
      </c>
      <c r="I521" s="44"/>
      <c r="J521" s="40" t="str">
        <f t="shared" si="8"/>
        <v/>
      </c>
    </row>
    <row r="522" spans="1:10" hidden="1" x14ac:dyDescent="0.25">
      <c r="A522" s="41"/>
      <c r="B522" s="48" t="str">
        <f>IF(A522&lt;&gt;"",DATE(YEAR(TRANSACTIONS!$A522),MONTH(TRANSACTIONS!$A522),DAY(TRANSACTIONS!$A522)),"")</f>
        <v/>
      </c>
      <c r="C522" s="49" t="str">
        <f>IF(A522&lt;&gt;"",TIME(HOUR(TRANSACTIONS!$A522),MINUTE(TRANSACTIONS!$A522),SECOND(TRANSACTIONS!$A522)),"")</f>
        <v/>
      </c>
      <c r="D522" s="42"/>
      <c r="E522" s="42"/>
      <c r="F522" s="43"/>
      <c r="G522" s="46" t="str">
        <f>IF(AND(A522&lt;&gt;"",F522&gt;1),IF(TRANSACTIONS!$E522=RAPPORTS!$F$9,0,IF(OR(TRANSACTIONS!$D522=RAPPORTS!$A$13,TRANSACTIONS!$D522=RAPPORTS!#REF!),VLOOKUP(TRANSACTIONS!$F522,FRAIS_D_ENVOI,3,TRUE),0)),"")</f>
        <v/>
      </c>
      <c r="H522" s="46" t="str">
        <f>IFERROR(TRANSACTIONS!$F522+TRANSACTIONS!$G522,"")</f>
        <v/>
      </c>
      <c r="I522" s="44"/>
      <c r="J522" s="40" t="str">
        <f t="shared" si="8"/>
        <v/>
      </c>
    </row>
    <row r="523" spans="1:10" hidden="1" x14ac:dyDescent="0.25">
      <c r="A523" s="41"/>
      <c r="B523" s="48" t="str">
        <f>IF(A523&lt;&gt;"",DATE(YEAR(TRANSACTIONS!$A523),MONTH(TRANSACTIONS!$A523),DAY(TRANSACTIONS!$A523)),"")</f>
        <v/>
      </c>
      <c r="C523" s="49" t="str">
        <f>IF(A523&lt;&gt;"",TIME(HOUR(TRANSACTIONS!$A523),MINUTE(TRANSACTIONS!$A523),SECOND(TRANSACTIONS!$A523)),"")</f>
        <v/>
      </c>
      <c r="D523" s="42"/>
      <c r="E523" s="42"/>
      <c r="F523" s="43"/>
      <c r="G523" s="46" t="str">
        <f>IF(AND(A523&lt;&gt;"",F523&gt;1),IF(TRANSACTIONS!$E523=RAPPORTS!$F$9,0,IF(OR(TRANSACTIONS!$D523=RAPPORTS!$A$13,TRANSACTIONS!$D523=RAPPORTS!#REF!),VLOOKUP(TRANSACTIONS!$F523,FRAIS_D_ENVOI,3,TRUE),0)),"")</f>
        <v/>
      </c>
      <c r="H523" s="46" t="str">
        <f>IFERROR(TRANSACTIONS!$F523+TRANSACTIONS!$G523,"")</f>
        <v/>
      </c>
      <c r="I523" s="44"/>
      <c r="J523" s="40" t="str">
        <f t="shared" si="8"/>
        <v/>
      </c>
    </row>
    <row r="524" spans="1:10" hidden="1" x14ac:dyDescent="0.25">
      <c r="A524" s="41"/>
      <c r="B524" s="48" t="str">
        <f>IF(A524&lt;&gt;"",DATE(YEAR(TRANSACTIONS!$A524),MONTH(TRANSACTIONS!$A524),DAY(TRANSACTIONS!$A524)),"")</f>
        <v/>
      </c>
      <c r="C524" s="49" t="str">
        <f>IF(A524&lt;&gt;"",TIME(HOUR(TRANSACTIONS!$A524),MINUTE(TRANSACTIONS!$A524),SECOND(TRANSACTIONS!$A524)),"")</f>
        <v/>
      </c>
      <c r="D524" s="42"/>
      <c r="E524" s="42"/>
      <c r="F524" s="43"/>
      <c r="G524" s="46" t="str">
        <f>IF(AND(A524&lt;&gt;"",F524&gt;1),IF(TRANSACTIONS!$E524=RAPPORTS!$F$9,0,IF(OR(TRANSACTIONS!$D524=RAPPORTS!$A$13,TRANSACTIONS!$D524=RAPPORTS!#REF!),VLOOKUP(TRANSACTIONS!$F524,FRAIS_D_ENVOI,3,TRUE),0)),"")</f>
        <v/>
      </c>
      <c r="H524" s="46" t="str">
        <f>IFERROR(TRANSACTIONS!$F524+TRANSACTIONS!$G524,"")</f>
        <v/>
      </c>
      <c r="I524" s="44"/>
      <c r="J524" s="40" t="str">
        <f t="shared" si="8"/>
        <v/>
      </c>
    </row>
    <row r="525" spans="1:10" hidden="1" x14ac:dyDescent="0.25">
      <c r="A525" s="41"/>
      <c r="B525" s="48" t="str">
        <f>IF(A525&lt;&gt;"",DATE(YEAR(TRANSACTIONS!$A525),MONTH(TRANSACTIONS!$A525),DAY(TRANSACTIONS!$A525)),"")</f>
        <v/>
      </c>
      <c r="C525" s="49" t="str">
        <f>IF(A525&lt;&gt;"",TIME(HOUR(TRANSACTIONS!$A525),MINUTE(TRANSACTIONS!$A525),SECOND(TRANSACTIONS!$A525)),"")</f>
        <v/>
      </c>
      <c r="D525" s="42"/>
      <c r="E525" s="42"/>
      <c r="F525" s="43"/>
      <c r="G525" s="46" t="str">
        <f>IF(AND(A525&lt;&gt;"",F525&gt;1),IF(TRANSACTIONS!$E525=RAPPORTS!$F$9,0,IF(OR(TRANSACTIONS!$D525=RAPPORTS!$A$13,TRANSACTIONS!$D525=RAPPORTS!#REF!),VLOOKUP(TRANSACTIONS!$F525,FRAIS_D_ENVOI,3,TRUE),0)),"")</f>
        <v/>
      </c>
      <c r="H525" s="46" t="str">
        <f>IFERROR(TRANSACTIONS!$F525+TRANSACTIONS!$G525,"")</f>
        <v/>
      </c>
      <c r="I525" s="44"/>
      <c r="J525" s="40" t="str">
        <f t="shared" si="8"/>
        <v/>
      </c>
    </row>
    <row r="526" spans="1:10" hidden="1" x14ac:dyDescent="0.25">
      <c r="A526" s="41"/>
      <c r="B526" s="48" t="str">
        <f>IF(A526&lt;&gt;"",DATE(YEAR(TRANSACTIONS!$A526),MONTH(TRANSACTIONS!$A526),DAY(TRANSACTIONS!$A526)),"")</f>
        <v/>
      </c>
      <c r="C526" s="49" t="str">
        <f>IF(A526&lt;&gt;"",TIME(HOUR(TRANSACTIONS!$A526),MINUTE(TRANSACTIONS!$A526),SECOND(TRANSACTIONS!$A526)),"")</f>
        <v/>
      </c>
      <c r="D526" s="42"/>
      <c r="E526" s="42"/>
      <c r="F526" s="43"/>
      <c r="G526" s="46" t="str">
        <f>IF(AND(A526&lt;&gt;"",F526&gt;1),IF(TRANSACTIONS!$E526=RAPPORTS!$F$9,0,IF(OR(TRANSACTIONS!$D526=RAPPORTS!$A$13,TRANSACTIONS!$D526=RAPPORTS!#REF!),VLOOKUP(TRANSACTIONS!$F526,FRAIS_D_ENVOI,3,TRUE),0)),"")</f>
        <v/>
      </c>
      <c r="H526" s="46" t="str">
        <f>IFERROR(TRANSACTIONS!$F526+TRANSACTIONS!$G526,"")</f>
        <v/>
      </c>
      <c r="I526" s="44"/>
      <c r="J526" s="40" t="str">
        <f t="shared" si="8"/>
        <v/>
      </c>
    </row>
    <row r="527" spans="1:10" hidden="1" x14ac:dyDescent="0.25">
      <c r="A527" s="41"/>
      <c r="B527" s="48" t="str">
        <f>IF(A527&lt;&gt;"",DATE(YEAR(TRANSACTIONS!$A527),MONTH(TRANSACTIONS!$A527),DAY(TRANSACTIONS!$A527)),"")</f>
        <v/>
      </c>
      <c r="C527" s="49" t="str">
        <f>IF(A527&lt;&gt;"",TIME(HOUR(TRANSACTIONS!$A527),MINUTE(TRANSACTIONS!$A527),SECOND(TRANSACTIONS!$A527)),"")</f>
        <v/>
      </c>
      <c r="D527" s="42"/>
      <c r="E527" s="42"/>
      <c r="F527" s="43"/>
      <c r="G527" s="46" t="str">
        <f>IF(AND(A527&lt;&gt;"",F527&gt;1),IF(TRANSACTIONS!$E527=RAPPORTS!$F$9,0,IF(OR(TRANSACTIONS!$D527=RAPPORTS!$A$13,TRANSACTIONS!$D527=RAPPORTS!#REF!),VLOOKUP(TRANSACTIONS!$F527,FRAIS_D_ENVOI,3,TRUE),0)),"")</f>
        <v/>
      </c>
      <c r="H527" s="46" t="str">
        <f>IFERROR(TRANSACTIONS!$F527+TRANSACTIONS!$G527,"")</f>
        <v/>
      </c>
      <c r="I527" s="44"/>
      <c r="J527" s="40" t="str">
        <f t="shared" si="8"/>
        <v/>
      </c>
    </row>
    <row r="528" spans="1:10" hidden="1" x14ac:dyDescent="0.25">
      <c r="A528" s="41"/>
      <c r="B528" s="48" t="str">
        <f>IF(A528&lt;&gt;"",DATE(YEAR(TRANSACTIONS!$A528),MONTH(TRANSACTIONS!$A528),DAY(TRANSACTIONS!$A528)),"")</f>
        <v/>
      </c>
      <c r="C528" s="49" t="str">
        <f>IF(A528&lt;&gt;"",TIME(HOUR(TRANSACTIONS!$A528),MINUTE(TRANSACTIONS!$A528),SECOND(TRANSACTIONS!$A528)),"")</f>
        <v/>
      </c>
      <c r="D528" s="42"/>
      <c r="E528" s="42"/>
      <c r="F528" s="43"/>
      <c r="G528" s="46" t="str">
        <f>IF(AND(A528&lt;&gt;"",F528&gt;1),IF(TRANSACTIONS!$E528=RAPPORTS!$F$9,0,IF(OR(TRANSACTIONS!$D528=RAPPORTS!$A$13,TRANSACTIONS!$D528=RAPPORTS!#REF!),VLOOKUP(TRANSACTIONS!$F528,FRAIS_D_ENVOI,3,TRUE),0)),"")</f>
        <v/>
      </c>
      <c r="H528" s="46" t="str">
        <f>IFERROR(TRANSACTIONS!$F528+TRANSACTIONS!$G528,"")</f>
        <v/>
      </c>
      <c r="I528" s="44"/>
      <c r="J528" s="40" t="str">
        <f t="shared" si="8"/>
        <v/>
      </c>
    </row>
    <row r="529" spans="1:10" hidden="1" x14ac:dyDescent="0.25">
      <c r="A529" s="41"/>
      <c r="B529" s="48" t="str">
        <f>IF(A529&lt;&gt;"",DATE(YEAR(TRANSACTIONS!$A529),MONTH(TRANSACTIONS!$A529),DAY(TRANSACTIONS!$A529)),"")</f>
        <v/>
      </c>
      <c r="C529" s="49" t="str">
        <f>IF(A529&lt;&gt;"",TIME(HOUR(TRANSACTIONS!$A529),MINUTE(TRANSACTIONS!$A529),SECOND(TRANSACTIONS!$A529)),"")</f>
        <v/>
      </c>
      <c r="D529" s="42"/>
      <c r="E529" s="42"/>
      <c r="F529" s="43"/>
      <c r="G529" s="46" t="str">
        <f>IF(AND(A529&lt;&gt;"",F529&gt;1),IF(TRANSACTIONS!$E529=RAPPORTS!$F$9,0,IF(OR(TRANSACTIONS!$D529=RAPPORTS!$A$13,TRANSACTIONS!$D529=RAPPORTS!#REF!),VLOOKUP(TRANSACTIONS!$F529,FRAIS_D_ENVOI,3,TRUE),0)),"")</f>
        <v/>
      </c>
      <c r="H529" s="46" t="str">
        <f>IFERROR(TRANSACTIONS!$F529+TRANSACTIONS!$G529,"")</f>
        <v/>
      </c>
      <c r="I529" s="44"/>
      <c r="J529" s="40" t="str">
        <f t="shared" si="8"/>
        <v/>
      </c>
    </row>
    <row r="530" spans="1:10" hidden="1" x14ac:dyDescent="0.25">
      <c r="A530" s="41"/>
      <c r="B530" s="48" t="str">
        <f>IF(A530&lt;&gt;"",DATE(YEAR(TRANSACTIONS!$A530),MONTH(TRANSACTIONS!$A530),DAY(TRANSACTIONS!$A530)),"")</f>
        <v/>
      </c>
      <c r="C530" s="49" t="str">
        <f>IF(A530&lt;&gt;"",TIME(HOUR(TRANSACTIONS!$A530),MINUTE(TRANSACTIONS!$A530),SECOND(TRANSACTIONS!$A530)),"")</f>
        <v/>
      </c>
      <c r="D530" s="42"/>
      <c r="E530" s="42"/>
      <c r="F530" s="43"/>
      <c r="G530" s="46" t="str">
        <f>IF(AND(A530&lt;&gt;"",F530&gt;1),IF(TRANSACTIONS!$E530=RAPPORTS!$F$9,0,IF(OR(TRANSACTIONS!$D530=RAPPORTS!$A$13,TRANSACTIONS!$D530=RAPPORTS!#REF!),VLOOKUP(TRANSACTIONS!$F530,FRAIS_D_ENVOI,3,TRUE),0)),"")</f>
        <v/>
      </c>
      <c r="H530" s="46" t="str">
        <f>IFERROR(TRANSACTIONS!$F530+TRANSACTIONS!$G530,"")</f>
        <v/>
      </c>
      <c r="I530" s="44"/>
      <c r="J530" s="40" t="str">
        <f t="shared" si="8"/>
        <v/>
      </c>
    </row>
    <row r="531" spans="1:10" hidden="1" x14ac:dyDescent="0.25">
      <c r="A531" s="41"/>
      <c r="B531" s="48" t="str">
        <f>IF(A531&lt;&gt;"",DATE(YEAR(TRANSACTIONS!$A531),MONTH(TRANSACTIONS!$A531),DAY(TRANSACTIONS!$A531)),"")</f>
        <v/>
      </c>
      <c r="C531" s="49" t="str">
        <f>IF(A531&lt;&gt;"",TIME(HOUR(TRANSACTIONS!$A531),MINUTE(TRANSACTIONS!$A531),SECOND(TRANSACTIONS!$A531)),"")</f>
        <v/>
      </c>
      <c r="D531" s="42"/>
      <c r="E531" s="42"/>
      <c r="F531" s="43"/>
      <c r="G531" s="46" t="str">
        <f>IF(AND(A531&lt;&gt;"",F531&gt;1),IF(TRANSACTIONS!$E531=RAPPORTS!$F$9,0,IF(OR(TRANSACTIONS!$D531=RAPPORTS!$A$13,TRANSACTIONS!$D531=RAPPORTS!#REF!),VLOOKUP(TRANSACTIONS!$F531,FRAIS_D_ENVOI,3,TRUE),0)),"")</f>
        <v/>
      </c>
      <c r="H531" s="46" t="str">
        <f>IFERROR(TRANSACTIONS!$F531+TRANSACTIONS!$G531,"")</f>
        <v/>
      </c>
      <c r="I531" s="44"/>
      <c r="J531" s="40" t="str">
        <f t="shared" si="8"/>
        <v/>
      </c>
    </row>
    <row r="532" spans="1:10" hidden="1" x14ac:dyDescent="0.25">
      <c r="A532" s="41"/>
      <c r="B532" s="48" t="str">
        <f>IF(A532&lt;&gt;"",DATE(YEAR(TRANSACTIONS!$A532),MONTH(TRANSACTIONS!$A532),DAY(TRANSACTIONS!$A532)),"")</f>
        <v/>
      </c>
      <c r="C532" s="49" t="str">
        <f>IF(A532&lt;&gt;"",TIME(HOUR(TRANSACTIONS!$A532),MINUTE(TRANSACTIONS!$A532),SECOND(TRANSACTIONS!$A532)),"")</f>
        <v/>
      </c>
      <c r="D532" s="42"/>
      <c r="E532" s="42"/>
      <c r="F532" s="43"/>
      <c r="G532" s="46" t="str">
        <f>IF(AND(A532&lt;&gt;"",F532&gt;1),IF(TRANSACTIONS!$E532=RAPPORTS!$F$9,0,IF(OR(TRANSACTIONS!$D532=RAPPORTS!$A$13,TRANSACTIONS!$D532=RAPPORTS!#REF!),VLOOKUP(TRANSACTIONS!$F532,FRAIS_D_ENVOI,3,TRUE),0)),"")</f>
        <v/>
      </c>
      <c r="H532" s="46" t="str">
        <f>IFERROR(TRANSACTIONS!$F532+TRANSACTIONS!$G532,"")</f>
        <v/>
      </c>
      <c r="I532" s="44"/>
      <c r="J532" s="40" t="str">
        <f t="shared" si="8"/>
        <v/>
      </c>
    </row>
    <row r="533" spans="1:10" hidden="1" x14ac:dyDescent="0.25">
      <c r="A533" s="41"/>
      <c r="B533" s="48" t="str">
        <f>IF(A533&lt;&gt;"",DATE(YEAR(TRANSACTIONS!$A533),MONTH(TRANSACTIONS!$A533),DAY(TRANSACTIONS!$A533)),"")</f>
        <v/>
      </c>
      <c r="C533" s="49" t="str">
        <f>IF(A533&lt;&gt;"",TIME(HOUR(TRANSACTIONS!$A533),MINUTE(TRANSACTIONS!$A533),SECOND(TRANSACTIONS!$A533)),"")</f>
        <v/>
      </c>
      <c r="D533" s="42"/>
      <c r="E533" s="42"/>
      <c r="F533" s="43"/>
      <c r="G533" s="46" t="str">
        <f>IF(AND(A533&lt;&gt;"",F533&gt;1),IF(TRANSACTIONS!$E533=RAPPORTS!$F$9,0,IF(OR(TRANSACTIONS!$D533=RAPPORTS!$A$13,TRANSACTIONS!$D533=RAPPORTS!#REF!),VLOOKUP(TRANSACTIONS!$F533,FRAIS_D_ENVOI,3,TRUE),0)),"")</f>
        <v/>
      </c>
      <c r="H533" s="46" t="str">
        <f>IFERROR(TRANSACTIONS!$F533+TRANSACTIONS!$G533,"")</f>
        <v/>
      </c>
      <c r="I533" s="44"/>
      <c r="J533" s="40" t="str">
        <f t="shared" si="8"/>
        <v/>
      </c>
    </row>
    <row r="534" spans="1:10" hidden="1" x14ac:dyDescent="0.25">
      <c r="A534" s="41"/>
      <c r="B534" s="48" t="str">
        <f>IF(A534&lt;&gt;"",DATE(YEAR(TRANSACTIONS!$A534),MONTH(TRANSACTIONS!$A534),DAY(TRANSACTIONS!$A534)),"")</f>
        <v/>
      </c>
      <c r="C534" s="49" t="str">
        <f>IF(A534&lt;&gt;"",TIME(HOUR(TRANSACTIONS!$A534),MINUTE(TRANSACTIONS!$A534),SECOND(TRANSACTIONS!$A534)),"")</f>
        <v/>
      </c>
      <c r="D534" s="42"/>
      <c r="E534" s="42"/>
      <c r="F534" s="43"/>
      <c r="G534" s="46" t="str">
        <f>IF(AND(A534&lt;&gt;"",F534&gt;1),IF(TRANSACTIONS!$E534=RAPPORTS!$F$9,0,IF(OR(TRANSACTIONS!$D534=RAPPORTS!$A$13,TRANSACTIONS!$D534=RAPPORTS!#REF!),VLOOKUP(TRANSACTIONS!$F534,FRAIS_D_ENVOI,3,TRUE),0)),"")</f>
        <v/>
      </c>
      <c r="H534" s="46" t="str">
        <f>IFERROR(TRANSACTIONS!$F534+TRANSACTIONS!$G534,"")</f>
        <v/>
      </c>
      <c r="I534" s="44"/>
      <c r="J534" s="40" t="str">
        <f t="shared" si="8"/>
        <v/>
      </c>
    </row>
    <row r="535" spans="1:10" hidden="1" x14ac:dyDescent="0.25">
      <c r="A535" s="41"/>
      <c r="B535" s="48" t="str">
        <f>IF(A535&lt;&gt;"",DATE(YEAR(TRANSACTIONS!$A535),MONTH(TRANSACTIONS!$A535),DAY(TRANSACTIONS!$A535)),"")</f>
        <v/>
      </c>
      <c r="C535" s="49" t="str">
        <f>IF(A535&lt;&gt;"",TIME(HOUR(TRANSACTIONS!$A535),MINUTE(TRANSACTIONS!$A535),SECOND(TRANSACTIONS!$A535)),"")</f>
        <v/>
      </c>
      <c r="D535" s="42"/>
      <c r="E535" s="42"/>
      <c r="F535" s="43"/>
      <c r="G535" s="46" t="str">
        <f>IF(AND(A535&lt;&gt;"",F535&gt;1),IF(TRANSACTIONS!$E535=RAPPORTS!$F$9,0,IF(OR(TRANSACTIONS!$D535=RAPPORTS!$A$13,TRANSACTIONS!$D535=RAPPORTS!#REF!),VLOOKUP(TRANSACTIONS!$F535,FRAIS_D_ENVOI,3,TRUE),0)),"")</f>
        <v/>
      </c>
      <c r="H535" s="46" t="str">
        <f>IFERROR(TRANSACTIONS!$F535+TRANSACTIONS!$G535,"")</f>
        <v/>
      </c>
      <c r="I535" s="44"/>
      <c r="J535" s="40" t="str">
        <f t="shared" si="8"/>
        <v/>
      </c>
    </row>
    <row r="536" spans="1:10" hidden="1" x14ac:dyDescent="0.25">
      <c r="A536" s="41"/>
      <c r="B536" s="48" t="str">
        <f>IF(A536&lt;&gt;"",DATE(YEAR(TRANSACTIONS!$A536),MONTH(TRANSACTIONS!$A536),DAY(TRANSACTIONS!$A536)),"")</f>
        <v/>
      </c>
      <c r="C536" s="49" t="str">
        <f>IF(A536&lt;&gt;"",TIME(HOUR(TRANSACTIONS!$A536),MINUTE(TRANSACTIONS!$A536),SECOND(TRANSACTIONS!$A536)),"")</f>
        <v/>
      </c>
      <c r="D536" s="42"/>
      <c r="E536" s="42"/>
      <c r="F536" s="43"/>
      <c r="G536" s="46" t="str">
        <f>IF(AND(A536&lt;&gt;"",F536&gt;1),IF(TRANSACTIONS!$E536=RAPPORTS!$F$9,0,IF(OR(TRANSACTIONS!$D536=RAPPORTS!$A$13,TRANSACTIONS!$D536=RAPPORTS!#REF!),VLOOKUP(TRANSACTIONS!$F536,FRAIS_D_ENVOI,3,TRUE),0)),"")</f>
        <v/>
      </c>
      <c r="H536" s="46" t="str">
        <f>IFERROR(TRANSACTIONS!$F536+TRANSACTIONS!$G536,"")</f>
        <v/>
      </c>
      <c r="I536" s="44"/>
      <c r="J536" s="40" t="str">
        <f t="shared" si="8"/>
        <v/>
      </c>
    </row>
    <row r="537" spans="1:10" hidden="1" x14ac:dyDescent="0.25">
      <c r="A537" s="41"/>
      <c r="B537" s="48" t="str">
        <f>IF(A537&lt;&gt;"",DATE(YEAR(TRANSACTIONS!$A537),MONTH(TRANSACTIONS!$A537),DAY(TRANSACTIONS!$A537)),"")</f>
        <v/>
      </c>
      <c r="C537" s="49" t="str">
        <f>IF(A537&lt;&gt;"",TIME(HOUR(TRANSACTIONS!$A537),MINUTE(TRANSACTIONS!$A537),SECOND(TRANSACTIONS!$A537)),"")</f>
        <v/>
      </c>
      <c r="D537" s="42"/>
      <c r="E537" s="42"/>
      <c r="F537" s="43"/>
      <c r="G537" s="46" t="str">
        <f>IF(AND(A537&lt;&gt;"",F537&gt;1),IF(TRANSACTIONS!$E537=RAPPORTS!$F$9,0,IF(OR(TRANSACTIONS!$D537=RAPPORTS!$A$13,TRANSACTIONS!$D537=RAPPORTS!#REF!),VLOOKUP(TRANSACTIONS!$F537,FRAIS_D_ENVOI,3,TRUE),0)),"")</f>
        <v/>
      </c>
      <c r="H537" s="46" t="str">
        <f>IFERROR(TRANSACTIONS!$F537+TRANSACTIONS!$G537,"")</f>
        <v/>
      </c>
      <c r="I537" s="44"/>
      <c r="J537" s="40" t="str">
        <f t="shared" si="8"/>
        <v/>
      </c>
    </row>
    <row r="538" spans="1:10" hidden="1" x14ac:dyDescent="0.25">
      <c r="A538" s="41"/>
      <c r="B538" s="48" t="str">
        <f>IF(A538&lt;&gt;"",DATE(YEAR(TRANSACTIONS!$A538),MONTH(TRANSACTIONS!$A538),DAY(TRANSACTIONS!$A538)),"")</f>
        <v/>
      </c>
      <c r="C538" s="49" t="str">
        <f>IF(A538&lt;&gt;"",TIME(HOUR(TRANSACTIONS!$A538),MINUTE(TRANSACTIONS!$A538),SECOND(TRANSACTIONS!$A538)),"")</f>
        <v/>
      </c>
      <c r="D538" s="42"/>
      <c r="E538" s="42"/>
      <c r="F538" s="43"/>
      <c r="G538" s="46" t="str">
        <f>IF(AND(A538&lt;&gt;"",F538&gt;1),IF(TRANSACTIONS!$E538=RAPPORTS!$F$9,0,IF(OR(TRANSACTIONS!$D538=RAPPORTS!$A$13,TRANSACTIONS!$D538=RAPPORTS!#REF!),VLOOKUP(TRANSACTIONS!$F538,FRAIS_D_ENVOI,3,TRUE),0)),"")</f>
        <v/>
      </c>
      <c r="H538" s="46" t="str">
        <f>IFERROR(TRANSACTIONS!$F538+TRANSACTIONS!$G538,"")</f>
        <v/>
      </c>
      <c r="I538" s="44"/>
      <c r="J538" s="40" t="str">
        <f t="shared" si="8"/>
        <v/>
      </c>
    </row>
    <row r="539" spans="1:10" hidden="1" x14ac:dyDescent="0.25">
      <c r="A539" s="41"/>
      <c r="B539" s="48" t="str">
        <f>IF(A539&lt;&gt;"",DATE(YEAR(TRANSACTIONS!$A539),MONTH(TRANSACTIONS!$A539),DAY(TRANSACTIONS!$A539)),"")</f>
        <v/>
      </c>
      <c r="C539" s="49" t="str">
        <f>IF(A539&lt;&gt;"",TIME(HOUR(TRANSACTIONS!$A539),MINUTE(TRANSACTIONS!$A539),SECOND(TRANSACTIONS!$A539)),"")</f>
        <v/>
      </c>
      <c r="D539" s="42"/>
      <c r="E539" s="42"/>
      <c r="F539" s="43"/>
      <c r="G539" s="46" t="str">
        <f>IF(AND(A539&lt;&gt;"",F539&gt;1),IF(TRANSACTIONS!$E539=RAPPORTS!$F$9,0,IF(OR(TRANSACTIONS!$D539=RAPPORTS!$A$13,TRANSACTIONS!$D539=RAPPORTS!#REF!),VLOOKUP(TRANSACTIONS!$F539,FRAIS_D_ENVOI,3,TRUE),0)),"")</f>
        <v/>
      </c>
      <c r="H539" s="46" t="str">
        <f>IFERROR(TRANSACTIONS!$F539+TRANSACTIONS!$G539,"")</f>
        <v/>
      </c>
      <c r="I539" s="44"/>
      <c r="J539" s="40" t="str">
        <f t="shared" si="8"/>
        <v/>
      </c>
    </row>
    <row r="540" spans="1:10" hidden="1" x14ac:dyDescent="0.25">
      <c r="A540" s="41"/>
      <c r="B540" s="48" t="str">
        <f>IF(A540&lt;&gt;"",DATE(YEAR(TRANSACTIONS!$A540),MONTH(TRANSACTIONS!$A540),DAY(TRANSACTIONS!$A540)),"")</f>
        <v/>
      </c>
      <c r="C540" s="49" t="str">
        <f>IF(A540&lt;&gt;"",TIME(HOUR(TRANSACTIONS!$A540),MINUTE(TRANSACTIONS!$A540),SECOND(TRANSACTIONS!$A540)),"")</f>
        <v/>
      </c>
      <c r="D540" s="42"/>
      <c r="E540" s="42"/>
      <c r="F540" s="43"/>
      <c r="G540" s="46" t="str">
        <f>IF(AND(A540&lt;&gt;"",F540&gt;1),IF(TRANSACTIONS!$E540=RAPPORTS!$F$9,0,IF(OR(TRANSACTIONS!$D540=RAPPORTS!$A$13,TRANSACTIONS!$D540=RAPPORTS!#REF!),VLOOKUP(TRANSACTIONS!$F540,FRAIS_D_ENVOI,3,TRUE),0)),"")</f>
        <v/>
      </c>
      <c r="H540" s="46" t="str">
        <f>IFERROR(TRANSACTIONS!$F540+TRANSACTIONS!$G540,"")</f>
        <v/>
      </c>
      <c r="I540" s="44"/>
      <c r="J540" s="40" t="str">
        <f t="shared" si="8"/>
        <v/>
      </c>
    </row>
    <row r="541" spans="1:10" hidden="1" x14ac:dyDescent="0.25">
      <c r="A541" s="41"/>
      <c r="B541" s="48" t="str">
        <f>IF(A541&lt;&gt;"",DATE(YEAR(TRANSACTIONS!$A541),MONTH(TRANSACTIONS!$A541),DAY(TRANSACTIONS!$A541)),"")</f>
        <v/>
      </c>
      <c r="C541" s="49" t="str">
        <f>IF(A541&lt;&gt;"",TIME(HOUR(TRANSACTIONS!$A541),MINUTE(TRANSACTIONS!$A541),SECOND(TRANSACTIONS!$A541)),"")</f>
        <v/>
      </c>
      <c r="D541" s="42"/>
      <c r="E541" s="42"/>
      <c r="F541" s="43"/>
      <c r="G541" s="46" t="str">
        <f>IF(AND(A541&lt;&gt;"",F541&gt;1),IF(TRANSACTIONS!$E541=RAPPORTS!$F$9,0,IF(OR(TRANSACTIONS!$D541=RAPPORTS!$A$13,TRANSACTIONS!$D541=RAPPORTS!#REF!),VLOOKUP(TRANSACTIONS!$F541,FRAIS_D_ENVOI,3,TRUE),0)),"")</f>
        <v/>
      </c>
      <c r="H541" s="46" t="str">
        <f>IFERROR(TRANSACTIONS!$F541+TRANSACTIONS!$G541,"")</f>
        <v/>
      </c>
      <c r="I541" s="44"/>
      <c r="J541" s="40" t="str">
        <f t="shared" si="8"/>
        <v/>
      </c>
    </row>
    <row r="542" spans="1:10" hidden="1" x14ac:dyDescent="0.25">
      <c r="A542" s="41"/>
      <c r="B542" s="48" t="str">
        <f>IF(A542&lt;&gt;"",DATE(YEAR(TRANSACTIONS!$A542),MONTH(TRANSACTIONS!$A542),DAY(TRANSACTIONS!$A542)),"")</f>
        <v/>
      </c>
      <c r="C542" s="49" t="str">
        <f>IF(A542&lt;&gt;"",TIME(HOUR(TRANSACTIONS!$A542),MINUTE(TRANSACTIONS!$A542),SECOND(TRANSACTIONS!$A542)),"")</f>
        <v/>
      </c>
      <c r="D542" s="42"/>
      <c r="E542" s="42"/>
      <c r="F542" s="43"/>
      <c r="G542" s="46" t="str">
        <f>IF(AND(A542&lt;&gt;"",F542&gt;1),IF(TRANSACTIONS!$E542=RAPPORTS!$F$9,0,IF(OR(TRANSACTIONS!$D542=RAPPORTS!$A$13,TRANSACTIONS!$D542=RAPPORTS!#REF!),VLOOKUP(TRANSACTIONS!$F542,FRAIS_D_ENVOI,3,TRUE),0)),"")</f>
        <v/>
      </c>
      <c r="H542" s="46" t="str">
        <f>IFERROR(TRANSACTIONS!$F542+TRANSACTIONS!$G542,"")</f>
        <v/>
      </c>
      <c r="I542" s="44"/>
      <c r="J542" s="40" t="str">
        <f t="shared" si="8"/>
        <v/>
      </c>
    </row>
    <row r="543" spans="1:10" hidden="1" x14ac:dyDescent="0.25">
      <c r="A543" s="41"/>
      <c r="B543" s="48" t="str">
        <f>IF(A543&lt;&gt;"",DATE(YEAR(TRANSACTIONS!$A543),MONTH(TRANSACTIONS!$A543),DAY(TRANSACTIONS!$A543)),"")</f>
        <v/>
      </c>
      <c r="C543" s="49" t="str">
        <f>IF(A543&lt;&gt;"",TIME(HOUR(TRANSACTIONS!$A543),MINUTE(TRANSACTIONS!$A543),SECOND(TRANSACTIONS!$A543)),"")</f>
        <v/>
      </c>
      <c r="D543" s="42"/>
      <c r="E543" s="42"/>
      <c r="F543" s="43"/>
      <c r="G543" s="46" t="str">
        <f>IF(AND(A543&lt;&gt;"",F543&gt;1),IF(TRANSACTIONS!$E543=RAPPORTS!$F$9,0,IF(OR(TRANSACTIONS!$D543=RAPPORTS!$A$13,TRANSACTIONS!$D543=RAPPORTS!#REF!),VLOOKUP(TRANSACTIONS!$F543,FRAIS_D_ENVOI,3,TRUE),0)),"")</f>
        <v/>
      </c>
      <c r="H543" s="46" t="str">
        <f>IFERROR(TRANSACTIONS!$F543+TRANSACTIONS!$G543,"")</f>
        <v/>
      </c>
      <c r="I543" s="44"/>
      <c r="J543" s="40" t="str">
        <f t="shared" si="8"/>
        <v/>
      </c>
    </row>
    <row r="544" spans="1:10" hidden="1" x14ac:dyDescent="0.25">
      <c r="A544" s="41"/>
      <c r="B544" s="48" t="str">
        <f>IF(A544&lt;&gt;"",DATE(YEAR(TRANSACTIONS!$A544),MONTH(TRANSACTIONS!$A544),DAY(TRANSACTIONS!$A544)),"")</f>
        <v/>
      </c>
      <c r="C544" s="49" t="str">
        <f>IF(A544&lt;&gt;"",TIME(HOUR(TRANSACTIONS!$A544),MINUTE(TRANSACTIONS!$A544),SECOND(TRANSACTIONS!$A544)),"")</f>
        <v/>
      </c>
      <c r="D544" s="42"/>
      <c r="E544" s="42"/>
      <c r="F544" s="43"/>
      <c r="G544" s="46" t="str">
        <f>IF(AND(A544&lt;&gt;"",F544&gt;1),IF(TRANSACTIONS!$E544=RAPPORTS!$F$9,0,IF(OR(TRANSACTIONS!$D544=RAPPORTS!$A$13,TRANSACTIONS!$D544=RAPPORTS!#REF!),VLOOKUP(TRANSACTIONS!$F544,FRAIS_D_ENVOI,3,TRUE),0)),"")</f>
        <v/>
      </c>
      <c r="H544" s="46" t="str">
        <f>IFERROR(TRANSACTIONS!$F544+TRANSACTIONS!$G544,"")</f>
        <v/>
      </c>
      <c r="I544" s="44"/>
      <c r="J544" s="40" t="str">
        <f t="shared" si="8"/>
        <v/>
      </c>
    </row>
    <row r="545" spans="1:10" hidden="1" x14ac:dyDescent="0.25">
      <c r="A545" s="41"/>
      <c r="B545" s="48" t="str">
        <f>IF(A545&lt;&gt;"",DATE(YEAR(TRANSACTIONS!$A545),MONTH(TRANSACTIONS!$A545),DAY(TRANSACTIONS!$A545)),"")</f>
        <v/>
      </c>
      <c r="C545" s="49" t="str">
        <f>IF(A545&lt;&gt;"",TIME(HOUR(TRANSACTIONS!$A545),MINUTE(TRANSACTIONS!$A545),SECOND(TRANSACTIONS!$A545)),"")</f>
        <v/>
      </c>
      <c r="D545" s="42"/>
      <c r="E545" s="42"/>
      <c r="F545" s="43"/>
      <c r="G545" s="46" t="str">
        <f>IF(AND(A545&lt;&gt;"",F545&gt;1),IF(TRANSACTIONS!$E545=RAPPORTS!$F$9,0,IF(OR(TRANSACTIONS!$D545=RAPPORTS!$A$13,TRANSACTIONS!$D545=RAPPORTS!#REF!),VLOOKUP(TRANSACTIONS!$F545,FRAIS_D_ENVOI,3,TRUE),0)),"")</f>
        <v/>
      </c>
      <c r="H545" s="46" t="str">
        <f>IFERROR(TRANSACTIONS!$F545+TRANSACTIONS!$G545,"")</f>
        <v/>
      </c>
      <c r="I545" s="44"/>
      <c r="J545" s="40" t="str">
        <f t="shared" si="8"/>
        <v/>
      </c>
    </row>
    <row r="546" spans="1:10" hidden="1" x14ac:dyDescent="0.25">
      <c r="A546" s="41"/>
      <c r="B546" s="48" t="str">
        <f>IF(A546&lt;&gt;"",DATE(YEAR(TRANSACTIONS!$A546),MONTH(TRANSACTIONS!$A546),DAY(TRANSACTIONS!$A546)),"")</f>
        <v/>
      </c>
      <c r="C546" s="49" t="str">
        <f>IF(A546&lt;&gt;"",TIME(HOUR(TRANSACTIONS!$A546),MINUTE(TRANSACTIONS!$A546),SECOND(TRANSACTIONS!$A546)),"")</f>
        <v/>
      </c>
      <c r="D546" s="42"/>
      <c r="E546" s="42"/>
      <c r="F546" s="43"/>
      <c r="G546" s="46" t="str">
        <f>IF(AND(A546&lt;&gt;"",F546&gt;1),IF(TRANSACTIONS!$E546=RAPPORTS!$F$9,0,IF(OR(TRANSACTIONS!$D546=RAPPORTS!$A$13,TRANSACTIONS!$D546=RAPPORTS!#REF!),VLOOKUP(TRANSACTIONS!$F546,FRAIS_D_ENVOI,3,TRUE),0)),"")</f>
        <v/>
      </c>
      <c r="H546" s="46" t="str">
        <f>IFERROR(TRANSACTIONS!$F546+TRANSACTIONS!$G546,"")</f>
        <v/>
      </c>
      <c r="I546" s="44"/>
      <c r="J546" s="40" t="str">
        <f t="shared" si="8"/>
        <v/>
      </c>
    </row>
    <row r="547" spans="1:10" hidden="1" x14ac:dyDescent="0.25">
      <c r="A547" s="41"/>
      <c r="B547" s="48" t="str">
        <f>IF(A547&lt;&gt;"",DATE(YEAR(TRANSACTIONS!$A547),MONTH(TRANSACTIONS!$A547),DAY(TRANSACTIONS!$A547)),"")</f>
        <v/>
      </c>
      <c r="C547" s="49" t="str">
        <f>IF(A547&lt;&gt;"",TIME(HOUR(TRANSACTIONS!$A547),MINUTE(TRANSACTIONS!$A547),SECOND(TRANSACTIONS!$A547)),"")</f>
        <v/>
      </c>
      <c r="D547" s="42"/>
      <c r="E547" s="42"/>
      <c r="F547" s="43"/>
      <c r="G547" s="46" t="str">
        <f>IF(AND(A547&lt;&gt;"",F547&gt;1),IF(TRANSACTIONS!$E547=RAPPORTS!$F$9,0,IF(OR(TRANSACTIONS!$D547=RAPPORTS!$A$13,TRANSACTIONS!$D547=RAPPORTS!#REF!),VLOOKUP(TRANSACTIONS!$F547,FRAIS_D_ENVOI,3,TRUE),0)),"")</f>
        <v/>
      </c>
      <c r="H547" s="46" t="str">
        <f>IFERROR(TRANSACTIONS!$F547+TRANSACTIONS!$G547,"")</f>
        <v/>
      </c>
      <c r="I547" s="44"/>
      <c r="J547" s="40" t="str">
        <f t="shared" si="8"/>
        <v/>
      </c>
    </row>
    <row r="548" spans="1:10" hidden="1" x14ac:dyDescent="0.25">
      <c r="A548" s="41"/>
      <c r="B548" s="48" t="str">
        <f>IF(A548&lt;&gt;"",DATE(YEAR(TRANSACTIONS!$A548),MONTH(TRANSACTIONS!$A548),DAY(TRANSACTIONS!$A548)),"")</f>
        <v/>
      </c>
      <c r="C548" s="49" t="str">
        <f>IF(A548&lt;&gt;"",TIME(HOUR(TRANSACTIONS!$A548),MINUTE(TRANSACTIONS!$A548),SECOND(TRANSACTIONS!$A548)),"")</f>
        <v/>
      </c>
      <c r="D548" s="42"/>
      <c r="E548" s="42"/>
      <c r="F548" s="43"/>
      <c r="G548" s="46" t="str">
        <f>IF(AND(A548&lt;&gt;"",F548&gt;1),IF(TRANSACTIONS!$E548=RAPPORTS!$F$9,0,IF(OR(TRANSACTIONS!$D548=RAPPORTS!$A$13,TRANSACTIONS!$D548=RAPPORTS!#REF!),VLOOKUP(TRANSACTIONS!$F548,FRAIS_D_ENVOI,3,TRUE),0)),"")</f>
        <v/>
      </c>
      <c r="H548" s="46" t="str">
        <f>IFERROR(TRANSACTIONS!$F548+TRANSACTIONS!$G548,"")</f>
        <v/>
      </c>
      <c r="I548" s="44"/>
      <c r="J548" s="40" t="str">
        <f t="shared" si="8"/>
        <v/>
      </c>
    </row>
    <row r="549" spans="1:10" hidden="1" x14ac:dyDescent="0.25">
      <c r="A549" s="41"/>
      <c r="B549" s="48" t="str">
        <f>IF(A549&lt;&gt;"",DATE(YEAR(TRANSACTIONS!$A549),MONTH(TRANSACTIONS!$A549),DAY(TRANSACTIONS!$A549)),"")</f>
        <v/>
      </c>
      <c r="C549" s="49" t="str">
        <f>IF(A549&lt;&gt;"",TIME(HOUR(TRANSACTIONS!$A549),MINUTE(TRANSACTIONS!$A549),SECOND(TRANSACTIONS!$A549)),"")</f>
        <v/>
      </c>
      <c r="D549" s="42"/>
      <c r="E549" s="42"/>
      <c r="F549" s="43"/>
      <c r="G549" s="46" t="str">
        <f>IF(AND(A549&lt;&gt;"",F549&gt;1),IF(TRANSACTIONS!$E549=RAPPORTS!$F$9,0,IF(OR(TRANSACTIONS!$D549=RAPPORTS!$A$13,TRANSACTIONS!$D549=RAPPORTS!#REF!),VLOOKUP(TRANSACTIONS!$F549,FRAIS_D_ENVOI,3,TRUE),0)),"")</f>
        <v/>
      </c>
      <c r="H549" s="46" t="str">
        <f>IFERROR(TRANSACTIONS!$F549+TRANSACTIONS!$G549,"")</f>
        <v/>
      </c>
      <c r="I549" s="44"/>
      <c r="J549" s="40" t="str">
        <f t="shared" si="8"/>
        <v/>
      </c>
    </row>
    <row r="550" spans="1:10" hidden="1" x14ac:dyDescent="0.25">
      <c r="A550" s="41"/>
      <c r="B550" s="48" t="str">
        <f>IF(A550&lt;&gt;"",DATE(YEAR(TRANSACTIONS!$A550),MONTH(TRANSACTIONS!$A550),DAY(TRANSACTIONS!$A550)),"")</f>
        <v/>
      </c>
      <c r="C550" s="49" t="str">
        <f>IF(A550&lt;&gt;"",TIME(HOUR(TRANSACTIONS!$A550),MINUTE(TRANSACTIONS!$A550),SECOND(TRANSACTIONS!$A550)),"")</f>
        <v/>
      </c>
      <c r="D550" s="42"/>
      <c r="E550" s="42"/>
      <c r="F550" s="43"/>
      <c r="G550" s="46" t="str">
        <f>IF(AND(A550&lt;&gt;"",F550&gt;1),IF(TRANSACTIONS!$E550=RAPPORTS!$F$9,0,IF(OR(TRANSACTIONS!$D550=RAPPORTS!$A$13,TRANSACTIONS!$D550=RAPPORTS!#REF!),VLOOKUP(TRANSACTIONS!$F550,FRAIS_D_ENVOI,3,TRUE),0)),"")</f>
        <v/>
      </c>
      <c r="H550" s="46" t="str">
        <f>IFERROR(TRANSACTIONS!$F550+TRANSACTIONS!$G550,"")</f>
        <v/>
      </c>
      <c r="I550" s="44"/>
      <c r="J550" s="40" t="str">
        <f t="shared" si="8"/>
        <v/>
      </c>
    </row>
    <row r="551" spans="1:10" hidden="1" x14ac:dyDescent="0.25">
      <c r="A551" s="41"/>
      <c r="B551" s="48" t="str">
        <f>IF(A551&lt;&gt;"",DATE(YEAR(TRANSACTIONS!$A551),MONTH(TRANSACTIONS!$A551),DAY(TRANSACTIONS!$A551)),"")</f>
        <v/>
      </c>
      <c r="C551" s="49" t="str">
        <f>IF(A551&lt;&gt;"",TIME(HOUR(TRANSACTIONS!$A551),MINUTE(TRANSACTIONS!$A551),SECOND(TRANSACTIONS!$A551)),"")</f>
        <v/>
      </c>
      <c r="D551" s="42"/>
      <c r="E551" s="42"/>
      <c r="F551" s="43"/>
      <c r="G551" s="46" t="str">
        <f>IF(AND(A551&lt;&gt;"",F551&gt;1),IF(TRANSACTIONS!$E551=RAPPORTS!$F$9,0,IF(OR(TRANSACTIONS!$D551=RAPPORTS!$A$13,TRANSACTIONS!$D551=RAPPORTS!#REF!),VLOOKUP(TRANSACTIONS!$F551,FRAIS_D_ENVOI,3,TRUE),0)),"")</f>
        <v/>
      </c>
      <c r="H551" s="46" t="str">
        <f>IFERROR(TRANSACTIONS!$F551+TRANSACTIONS!$G551,"")</f>
        <v/>
      </c>
      <c r="I551" s="44"/>
      <c r="J551" s="40" t="str">
        <f t="shared" si="8"/>
        <v/>
      </c>
    </row>
    <row r="552" spans="1:10" hidden="1" x14ac:dyDescent="0.25">
      <c r="A552" s="41"/>
      <c r="B552" s="48" t="str">
        <f>IF(A552&lt;&gt;"",DATE(YEAR(TRANSACTIONS!$A552),MONTH(TRANSACTIONS!$A552),DAY(TRANSACTIONS!$A552)),"")</f>
        <v/>
      </c>
      <c r="C552" s="49" t="str">
        <f>IF(A552&lt;&gt;"",TIME(HOUR(TRANSACTIONS!$A552),MINUTE(TRANSACTIONS!$A552),SECOND(TRANSACTIONS!$A552)),"")</f>
        <v/>
      </c>
      <c r="D552" s="42"/>
      <c r="E552" s="42"/>
      <c r="F552" s="43"/>
      <c r="G552" s="46" t="str">
        <f>IF(AND(A552&lt;&gt;"",F552&gt;1),IF(TRANSACTIONS!$E552=RAPPORTS!$F$9,0,IF(OR(TRANSACTIONS!$D552=RAPPORTS!$A$13,TRANSACTIONS!$D552=RAPPORTS!#REF!),VLOOKUP(TRANSACTIONS!$F552,FRAIS_D_ENVOI,3,TRUE),0)),"")</f>
        <v/>
      </c>
      <c r="H552" s="46" t="str">
        <f>IFERROR(TRANSACTIONS!$F552+TRANSACTIONS!$G552,"")</f>
        <v/>
      </c>
      <c r="I552" s="44"/>
      <c r="J552" s="40" t="str">
        <f t="shared" si="8"/>
        <v/>
      </c>
    </row>
    <row r="553" spans="1:10" hidden="1" x14ac:dyDescent="0.25">
      <c r="A553" s="41"/>
      <c r="B553" s="48" t="str">
        <f>IF(A553&lt;&gt;"",DATE(YEAR(TRANSACTIONS!$A553),MONTH(TRANSACTIONS!$A553),DAY(TRANSACTIONS!$A553)),"")</f>
        <v/>
      </c>
      <c r="C553" s="49" t="str">
        <f>IF(A553&lt;&gt;"",TIME(HOUR(TRANSACTIONS!$A553),MINUTE(TRANSACTIONS!$A553),SECOND(TRANSACTIONS!$A553)),"")</f>
        <v/>
      </c>
      <c r="D553" s="42"/>
      <c r="E553" s="42"/>
      <c r="F553" s="43"/>
      <c r="G553" s="46" t="str">
        <f>IF(AND(A553&lt;&gt;"",F553&gt;1),IF(TRANSACTIONS!$E553=RAPPORTS!$F$9,0,IF(OR(TRANSACTIONS!$D553=RAPPORTS!$A$13,TRANSACTIONS!$D553=RAPPORTS!#REF!),VLOOKUP(TRANSACTIONS!$F553,FRAIS_D_ENVOI,3,TRUE),0)),"")</f>
        <v/>
      </c>
      <c r="H553" s="46" t="str">
        <f>IFERROR(TRANSACTIONS!$F553+TRANSACTIONS!$G553,"")</f>
        <v/>
      </c>
      <c r="I553" s="44"/>
      <c r="J553" s="40" t="str">
        <f t="shared" si="8"/>
        <v/>
      </c>
    </row>
    <row r="554" spans="1:10" hidden="1" x14ac:dyDescent="0.25">
      <c r="A554" s="41"/>
      <c r="B554" s="48" t="str">
        <f>IF(A554&lt;&gt;"",DATE(YEAR(TRANSACTIONS!$A554),MONTH(TRANSACTIONS!$A554),DAY(TRANSACTIONS!$A554)),"")</f>
        <v/>
      </c>
      <c r="C554" s="49" t="str">
        <f>IF(A554&lt;&gt;"",TIME(HOUR(TRANSACTIONS!$A554),MINUTE(TRANSACTIONS!$A554),SECOND(TRANSACTIONS!$A554)),"")</f>
        <v/>
      </c>
      <c r="D554" s="42"/>
      <c r="E554" s="42"/>
      <c r="F554" s="43"/>
      <c r="G554" s="46" t="str">
        <f>IF(AND(A554&lt;&gt;"",F554&gt;1),IF(TRANSACTIONS!$E554=RAPPORTS!$F$9,0,IF(OR(TRANSACTIONS!$D554=RAPPORTS!$A$13,TRANSACTIONS!$D554=RAPPORTS!#REF!),VLOOKUP(TRANSACTIONS!$F554,FRAIS_D_ENVOI,3,TRUE),0)),"")</f>
        <v/>
      </c>
      <c r="H554" s="46" t="str">
        <f>IFERROR(TRANSACTIONS!$F554+TRANSACTIONS!$G554,"")</f>
        <v/>
      </c>
      <c r="I554" s="44"/>
      <c r="J554" s="40" t="str">
        <f t="shared" si="8"/>
        <v/>
      </c>
    </row>
    <row r="555" spans="1:10" hidden="1" x14ac:dyDescent="0.25">
      <c r="A555" s="41"/>
      <c r="B555" s="48" t="str">
        <f>IF(A555&lt;&gt;"",DATE(YEAR(TRANSACTIONS!$A555),MONTH(TRANSACTIONS!$A555),DAY(TRANSACTIONS!$A555)),"")</f>
        <v/>
      </c>
      <c r="C555" s="49" t="str">
        <f>IF(A555&lt;&gt;"",TIME(HOUR(TRANSACTIONS!$A555),MINUTE(TRANSACTIONS!$A555),SECOND(TRANSACTIONS!$A555)),"")</f>
        <v/>
      </c>
      <c r="D555" s="42"/>
      <c r="E555" s="42"/>
      <c r="F555" s="43"/>
      <c r="G555" s="46" t="str">
        <f>IF(AND(A555&lt;&gt;"",F555&gt;1),IF(TRANSACTIONS!$E555=RAPPORTS!$F$9,0,IF(OR(TRANSACTIONS!$D555=RAPPORTS!$A$13,TRANSACTIONS!$D555=RAPPORTS!#REF!),VLOOKUP(TRANSACTIONS!$F555,FRAIS_D_ENVOI,3,TRUE),0)),"")</f>
        <v/>
      </c>
      <c r="H555" s="46" t="str">
        <f>IFERROR(TRANSACTIONS!$F555+TRANSACTIONS!$G555,"")</f>
        <v/>
      </c>
      <c r="I555" s="44"/>
      <c r="J555" s="40" t="str">
        <f t="shared" si="8"/>
        <v/>
      </c>
    </row>
    <row r="556" spans="1:10" hidden="1" x14ac:dyDescent="0.25">
      <c r="A556" s="41"/>
      <c r="B556" s="48" t="str">
        <f>IF(A556&lt;&gt;"",DATE(YEAR(TRANSACTIONS!$A556),MONTH(TRANSACTIONS!$A556),DAY(TRANSACTIONS!$A556)),"")</f>
        <v/>
      </c>
      <c r="C556" s="49" t="str">
        <f>IF(A556&lt;&gt;"",TIME(HOUR(TRANSACTIONS!$A556),MINUTE(TRANSACTIONS!$A556),SECOND(TRANSACTIONS!$A556)),"")</f>
        <v/>
      </c>
      <c r="D556" s="42"/>
      <c r="E556" s="42"/>
      <c r="F556" s="43"/>
      <c r="G556" s="46" t="str">
        <f>IF(AND(A556&lt;&gt;"",F556&gt;1),IF(TRANSACTIONS!$E556=RAPPORTS!$F$9,0,IF(OR(TRANSACTIONS!$D556=RAPPORTS!$A$13,TRANSACTIONS!$D556=RAPPORTS!#REF!),VLOOKUP(TRANSACTIONS!$F556,FRAIS_D_ENVOI,3,TRUE),0)),"")</f>
        <v/>
      </c>
      <c r="H556" s="46" t="str">
        <f>IFERROR(TRANSACTIONS!$F556+TRANSACTIONS!$G556,"")</f>
        <v/>
      </c>
      <c r="I556" s="44"/>
      <c r="J556" s="40" t="str">
        <f t="shared" si="8"/>
        <v/>
      </c>
    </row>
    <row r="557" spans="1:10" hidden="1" x14ac:dyDescent="0.25">
      <c r="A557" s="41"/>
      <c r="B557" s="48" t="str">
        <f>IF(A557&lt;&gt;"",DATE(YEAR(TRANSACTIONS!$A557),MONTH(TRANSACTIONS!$A557),DAY(TRANSACTIONS!$A557)),"")</f>
        <v/>
      </c>
      <c r="C557" s="49" t="str">
        <f>IF(A557&lt;&gt;"",TIME(HOUR(TRANSACTIONS!$A557),MINUTE(TRANSACTIONS!$A557),SECOND(TRANSACTIONS!$A557)),"")</f>
        <v/>
      </c>
      <c r="D557" s="42"/>
      <c r="E557" s="42"/>
      <c r="F557" s="43"/>
      <c r="G557" s="46" t="str">
        <f>IF(AND(A557&lt;&gt;"",F557&gt;1),IF(TRANSACTIONS!$E557=RAPPORTS!$F$9,0,IF(OR(TRANSACTIONS!$D557=RAPPORTS!$A$13,TRANSACTIONS!$D557=RAPPORTS!#REF!),VLOOKUP(TRANSACTIONS!$F557,FRAIS_D_ENVOI,3,TRUE),0)),"")</f>
        <v/>
      </c>
      <c r="H557" s="46" t="str">
        <f>IFERROR(TRANSACTIONS!$F557+TRANSACTIONS!$G557,"")</f>
        <v/>
      </c>
      <c r="I557" s="44"/>
      <c r="J557" s="40" t="str">
        <f t="shared" si="8"/>
        <v/>
      </c>
    </row>
    <row r="558" spans="1:10" hidden="1" x14ac:dyDescent="0.25">
      <c r="A558" s="41"/>
      <c r="B558" s="48" t="str">
        <f>IF(A558&lt;&gt;"",DATE(YEAR(TRANSACTIONS!$A558),MONTH(TRANSACTIONS!$A558),DAY(TRANSACTIONS!$A558)),"")</f>
        <v/>
      </c>
      <c r="C558" s="49" t="str">
        <f>IF(A558&lt;&gt;"",TIME(HOUR(TRANSACTIONS!$A558),MINUTE(TRANSACTIONS!$A558),SECOND(TRANSACTIONS!$A558)),"")</f>
        <v/>
      </c>
      <c r="D558" s="42"/>
      <c r="E558" s="42"/>
      <c r="F558" s="43"/>
      <c r="G558" s="46" t="str">
        <f>IF(AND(A558&lt;&gt;"",F558&gt;1),IF(TRANSACTIONS!$E558=RAPPORTS!$F$9,0,IF(OR(TRANSACTIONS!$D558=RAPPORTS!$A$13,TRANSACTIONS!$D558=RAPPORTS!#REF!),VLOOKUP(TRANSACTIONS!$F558,FRAIS_D_ENVOI,3,TRUE),0)),"")</f>
        <v/>
      </c>
      <c r="H558" s="46" t="str">
        <f>IFERROR(TRANSACTIONS!$F558+TRANSACTIONS!$G558,"")</f>
        <v/>
      </c>
      <c r="I558" s="44"/>
      <c r="J558" s="40" t="str">
        <f t="shared" si="8"/>
        <v/>
      </c>
    </row>
    <row r="559" spans="1:10" hidden="1" x14ac:dyDescent="0.25">
      <c r="A559" s="41"/>
      <c r="B559" s="48" t="str">
        <f>IF(A559&lt;&gt;"",DATE(YEAR(TRANSACTIONS!$A559),MONTH(TRANSACTIONS!$A559),DAY(TRANSACTIONS!$A559)),"")</f>
        <v/>
      </c>
      <c r="C559" s="49" t="str">
        <f>IF(A559&lt;&gt;"",TIME(HOUR(TRANSACTIONS!$A559),MINUTE(TRANSACTIONS!$A559),SECOND(TRANSACTIONS!$A559)),"")</f>
        <v/>
      </c>
      <c r="D559" s="42"/>
      <c r="E559" s="42"/>
      <c r="F559" s="43"/>
      <c r="G559" s="46" t="str">
        <f>IF(AND(A559&lt;&gt;"",F559&gt;1),IF(TRANSACTIONS!$E559=RAPPORTS!$F$9,0,IF(OR(TRANSACTIONS!$D559=RAPPORTS!$A$13,TRANSACTIONS!$D559=RAPPORTS!#REF!),VLOOKUP(TRANSACTIONS!$F559,FRAIS_D_ENVOI,3,TRUE),0)),"")</f>
        <v/>
      </c>
      <c r="H559" s="46" t="str">
        <f>IFERROR(TRANSACTIONS!$F559+TRANSACTIONS!$G559,"")</f>
        <v/>
      </c>
      <c r="I559" s="44"/>
      <c r="J559" s="40" t="str">
        <f t="shared" si="8"/>
        <v/>
      </c>
    </row>
    <row r="560" spans="1:10" hidden="1" x14ac:dyDescent="0.25">
      <c r="A560" s="41"/>
      <c r="B560" s="48" t="str">
        <f>IF(A560&lt;&gt;"",DATE(YEAR(TRANSACTIONS!$A560),MONTH(TRANSACTIONS!$A560),DAY(TRANSACTIONS!$A560)),"")</f>
        <v/>
      </c>
      <c r="C560" s="49" t="str">
        <f>IF(A560&lt;&gt;"",TIME(HOUR(TRANSACTIONS!$A560),MINUTE(TRANSACTIONS!$A560),SECOND(TRANSACTIONS!$A560)),"")</f>
        <v/>
      </c>
      <c r="D560" s="42"/>
      <c r="E560" s="42"/>
      <c r="F560" s="43"/>
      <c r="G560" s="46" t="str">
        <f>IF(AND(A560&lt;&gt;"",F560&gt;1),IF(TRANSACTIONS!$E560=RAPPORTS!$F$9,0,IF(OR(TRANSACTIONS!$D560=RAPPORTS!$A$13,TRANSACTIONS!$D560=RAPPORTS!#REF!),VLOOKUP(TRANSACTIONS!$F560,FRAIS_D_ENVOI,3,TRUE),0)),"")</f>
        <v/>
      </c>
      <c r="H560" s="46" t="str">
        <f>IFERROR(TRANSACTIONS!$F560+TRANSACTIONS!$G560,"")</f>
        <v/>
      </c>
      <c r="I560" s="44"/>
      <c r="J560" s="40" t="str">
        <f t="shared" si="8"/>
        <v/>
      </c>
    </row>
    <row r="561" spans="1:10" hidden="1" x14ac:dyDescent="0.25">
      <c r="A561" s="41"/>
      <c r="B561" s="48" t="str">
        <f>IF(A561&lt;&gt;"",DATE(YEAR(TRANSACTIONS!$A561),MONTH(TRANSACTIONS!$A561),DAY(TRANSACTIONS!$A561)),"")</f>
        <v/>
      </c>
      <c r="C561" s="49" t="str">
        <f>IF(A561&lt;&gt;"",TIME(HOUR(TRANSACTIONS!$A561),MINUTE(TRANSACTIONS!$A561),SECOND(TRANSACTIONS!$A561)),"")</f>
        <v/>
      </c>
      <c r="D561" s="42"/>
      <c r="E561" s="42"/>
      <c r="F561" s="43"/>
      <c r="G561" s="46" t="str">
        <f>IF(AND(A561&lt;&gt;"",F561&gt;1),IF(TRANSACTIONS!$E561=RAPPORTS!$F$9,0,IF(OR(TRANSACTIONS!$D561=RAPPORTS!$A$13,TRANSACTIONS!$D561=RAPPORTS!#REF!),VLOOKUP(TRANSACTIONS!$F561,FRAIS_D_ENVOI,3,TRUE),0)),"")</f>
        <v/>
      </c>
      <c r="H561" s="46" t="str">
        <f>IFERROR(TRANSACTIONS!$F561+TRANSACTIONS!$G561,"")</f>
        <v/>
      </c>
      <c r="I561" s="44"/>
      <c r="J561" s="40" t="str">
        <f t="shared" si="8"/>
        <v/>
      </c>
    </row>
    <row r="562" spans="1:10" hidden="1" x14ac:dyDescent="0.25">
      <c r="A562" s="41"/>
      <c r="B562" s="48" t="str">
        <f>IF(A562&lt;&gt;"",DATE(YEAR(TRANSACTIONS!$A562),MONTH(TRANSACTIONS!$A562),DAY(TRANSACTIONS!$A562)),"")</f>
        <v/>
      </c>
      <c r="C562" s="49" t="str">
        <f>IF(A562&lt;&gt;"",TIME(HOUR(TRANSACTIONS!$A562),MINUTE(TRANSACTIONS!$A562),SECOND(TRANSACTIONS!$A562)),"")</f>
        <v/>
      </c>
      <c r="D562" s="42"/>
      <c r="E562" s="42"/>
      <c r="F562" s="43"/>
      <c r="G562" s="46" t="str">
        <f>IF(AND(A562&lt;&gt;"",F562&gt;1),IF(TRANSACTIONS!$E562=RAPPORTS!$F$9,0,IF(OR(TRANSACTIONS!$D562=RAPPORTS!$A$13,TRANSACTIONS!$D562=RAPPORTS!#REF!),VLOOKUP(TRANSACTIONS!$F562,FRAIS_D_ENVOI,3,TRUE),0)),"")</f>
        <v/>
      </c>
      <c r="H562" s="46" t="str">
        <f>IFERROR(TRANSACTIONS!$F562+TRANSACTIONS!$G562,"")</f>
        <v/>
      </c>
      <c r="I562" s="44"/>
      <c r="J562" s="40" t="str">
        <f t="shared" si="8"/>
        <v/>
      </c>
    </row>
    <row r="563" spans="1:10" hidden="1" x14ac:dyDescent="0.25">
      <c r="A563" s="41"/>
      <c r="B563" s="48" t="str">
        <f>IF(A563&lt;&gt;"",DATE(YEAR(TRANSACTIONS!$A563),MONTH(TRANSACTIONS!$A563),DAY(TRANSACTIONS!$A563)),"")</f>
        <v/>
      </c>
      <c r="C563" s="49" t="str">
        <f>IF(A563&lt;&gt;"",TIME(HOUR(TRANSACTIONS!$A563),MINUTE(TRANSACTIONS!$A563),SECOND(TRANSACTIONS!$A563)),"")</f>
        <v/>
      </c>
      <c r="D563" s="42"/>
      <c r="E563" s="42"/>
      <c r="F563" s="43"/>
      <c r="G563" s="46" t="str">
        <f>IF(AND(A563&lt;&gt;"",F563&gt;1),IF(TRANSACTIONS!$E563=RAPPORTS!$F$9,0,IF(OR(TRANSACTIONS!$D563=RAPPORTS!$A$13,TRANSACTIONS!$D563=RAPPORTS!#REF!),VLOOKUP(TRANSACTIONS!$F563,FRAIS_D_ENVOI,3,TRUE),0)),"")</f>
        <v/>
      </c>
      <c r="H563" s="46" t="str">
        <f>IFERROR(TRANSACTIONS!$F563+TRANSACTIONS!$G563,"")</f>
        <v/>
      </c>
      <c r="I563" s="44"/>
      <c r="J563" s="40" t="str">
        <f t="shared" si="8"/>
        <v/>
      </c>
    </row>
    <row r="564" spans="1:10" hidden="1" x14ac:dyDescent="0.25">
      <c r="A564" s="41"/>
      <c r="B564" s="48" t="str">
        <f>IF(A564&lt;&gt;"",DATE(YEAR(TRANSACTIONS!$A564),MONTH(TRANSACTIONS!$A564),DAY(TRANSACTIONS!$A564)),"")</f>
        <v/>
      </c>
      <c r="C564" s="49" t="str">
        <f>IF(A564&lt;&gt;"",TIME(HOUR(TRANSACTIONS!$A564),MINUTE(TRANSACTIONS!$A564),SECOND(TRANSACTIONS!$A564)),"")</f>
        <v/>
      </c>
      <c r="D564" s="42"/>
      <c r="E564" s="42"/>
      <c r="F564" s="43"/>
      <c r="G564" s="46" t="str">
        <f>IF(AND(A564&lt;&gt;"",F564&gt;1),IF(TRANSACTIONS!$E564=RAPPORTS!$F$9,0,IF(OR(TRANSACTIONS!$D564=RAPPORTS!$A$13,TRANSACTIONS!$D564=RAPPORTS!#REF!),VLOOKUP(TRANSACTIONS!$F564,FRAIS_D_ENVOI,3,TRUE),0)),"")</f>
        <v/>
      </c>
      <c r="H564" s="46" t="str">
        <f>IFERROR(TRANSACTIONS!$F564+TRANSACTIONS!$G564,"")</f>
        <v/>
      </c>
      <c r="I564" s="44"/>
      <c r="J564" s="40" t="str">
        <f t="shared" si="8"/>
        <v/>
      </c>
    </row>
    <row r="565" spans="1:10" hidden="1" x14ac:dyDescent="0.25">
      <c r="A565" s="41"/>
      <c r="B565" s="48" t="str">
        <f>IF(A565&lt;&gt;"",DATE(YEAR(TRANSACTIONS!$A565),MONTH(TRANSACTIONS!$A565),DAY(TRANSACTIONS!$A565)),"")</f>
        <v/>
      </c>
      <c r="C565" s="49" t="str">
        <f>IF(A565&lt;&gt;"",TIME(HOUR(TRANSACTIONS!$A565),MINUTE(TRANSACTIONS!$A565),SECOND(TRANSACTIONS!$A565)),"")</f>
        <v/>
      </c>
      <c r="D565" s="42"/>
      <c r="E565" s="42"/>
      <c r="F565" s="43"/>
      <c r="G565" s="46" t="str">
        <f>IF(AND(A565&lt;&gt;"",F565&gt;1),IF(TRANSACTIONS!$E565=RAPPORTS!$F$9,0,IF(OR(TRANSACTIONS!$D565=RAPPORTS!$A$13,TRANSACTIONS!$D565=RAPPORTS!#REF!),VLOOKUP(TRANSACTIONS!$F565,FRAIS_D_ENVOI,3,TRUE),0)),"")</f>
        <v/>
      </c>
      <c r="H565" s="46" t="str">
        <f>IFERROR(TRANSACTIONS!$F565+TRANSACTIONS!$G565,"")</f>
        <v/>
      </c>
      <c r="I565" s="44"/>
      <c r="J565" s="40" t="str">
        <f t="shared" si="8"/>
        <v/>
      </c>
    </row>
    <row r="566" spans="1:10" hidden="1" x14ac:dyDescent="0.25">
      <c r="A566" s="41"/>
      <c r="B566" s="48" t="str">
        <f>IF(A566&lt;&gt;"",DATE(YEAR(TRANSACTIONS!$A566),MONTH(TRANSACTIONS!$A566),DAY(TRANSACTIONS!$A566)),"")</f>
        <v/>
      </c>
      <c r="C566" s="49" t="str">
        <f>IF(A566&lt;&gt;"",TIME(HOUR(TRANSACTIONS!$A566),MINUTE(TRANSACTIONS!$A566),SECOND(TRANSACTIONS!$A566)),"")</f>
        <v/>
      </c>
      <c r="D566" s="42"/>
      <c r="E566" s="42"/>
      <c r="F566" s="43"/>
      <c r="G566" s="46" t="str">
        <f>IF(AND(A566&lt;&gt;"",F566&gt;1),IF(TRANSACTIONS!$E566=RAPPORTS!$F$9,0,IF(OR(TRANSACTIONS!$D566=RAPPORTS!$A$13,TRANSACTIONS!$D566=RAPPORTS!#REF!),VLOOKUP(TRANSACTIONS!$F566,FRAIS_D_ENVOI,3,TRUE),0)),"")</f>
        <v/>
      </c>
      <c r="H566" s="46" t="str">
        <f>IFERROR(TRANSACTIONS!$F566+TRANSACTIONS!$G566,"")</f>
        <v/>
      </c>
      <c r="I566" s="44"/>
      <c r="J566" s="40" t="str">
        <f t="shared" si="8"/>
        <v/>
      </c>
    </row>
    <row r="567" spans="1:10" hidden="1" x14ac:dyDescent="0.25">
      <c r="A567" s="41"/>
      <c r="B567" s="48" t="str">
        <f>IF(A567&lt;&gt;"",DATE(YEAR(TRANSACTIONS!$A567),MONTH(TRANSACTIONS!$A567),DAY(TRANSACTIONS!$A567)),"")</f>
        <v/>
      </c>
      <c r="C567" s="49" t="str">
        <f>IF(A567&lt;&gt;"",TIME(HOUR(TRANSACTIONS!$A567),MINUTE(TRANSACTIONS!$A567),SECOND(TRANSACTIONS!$A567)),"")</f>
        <v/>
      </c>
      <c r="D567" s="42"/>
      <c r="E567" s="42"/>
      <c r="F567" s="43"/>
      <c r="G567" s="46" t="str">
        <f>IF(AND(A567&lt;&gt;"",F567&gt;1),IF(TRANSACTIONS!$E567=RAPPORTS!$F$9,0,IF(OR(TRANSACTIONS!$D567=RAPPORTS!$A$13,TRANSACTIONS!$D567=RAPPORTS!#REF!),VLOOKUP(TRANSACTIONS!$F567,FRAIS_D_ENVOI,3,TRUE),0)),"")</f>
        <v/>
      </c>
      <c r="H567" s="46" t="str">
        <f>IFERROR(TRANSACTIONS!$F567+TRANSACTIONS!$G567,"")</f>
        <v/>
      </c>
      <c r="I567" s="44"/>
      <c r="J567" s="40" t="str">
        <f t="shared" si="8"/>
        <v/>
      </c>
    </row>
    <row r="568" spans="1:10" hidden="1" x14ac:dyDescent="0.25">
      <c r="A568" s="41"/>
      <c r="B568" s="48" t="str">
        <f>IF(A568&lt;&gt;"",DATE(YEAR(TRANSACTIONS!$A568),MONTH(TRANSACTIONS!$A568),DAY(TRANSACTIONS!$A568)),"")</f>
        <v/>
      </c>
      <c r="C568" s="49" t="str">
        <f>IF(A568&lt;&gt;"",TIME(HOUR(TRANSACTIONS!$A568),MINUTE(TRANSACTIONS!$A568),SECOND(TRANSACTIONS!$A568)),"")</f>
        <v/>
      </c>
      <c r="D568" s="42"/>
      <c r="E568" s="42"/>
      <c r="F568" s="43"/>
      <c r="G568" s="46" t="str">
        <f>IF(AND(A568&lt;&gt;"",F568&gt;1),IF(TRANSACTIONS!$E568=RAPPORTS!$F$9,0,IF(OR(TRANSACTIONS!$D568=RAPPORTS!$A$13,TRANSACTIONS!$D568=RAPPORTS!#REF!),VLOOKUP(TRANSACTIONS!$F568,FRAIS_D_ENVOI,3,TRUE),0)),"")</f>
        <v/>
      </c>
      <c r="H568" s="46" t="str">
        <f>IFERROR(TRANSACTIONS!$F568+TRANSACTIONS!$G568,"")</f>
        <v/>
      </c>
      <c r="I568" s="44"/>
      <c r="J568" s="40" t="str">
        <f t="shared" si="8"/>
        <v/>
      </c>
    </row>
    <row r="569" spans="1:10" hidden="1" x14ac:dyDescent="0.25">
      <c r="A569" s="41"/>
      <c r="B569" s="48" t="str">
        <f>IF(A569&lt;&gt;"",DATE(YEAR(TRANSACTIONS!$A569),MONTH(TRANSACTIONS!$A569),DAY(TRANSACTIONS!$A569)),"")</f>
        <v/>
      </c>
      <c r="C569" s="49" t="str">
        <f>IF(A569&lt;&gt;"",TIME(HOUR(TRANSACTIONS!$A569),MINUTE(TRANSACTIONS!$A569),SECOND(TRANSACTIONS!$A569)),"")</f>
        <v/>
      </c>
      <c r="D569" s="42"/>
      <c r="E569" s="42"/>
      <c r="F569" s="43"/>
      <c r="G569" s="46" t="str">
        <f>IF(AND(A569&lt;&gt;"",F569&gt;1),IF(TRANSACTIONS!$E569=RAPPORTS!$F$9,0,IF(OR(TRANSACTIONS!$D569=RAPPORTS!$A$13,TRANSACTIONS!$D569=RAPPORTS!#REF!),VLOOKUP(TRANSACTIONS!$F569,FRAIS_D_ENVOI,3,TRUE),0)),"")</f>
        <v/>
      </c>
      <c r="H569" s="46" t="str">
        <f>IFERROR(TRANSACTIONS!$F569+TRANSACTIONS!$G569,"")</f>
        <v/>
      </c>
      <c r="I569" s="44"/>
      <c r="J569" s="40" t="str">
        <f t="shared" si="8"/>
        <v/>
      </c>
    </row>
    <row r="570" spans="1:10" hidden="1" x14ac:dyDescent="0.25">
      <c r="A570" s="41"/>
      <c r="B570" s="48" t="str">
        <f>IF(A570&lt;&gt;"",DATE(YEAR(TRANSACTIONS!$A570),MONTH(TRANSACTIONS!$A570),DAY(TRANSACTIONS!$A570)),"")</f>
        <v/>
      </c>
      <c r="C570" s="49" t="str">
        <f>IF(A570&lt;&gt;"",TIME(HOUR(TRANSACTIONS!$A570),MINUTE(TRANSACTIONS!$A570),SECOND(TRANSACTIONS!$A570)),"")</f>
        <v/>
      </c>
      <c r="D570" s="42"/>
      <c r="E570" s="42"/>
      <c r="F570" s="43"/>
      <c r="G570" s="46" t="str">
        <f>IF(AND(A570&lt;&gt;"",F570&gt;1),IF(TRANSACTIONS!$E570=RAPPORTS!$F$9,0,IF(OR(TRANSACTIONS!$D570=RAPPORTS!$A$13,TRANSACTIONS!$D570=RAPPORTS!#REF!),VLOOKUP(TRANSACTIONS!$F570,FRAIS_D_ENVOI,3,TRUE),0)),"")</f>
        <v/>
      </c>
      <c r="H570" s="46" t="str">
        <f>IFERROR(TRANSACTIONS!$F570+TRANSACTIONS!$G570,"")</f>
        <v/>
      </c>
      <c r="I570" s="44"/>
      <c r="J570" s="40" t="str">
        <f t="shared" si="8"/>
        <v/>
      </c>
    </row>
    <row r="571" spans="1:10" hidden="1" x14ac:dyDescent="0.25">
      <c r="A571" s="41"/>
      <c r="B571" s="48" t="str">
        <f>IF(A571&lt;&gt;"",DATE(YEAR(TRANSACTIONS!$A571),MONTH(TRANSACTIONS!$A571),DAY(TRANSACTIONS!$A571)),"")</f>
        <v/>
      </c>
      <c r="C571" s="49" t="str">
        <f>IF(A571&lt;&gt;"",TIME(HOUR(TRANSACTIONS!$A571),MINUTE(TRANSACTIONS!$A571),SECOND(TRANSACTIONS!$A571)),"")</f>
        <v/>
      </c>
      <c r="D571" s="42"/>
      <c r="E571" s="42"/>
      <c r="F571" s="43"/>
      <c r="G571" s="46" t="str">
        <f>IF(AND(A571&lt;&gt;"",F571&gt;1),IF(TRANSACTIONS!$E571=RAPPORTS!$F$9,0,IF(OR(TRANSACTIONS!$D571=RAPPORTS!$A$13,TRANSACTIONS!$D571=RAPPORTS!#REF!),VLOOKUP(TRANSACTIONS!$F571,FRAIS_D_ENVOI,3,TRUE),0)),"")</f>
        <v/>
      </c>
      <c r="H571" s="46" t="str">
        <f>IFERROR(TRANSACTIONS!$F571+TRANSACTIONS!$G571,"")</f>
        <v/>
      </c>
      <c r="I571" s="44"/>
      <c r="J571" s="40" t="str">
        <f t="shared" si="8"/>
        <v/>
      </c>
    </row>
    <row r="572" spans="1:10" hidden="1" x14ac:dyDescent="0.25">
      <c r="A572" s="41"/>
      <c r="B572" s="48" t="str">
        <f>IF(A572&lt;&gt;"",DATE(YEAR(TRANSACTIONS!$A572),MONTH(TRANSACTIONS!$A572),DAY(TRANSACTIONS!$A572)),"")</f>
        <v/>
      </c>
      <c r="C572" s="49" t="str">
        <f>IF(A572&lt;&gt;"",TIME(HOUR(TRANSACTIONS!$A572),MINUTE(TRANSACTIONS!$A572),SECOND(TRANSACTIONS!$A572)),"")</f>
        <v/>
      </c>
      <c r="D572" s="42"/>
      <c r="E572" s="42"/>
      <c r="F572" s="43"/>
      <c r="G572" s="46" t="str">
        <f>IF(AND(A572&lt;&gt;"",F572&gt;1),IF(TRANSACTIONS!$E572=RAPPORTS!$F$9,0,IF(OR(TRANSACTIONS!$D572=RAPPORTS!$A$13,TRANSACTIONS!$D572=RAPPORTS!#REF!),VLOOKUP(TRANSACTIONS!$F572,FRAIS_D_ENVOI,3,TRUE),0)),"")</f>
        <v/>
      </c>
      <c r="H572" s="46" t="str">
        <f>IFERROR(TRANSACTIONS!$F572+TRANSACTIONS!$G572,"")</f>
        <v/>
      </c>
      <c r="I572" s="44"/>
      <c r="J572" s="40" t="str">
        <f t="shared" si="8"/>
        <v/>
      </c>
    </row>
    <row r="573" spans="1:10" hidden="1" x14ac:dyDescent="0.25">
      <c r="A573" s="41"/>
      <c r="B573" s="48" t="str">
        <f>IF(A573&lt;&gt;"",DATE(YEAR(TRANSACTIONS!$A573),MONTH(TRANSACTIONS!$A573),DAY(TRANSACTIONS!$A573)),"")</f>
        <v/>
      </c>
      <c r="C573" s="49" t="str">
        <f>IF(A573&lt;&gt;"",TIME(HOUR(TRANSACTIONS!$A573),MINUTE(TRANSACTIONS!$A573),SECOND(TRANSACTIONS!$A573)),"")</f>
        <v/>
      </c>
      <c r="D573" s="42"/>
      <c r="E573" s="42"/>
      <c r="F573" s="43"/>
      <c r="G573" s="46" t="str">
        <f>IF(AND(A573&lt;&gt;"",F573&gt;1),IF(TRANSACTIONS!$E573=RAPPORTS!$F$9,0,IF(OR(TRANSACTIONS!$D573=RAPPORTS!$A$13,TRANSACTIONS!$D573=RAPPORTS!#REF!),VLOOKUP(TRANSACTIONS!$F573,FRAIS_D_ENVOI,3,TRUE),0)),"")</f>
        <v/>
      </c>
      <c r="H573" s="46" t="str">
        <f>IFERROR(TRANSACTIONS!$F573+TRANSACTIONS!$G573,"")</f>
        <v/>
      </c>
      <c r="I573" s="44"/>
      <c r="J573" s="40" t="str">
        <f t="shared" si="8"/>
        <v/>
      </c>
    </row>
    <row r="574" spans="1:10" hidden="1" x14ac:dyDescent="0.25">
      <c r="A574" s="41"/>
      <c r="B574" s="48" t="str">
        <f>IF(A574&lt;&gt;"",DATE(YEAR(TRANSACTIONS!$A574),MONTH(TRANSACTIONS!$A574),DAY(TRANSACTIONS!$A574)),"")</f>
        <v/>
      </c>
      <c r="C574" s="49" t="str">
        <f>IF(A574&lt;&gt;"",TIME(HOUR(TRANSACTIONS!$A574),MINUTE(TRANSACTIONS!$A574),SECOND(TRANSACTIONS!$A574)),"")</f>
        <v/>
      </c>
      <c r="D574" s="42"/>
      <c r="E574" s="42"/>
      <c r="F574" s="43"/>
      <c r="G574" s="46" t="str">
        <f>IF(AND(A574&lt;&gt;"",F574&gt;1),IF(TRANSACTIONS!$E574=RAPPORTS!$F$9,0,IF(OR(TRANSACTIONS!$D574=RAPPORTS!$A$13,TRANSACTIONS!$D574=RAPPORTS!#REF!),VLOOKUP(TRANSACTIONS!$F574,FRAIS_D_ENVOI,3,TRUE),0)),"")</f>
        <v/>
      </c>
      <c r="H574" s="46" t="str">
        <f>IFERROR(TRANSACTIONS!$F574+TRANSACTIONS!$G574,"")</f>
        <v/>
      </c>
      <c r="I574" s="44"/>
      <c r="J574" s="40" t="str">
        <f t="shared" si="8"/>
        <v/>
      </c>
    </row>
    <row r="575" spans="1:10" hidden="1" x14ac:dyDescent="0.25">
      <c r="A575" s="41"/>
      <c r="B575" s="48" t="str">
        <f>IF(A575&lt;&gt;"",DATE(YEAR(TRANSACTIONS!$A575),MONTH(TRANSACTIONS!$A575),DAY(TRANSACTIONS!$A575)),"")</f>
        <v/>
      </c>
      <c r="C575" s="49" t="str">
        <f>IF(A575&lt;&gt;"",TIME(HOUR(TRANSACTIONS!$A575),MINUTE(TRANSACTIONS!$A575),SECOND(TRANSACTIONS!$A575)),"")</f>
        <v/>
      </c>
      <c r="D575" s="42"/>
      <c r="E575" s="42"/>
      <c r="F575" s="43"/>
      <c r="G575" s="46" t="str">
        <f>IF(AND(A575&lt;&gt;"",F575&gt;1),IF(TRANSACTIONS!$E575=RAPPORTS!$F$9,0,IF(OR(TRANSACTIONS!$D575=RAPPORTS!$A$13,TRANSACTIONS!$D575=RAPPORTS!#REF!),VLOOKUP(TRANSACTIONS!$F575,FRAIS_D_ENVOI,3,TRUE),0)),"")</f>
        <v/>
      </c>
      <c r="H575" s="46" t="str">
        <f>IFERROR(TRANSACTIONS!$F575+TRANSACTIONS!$G575,"")</f>
        <v/>
      </c>
      <c r="I575" s="44"/>
      <c r="J575" s="40" t="str">
        <f t="shared" si="8"/>
        <v/>
      </c>
    </row>
    <row r="576" spans="1:10" hidden="1" x14ac:dyDescent="0.25">
      <c r="A576" s="41"/>
      <c r="B576" s="48" t="str">
        <f>IF(A576&lt;&gt;"",DATE(YEAR(TRANSACTIONS!$A576),MONTH(TRANSACTIONS!$A576),DAY(TRANSACTIONS!$A576)),"")</f>
        <v/>
      </c>
      <c r="C576" s="49" t="str">
        <f>IF(A576&lt;&gt;"",TIME(HOUR(TRANSACTIONS!$A576),MINUTE(TRANSACTIONS!$A576),SECOND(TRANSACTIONS!$A576)),"")</f>
        <v/>
      </c>
      <c r="D576" s="42"/>
      <c r="E576" s="42"/>
      <c r="F576" s="43"/>
      <c r="G576" s="46" t="str">
        <f>IF(AND(A576&lt;&gt;"",F576&gt;1),IF(TRANSACTIONS!$E576=RAPPORTS!$F$9,0,IF(OR(TRANSACTIONS!$D576=RAPPORTS!$A$13,TRANSACTIONS!$D576=RAPPORTS!#REF!),VLOOKUP(TRANSACTIONS!$F576,FRAIS_D_ENVOI,3,TRUE),0)),"")</f>
        <v/>
      </c>
      <c r="H576" s="46" t="str">
        <f>IFERROR(TRANSACTIONS!$F576+TRANSACTIONS!$G576,"")</f>
        <v/>
      </c>
      <c r="I576" s="44"/>
      <c r="J576" s="40" t="str">
        <f t="shared" si="8"/>
        <v/>
      </c>
    </row>
    <row r="577" spans="1:10" hidden="1" x14ac:dyDescent="0.25">
      <c r="A577" s="41"/>
      <c r="B577" s="48" t="str">
        <f>IF(A577&lt;&gt;"",DATE(YEAR(TRANSACTIONS!$A577),MONTH(TRANSACTIONS!$A577),DAY(TRANSACTIONS!$A577)),"")</f>
        <v/>
      </c>
      <c r="C577" s="49" t="str">
        <f>IF(A577&lt;&gt;"",TIME(HOUR(TRANSACTIONS!$A577),MINUTE(TRANSACTIONS!$A577),SECOND(TRANSACTIONS!$A577)),"")</f>
        <v/>
      </c>
      <c r="D577" s="42"/>
      <c r="E577" s="42"/>
      <c r="F577" s="43"/>
      <c r="G577" s="46" t="str">
        <f>IF(AND(A577&lt;&gt;"",F577&gt;1),IF(TRANSACTIONS!$E577=RAPPORTS!$F$9,0,IF(OR(TRANSACTIONS!$D577=RAPPORTS!$A$13,TRANSACTIONS!$D577=RAPPORTS!#REF!),VLOOKUP(TRANSACTIONS!$F577,FRAIS_D_ENVOI,3,TRUE),0)),"")</f>
        <v/>
      </c>
      <c r="H577" s="46" t="str">
        <f>IFERROR(TRANSACTIONS!$F577+TRANSACTIONS!$G577,"")</f>
        <v/>
      </c>
      <c r="I577" s="44"/>
      <c r="J577" s="40" t="str">
        <f t="shared" si="8"/>
        <v/>
      </c>
    </row>
    <row r="578" spans="1:10" hidden="1" x14ac:dyDescent="0.25">
      <c r="A578" s="41"/>
      <c r="B578" s="48" t="str">
        <f>IF(A578&lt;&gt;"",DATE(YEAR(TRANSACTIONS!$A578),MONTH(TRANSACTIONS!$A578),DAY(TRANSACTIONS!$A578)),"")</f>
        <v/>
      </c>
      <c r="C578" s="49" t="str">
        <f>IF(A578&lt;&gt;"",TIME(HOUR(TRANSACTIONS!$A578),MINUTE(TRANSACTIONS!$A578),SECOND(TRANSACTIONS!$A578)),"")</f>
        <v/>
      </c>
      <c r="D578" s="42"/>
      <c r="E578" s="42"/>
      <c r="F578" s="43"/>
      <c r="G578" s="46" t="str">
        <f>IF(AND(A578&lt;&gt;"",F578&gt;1),IF(TRANSACTIONS!$E578=RAPPORTS!$F$9,0,IF(OR(TRANSACTIONS!$D578=RAPPORTS!$A$13,TRANSACTIONS!$D578=RAPPORTS!#REF!),VLOOKUP(TRANSACTIONS!$F578,FRAIS_D_ENVOI,3,TRUE),0)),"")</f>
        <v/>
      </c>
      <c r="H578" s="46" t="str">
        <f>IFERROR(TRANSACTIONS!$F578+TRANSACTIONS!$G578,"")</f>
        <v/>
      </c>
      <c r="I578" s="44"/>
      <c r="J578" s="40" t="str">
        <f t="shared" si="8"/>
        <v/>
      </c>
    </row>
    <row r="579" spans="1:10" hidden="1" x14ac:dyDescent="0.25">
      <c r="A579" s="41"/>
      <c r="B579" s="48" t="str">
        <f>IF(A579&lt;&gt;"",DATE(YEAR(TRANSACTIONS!$A579),MONTH(TRANSACTIONS!$A579),DAY(TRANSACTIONS!$A579)),"")</f>
        <v/>
      </c>
      <c r="C579" s="49" t="str">
        <f>IF(A579&lt;&gt;"",TIME(HOUR(TRANSACTIONS!$A579),MINUTE(TRANSACTIONS!$A579),SECOND(TRANSACTIONS!$A579)),"")</f>
        <v/>
      </c>
      <c r="D579" s="42"/>
      <c r="E579" s="42"/>
      <c r="F579" s="43"/>
      <c r="G579" s="46" t="str">
        <f>IF(AND(A579&lt;&gt;"",F579&gt;1),IF(TRANSACTIONS!$E579=RAPPORTS!$F$9,0,IF(OR(TRANSACTIONS!$D579=RAPPORTS!$A$13,TRANSACTIONS!$D579=RAPPORTS!#REF!),VLOOKUP(TRANSACTIONS!$F579,FRAIS_D_ENVOI,3,TRUE),0)),"")</f>
        <v/>
      </c>
      <c r="H579" s="46" t="str">
        <f>IFERROR(TRANSACTIONS!$F579+TRANSACTIONS!$G579,"")</f>
        <v/>
      </c>
      <c r="I579" s="44"/>
      <c r="J579" s="40" t="str">
        <f t="shared" si="8"/>
        <v/>
      </c>
    </row>
    <row r="580" spans="1:10" hidden="1" x14ac:dyDescent="0.25">
      <c r="A580" s="41"/>
      <c r="B580" s="48" t="str">
        <f>IF(A580&lt;&gt;"",DATE(YEAR(TRANSACTIONS!$A580),MONTH(TRANSACTIONS!$A580),DAY(TRANSACTIONS!$A580)),"")</f>
        <v/>
      </c>
      <c r="C580" s="49" t="str">
        <f>IF(A580&lt;&gt;"",TIME(HOUR(TRANSACTIONS!$A580),MINUTE(TRANSACTIONS!$A580),SECOND(TRANSACTIONS!$A580)),"")</f>
        <v/>
      </c>
      <c r="D580" s="42"/>
      <c r="E580" s="42"/>
      <c r="F580" s="43"/>
      <c r="G580" s="46" t="str">
        <f>IF(AND(A580&lt;&gt;"",F580&gt;1),IF(TRANSACTIONS!$E580=RAPPORTS!$F$9,0,IF(OR(TRANSACTIONS!$D580=RAPPORTS!$A$13,TRANSACTIONS!$D580=RAPPORTS!#REF!),VLOOKUP(TRANSACTIONS!$F580,FRAIS_D_ENVOI,3,TRUE),0)),"")</f>
        <v/>
      </c>
      <c r="H580" s="46" t="str">
        <f>IFERROR(TRANSACTIONS!$F580+TRANSACTIONS!$G580,"")</f>
        <v/>
      </c>
      <c r="I580" s="44"/>
      <c r="J580" s="40" t="str">
        <f t="shared" ref="J580:J643" si="9">IF(G580&lt;&gt;"",$J$1*G580,"")</f>
        <v/>
      </c>
    </row>
    <row r="581" spans="1:10" hidden="1" x14ac:dyDescent="0.25">
      <c r="A581" s="41"/>
      <c r="B581" s="48" t="str">
        <f>IF(A581&lt;&gt;"",DATE(YEAR(TRANSACTIONS!$A581),MONTH(TRANSACTIONS!$A581),DAY(TRANSACTIONS!$A581)),"")</f>
        <v/>
      </c>
      <c r="C581" s="49" t="str">
        <f>IF(A581&lt;&gt;"",TIME(HOUR(TRANSACTIONS!$A581),MINUTE(TRANSACTIONS!$A581),SECOND(TRANSACTIONS!$A581)),"")</f>
        <v/>
      </c>
      <c r="D581" s="42"/>
      <c r="E581" s="42"/>
      <c r="F581" s="43"/>
      <c r="G581" s="46" t="str">
        <f>IF(AND(A581&lt;&gt;"",F581&gt;1),IF(TRANSACTIONS!$E581=RAPPORTS!$F$9,0,IF(OR(TRANSACTIONS!$D581=RAPPORTS!$A$13,TRANSACTIONS!$D581=RAPPORTS!#REF!),VLOOKUP(TRANSACTIONS!$F581,FRAIS_D_ENVOI,3,TRUE),0)),"")</f>
        <v/>
      </c>
      <c r="H581" s="46" t="str">
        <f>IFERROR(TRANSACTIONS!$F581+TRANSACTIONS!$G581,"")</f>
        <v/>
      </c>
      <c r="I581" s="44"/>
      <c r="J581" s="40" t="str">
        <f t="shared" si="9"/>
        <v/>
      </c>
    </row>
    <row r="582" spans="1:10" hidden="1" x14ac:dyDescent="0.25">
      <c r="A582" s="41"/>
      <c r="B582" s="48" t="str">
        <f>IF(A582&lt;&gt;"",DATE(YEAR(TRANSACTIONS!$A582),MONTH(TRANSACTIONS!$A582),DAY(TRANSACTIONS!$A582)),"")</f>
        <v/>
      </c>
      <c r="C582" s="49" t="str">
        <f>IF(A582&lt;&gt;"",TIME(HOUR(TRANSACTIONS!$A582),MINUTE(TRANSACTIONS!$A582),SECOND(TRANSACTIONS!$A582)),"")</f>
        <v/>
      </c>
      <c r="D582" s="42"/>
      <c r="E582" s="42"/>
      <c r="F582" s="43"/>
      <c r="G582" s="46" t="str">
        <f>IF(AND(A582&lt;&gt;"",F582&gt;1),IF(TRANSACTIONS!$E582=RAPPORTS!$F$9,0,IF(OR(TRANSACTIONS!$D582=RAPPORTS!$A$13,TRANSACTIONS!$D582=RAPPORTS!#REF!),VLOOKUP(TRANSACTIONS!$F582,FRAIS_D_ENVOI,3,TRUE),0)),"")</f>
        <v/>
      </c>
      <c r="H582" s="46" t="str">
        <f>IFERROR(TRANSACTIONS!$F582+TRANSACTIONS!$G582,"")</f>
        <v/>
      </c>
      <c r="I582" s="44"/>
      <c r="J582" s="40" t="str">
        <f t="shared" si="9"/>
        <v/>
      </c>
    </row>
    <row r="583" spans="1:10" hidden="1" x14ac:dyDescent="0.25">
      <c r="A583" s="41"/>
      <c r="B583" s="48" t="str">
        <f>IF(A583&lt;&gt;"",DATE(YEAR(TRANSACTIONS!$A583),MONTH(TRANSACTIONS!$A583),DAY(TRANSACTIONS!$A583)),"")</f>
        <v/>
      </c>
      <c r="C583" s="49" t="str">
        <f>IF(A583&lt;&gt;"",TIME(HOUR(TRANSACTIONS!$A583),MINUTE(TRANSACTIONS!$A583),SECOND(TRANSACTIONS!$A583)),"")</f>
        <v/>
      </c>
      <c r="D583" s="42"/>
      <c r="E583" s="42"/>
      <c r="F583" s="43"/>
      <c r="G583" s="46" t="str">
        <f>IF(AND(A583&lt;&gt;"",F583&gt;1),IF(TRANSACTIONS!$E583=RAPPORTS!$F$9,0,IF(OR(TRANSACTIONS!$D583=RAPPORTS!$A$13,TRANSACTIONS!$D583=RAPPORTS!#REF!),VLOOKUP(TRANSACTIONS!$F583,FRAIS_D_ENVOI,3,TRUE),0)),"")</f>
        <v/>
      </c>
      <c r="H583" s="46" t="str">
        <f>IFERROR(TRANSACTIONS!$F583+TRANSACTIONS!$G583,"")</f>
        <v/>
      </c>
      <c r="I583" s="44"/>
      <c r="J583" s="40" t="str">
        <f t="shared" si="9"/>
        <v/>
      </c>
    </row>
    <row r="584" spans="1:10" hidden="1" x14ac:dyDescent="0.25">
      <c r="A584" s="41"/>
      <c r="B584" s="48" t="str">
        <f>IF(A584&lt;&gt;"",DATE(YEAR(TRANSACTIONS!$A584),MONTH(TRANSACTIONS!$A584),DAY(TRANSACTIONS!$A584)),"")</f>
        <v/>
      </c>
      <c r="C584" s="49" t="str">
        <f>IF(A584&lt;&gt;"",TIME(HOUR(TRANSACTIONS!$A584),MINUTE(TRANSACTIONS!$A584),SECOND(TRANSACTIONS!$A584)),"")</f>
        <v/>
      </c>
      <c r="D584" s="42"/>
      <c r="E584" s="42"/>
      <c r="F584" s="43"/>
      <c r="G584" s="46" t="str">
        <f>IF(AND(A584&lt;&gt;"",F584&gt;1),IF(TRANSACTIONS!$E584=RAPPORTS!$F$9,0,IF(OR(TRANSACTIONS!$D584=RAPPORTS!$A$13,TRANSACTIONS!$D584=RAPPORTS!#REF!),VLOOKUP(TRANSACTIONS!$F584,FRAIS_D_ENVOI,3,TRUE),0)),"")</f>
        <v/>
      </c>
      <c r="H584" s="46" t="str">
        <f>IFERROR(TRANSACTIONS!$F584+TRANSACTIONS!$G584,"")</f>
        <v/>
      </c>
      <c r="I584" s="44"/>
      <c r="J584" s="40" t="str">
        <f t="shared" si="9"/>
        <v/>
      </c>
    </row>
    <row r="585" spans="1:10" hidden="1" x14ac:dyDescent="0.25">
      <c r="A585" s="41"/>
      <c r="B585" s="48" t="str">
        <f>IF(A585&lt;&gt;"",DATE(YEAR(TRANSACTIONS!$A585),MONTH(TRANSACTIONS!$A585),DAY(TRANSACTIONS!$A585)),"")</f>
        <v/>
      </c>
      <c r="C585" s="49" t="str">
        <f>IF(A585&lt;&gt;"",TIME(HOUR(TRANSACTIONS!$A585),MINUTE(TRANSACTIONS!$A585),SECOND(TRANSACTIONS!$A585)),"")</f>
        <v/>
      </c>
      <c r="D585" s="42"/>
      <c r="E585" s="42"/>
      <c r="F585" s="43"/>
      <c r="G585" s="46" t="str">
        <f>IF(AND(A585&lt;&gt;"",F585&gt;1),IF(TRANSACTIONS!$E585=RAPPORTS!$F$9,0,IF(OR(TRANSACTIONS!$D585=RAPPORTS!$A$13,TRANSACTIONS!$D585=RAPPORTS!#REF!),VLOOKUP(TRANSACTIONS!$F585,FRAIS_D_ENVOI,3,TRUE),0)),"")</f>
        <v/>
      </c>
      <c r="H585" s="46" t="str">
        <f>IFERROR(TRANSACTIONS!$F585+TRANSACTIONS!$G585,"")</f>
        <v/>
      </c>
      <c r="I585" s="44"/>
      <c r="J585" s="40" t="str">
        <f t="shared" si="9"/>
        <v/>
      </c>
    </row>
    <row r="586" spans="1:10" hidden="1" x14ac:dyDescent="0.25">
      <c r="A586" s="41"/>
      <c r="B586" s="48" t="str">
        <f>IF(A586&lt;&gt;"",DATE(YEAR(TRANSACTIONS!$A586),MONTH(TRANSACTIONS!$A586),DAY(TRANSACTIONS!$A586)),"")</f>
        <v/>
      </c>
      <c r="C586" s="49" t="str">
        <f>IF(A586&lt;&gt;"",TIME(HOUR(TRANSACTIONS!$A586),MINUTE(TRANSACTIONS!$A586),SECOND(TRANSACTIONS!$A586)),"")</f>
        <v/>
      </c>
      <c r="D586" s="42"/>
      <c r="E586" s="42"/>
      <c r="F586" s="43"/>
      <c r="G586" s="46" t="str">
        <f>IF(AND(A586&lt;&gt;"",F586&gt;1),IF(TRANSACTIONS!$E586=RAPPORTS!$F$9,0,IF(OR(TRANSACTIONS!$D586=RAPPORTS!$A$13,TRANSACTIONS!$D586=RAPPORTS!#REF!),VLOOKUP(TRANSACTIONS!$F586,FRAIS_D_ENVOI,3,TRUE),0)),"")</f>
        <v/>
      </c>
      <c r="H586" s="46" t="str">
        <f>IFERROR(TRANSACTIONS!$F586+TRANSACTIONS!$G586,"")</f>
        <v/>
      </c>
      <c r="I586" s="44"/>
      <c r="J586" s="40" t="str">
        <f t="shared" si="9"/>
        <v/>
      </c>
    </row>
    <row r="587" spans="1:10" hidden="1" x14ac:dyDescent="0.25">
      <c r="A587" s="41"/>
      <c r="B587" s="48" t="str">
        <f>IF(A587&lt;&gt;"",DATE(YEAR(TRANSACTIONS!$A587),MONTH(TRANSACTIONS!$A587),DAY(TRANSACTIONS!$A587)),"")</f>
        <v/>
      </c>
      <c r="C587" s="49" t="str">
        <f>IF(A587&lt;&gt;"",TIME(HOUR(TRANSACTIONS!$A587),MINUTE(TRANSACTIONS!$A587),SECOND(TRANSACTIONS!$A587)),"")</f>
        <v/>
      </c>
      <c r="D587" s="42"/>
      <c r="E587" s="42"/>
      <c r="F587" s="43"/>
      <c r="G587" s="46" t="str">
        <f>IF(AND(A587&lt;&gt;"",F587&gt;1),IF(TRANSACTIONS!$E587=RAPPORTS!$F$9,0,IF(OR(TRANSACTIONS!$D587=RAPPORTS!$A$13,TRANSACTIONS!$D587=RAPPORTS!#REF!),VLOOKUP(TRANSACTIONS!$F587,FRAIS_D_ENVOI,3,TRUE),0)),"")</f>
        <v/>
      </c>
      <c r="H587" s="46" t="str">
        <f>IFERROR(TRANSACTIONS!$F587+TRANSACTIONS!$G587,"")</f>
        <v/>
      </c>
      <c r="I587" s="44"/>
      <c r="J587" s="40" t="str">
        <f t="shared" si="9"/>
        <v/>
      </c>
    </row>
    <row r="588" spans="1:10" hidden="1" x14ac:dyDescent="0.25">
      <c r="A588" s="41"/>
      <c r="B588" s="48" t="str">
        <f>IF(A588&lt;&gt;"",DATE(YEAR(TRANSACTIONS!$A588),MONTH(TRANSACTIONS!$A588),DAY(TRANSACTIONS!$A588)),"")</f>
        <v/>
      </c>
      <c r="C588" s="49" t="str">
        <f>IF(A588&lt;&gt;"",TIME(HOUR(TRANSACTIONS!$A588),MINUTE(TRANSACTIONS!$A588),SECOND(TRANSACTIONS!$A588)),"")</f>
        <v/>
      </c>
      <c r="D588" s="42"/>
      <c r="E588" s="42"/>
      <c r="F588" s="43"/>
      <c r="G588" s="46" t="str">
        <f>IF(AND(A588&lt;&gt;"",F588&gt;1),IF(TRANSACTIONS!$E588=RAPPORTS!$F$9,0,IF(OR(TRANSACTIONS!$D588=RAPPORTS!$A$13,TRANSACTIONS!$D588=RAPPORTS!#REF!),VLOOKUP(TRANSACTIONS!$F588,FRAIS_D_ENVOI,3,TRUE),0)),"")</f>
        <v/>
      </c>
      <c r="H588" s="46" t="str">
        <f>IFERROR(TRANSACTIONS!$F588+TRANSACTIONS!$G588,"")</f>
        <v/>
      </c>
      <c r="I588" s="44"/>
      <c r="J588" s="40" t="str">
        <f t="shared" si="9"/>
        <v/>
      </c>
    </row>
    <row r="589" spans="1:10" hidden="1" x14ac:dyDescent="0.25">
      <c r="A589" s="41"/>
      <c r="B589" s="48" t="str">
        <f>IF(A589&lt;&gt;"",DATE(YEAR(TRANSACTIONS!$A589),MONTH(TRANSACTIONS!$A589),DAY(TRANSACTIONS!$A589)),"")</f>
        <v/>
      </c>
      <c r="C589" s="49" t="str">
        <f>IF(A589&lt;&gt;"",TIME(HOUR(TRANSACTIONS!$A589),MINUTE(TRANSACTIONS!$A589),SECOND(TRANSACTIONS!$A589)),"")</f>
        <v/>
      </c>
      <c r="D589" s="42"/>
      <c r="E589" s="42"/>
      <c r="F589" s="43"/>
      <c r="G589" s="46" t="str">
        <f>IF(AND(A589&lt;&gt;"",F589&gt;1),IF(TRANSACTIONS!$E589=RAPPORTS!$F$9,0,IF(OR(TRANSACTIONS!$D589=RAPPORTS!$A$13,TRANSACTIONS!$D589=RAPPORTS!#REF!),VLOOKUP(TRANSACTIONS!$F589,FRAIS_D_ENVOI,3,TRUE),0)),"")</f>
        <v/>
      </c>
      <c r="H589" s="46" t="str">
        <f>IFERROR(TRANSACTIONS!$F589+TRANSACTIONS!$G589,"")</f>
        <v/>
      </c>
      <c r="I589" s="44"/>
      <c r="J589" s="40" t="str">
        <f t="shared" si="9"/>
        <v/>
      </c>
    </row>
    <row r="590" spans="1:10" hidden="1" x14ac:dyDescent="0.25">
      <c r="A590" s="41"/>
      <c r="B590" s="48" t="str">
        <f>IF(A590&lt;&gt;"",DATE(YEAR(TRANSACTIONS!$A590),MONTH(TRANSACTIONS!$A590),DAY(TRANSACTIONS!$A590)),"")</f>
        <v/>
      </c>
      <c r="C590" s="49" t="str">
        <f>IF(A590&lt;&gt;"",TIME(HOUR(TRANSACTIONS!$A590),MINUTE(TRANSACTIONS!$A590),SECOND(TRANSACTIONS!$A590)),"")</f>
        <v/>
      </c>
      <c r="D590" s="42"/>
      <c r="E590" s="42"/>
      <c r="F590" s="43"/>
      <c r="G590" s="46" t="str">
        <f>IF(AND(A590&lt;&gt;"",F590&gt;1),IF(TRANSACTIONS!$E590=RAPPORTS!$F$9,0,IF(OR(TRANSACTIONS!$D590=RAPPORTS!$A$13,TRANSACTIONS!$D590=RAPPORTS!#REF!),VLOOKUP(TRANSACTIONS!$F590,FRAIS_D_ENVOI,3,TRUE),0)),"")</f>
        <v/>
      </c>
      <c r="H590" s="46" t="str">
        <f>IFERROR(TRANSACTIONS!$F590+TRANSACTIONS!$G590,"")</f>
        <v/>
      </c>
      <c r="I590" s="44"/>
      <c r="J590" s="40" t="str">
        <f t="shared" si="9"/>
        <v/>
      </c>
    </row>
    <row r="591" spans="1:10" hidden="1" x14ac:dyDescent="0.25">
      <c r="A591" s="41"/>
      <c r="B591" s="48" t="str">
        <f>IF(A591&lt;&gt;"",DATE(YEAR(TRANSACTIONS!$A591),MONTH(TRANSACTIONS!$A591),DAY(TRANSACTIONS!$A591)),"")</f>
        <v/>
      </c>
      <c r="C591" s="49" t="str">
        <f>IF(A591&lt;&gt;"",TIME(HOUR(TRANSACTIONS!$A591),MINUTE(TRANSACTIONS!$A591),SECOND(TRANSACTIONS!$A591)),"")</f>
        <v/>
      </c>
      <c r="D591" s="42"/>
      <c r="E591" s="42"/>
      <c r="F591" s="43"/>
      <c r="G591" s="46" t="str">
        <f>IF(AND(A591&lt;&gt;"",F591&gt;1),IF(TRANSACTIONS!$E591=RAPPORTS!$F$9,0,IF(OR(TRANSACTIONS!$D591=RAPPORTS!$A$13,TRANSACTIONS!$D591=RAPPORTS!#REF!),VLOOKUP(TRANSACTIONS!$F591,FRAIS_D_ENVOI,3,TRUE),0)),"")</f>
        <v/>
      </c>
      <c r="H591" s="46" t="str">
        <f>IFERROR(TRANSACTIONS!$F591+TRANSACTIONS!$G591,"")</f>
        <v/>
      </c>
      <c r="I591" s="44"/>
      <c r="J591" s="40" t="str">
        <f t="shared" si="9"/>
        <v/>
      </c>
    </row>
    <row r="592" spans="1:10" hidden="1" x14ac:dyDescent="0.25">
      <c r="A592" s="41"/>
      <c r="B592" s="48" t="str">
        <f>IF(A592&lt;&gt;"",DATE(YEAR(TRANSACTIONS!$A592),MONTH(TRANSACTIONS!$A592),DAY(TRANSACTIONS!$A592)),"")</f>
        <v/>
      </c>
      <c r="C592" s="49" t="str">
        <f>IF(A592&lt;&gt;"",TIME(HOUR(TRANSACTIONS!$A592),MINUTE(TRANSACTIONS!$A592),SECOND(TRANSACTIONS!$A592)),"")</f>
        <v/>
      </c>
      <c r="D592" s="42"/>
      <c r="E592" s="42"/>
      <c r="F592" s="43"/>
      <c r="G592" s="46" t="str">
        <f>IF(AND(A592&lt;&gt;"",F592&gt;1),IF(TRANSACTIONS!$E592=RAPPORTS!$F$9,0,IF(OR(TRANSACTIONS!$D592=RAPPORTS!$A$13,TRANSACTIONS!$D592=RAPPORTS!#REF!),VLOOKUP(TRANSACTIONS!$F592,FRAIS_D_ENVOI,3,TRUE),0)),"")</f>
        <v/>
      </c>
      <c r="H592" s="46" t="str">
        <f>IFERROR(TRANSACTIONS!$F592+TRANSACTIONS!$G592,"")</f>
        <v/>
      </c>
      <c r="I592" s="44"/>
      <c r="J592" s="40" t="str">
        <f t="shared" si="9"/>
        <v/>
      </c>
    </row>
    <row r="593" spans="1:10" hidden="1" x14ac:dyDescent="0.25">
      <c r="A593" s="41"/>
      <c r="B593" s="48" t="str">
        <f>IF(A593&lt;&gt;"",DATE(YEAR(TRANSACTIONS!$A593),MONTH(TRANSACTIONS!$A593),DAY(TRANSACTIONS!$A593)),"")</f>
        <v/>
      </c>
      <c r="C593" s="49" t="str">
        <f>IF(A593&lt;&gt;"",TIME(HOUR(TRANSACTIONS!$A593),MINUTE(TRANSACTIONS!$A593),SECOND(TRANSACTIONS!$A593)),"")</f>
        <v/>
      </c>
      <c r="D593" s="42"/>
      <c r="E593" s="42"/>
      <c r="F593" s="43"/>
      <c r="G593" s="46" t="str">
        <f>IF(AND(A593&lt;&gt;"",F593&gt;1),IF(TRANSACTIONS!$E593=RAPPORTS!$F$9,0,IF(OR(TRANSACTIONS!$D593=RAPPORTS!$A$13,TRANSACTIONS!$D593=RAPPORTS!#REF!),VLOOKUP(TRANSACTIONS!$F593,FRAIS_D_ENVOI,3,TRUE),0)),"")</f>
        <v/>
      </c>
      <c r="H593" s="46" t="str">
        <f>IFERROR(TRANSACTIONS!$F593+TRANSACTIONS!$G593,"")</f>
        <v/>
      </c>
      <c r="I593" s="44"/>
      <c r="J593" s="40" t="str">
        <f t="shared" si="9"/>
        <v/>
      </c>
    </row>
    <row r="594" spans="1:10" hidden="1" x14ac:dyDescent="0.25">
      <c r="A594" s="41"/>
      <c r="B594" s="48" t="str">
        <f>IF(A594&lt;&gt;"",DATE(YEAR(TRANSACTIONS!$A594),MONTH(TRANSACTIONS!$A594),DAY(TRANSACTIONS!$A594)),"")</f>
        <v/>
      </c>
      <c r="C594" s="49" t="str">
        <f>IF(A594&lt;&gt;"",TIME(HOUR(TRANSACTIONS!$A594),MINUTE(TRANSACTIONS!$A594),SECOND(TRANSACTIONS!$A594)),"")</f>
        <v/>
      </c>
      <c r="D594" s="42"/>
      <c r="E594" s="42"/>
      <c r="F594" s="43"/>
      <c r="G594" s="46" t="str">
        <f>IF(AND(A594&lt;&gt;"",F594&gt;1),IF(TRANSACTIONS!$E594=RAPPORTS!$F$9,0,IF(OR(TRANSACTIONS!$D594=RAPPORTS!$A$13,TRANSACTIONS!$D594=RAPPORTS!#REF!),VLOOKUP(TRANSACTIONS!$F594,FRAIS_D_ENVOI,3,TRUE),0)),"")</f>
        <v/>
      </c>
      <c r="H594" s="46" t="str">
        <f>IFERROR(TRANSACTIONS!$F594+TRANSACTIONS!$G594,"")</f>
        <v/>
      </c>
      <c r="I594" s="44"/>
      <c r="J594" s="40" t="str">
        <f t="shared" si="9"/>
        <v/>
      </c>
    </row>
    <row r="595" spans="1:10" hidden="1" x14ac:dyDescent="0.25">
      <c r="A595" s="41"/>
      <c r="B595" s="48" t="str">
        <f>IF(A595&lt;&gt;"",DATE(YEAR(TRANSACTIONS!$A595),MONTH(TRANSACTIONS!$A595),DAY(TRANSACTIONS!$A595)),"")</f>
        <v/>
      </c>
      <c r="C595" s="49" t="str">
        <f>IF(A595&lt;&gt;"",TIME(HOUR(TRANSACTIONS!$A595),MINUTE(TRANSACTIONS!$A595),SECOND(TRANSACTIONS!$A595)),"")</f>
        <v/>
      </c>
      <c r="D595" s="42"/>
      <c r="E595" s="42"/>
      <c r="F595" s="43"/>
      <c r="G595" s="46" t="str">
        <f>IF(AND(A595&lt;&gt;"",F595&gt;1),IF(TRANSACTIONS!$E595=RAPPORTS!$F$9,0,IF(OR(TRANSACTIONS!$D595=RAPPORTS!$A$13,TRANSACTIONS!$D595=RAPPORTS!#REF!),VLOOKUP(TRANSACTIONS!$F595,FRAIS_D_ENVOI,3,TRUE),0)),"")</f>
        <v/>
      </c>
      <c r="H595" s="46" t="str">
        <f>IFERROR(TRANSACTIONS!$F595+TRANSACTIONS!$G595,"")</f>
        <v/>
      </c>
      <c r="I595" s="44"/>
      <c r="J595" s="40" t="str">
        <f t="shared" si="9"/>
        <v/>
      </c>
    </row>
    <row r="596" spans="1:10" hidden="1" x14ac:dyDescent="0.25">
      <c r="A596" s="41"/>
      <c r="B596" s="48" t="str">
        <f>IF(A596&lt;&gt;"",DATE(YEAR(TRANSACTIONS!$A596),MONTH(TRANSACTIONS!$A596),DAY(TRANSACTIONS!$A596)),"")</f>
        <v/>
      </c>
      <c r="C596" s="49" t="str">
        <f>IF(A596&lt;&gt;"",TIME(HOUR(TRANSACTIONS!$A596),MINUTE(TRANSACTIONS!$A596),SECOND(TRANSACTIONS!$A596)),"")</f>
        <v/>
      </c>
      <c r="D596" s="42"/>
      <c r="E596" s="42"/>
      <c r="F596" s="43"/>
      <c r="G596" s="46" t="str">
        <f>IF(AND(A596&lt;&gt;"",F596&gt;1),IF(TRANSACTIONS!$E596=RAPPORTS!$F$9,0,IF(OR(TRANSACTIONS!$D596=RAPPORTS!$A$13,TRANSACTIONS!$D596=RAPPORTS!#REF!),VLOOKUP(TRANSACTIONS!$F596,FRAIS_D_ENVOI,3,TRUE),0)),"")</f>
        <v/>
      </c>
      <c r="H596" s="46" t="str">
        <f>IFERROR(TRANSACTIONS!$F596+TRANSACTIONS!$G596,"")</f>
        <v/>
      </c>
      <c r="I596" s="44"/>
      <c r="J596" s="40" t="str">
        <f t="shared" si="9"/>
        <v/>
      </c>
    </row>
    <row r="597" spans="1:10" hidden="1" x14ac:dyDescent="0.25">
      <c r="A597" s="41"/>
      <c r="B597" s="48" t="str">
        <f>IF(A597&lt;&gt;"",DATE(YEAR(TRANSACTIONS!$A597),MONTH(TRANSACTIONS!$A597),DAY(TRANSACTIONS!$A597)),"")</f>
        <v/>
      </c>
      <c r="C597" s="49" t="str">
        <f>IF(A597&lt;&gt;"",TIME(HOUR(TRANSACTIONS!$A597),MINUTE(TRANSACTIONS!$A597),SECOND(TRANSACTIONS!$A597)),"")</f>
        <v/>
      </c>
      <c r="D597" s="42"/>
      <c r="E597" s="42"/>
      <c r="F597" s="43"/>
      <c r="G597" s="46" t="str">
        <f>IF(AND(A597&lt;&gt;"",F597&gt;1),IF(TRANSACTIONS!$E597=RAPPORTS!$F$9,0,IF(OR(TRANSACTIONS!$D597=RAPPORTS!$A$13,TRANSACTIONS!$D597=RAPPORTS!#REF!),VLOOKUP(TRANSACTIONS!$F597,FRAIS_D_ENVOI,3,TRUE),0)),"")</f>
        <v/>
      </c>
      <c r="H597" s="46" t="str">
        <f>IFERROR(TRANSACTIONS!$F597+TRANSACTIONS!$G597,"")</f>
        <v/>
      </c>
      <c r="I597" s="44"/>
      <c r="J597" s="40" t="str">
        <f t="shared" si="9"/>
        <v/>
      </c>
    </row>
    <row r="598" spans="1:10" hidden="1" x14ac:dyDescent="0.25">
      <c r="A598" s="41"/>
      <c r="B598" s="48" t="str">
        <f>IF(A598&lt;&gt;"",DATE(YEAR(TRANSACTIONS!$A598),MONTH(TRANSACTIONS!$A598),DAY(TRANSACTIONS!$A598)),"")</f>
        <v/>
      </c>
      <c r="C598" s="49" t="str">
        <f>IF(A598&lt;&gt;"",TIME(HOUR(TRANSACTIONS!$A598),MINUTE(TRANSACTIONS!$A598),SECOND(TRANSACTIONS!$A598)),"")</f>
        <v/>
      </c>
      <c r="D598" s="42"/>
      <c r="E598" s="42"/>
      <c r="F598" s="43"/>
      <c r="G598" s="46" t="str">
        <f>IF(AND(A598&lt;&gt;"",F598&gt;1),IF(TRANSACTIONS!$E598=RAPPORTS!$F$9,0,IF(OR(TRANSACTIONS!$D598=RAPPORTS!$A$13,TRANSACTIONS!$D598=RAPPORTS!#REF!),VLOOKUP(TRANSACTIONS!$F598,FRAIS_D_ENVOI,3,TRUE),0)),"")</f>
        <v/>
      </c>
      <c r="H598" s="46" t="str">
        <f>IFERROR(TRANSACTIONS!$F598+TRANSACTIONS!$G598,"")</f>
        <v/>
      </c>
      <c r="I598" s="44"/>
      <c r="J598" s="40" t="str">
        <f t="shared" si="9"/>
        <v/>
      </c>
    </row>
    <row r="599" spans="1:10" hidden="1" x14ac:dyDescent="0.25">
      <c r="A599" s="41"/>
      <c r="B599" s="48" t="str">
        <f>IF(A599&lt;&gt;"",DATE(YEAR(TRANSACTIONS!$A599),MONTH(TRANSACTIONS!$A599),DAY(TRANSACTIONS!$A599)),"")</f>
        <v/>
      </c>
      <c r="C599" s="49" t="str">
        <f>IF(A599&lt;&gt;"",TIME(HOUR(TRANSACTIONS!$A599),MINUTE(TRANSACTIONS!$A599),SECOND(TRANSACTIONS!$A599)),"")</f>
        <v/>
      </c>
      <c r="D599" s="42"/>
      <c r="E599" s="42"/>
      <c r="F599" s="43"/>
      <c r="G599" s="46" t="str">
        <f>IF(AND(A599&lt;&gt;"",F599&gt;1),IF(TRANSACTIONS!$E599=RAPPORTS!$F$9,0,IF(OR(TRANSACTIONS!$D599=RAPPORTS!$A$13,TRANSACTIONS!$D599=RAPPORTS!#REF!),VLOOKUP(TRANSACTIONS!$F599,FRAIS_D_ENVOI,3,TRUE),0)),"")</f>
        <v/>
      </c>
      <c r="H599" s="46" t="str">
        <f>IFERROR(TRANSACTIONS!$F599+TRANSACTIONS!$G599,"")</f>
        <v/>
      </c>
      <c r="I599" s="44"/>
      <c r="J599" s="40" t="str">
        <f t="shared" si="9"/>
        <v/>
      </c>
    </row>
    <row r="600" spans="1:10" hidden="1" x14ac:dyDescent="0.25">
      <c r="A600" s="41"/>
      <c r="B600" s="48" t="str">
        <f>IF(A600&lt;&gt;"",DATE(YEAR(TRANSACTIONS!$A600),MONTH(TRANSACTIONS!$A600),DAY(TRANSACTIONS!$A600)),"")</f>
        <v/>
      </c>
      <c r="C600" s="49" t="str">
        <f>IF(A600&lt;&gt;"",TIME(HOUR(TRANSACTIONS!$A600),MINUTE(TRANSACTIONS!$A600),SECOND(TRANSACTIONS!$A600)),"")</f>
        <v/>
      </c>
      <c r="D600" s="42"/>
      <c r="E600" s="42"/>
      <c r="F600" s="43"/>
      <c r="G600" s="46" t="str">
        <f>IF(AND(A600&lt;&gt;"",F600&gt;1),IF(TRANSACTIONS!$E600=RAPPORTS!$F$9,0,IF(OR(TRANSACTIONS!$D600=RAPPORTS!$A$13,TRANSACTIONS!$D600=RAPPORTS!#REF!),VLOOKUP(TRANSACTIONS!$F600,FRAIS_D_ENVOI,3,TRUE),0)),"")</f>
        <v/>
      </c>
      <c r="H600" s="46" t="str">
        <f>IFERROR(TRANSACTIONS!$F600+TRANSACTIONS!$G600,"")</f>
        <v/>
      </c>
      <c r="I600" s="44"/>
      <c r="J600" s="40" t="str">
        <f t="shared" si="9"/>
        <v/>
      </c>
    </row>
    <row r="601" spans="1:10" hidden="1" x14ac:dyDescent="0.25">
      <c r="A601" s="41"/>
      <c r="B601" s="48" t="str">
        <f>IF(A601&lt;&gt;"",DATE(YEAR(TRANSACTIONS!$A601),MONTH(TRANSACTIONS!$A601),DAY(TRANSACTIONS!$A601)),"")</f>
        <v/>
      </c>
      <c r="C601" s="49" t="str">
        <f>IF(A601&lt;&gt;"",TIME(HOUR(TRANSACTIONS!$A601),MINUTE(TRANSACTIONS!$A601),SECOND(TRANSACTIONS!$A601)),"")</f>
        <v/>
      </c>
      <c r="D601" s="42"/>
      <c r="E601" s="42"/>
      <c r="F601" s="43"/>
      <c r="G601" s="46" t="str">
        <f>IF(AND(A601&lt;&gt;"",F601&gt;1),IF(TRANSACTIONS!$E601=RAPPORTS!$F$9,0,IF(OR(TRANSACTIONS!$D601=RAPPORTS!$A$13,TRANSACTIONS!$D601=RAPPORTS!#REF!),VLOOKUP(TRANSACTIONS!$F601,FRAIS_D_ENVOI,3,TRUE),0)),"")</f>
        <v/>
      </c>
      <c r="H601" s="46" t="str">
        <f>IFERROR(TRANSACTIONS!$F601+TRANSACTIONS!$G601,"")</f>
        <v/>
      </c>
      <c r="I601" s="44"/>
      <c r="J601" s="40" t="str">
        <f t="shared" si="9"/>
        <v/>
      </c>
    </row>
    <row r="602" spans="1:10" hidden="1" x14ac:dyDescent="0.25">
      <c r="A602" s="41"/>
      <c r="B602" s="48" t="str">
        <f>IF(A602&lt;&gt;"",DATE(YEAR(TRANSACTIONS!$A602),MONTH(TRANSACTIONS!$A602),DAY(TRANSACTIONS!$A602)),"")</f>
        <v/>
      </c>
      <c r="C602" s="49" t="str">
        <f>IF(A602&lt;&gt;"",TIME(HOUR(TRANSACTIONS!$A602),MINUTE(TRANSACTIONS!$A602),SECOND(TRANSACTIONS!$A602)),"")</f>
        <v/>
      </c>
      <c r="D602" s="42"/>
      <c r="E602" s="42"/>
      <c r="F602" s="43"/>
      <c r="G602" s="46" t="str">
        <f>IF(AND(A602&lt;&gt;"",F602&gt;1),IF(TRANSACTIONS!$E602=RAPPORTS!$F$9,0,IF(OR(TRANSACTIONS!$D602=RAPPORTS!$A$13,TRANSACTIONS!$D602=RAPPORTS!#REF!),VLOOKUP(TRANSACTIONS!$F602,FRAIS_D_ENVOI,3,TRUE),0)),"")</f>
        <v/>
      </c>
      <c r="H602" s="46" t="str">
        <f>IFERROR(TRANSACTIONS!$F602+TRANSACTIONS!$G602,"")</f>
        <v/>
      </c>
      <c r="I602" s="44"/>
      <c r="J602" s="40" t="str">
        <f t="shared" si="9"/>
        <v/>
      </c>
    </row>
    <row r="603" spans="1:10" hidden="1" x14ac:dyDescent="0.25">
      <c r="A603" s="41"/>
      <c r="B603" s="48" t="str">
        <f>IF(A603&lt;&gt;"",DATE(YEAR(TRANSACTIONS!$A603),MONTH(TRANSACTIONS!$A603),DAY(TRANSACTIONS!$A603)),"")</f>
        <v/>
      </c>
      <c r="C603" s="49" t="str">
        <f>IF(A603&lt;&gt;"",TIME(HOUR(TRANSACTIONS!$A603),MINUTE(TRANSACTIONS!$A603),SECOND(TRANSACTIONS!$A603)),"")</f>
        <v/>
      </c>
      <c r="D603" s="42"/>
      <c r="E603" s="42"/>
      <c r="F603" s="43"/>
      <c r="G603" s="46" t="str">
        <f>IF(AND(A603&lt;&gt;"",F603&gt;1),IF(TRANSACTIONS!$E603=RAPPORTS!$F$9,0,IF(OR(TRANSACTIONS!$D603=RAPPORTS!$A$13,TRANSACTIONS!$D603=RAPPORTS!#REF!),VLOOKUP(TRANSACTIONS!$F603,FRAIS_D_ENVOI,3,TRUE),0)),"")</f>
        <v/>
      </c>
      <c r="H603" s="46" t="str">
        <f>IFERROR(TRANSACTIONS!$F603+TRANSACTIONS!$G603,"")</f>
        <v/>
      </c>
      <c r="I603" s="44"/>
      <c r="J603" s="40" t="str">
        <f t="shared" si="9"/>
        <v/>
      </c>
    </row>
    <row r="604" spans="1:10" hidden="1" x14ac:dyDescent="0.25">
      <c r="A604" s="41"/>
      <c r="B604" s="48" t="str">
        <f>IF(A604&lt;&gt;"",DATE(YEAR(TRANSACTIONS!$A604),MONTH(TRANSACTIONS!$A604),DAY(TRANSACTIONS!$A604)),"")</f>
        <v/>
      </c>
      <c r="C604" s="49" t="str">
        <f>IF(A604&lt;&gt;"",TIME(HOUR(TRANSACTIONS!$A604),MINUTE(TRANSACTIONS!$A604),SECOND(TRANSACTIONS!$A604)),"")</f>
        <v/>
      </c>
      <c r="D604" s="42"/>
      <c r="E604" s="42"/>
      <c r="F604" s="43"/>
      <c r="G604" s="46" t="str">
        <f>IF(AND(A604&lt;&gt;"",F604&gt;1),IF(TRANSACTIONS!$E604=RAPPORTS!$F$9,0,IF(OR(TRANSACTIONS!$D604=RAPPORTS!$A$13,TRANSACTIONS!$D604=RAPPORTS!#REF!),VLOOKUP(TRANSACTIONS!$F604,FRAIS_D_ENVOI,3,TRUE),0)),"")</f>
        <v/>
      </c>
      <c r="H604" s="46" t="str">
        <f>IFERROR(TRANSACTIONS!$F604+TRANSACTIONS!$G604,"")</f>
        <v/>
      </c>
      <c r="I604" s="44"/>
      <c r="J604" s="40" t="str">
        <f t="shared" si="9"/>
        <v/>
      </c>
    </row>
    <row r="605" spans="1:10" hidden="1" x14ac:dyDescent="0.25">
      <c r="A605" s="41"/>
      <c r="B605" s="48" t="str">
        <f>IF(A605&lt;&gt;"",DATE(YEAR(TRANSACTIONS!$A605),MONTH(TRANSACTIONS!$A605),DAY(TRANSACTIONS!$A605)),"")</f>
        <v/>
      </c>
      <c r="C605" s="49" t="str">
        <f>IF(A605&lt;&gt;"",TIME(HOUR(TRANSACTIONS!$A605),MINUTE(TRANSACTIONS!$A605),SECOND(TRANSACTIONS!$A605)),"")</f>
        <v/>
      </c>
      <c r="D605" s="42"/>
      <c r="E605" s="42"/>
      <c r="F605" s="43"/>
      <c r="G605" s="46" t="str">
        <f>IF(AND(A605&lt;&gt;"",F605&gt;1),IF(TRANSACTIONS!$E605=RAPPORTS!$F$9,0,IF(OR(TRANSACTIONS!$D605=RAPPORTS!$A$13,TRANSACTIONS!$D605=RAPPORTS!#REF!),VLOOKUP(TRANSACTIONS!$F605,FRAIS_D_ENVOI,3,TRUE),0)),"")</f>
        <v/>
      </c>
      <c r="H605" s="46" t="str">
        <f>IFERROR(TRANSACTIONS!$F605+TRANSACTIONS!$G605,"")</f>
        <v/>
      </c>
      <c r="I605" s="44"/>
      <c r="J605" s="40" t="str">
        <f t="shared" si="9"/>
        <v/>
      </c>
    </row>
    <row r="606" spans="1:10" hidden="1" x14ac:dyDescent="0.25">
      <c r="A606" s="41"/>
      <c r="B606" s="48" t="str">
        <f>IF(A606&lt;&gt;"",DATE(YEAR(TRANSACTIONS!$A606),MONTH(TRANSACTIONS!$A606),DAY(TRANSACTIONS!$A606)),"")</f>
        <v/>
      </c>
      <c r="C606" s="49" t="str">
        <f>IF(A606&lt;&gt;"",TIME(HOUR(TRANSACTIONS!$A606),MINUTE(TRANSACTIONS!$A606),SECOND(TRANSACTIONS!$A606)),"")</f>
        <v/>
      </c>
      <c r="D606" s="42"/>
      <c r="E606" s="42"/>
      <c r="F606" s="43"/>
      <c r="G606" s="46" t="str">
        <f>IF(AND(A606&lt;&gt;"",F606&gt;1),IF(TRANSACTIONS!$E606=RAPPORTS!$F$9,0,IF(OR(TRANSACTIONS!$D606=RAPPORTS!$A$13,TRANSACTIONS!$D606=RAPPORTS!#REF!),VLOOKUP(TRANSACTIONS!$F606,FRAIS_D_ENVOI,3,TRUE),0)),"")</f>
        <v/>
      </c>
      <c r="H606" s="46" t="str">
        <f>IFERROR(TRANSACTIONS!$F606+TRANSACTIONS!$G606,"")</f>
        <v/>
      </c>
      <c r="I606" s="44"/>
      <c r="J606" s="40" t="str">
        <f t="shared" si="9"/>
        <v/>
      </c>
    </row>
    <row r="607" spans="1:10" hidden="1" x14ac:dyDescent="0.25">
      <c r="A607" s="41"/>
      <c r="B607" s="48" t="str">
        <f>IF(A607&lt;&gt;"",DATE(YEAR(TRANSACTIONS!$A607),MONTH(TRANSACTIONS!$A607),DAY(TRANSACTIONS!$A607)),"")</f>
        <v/>
      </c>
      <c r="C607" s="49" t="str">
        <f>IF(A607&lt;&gt;"",TIME(HOUR(TRANSACTIONS!$A607),MINUTE(TRANSACTIONS!$A607),SECOND(TRANSACTIONS!$A607)),"")</f>
        <v/>
      </c>
      <c r="D607" s="42"/>
      <c r="E607" s="42"/>
      <c r="F607" s="43"/>
      <c r="G607" s="46" t="str">
        <f>IF(AND(A607&lt;&gt;"",F607&gt;1),IF(TRANSACTIONS!$E607=RAPPORTS!$F$9,0,IF(OR(TRANSACTIONS!$D607=RAPPORTS!$A$13,TRANSACTIONS!$D607=RAPPORTS!#REF!),VLOOKUP(TRANSACTIONS!$F607,FRAIS_D_ENVOI,3,TRUE),0)),"")</f>
        <v/>
      </c>
      <c r="H607" s="46" t="str">
        <f>IFERROR(TRANSACTIONS!$F607+TRANSACTIONS!$G607,"")</f>
        <v/>
      </c>
      <c r="I607" s="44"/>
      <c r="J607" s="40" t="str">
        <f t="shared" si="9"/>
        <v/>
      </c>
    </row>
    <row r="608" spans="1:10" hidden="1" x14ac:dyDescent="0.25">
      <c r="A608" s="41"/>
      <c r="B608" s="48" t="str">
        <f>IF(A608&lt;&gt;"",DATE(YEAR(TRANSACTIONS!$A608),MONTH(TRANSACTIONS!$A608),DAY(TRANSACTIONS!$A608)),"")</f>
        <v/>
      </c>
      <c r="C608" s="49" t="str">
        <f>IF(A608&lt;&gt;"",TIME(HOUR(TRANSACTIONS!$A608),MINUTE(TRANSACTIONS!$A608),SECOND(TRANSACTIONS!$A608)),"")</f>
        <v/>
      </c>
      <c r="D608" s="42"/>
      <c r="E608" s="42"/>
      <c r="F608" s="43"/>
      <c r="G608" s="46" t="str">
        <f>IF(AND(A608&lt;&gt;"",F608&gt;1),IF(TRANSACTIONS!$E608=RAPPORTS!$F$9,0,IF(OR(TRANSACTIONS!$D608=RAPPORTS!$A$13,TRANSACTIONS!$D608=RAPPORTS!#REF!),VLOOKUP(TRANSACTIONS!$F608,FRAIS_D_ENVOI,3,TRUE),0)),"")</f>
        <v/>
      </c>
      <c r="H608" s="46" t="str">
        <f>IFERROR(TRANSACTIONS!$F608+TRANSACTIONS!$G608,"")</f>
        <v/>
      </c>
      <c r="I608" s="44"/>
      <c r="J608" s="40" t="str">
        <f t="shared" si="9"/>
        <v/>
      </c>
    </row>
    <row r="609" spans="1:10" hidden="1" x14ac:dyDescent="0.25">
      <c r="A609" s="41"/>
      <c r="B609" s="48" t="str">
        <f>IF(A609&lt;&gt;"",DATE(YEAR(TRANSACTIONS!$A609),MONTH(TRANSACTIONS!$A609),DAY(TRANSACTIONS!$A609)),"")</f>
        <v/>
      </c>
      <c r="C609" s="49" t="str">
        <f>IF(A609&lt;&gt;"",TIME(HOUR(TRANSACTIONS!$A609),MINUTE(TRANSACTIONS!$A609),SECOND(TRANSACTIONS!$A609)),"")</f>
        <v/>
      </c>
      <c r="D609" s="42"/>
      <c r="E609" s="42"/>
      <c r="F609" s="43"/>
      <c r="G609" s="46" t="str">
        <f>IF(AND(A609&lt;&gt;"",F609&gt;1),IF(TRANSACTIONS!$E609=RAPPORTS!$F$9,0,IF(OR(TRANSACTIONS!$D609=RAPPORTS!$A$13,TRANSACTIONS!$D609=RAPPORTS!#REF!),VLOOKUP(TRANSACTIONS!$F609,FRAIS_D_ENVOI,3,TRUE),0)),"")</f>
        <v/>
      </c>
      <c r="H609" s="46" t="str">
        <f>IFERROR(TRANSACTIONS!$F609+TRANSACTIONS!$G609,"")</f>
        <v/>
      </c>
      <c r="I609" s="44"/>
      <c r="J609" s="40" t="str">
        <f t="shared" si="9"/>
        <v/>
      </c>
    </row>
    <row r="610" spans="1:10" hidden="1" x14ac:dyDescent="0.25">
      <c r="A610" s="41"/>
      <c r="B610" s="48" t="str">
        <f>IF(A610&lt;&gt;"",DATE(YEAR(TRANSACTIONS!$A610),MONTH(TRANSACTIONS!$A610),DAY(TRANSACTIONS!$A610)),"")</f>
        <v/>
      </c>
      <c r="C610" s="49" t="str">
        <f>IF(A610&lt;&gt;"",TIME(HOUR(TRANSACTIONS!$A610),MINUTE(TRANSACTIONS!$A610),SECOND(TRANSACTIONS!$A610)),"")</f>
        <v/>
      </c>
      <c r="D610" s="42"/>
      <c r="E610" s="42"/>
      <c r="F610" s="43"/>
      <c r="G610" s="46" t="str">
        <f>IF(AND(A610&lt;&gt;"",F610&gt;1),IF(TRANSACTIONS!$E610=RAPPORTS!$F$9,0,IF(OR(TRANSACTIONS!$D610=RAPPORTS!$A$13,TRANSACTIONS!$D610=RAPPORTS!#REF!),VLOOKUP(TRANSACTIONS!$F610,FRAIS_D_ENVOI,3,TRUE),0)),"")</f>
        <v/>
      </c>
      <c r="H610" s="46" t="str">
        <f>IFERROR(TRANSACTIONS!$F610+TRANSACTIONS!$G610,"")</f>
        <v/>
      </c>
      <c r="I610" s="44"/>
      <c r="J610" s="40" t="str">
        <f t="shared" si="9"/>
        <v/>
      </c>
    </row>
    <row r="611" spans="1:10" hidden="1" x14ac:dyDescent="0.25">
      <c r="A611" s="41"/>
      <c r="B611" s="48" t="str">
        <f>IF(A611&lt;&gt;"",DATE(YEAR(TRANSACTIONS!$A611),MONTH(TRANSACTIONS!$A611),DAY(TRANSACTIONS!$A611)),"")</f>
        <v/>
      </c>
      <c r="C611" s="49" t="str">
        <f>IF(A611&lt;&gt;"",TIME(HOUR(TRANSACTIONS!$A611),MINUTE(TRANSACTIONS!$A611),SECOND(TRANSACTIONS!$A611)),"")</f>
        <v/>
      </c>
      <c r="D611" s="42"/>
      <c r="E611" s="42"/>
      <c r="F611" s="43"/>
      <c r="G611" s="46" t="str">
        <f>IF(AND(A611&lt;&gt;"",F611&gt;1),IF(TRANSACTIONS!$E611=RAPPORTS!$F$9,0,IF(OR(TRANSACTIONS!$D611=RAPPORTS!$A$13,TRANSACTIONS!$D611=RAPPORTS!#REF!),VLOOKUP(TRANSACTIONS!$F611,FRAIS_D_ENVOI,3,TRUE),0)),"")</f>
        <v/>
      </c>
      <c r="H611" s="46" t="str">
        <f>IFERROR(TRANSACTIONS!$F611+TRANSACTIONS!$G611,"")</f>
        <v/>
      </c>
      <c r="I611" s="44"/>
      <c r="J611" s="40" t="str">
        <f t="shared" si="9"/>
        <v/>
      </c>
    </row>
    <row r="612" spans="1:10" hidden="1" x14ac:dyDescent="0.25">
      <c r="A612" s="41"/>
      <c r="B612" s="48" t="str">
        <f>IF(A612&lt;&gt;"",DATE(YEAR(TRANSACTIONS!$A612),MONTH(TRANSACTIONS!$A612),DAY(TRANSACTIONS!$A612)),"")</f>
        <v/>
      </c>
      <c r="C612" s="49" t="str">
        <f>IF(A612&lt;&gt;"",TIME(HOUR(TRANSACTIONS!$A612),MINUTE(TRANSACTIONS!$A612),SECOND(TRANSACTIONS!$A612)),"")</f>
        <v/>
      </c>
      <c r="D612" s="42"/>
      <c r="E612" s="42"/>
      <c r="F612" s="43"/>
      <c r="G612" s="46" t="str">
        <f>IF(AND(A612&lt;&gt;"",F612&gt;1),IF(TRANSACTIONS!$E612=RAPPORTS!$F$9,0,IF(OR(TRANSACTIONS!$D612=RAPPORTS!$A$13,TRANSACTIONS!$D612=RAPPORTS!#REF!),VLOOKUP(TRANSACTIONS!$F612,FRAIS_D_ENVOI,3,TRUE),0)),"")</f>
        <v/>
      </c>
      <c r="H612" s="46" t="str">
        <f>IFERROR(TRANSACTIONS!$F612+TRANSACTIONS!$G612,"")</f>
        <v/>
      </c>
      <c r="I612" s="44"/>
      <c r="J612" s="40" t="str">
        <f t="shared" si="9"/>
        <v/>
      </c>
    </row>
    <row r="613" spans="1:10" hidden="1" x14ac:dyDescent="0.25">
      <c r="A613" s="41"/>
      <c r="B613" s="48" t="str">
        <f>IF(A613&lt;&gt;"",DATE(YEAR(TRANSACTIONS!$A613),MONTH(TRANSACTIONS!$A613),DAY(TRANSACTIONS!$A613)),"")</f>
        <v/>
      </c>
      <c r="C613" s="49" t="str">
        <f>IF(A613&lt;&gt;"",TIME(HOUR(TRANSACTIONS!$A613),MINUTE(TRANSACTIONS!$A613),SECOND(TRANSACTIONS!$A613)),"")</f>
        <v/>
      </c>
      <c r="D613" s="42"/>
      <c r="E613" s="42"/>
      <c r="F613" s="43"/>
      <c r="G613" s="46" t="str">
        <f>IF(AND(A613&lt;&gt;"",F613&gt;1),IF(TRANSACTIONS!$E613=RAPPORTS!$F$9,0,IF(OR(TRANSACTIONS!$D613=RAPPORTS!$A$13,TRANSACTIONS!$D613=RAPPORTS!#REF!),VLOOKUP(TRANSACTIONS!$F613,FRAIS_D_ENVOI,3,TRUE),0)),"")</f>
        <v/>
      </c>
      <c r="H613" s="46" t="str">
        <f>IFERROR(TRANSACTIONS!$F613+TRANSACTIONS!$G613,"")</f>
        <v/>
      </c>
      <c r="I613" s="44"/>
      <c r="J613" s="40" t="str">
        <f t="shared" si="9"/>
        <v/>
      </c>
    </row>
    <row r="614" spans="1:10" hidden="1" x14ac:dyDescent="0.25">
      <c r="A614" s="41"/>
      <c r="B614" s="48" t="str">
        <f>IF(A614&lt;&gt;"",DATE(YEAR(TRANSACTIONS!$A614),MONTH(TRANSACTIONS!$A614),DAY(TRANSACTIONS!$A614)),"")</f>
        <v/>
      </c>
      <c r="C614" s="49" t="str">
        <f>IF(A614&lt;&gt;"",TIME(HOUR(TRANSACTIONS!$A614),MINUTE(TRANSACTIONS!$A614),SECOND(TRANSACTIONS!$A614)),"")</f>
        <v/>
      </c>
      <c r="D614" s="42"/>
      <c r="E614" s="42"/>
      <c r="F614" s="43"/>
      <c r="G614" s="46" t="str">
        <f>IF(AND(A614&lt;&gt;"",F614&gt;1),IF(TRANSACTIONS!$E614=RAPPORTS!$F$9,0,IF(OR(TRANSACTIONS!$D614=RAPPORTS!$A$13,TRANSACTIONS!$D614=RAPPORTS!#REF!),VLOOKUP(TRANSACTIONS!$F614,FRAIS_D_ENVOI,3,TRUE),0)),"")</f>
        <v/>
      </c>
      <c r="H614" s="46" t="str">
        <f>IFERROR(TRANSACTIONS!$F614+TRANSACTIONS!$G614,"")</f>
        <v/>
      </c>
      <c r="I614" s="44"/>
      <c r="J614" s="40" t="str">
        <f t="shared" si="9"/>
        <v/>
      </c>
    </row>
    <row r="615" spans="1:10" hidden="1" x14ac:dyDescent="0.25">
      <c r="A615" s="41"/>
      <c r="B615" s="48" t="str">
        <f>IF(A615&lt;&gt;"",DATE(YEAR(TRANSACTIONS!$A615),MONTH(TRANSACTIONS!$A615),DAY(TRANSACTIONS!$A615)),"")</f>
        <v/>
      </c>
      <c r="C615" s="49" t="str">
        <f>IF(A615&lt;&gt;"",TIME(HOUR(TRANSACTIONS!$A615),MINUTE(TRANSACTIONS!$A615),SECOND(TRANSACTIONS!$A615)),"")</f>
        <v/>
      </c>
      <c r="D615" s="42"/>
      <c r="E615" s="42"/>
      <c r="F615" s="43"/>
      <c r="G615" s="46" t="str">
        <f>IF(AND(A615&lt;&gt;"",F615&gt;1),IF(TRANSACTIONS!$E615=RAPPORTS!$F$9,0,IF(OR(TRANSACTIONS!$D615=RAPPORTS!$A$13,TRANSACTIONS!$D615=RAPPORTS!#REF!),VLOOKUP(TRANSACTIONS!$F615,FRAIS_D_ENVOI,3,TRUE),0)),"")</f>
        <v/>
      </c>
      <c r="H615" s="46" t="str">
        <f>IFERROR(TRANSACTIONS!$F615+TRANSACTIONS!$G615,"")</f>
        <v/>
      </c>
      <c r="I615" s="44"/>
      <c r="J615" s="40" t="str">
        <f t="shared" si="9"/>
        <v/>
      </c>
    </row>
    <row r="616" spans="1:10" hidden="1" x14ac:dyDescent="0.25">
      <c r="A616" s="41"/>
      <c r="B616" s="48" t="str">
        <f>IF(A616&lt;&gt;"",DATE(YEAR(TRANSACTIONS!$A616),MONTH(TRANSACTIONS!$A616),DAY(TRANSACTIONS!$A616)),"")</f>
        <v/>
      </c>
      <c r="C616" s="49" t="str">
        <f>IF(A616&lt;&gt;"",TIME(HOUR(TRANSACTIONS!$A616),MINUTE(TRANSACTIONS!$A616),SECOND(TRANSACTIONS!$A616)),"")</f>
        <v/>
      </c>
      <c r="D616" s="42"/>
      <c r="E616" s="42"/>
      <c r="F616" s="43"/>
      <c r="G616" s="46" t="str">
        <f>IF(AND(A616&lt;&gt;"",F616&gt;1),IF(TRANSACTIONS!$E616=RAPPORTS!$F$9,0,IF(OR(TRANSACTIONS!$D616=RAPPORTS!$A$13,TRANSACTIONS!$D616=RAPPORTS!#REF!),VLOOKUP(TRANSACTIONS!$F616,FRAIS_D_ENVOI,3,TRUE),0)),"")</f>
        <v/>
      </c>
      <c r="H616" s="46" t="str">
        <f>IFERROR(TRANSACTIONS!$F616+TRANSACTIONS!$G616,"")</f>
        <v/>
      </c>
      <c r="I616" s="44"/>
      <c r="J616" s="40" t="str">
        <f t="shared" si="9"/>
        <v/>
      </c>
    </row>
    <row r="617" spans="1:10" hidden="1" x14ac:dyDescent="0.25">
      <c r="A617" s="41"/>
      <c r="B617" s="48" t="str">
        <f>IF(A617&lt;&gt;"",DATE(YEAR(TRANSACTIONS!$A617),MONTH(TRANSACTIONS!$A617),DAY(TRANSACTIONS!$A617)),"")</f>
        <v/>
      </c>
      <c r="C617" s="49" t="str">
        <f>IF(A617&lt;&gt;"",TIME(HOUR(TRANSACTIONS!$A617),MINUTE(TRANSACTIONS!$A617),SECOND(TRANSACTIONS!$A617)),"")</f>
        <v/>
      </c>
      <c r="D617" s="42"/>
      <c r="E617" s="42"/>
      <c r="F617" s="43"/>
      <c r="G617" s="46" t="str">
        <f>IF(AND(A617&lt;&gt;"",F617&gt;1),IF(TRANSACTIONS!$E617=RAPPORTS!$F$9,0,IF(OR(TRANSACTIONS!$D617=RAPPORTS!$A$13,TRANSACTIONS!$D617=RAPPORTS!#REF!),VLOOKUP(TRANSACTIONS!$F617,FRAIS_D_ENVOI,3,TRUE),0)),"")</f>
        <v/>
      </c>
      <c r="H617" s="46" t="str">
        <f>IFERROR(TRANSACTIONS!$F617+TRANSACTIONS!$G617,"")</f>
        <v/>
      </c>
      <c r="I617" s="44"/>
      <c r="J617" s="40" t="str">
        <f t="shared" si="9"/>
        <v/>
      </c>
    </row>
    <row r="618" spans="1:10" hidden="1" x14ac:dyDescent="0.25">
      <c r="A618" s="41"/>
      <c r="B618" s="48" t="str">
        <f>IF(A618&lt;&gt;"",DATE(YEAR(TRANSACTIONS!$A618),MONTH(TRANSACTIONS!$A618),DAY(TRANSACTIONS!$A618)),"")</f>
        <v/>
      </c>
      <c r="C618" s="49" t="str">
        <f>IF(A618&lt;&gt;"",TIME(HOUR(TRANSACTIONS!$A618),MINUTE(TRANSACTIONS!$A618),SECOND(TRANSACTIONS!$A618)),"")</f>
        <v/>
      </c>
      <c r="D618" s="42"/>
      <c r="E618" s="42"/>
      <c r="F618" s="43"/>
      <c r="G618" s="46" t="str">
        <f>IF(AND(A618&lt;&gt;"",F618&gt;1),IF(TRANSACTIONS!$E618=RAPPORTS!$F$9,0,IF(OR(TRANSACTIONS!$D618=RAPPORTS!$A$13,TRANSACTIONS!$D618=RAPPORTS!#REF!),VLOOKUP(TRANSACTIONS!$F618,FRAIS_D_ENVOI,3,TRUE),0)),"")</f>
        <v/>
      </c>
      <c r="H618" s="46" t="str">
        <f>IFERROR(TRANSACTIONS!$F618+TRANSACTIONS!$G618,"")</f>
        <v/>
      </c>
      <c r="I618" s="44"/>
      <c r="J618" s="40" t="str">
        <f t="shared" si="9"/>
        <v/>
      </c>
    </row>
    <row r="619" spans="1:10" hidden="1" x14ac:dyDescent="0.25">
      <c r="A619" s="41"/>
      <c r="B619" s="48" t="str">
        <f>IF(A619&lt;&gt;"",DATE(YEAR(TRANSACTIONS!$A619),MONTH(TRANSACTIONS!$A619),DAY(TRANSACTIONS!$A619)),"")</f>
        <v/>
      </c>
      <c r="C619" s="49" t="str">
        <f>IF(A619&lt;&gt;"",TIME(HOUR(TRANSACTIONS!$A619),MINUTE(TRANSACTIONS!$A619),SECOND(TRANSACTIONS!$A619)),"")</f>
        <v/>
      </c>
      <c r="D619" s="42"/>
      <c r="E619" s="42"/>
      <c r="F619" s="43"/>
      <c r="G619" s="46" t="str">
        <f>IF(AND(A619&lt;&gt;"",F619&gt;1),IF(TRANSACTIONS!$E619=RAPPORTS!$F$9,0,IF(OR(TRANSACTIONS!$D619=RAPPORTS!$A$13,TRANSACTIONS!$D619=RAPPORTS!#REF!),VLOOKUP(TRANSACTIONS!$F619,FRAIS_D_ENVOI,3,TRUE),0)),"")</f>
        <v/>
      </c>
      <c r="H619" s="46" t="str">
        <f>IFERROR(TRANSACTIONS!$F619+TRANSACTIONS!$G619,"")</f>
        <v/>
      </c>
      <c r="I619" s="44"/>
      <c r="J619" s="40" t="str">
        <f t="shared" si="9"/>
        <v/>
      </c>
    </row>
    <row r="620" spans="1:10" hidden="1" x14ac:dyDescent="0.25">
      <c r="A620" s="41"/>
      <c r="B620" s="48" t="str">
        <f>IF(A620&lt;&gt;"",DATE(YEAR(TRANSACTIONS!$A620),MONTH(TRANSACTIONS!$A620),DAY(TRANSACTIONS!$A620)),"")</f>
        <v/>
      </c>
      <c r="C620" s="49" t="str">
        <f>IF(A620&lt;&gt;"",TIME(HOUR(TRANSACTIONS!$A620),MINUTE(TRANSACTIONS!$A620),SECOND(TRANSACTIONS!$A620)),"")</f>
        <v/>
      </c>
      <c r="D620" s="42"/>
      <c r="E620" s="42"/>
      <c r="F620" s="43"/>
      <c r="G620" s="46" t="str">
        <f>IF(AND(A620&lt;&gt;"",F620&gt;1),IF(TRANSACTIONS!$E620=RAPPORTS!$F$9,0,IF(OR(TRANSACTIONS!$D620=RAPPORTS!$A$13,TRANSACTIONS!$D620=RAPPORTS!#REF!),VLOOKUP(TRANSACTIONS!$F620,FRAIS_D_ENVOI,3,TRUE),0)),"")</f>
        <v/>
      </c>
      <c r="H620" s="46" t="str">
        <f>IFERROR(TRANSACTIONS!$F620+TRANSACTIONS!$G620,"")</f>
        <v/>
      </c>
      <c r="I620" s="44"/>
      <c r="J620" s="40" t="str">
        <f t="shared" si="9"/>
        <v/>
      </c>
    </row>
    <row r="621" spans="1:10" hidden="1" x14ac:dyDescent="0.25">
      <c r="A621" s="41"/>
      <c r="B621" s="48" t="str">
        <f>IF(A621&lt;&gt;"",DATE(YEAR(TRANSACTIONS!$A621),MONTH(TRANSACTIONS!$A621),DAY(TRANSACTIONS!$A621)),"")</f>
        <v/>
      </c>
      <c r="C621" s="49" t="str">
        <f>IF(A621&lt;&gt;"",TIME(HOUR(TRANSACTIONS!$A621),MINUTE(TRANSACTIONS!$A621),SECOND(TRANSACTIONS!$A621)),"")</f>
        <v/>
      </c>
      <c r="D621" s="42"/>
      <c r="E621" s="42"/>
      <c r="F621" s="43"/>
      <c r="G621" s="46" t="str">
        <f>IF(AND(A621&lt;&gt;"",F621&gt;1),IF(TRANSACTIONS!$E621=RAPPORTS!$F$9,0,IF(OR(TRANSACTIONS!$D621=RAPPORTS!$A$13,TRANSACTIONS!$D621=RAPPORTS!#REF!),VLOOKUP(TRANSACTIONS!$F621,FRAIS_D_ENVOI,3,TRUE),0)),"")</f>
        <v/>
      </c>
      <c r="H621" s="46" t="str">
        <f>IFERROR(TRANSACTIONS!$F621+TRANSACTIONS!$G621,"")</f>
        <v/>
      </c>
      <c r="I621" s="44"/>
      <c r="J621" s="40" t="str">
        <f t="shared" si="9"/>
        <v/>
      </c>
    </row>
    <row r="622" spans="1:10" hidden="1" x14ac:dyDescent="0.25">
      <c r="A622" s="41"/>
      <c r="B622" s="48" t="str">
        <f>IF(A622&lt;&gt;"",DATE(YEAR(TRANSACTIONS!$A622),MONTH(TRANSACTIONS!$A622),DAY(TRANSACTIONS!$A622)),"")</f>
        <v/>
      </c>
      <c r="C622" s="49" t="str">
        <f>IF(A622&lt;&gt;"",TIME(HOUR(TRANSACTIONS!$A622),MINUTE(TRANSACTIONS!$A622),SECOND(TRANSACTIONS!$A622)),"")</f>
        <v/>
      </c>
      <c r="D622" s="42"/>
      <c r="E622" s="42"/>
      <c r="F622" s="43"/>
      <c r="G622" s="46" t="str">
        <f>IF(AND(A622&lt;&gt;"",F622&gt;1),IF(TRANSACTIONS!$E622=RAPPORTS!$F$9,0,IF(OR(TRANSACTIONS!$D622=RAPPORTS!$A$13,TRANSACTIONS!$D622=RAPPORTS!#REF!),VLOOKUP(TRANSACTIONS!$F622,FRAIS_D_ENVOI,3,TRUE),0)),"")</f>
        <v/>
      </c>
      <c r="H622" s="46" t="str">
        <f>IFERROR(TRANSACTIONS!$F622+TRANSACTIONS!$G622,"")</f>
        <v/>
      </c>
      <c r="I622" s="44"/>
      <c r="J622" s="40" t="str">
        <f t="shared" si="9"/>
        <v/>
      </c>
    </row>
    <row r="623" spans="1:10" hidden="1" x14ac:dyDescent="0.25">
      <c r="A623" s="41"/>
      <c r="B623" s="48" t="str">
        <f>IF(A623&lt;&gt;"",DATE(YEAR(TRANSACTIONS!$A623),MONTH(TRANSACTIONS!$A623),DAY(TRANSACTIONS!$A623)),"")</f>
        <v/>
      </c>
      <c r="C623" s="49" t="str">
        <f>IF(A623&lt;&gt;"",TIME(HOUR(TRANSACTIONS!$A623),MINUTE(TRANSACTIONS!$A623),SECOND(TRANSACTIONS!$A623)),"")</f>
        <v/>
      </c>
      <c r="D623" s="42"/>
      <c r="E623" s="42"/>
      <c r="F623" s="43"/>
      <c r="G623" s="46" t="str">
        <f>IF(AND(A623&lt;&gt;"",F623&gt;1),IF(TRANSACTIONS!$E623=RAPPORTS!$F$9,0,IF(OR(TRANSACTIONS!$D623=RAPPORTS!$A$13,TRANSACTIONS!$D623=RAPPORTS!#REF!),VLOOKUP(TRANSACTIONS!$F623,FRAIS_D_ENVOI,3,TRUE),0)),"")</f>
        <v/>
      </c>
      <c r="H623" s="46" t="str">
        <f>IFERROR(TRANSACTIONS!$F623+TRANSACTIONS!$G623,"")</f>
        <v/>
      </c>
      <c r="I623" s="44"/>
      <c r="J623" s="40" t="str">
        <f t="shared" si="9"/>
        <v/>
      </c>
    </row>
    <row r="624" spans="1:10" hidden="1" x14ac:dyDescent="0.25">
      <c r="A624" s="41"/>
      <c r="B624" s="48" t="str">
        <f>IF(A624&lt;&gt;"",DATE(YEAR(TRANSACTIONS!$A624),MONTH(TRANSACTIONS!$A624),DAY(TRANSACTIONS!$A624)),"")</f>
        <v/>
      </c>
      <c r="C624" s="49" t="str">
        <f>IF(A624&lt;&gt;"",TIME(HOUR(TRANSACTIONS!$A624),MINUTE(TRANSACTIONS!$A624),SECOND(TRANSACTIONS!$A624)),"")</f>
        <v/>
      </c>
      <c r="D624" s="42"/>
      <c r="E624" s="42"/>
      <c r="F624" s="43"/>
      <c r="G624" s="46" t="str">
        <f>IF(AND(A624&lt;&gt;"",F624&gt;1),IF(TRANSACTIONS!$E624=RAPPORTS!$F$9,0,IF(OR(TRANSACTIONS!$D624=RAPPORTS!$A$13,TRANSACTIONS!$D624=RAPPORTS!#REF!),VLOOKUP(TRANSACTIONS!$F624,FRAIS_D_ENVOI,3,TRUE),0)),"")</f>
        <v/>
      </c>
      <c r="H624" s="46" t="str">
        <f>IFERROR(TRANSACTIONS!$F624+TRANSACTIONS!$G624,"")</f>
        <v/>
      </c>
      <c r="I624" s="44"/>
      <c r="J624" s="40" t="str">
        <f t="shared" si="9"/>
        <v/>
      </c>
    </row>
    <row r="625" spans="1:10" hidden="1" x14ac:dyDescent="0.25">
      <c r="A625" s="41"/>
      <c r="B625" s="48" t="str">
        <f>IF(A625&lt;&gt;"",DATE(YEAR(TRANSACTIONS!$A625),MONTH(TRANSACTIONS!$A625),DAY(TRANSACTIONS!$A625)),"")</f>
        <v/>
      </c>
      <c r="C625" s="49" t="str">
        <f>IF(A625&lt;&gt;"",TIME(HOUR(TRANSACTIONS!$A625),MINUTE(TRANSACTIONS!$A625),SECOND(TRANSACTIONS!$A625)),"")</f>
        <v/>
      </c>
      <c r="D625" s="42"/>
      <c r="E625" s="42"/>
      <c r="F625" s="43"/>
      <c r="G625" s="46" t="str">
        <f>IF(AND(A625&lt;&gt;"",F625&gt;1),IF(TRANSACTIONS!$E625=RAPPORTS!$F$9,0,IF(OR(TRANSACTIONS!$D625=RAPPORTS!$A$13,TRANSACTIONS!$D625=RAPPORTS!#REF!),VLOOKUP(TRANSACTIONS!$F625,FRAIS_D_ENVOI,3,TRUE),0)),"")</f>
        <v/>
      </c>
      <c r="H625" s="46" t="str">
        <f>IFERROR(TRANSACTIONS!$F625+TRANSACTIONS!$G625,"")</f>
        <v/>
      </c>
      <c r="I625" s="44"/>
      <c r="J625" s="40" t="str">
        <f t="shared" si="9"/>
        <v/>
      </c>
    </row>
    <row r="626" spans="1:10" hidden="1" x14ac:dyDescent="0.25">
      <c r="A626" s="41"/>
      <c r="B626" s="48" t="str">
        <f>IF(A626&lt;&gt;"",DATE(YEAR(TRANSACTIONS!$A626),MONTH(TRANSACTIONS!$A626),DAY(TRANSACTIONS!$A626)),"")</f>
        <v/>
      </c>
      <c r="C626" s="49" t="str">
        <f>IF(A626&lt;&gt;"",TIME(HOUR(TRANSACTIONS!$A626),MINUTE(TRANSACTIONS!$A626),SECOND(TRANSACTIONS!$A626)),"")</f>
        <v/>
      </c>
      <c r="D626" s="42"/>
      <c r="E626" s="42"/>
      <c r="F626" s="43"/>
      <c r="G626" s="46" t="str">
        <f>IF(AND(A626&lt;&gt;"",F626&gt;1),IF(TRANSACTIONS!$E626=RAPPORTS!$F$9,0,IF(OR(TRANSACTIONS!$D626=RAPPORTS!$A$13,TRANSACTIONS!$D626=RAPPORTS!#REF!),VLOOKUP(TRANSACTIONS!$F626,FRAIS_D_ENVOI,3,TRUE),0)),"")</f>
        <v/>
      </c>
      <c r="H626" s="46" t="str">
        <f>IFERROR(TRANSACTIONS!$F626+TRANSACTIONS!$G626,"")</f>
        <v/>
      </c>
      <c r="I626" s="44"/>
      <c r="J626" s="40" t="str">
        <f t="shared" si="9"/>
        <v/>
      </c>
    </row>
    <row r="627" spans="1:10" hidden="1" x14ac:dyDescent="0.25">
      <c r="A627" s="41"/>
      <c r="B627" s="48" t="str">
        <f>IF(A627&lt;&gt;"",DATE(YEAR(TRANSACTIONS!$A627),MONTH(TRANSACTIONS!$A627),DAY(TRANSACTIONS!$A627)),"")</f>
        <v/>
      </c>
      <c r="C627" s="49" t="str">
        <f>IF(A627&lt;&gt;"",TIME(HOUR(TRANSACTIONS!$A627),MINUTE(TRANSACTIONS!$A627),SECOND(TRANSACTIONS!$A627)),"")</f>
        <v/>
      </c>
      <c r="D627" s="42"/>
      <c r="E627" s="42"/>
      <c r="F627" s="43"/>
      <c r="G627" s="46" t="str">
        <f>IF(AND(A627&lt;&gt;"",F627&gt;1),IF(TRANSACTIONS!$E627=RAPPORTS!$F$9,0,IF(OR(TRANSACTIONS!$D627=RAPPORTS!$A$13,TRANSACTIONS!$D627=RAPPORTS!#REF!),VLOOKUP(TRANSACTIONS!$F627,FRAIS_D_ENVOI,3,TRUE),0)),"")</f>
        <v/>
      </c>
      <c r="H627" s="46" t="str">
        <f>IFERROR(TRANSACTIONS!$F627+TRANSACTIONS!$G627,"")</f>
        <v/>
      </c>
      <c r="I627" s="44"/>
      <c r="J627" s="40" t="str">
        <f t="shared" si="9"/>
        <v/>
      </c>
    </row>
    <row r="628" spans="1:10" hidden="1" x14ac:dyDescent="0.25">
      <c r="A628" s="41"/>
      <c r="B628" s="48" t="str">
        <f>IF(A628&lt;&gt;"",DATE(YEAR(TRANSACTIONS!$A628),MONTH(TRANSACTIONS!$A628),DAY(TRANSACTIONS!$A628)),"")</f>
        <v/>
      </c>
      <c r="C628" s="49" t="str">
        <f>IF(A628&lt;&gt;"",TIME(HOUR(TRANSACTIONS!$A628),MINUTE(TRANSACTIONS!$A628),SECOND(TRANSACTIONS!$A628)),"")</f>
        <v/>
      </c>
      <c r="D628" s="42"/>
      <c r="E628" s="42"/>
      <c r="F628" s="43"/>
      <c r="G628" s="46" t="str">
        <f>IF(AND(A628&lt;&gt;"",F628&gt;1),IF(TRANSACTIONS!$E628=RAPPORTS!$F$9,0,IF(OR(TRANSACTIONS!$D628=RAPPORTS!$A$13,TRANSACTIONS!$D628=RAPPORTS!#REF!),VLOOKUP(TRANSACTIONS!$F628,FRAIS_D_ENVOI,3,TRUE),0)),"")</f>
        <v/>
      </c>
      <c r="H628" s="46" t="str">
        <f>IFERROR(TRANSACTIONS!$F628+TRANSACTIONS!$G628,"")</f>
        <v/>
      </c>
      <c r="I628" s="44"/>
      <c r="J628" s="40" t="str">
        <f t="shared" si="9"/>
        <v/>
      </c>
    </row>
    <row r="629" spans="1:10" hidden="1" x14ac:dyDescent="0.25">
      <c r="A629" s="41"/>
      <c r="B629" s="48" t="str">
        <f>IF(A629&lt;&gt;"",DATE(YEAR(TRANSACTIONS!$A629),MONTH(TRANSACTIONS!$A629),DAY(TRANSACTIONS!$A629)),"")</f>
        <v/>
      </c>
      <c r="C629" s="49" t="str">
        <f>IF(A629&lt;&gt;"",TIME(HOUR(TRANSACTIONS!$A629),MINUTE(TRANSACTIONS!$A629),SECOND(TRANSACTIONS!$A629)),"")</f>
        <v/>
      </c>
      <c r="D629" s="42"/>
      <c r="E629" s="42"/>
      <c r="F629" s="43"/>
      <c r="G629" s="46" t="str">
        <f>IF(AND(A629&lt;&gt;"",F629&gt;1),IF(TRANSACTIONS!$E629=RAPPORTS!$F$9,0,IF(OR(TRANSACTIONS!$D629=RAPPORTS!$A$13,TRANSACTIONS!$D629=RAPPORTS!#REF!),VLOOKUP(TRANSACTIONS!$F629,FRAIS_D_ENVOI,3,TRUE),0)),"")</f>
        <v/>
      </c>
      <c r="H629" s="46" t="str">
        <f>IFERROR(TRANSACTIONS!$F629+TRANSACTIONS!$G629,"")</f>
        <v/>
      </c>
      <c r="I629" s="44"/>
      <c r="J629" s="40" t="str">
        <f t="shared" si="9"/>
        <v/>
      </c>
    </row>
    <row r="630" spans="1:10" hidden="1" x14ac:dyDescent="0.25">
      <c r="A630" s="41"/>
      <c r="B630" s="48" t="str">
        <f>IF(A630&lt;&gt;"",DATE(YEAR(TRANSACTIONS!$A630),MONTH(TRANSACTIONS!$A630),DAY(TRANSACTIONS!$A630)),"")</f>
        <v/>
      </c>
      <c r="C630" s="49" t="str">
        <f>IF(A630&lt;&gt;"",TIME(HOUR(TRANSACTIONS!$A630),MINUTE(TRANSACTIONS!$A630),SECOND(TRANSACTIONS!$A630)),"")</f>
        <v/>
      </c>
      <c r="D630" s="42"/>
      <c r="E630" s="42"/>
      <c r="F630" s="43"/>
      <c r="G630" s="46" t="str">
        <f>IF(AND(A630&lt;&gt;"",F630&gt;1),IF(TRANSACTIONS!$E630=RAPPORTS!$F$9,0,IF(OR(TRANSACTIONS!$D630=RAPPORTS!$A$13,TRANSACTIONS!$D630=RAPPORTS!#REF!),VLOOKUP(TRANSACTIONS!$F630,FRAIS_D_ENVOI,3,TRUE),0)),"")</f>
        <v/>
      </c>
      <c r="H630" s="46" t="str">
        <f>IFERROR(TRANSACTIONS!$F630+TRANSACTIONS!$G630,"")</f>
        <v/>
      </c>
      <c r="I630" s="44"/>
      <c r="J630" s="40" t="str">
        <f t="shared" si="9"/>
        <v/>
      </c>
    </row>
    <row r="631" spans="1:10" hidden="1" x14ac:dyDescent="0.25">
      <c r="A631" s="41"/>
      <c r="B631" s="48" t="str">
        <f>IF(A631&lt;&gt;"",DATE(YEAR(TRANSACTIONS!$A631),MONTH(TRANSACTIONS!$A631),DAY(TRANSACTIONS!$A631)),"")</f>
        <v/>
      </c>
      <c r="C631" s="49" t="str">
        <f>IF(A631&lt;&gt;"",TIME(HOUR(TRANSACTIONS!$A631),MINUTE(TRANSACTIONS!$A631),SECOND(TRANSACTIONS!$A631)),"")</f>
        <v/>
      </c>
      <c r="D631" s="42"/>
      <c r="E631" s="42"/>
      <c r="F631" s="43"/>
      <c r="G631" s="46" t="str">
        <f>IF(AND(A631&lt;&gt;"",F631&gt;1),IF(TRANSACTIONS!$E631=RAPPORTS!$F$9,0,IF(OR(TRANSACTIONS!$D631=RAPPORTS!$A$13,TRANSACTIONS!$D631=RAPPORTS!#REF!),VLOOKUP(TRANSACTIONS!$F631,FRAIS_D_ENVOI,3,TRUE),0)),"")</f>
        <v/>
      </c>
      <c r="H631" s="46" t="str">
        <f>IFERROR(TRANSACTIONS!$F631+TRANSACTIONS!$G631,"")</f>
        <v/>
      </c>
      <c r="I631" s="44"/>
      <c r="J631" s="40" t="str">
        <f t="shared" si="9"/>
        <v/>
      </c>
    </row>
    <row r="632" spans="1:10" hidden="1" x14ac:dyDescent="0.25">
      <c r="A632" s="41"/>
      <c r="B632" s="48" t="str">
        <f>IF(A632&lt;&gt;"",DATE(YEAR(TRANSACTIONS!$A632),MONTH(TRANSACTIONS!$A632),DAY(TRANSACTIONS!$A632)),"")</f>
        <v/>
      </c>
      <c r="C632" s="49" t="str">
        <f>IF(A632&lt;&gt;"",TIME(HOUR(TRANSACTIONS!$A632),MINUTE(TRANSACTIONS!$A632),SECOND(TRANSACTIONS!$A632)),"")</f>
        <v/>
      </c>
      <c r="D632" s="42"/>
      <c r="E632" s="42"/>
      <c r="F632" s="43"/>
      <c r="G632" s="46" t="str">
        <f>IF(AND(A632&lt;&gt;"",F632&gt;1),IF(TRANSACTIONS!$E632=RAPPORTS!$F$9,0,IF(OR(TRANSACTIONS!$D632=RAPPORTS!$A$13,TRANSACTIONS!$D632=RAPPORTS!#REF!),VLOOKUP(TRANSACTIONS!$F632,FRAIS_D_ENVOI,3,TRUE),0)),"")</f>
        <v/>
      </c>
      <c r="H632" s="46" t="str">
        <f>IFERROR(TRANSACTIONS!$F632+TRANSACTIONS!$G632,"")</f>
        <v/>
      </c>
      <c r="I632" s="44"/>
      <c r="J632" s="40" t="str">
        <f t="shared" si="9"/>
        <v/>
      </c>
    </row>
    <row r="633" spans="1:10" hidden="1" x14ac:dyDescent="0.25">
      <c r="A633" s="41"/>
      <c r="B633" s="48" t="str">
        <f>IF(A633&lt;&gt;"",DATE(YEAR(TRANSACTIONS!$A633),MONTH(TRANSACTIONS!$A633),DAY(TRANSACTIONS!$A633)),"")</f>
        <v/>
      </c>
      <c r="C633" s="49" t="str">
        <f>IF(A633&lt;&gt;"",TIME(HOUR(TRANSACTIONS!$A633),MINUTE(TRANSACTIONS!$A633),SECOND(TRANSACTIONS!$A633)),"")</f>
        <v/>
      </c>
      <c r="D633" s="42"/>
      <c r="E633" s="42"/>
      <c r="F633" s="43"/>
      <c r="G633" s="46" t="str">
        <f>IF(AND(A633&lt;&gt;"",F633&gt;1),IF(TRANSACTIONS!$E633=RAPPORTS!$F$9,0,IF(OR(TRANSACTIONS!$D633=RAPPORTS!$A$13,TRANSACTIONS!$D633=RAPPORTS!#REF!),VLOOKUP(TRANSACTIONS!$F633,FRAIS_D_ENVOI,3,TRUE),0)),"")</f>
        <v/>
      </c>
      <c r="H633" s="46" t="str">
        <f>IFERROR(TRANSACTIONS!$F633+TRANSACTIONS!$G633,"")</f>
        <v/>
      </c>
      <c r="I633" s="44"/>
      <c r="J633" s="40" t="str">
        <f t="shared" si="9"/>
        <v/>
      </c>
    </row>
    <row r="634" spans="1:10" hidden="1" x14ac:dyDescent="0.25">
      <c r="A634" s="41"/>
      <c r="B634" s="48" t="str">
        <f>IF(A634&lt;&gt;"",DATE(YEAR(TRANSACTIONS!$A634),MONTH(TRANSACTIONS!$A634),DAY(TRANSACTIONS!$A634)),"")</f>
        <v/>
      </c>
      <c r="C634" s="49" t="str">
        <f>IF(A634&lt;&gt;"",TIME(HOUR(TRANSACTIONS!$A634),MINUTE(TRANSACTIONS!$A634),SECOND(TRANSACTIONS!$A634)),"")</f>
        <v/>
      </c>
      <c r="D634" s="42"/>
      <c r="E634" s="42"/>
      <c r="F634" s="43"/>
      <c r="G634" s="46" t="str">
        <f>IF(AND(A634&lt;&gt;"",F634&gt;1),IF(TRANSACTIONS!$E634=RAPPORTS!$F$9,0,IF(OR(TRANSACTIONS!$D634=RAPPORTS!$A$13,TRANSACTIONS!$D634=RAPPORTS!#REF!),VLOOKUP(TRANSACTIONS!$F634,FRAIS_D_ENVOI,3,TRUE),0)),"")</f>
        <v/>
      </c>
      <c r="H634" s="46" t="str">
        <f>IFERROR(TRANSACTIONS!$F634+TRANSACTIONS!$G634,"")</f>
        <v/>
      </c>
      <c r="I634" s="44"/>
      <c r="J634" s="40" t="str">
        <f t="shared" si="9"/>
        <v/>
      </c>
    </row>
    <row r="635" spans="1:10" hidden="1" x14ac:dyDescent="0.25">
      <c r="A635" s="41"/>
      <c r="B635" s="48" t="str">
        <f>IF(A635&lt;&gt;"",DATE(YEAR(TRANSACTIONS!$A635),MONTH(TRANSACTIONS!$A635),DAY(TRANSACTIONS!$A635)),"")</f>
        <v/>
      </c>
      <c r="C635" s="49" t="str">
        <f>IF(A635&lt;&gt;"",TIME(HOUR(TRANSACTIONS!$A635),MINUTE(TRANSACTIONS!$A635),SECOND(TRANSACTIONS!$A635)),"")</f>
        <v/>
      </c>
      <c r="D635" s="42"/>
      <c r="E635" s="42"/>
      <c r="F635" s="43"/>
      <c r="G635" s="46" t="str">
        <f>IF(AND(A635&lt;&gt;"",F635&gt;1),IF(TRANSACTIONS!$E635=RAPPORTS!$F$9,0,IF(OR(TRANSACTIONS!$D635=RAPPORTS!$A$13,TRANSACTIONS!$D635=RAPPORTS!#REF!),VLOOKUP(TRANSACTIONS!$F635,FRAIS_D_ENVOI,3,TRUE),0)),"")</f>
        <v/>
      </c>
      <c r="H635" s="46" t="str">
        <f>IFERROR(TRANSACTIONS!$F635+TRANSACTIONS!$G635,"")</f>
        <v/>
      </c>
      <c r="I635" s="44"/>
      <c r="J635" s="40" t="str">
        <f t="shared" si="9"/>
        <v/>
      </c>
    </row>
    <row r="636" spans="1:10" hidden="1" x14ac:dyDescent="0.25">
      <c r="A636" s="41"/>
      <c r="B636" s="48" t="str">
        <f>IF(A636&lt;&gt;"",DATE(YEAR(TRANSACTIONS!$A636),MONTH(TRANSACTIONS!$A636),DAY(TRANSACTIONS!$A636)),"")</f>
        <v/>
      </c>
      <c r="C636" s="49" t="str">
        <f>IF(A636&lt;&gt;"",TIME(HOUR(TRANSACTIONS!$A636),MINUTE(TRANSACTIONS!$A636),SECOND(TRANSACTIONS!$A636)),"")</f>
        <v/>
      </c>
      <c r="D636" s="42"/>
      <c r="E636" s="42"/>
      <c r="F636" s="43"/>
      <c r="G636" s="46" t="str">
        <f>IF(AND(A636&lt;&gt;"",F636&gt;1),IF(TRANSACTIONS!$E636=RAPPORTS!$F$9,0,IF(OR(TRANSACTIONS!$D636=RAPPORTS!$A$13,TRANSACTIONS!$D636=RAPPORTS!#REF!),VLOOKUP(TRANSACTIONS!$F636,FRAIS_D_ENVOI,3,TRUE),0)),"")</f>
        <v/>
      </c>
      <c r="H636" s="46" t="str">
        <f>IFERROR(TRANSACTIONS!$F636+TRANSACTIONS!$G636,"")</f>
        <v/>
      </c>
      <c r="I636" s="44"/>
      <c r="J636" s="40" t="str">
        <f t="shared" si="9"/>
        <v/>
      </c>
    </row>
    <row r="637" spans="1:10" hidden="1" x14ac:dyDescent="0.25">
      <c r="A637" s="41"/>
      <c r="B637" s="48" t="str">
        <f>IF(A637&lt;&gt;"",DATE(YEAR(TRANSACTIONS!$A637),MONTH(TRANSACTIONS!$A637),DAY(TRANSACTIONS!$A637)),"")</f>
        <v/>
      </c>
      <c r="C637" s="49" t="str">
        <f>IF(A637&lt;&gt;"",TIME(HOUR(TRANSACTIONS!$A637),MINUTE(TRANSACTIONS!$A637),SECOND(TRANSACTIONS!$A637)),"")</f>
        <v/>
      </c>
      <c r="D637" s="42"/>
      <c r="E637" s="42"/>
      <c r="F637" s="43"/>
      <c r="G637" s="46" t="str">
        <f>IF(AND(A637&lt;&gt;"",F637&gt;1),IF(TRANSACTIONS!$E637=RAPPORTS!$F$9,0,IF(OR(TRANSACTIONS!$D637=RAPPORTS!$A$13,TRANSACTIONS!$D637=RAPPORTS!#REF!),VLOOKUP(TRANSACTIONS!$F637,FRAIS_D_ENVOI,3,TRUE),0)),"")</f>
        <v/>
      </c>
      <c r="H637" s="46" t="str">
        <f>IFERROR(TRANSACTIONS!$F637+TRANSACTIONS!$G637,"")</f>
        <v/>
      </c>
      <c r="I637" s="44"/>
      <c r="J637" s="40" t="str">
        <f t="shared" si="9"/>
        <v/>
      </c>
    </row>
    <row r="638" spans="1:10" hidden="1" x14ac:dyDescent="0.25">
      <c r="A638" s="41"/>
      <c r="B638" s="48" t="str">
        <f>IF(A638&lt;&gt;"",DATE(YEAR(TRANSACTIONS!$A638),MONTH(TRANSACTIONS!$A638),DAY(TRANSACTIONS!$A638)),"")</f>
        <v/>
      </c>
      <c r="C638" s="49" t="str">
        <f>IF(A638&lt;&gt;"",TIME(HOUR(TRANSACTIONS!$A638),MINUTE(TRANSACTIONS!$A638),SECOND(TRANSACTIONS!$A638)),"")</f>
        <v/>
      </c>
      <c r="D638" s="42"/>
      <c r="E638" s="42"/>
      <c r="F638" s="43"/>
      <c r="G638" s="46" t="str">
        <f>IF(AND(A638&lt;&gt;"",F638&gt;1),IF(TRANSACTIONS!$E638=RAPPORTS!$F$9,0,IF(OR(TRANSACTIONS!$D638=RAPPORTS!$A$13,TRANSACTIONS!$D638=RAPPORTS!#REF!),VLOOKUP(TRANSACTIONS!$F638,FRAIS_D_ENVOI,3,TRUE),0)),"")</f>
        <v/>
      </c>
      <c r="H638" s="46" t="str">
        <f>IFERROR(TRANSACTIONS!$F638+TRANSACTIONS!$G638,"")</f>
        <v/>
      </c>
      <c r="I638" s="44"/>
      <c r="J638" s="40" t="str">
        <f t="shared" si="9"/>
        <v/>
      </c>
    </row>
    <row r="639" spans="1:10" hidden="1" x14ac:dyDescent="0.25">
      <c r="A639" s="41"/>
      <c r="B639" s="48" t="str">
        <f>IF(A639&lt;&gt;"",DATE(YEAR(TRANSACTIONS!$A639),MONTH(TRANSACTIONS!$A639),DAY(TRANSACTIONS!$A639)),"")</f>
        <v/>
      </c>
      <c r="C639" s="49" t="str">
        <f>IF(A639&lt;&gt;"",TIME(HOUR(TRANSACTIONS!$A639),MINUTE(TRANSACTIONS!$A639),SECOND(TRANSACTIONS!$A639)),"")</f>
        <v/>
      </c>
      <c r="D639" s="42"/>
      <c r="E639" s="42"/>
      <c r="F639" s="43"/>
      <c r="G639" s="46" t="str">
        <f>IF(AND(A639&lt;&gt;"",F639&gt;1),IF(TRANSACTIONS!$E639=RAPPORTS!$F$9,0,IF(OR(TRANSACTIONS!$D639=RAPPORTS!$A$13,TRANSACTIONS!$D639=RAPPORTS!#REF!),VLOOKUP(TRANSACTIONS!$F639,FRAIS_D_ENVOI,3,TRUE),0)),"")</f>
        <v/>
      </c>
      <c r="H639" s="46" t="str">
        <f>IFERROR(TRANSACTIONS!$F639+TRANSACTIONS!$G639,"")</f>
        <v/>
      </c>
      <c r="I639" s="44"/>
      <c r="J639" s="40" t="str">
        <f t="shared" si="9"/>
        <v/>
      </c>
    </row>
    <row r="640" spans="1:10" hidden="1" x14ac:dyDescent="0.25">
      <c r="A640" s="41"/>
      <c r="B640" s="48" t="str">
        <f>IF(A640&lt;&gt;"",DATE(YEAR(TRANSACTIONS!$A640),MONTH(TRANSACTIONS!$A640),DAY(TRANSACTIONS!$A640)),"")</f>
        <v/>
      </c>
      <c r="C640" s="49" t="str">
        <f>IF(A640&lt;&gt;"",TIME(HOUR(TRANSACTIONS!$A640),MINUTE(TRANSACTIONS!$A640),SECOND(TRANSACTIONS!$A640)),"")</f>
        <v/>
      </c>
      <c r="D640" s="42"/>
      <c r="E640" s="42"/>
      <c r="F640" s="43"/>
      <c r="G640" s="46" t="str">
        <f>IF(AND(A640&lt;&gt;"",F640&gt;1),IF(TRANSACTIONS!$E640=RAPPORTS!$F$9,0,IF(OR(TRANSACTIONS!$D640=RAPPORTS!$A$13,TRANSACTIONS!$D640=RAPPORTS!#REF!),VLOOKUP(TRANSACTIONS!$F640,FRAIS_D_ENVOI,3,TRUE),0)),"")</f>
        <v/>
      </c>
      <c r="H640" s="46" t="str">
        <f>IFERROR(TRANSACTIONS!$F640+TRANSACTIONS!$G640,"")</f>
        <v/>
      </c>
      <c r="I640" s="44"/>
      <c r="J640" s="40" t="str">
        <f t="shared" si="9"/>
        <v/>
      </c>
    </row>
    <row r="641" spans="1:10" hidden="1" x14ac:dyDescent="0.25">
      <c r="A641" s="41"/>
      <c r="B641" s="48" t="str">
        <f>IF(A641&lt;&gt;"",DATE(YEAR(TRANSACTIONS!$A641),MONTH(TRANSACTIONS!$A641),DAY(TRANSACTIONS!$A641)),"")</f>
        <v/>
      </c>
      <c r="C641" s="49" t="str">
        <f>IF(A641&lt;&gt;"",TIME(HOUR(TRANSACTIONS!$A641),MINUTE(TRANSACTIONS!$A641),SECOND(TRANSACTIONS!$A641)),"")</f>
        <v/>
      </c>
      <c r="D641" s="42"/>
      <c r="E641" s="42"/>
      <c r="F641" s="43"/>
      <c r="G641" s="46" t="str">
        <f>IF(AND(A641&lt;&gt;"",F641&gt;1),IF(TRANSACTIONS!$E641=RAPPORTS!$F$9,0,IF(OR(TRANSACTIONS!$D641=RAPPORTS!$A$13,TRANSACTIONS!$D641=RAPPORTS!#REF!),VLOOKUP(TRANSACTIONS!$F641,FRAIS_D_ENVOI,3,TRUE),0)),"")</f>
        <v/>
      </c>
      <c r="H641" s="46" t="str">
        <f>IFERROR(TRANSACTIONS!$F641+TRANSACTIONS!$G641,"")</f>
        <v/>
      </c>
      <c r="I641" s="44"/>
      <c r="J641" s="40" t="str">
        <f t="shared" si="9"/>
        <v/>
      </c>
    </row>
    <row r="642" spans="1:10" hidden="1" x14ac:dyDescent="0.25">
      <c r="A642" s="41"/>
      <c r="B642" s="48" t="str">
        <f>IF(A642&lt;&gt;"",DATE(YEAR(TRANSACTIONS!$A642),MONTH(TRANSACTIONS!$A642),DAY(TRANSACTIONS!$A642)),"")</f>
        <v/>
      </c>
      <c r="C642" s="49" t="str">
        <f>IF(A642&lt;&gt;"",TIME(HOUR(TRANSACTIONS!$A642),MINUTE(TRANSACTIONS!$A642),SECOND(TRANSACTIONS!$A642)),"")</f>
        <v/>
      </c>
      <c r="D642" s="42"/>
      <c r="E642" s="42"/>
      <c r="F642" s="43"/>
      <c r="G642" s="46" t="str">
        <f>IF(AND(A642&lt;&gt;"",F642&gt;1),IF(TRANSACTIONS!$E642=RAPPORTS!$F$9,0,IF(OR(TRANSACTIONS!$D642=RAPPORTS!$A$13,TRANSACTIONS!$D642=RAPPORTS!#REF!),VLOOKUP(TRANSACTIONS!$F642,FRAIS_D_ENVOI,3,TRUE),0)),"")</f>
        <v/>
      </c>
      <c r="H642" s="46" t="str">
        <f>IFERROR(TRANSACTIONS!$F642+TRANSACTIONS!$G642,"")</f>
        <v/>
      </c>
      <c r="I642" s="44"/>
      <c r="J642" s="40" t="str">
        <f t="shared" si="9"/>
        <v/>
      </c>
    </row>
    <row r="643" spans="1:10" hidden="1" x14ac:dyDescent="0.25">
      <c r="A643" s="41"/>
      <c r="B643" s="48" t="str">
        <f>IF(A643&lt;&gt;"",DATE(YEAR(TRANSACTIONS!$A643),MONTH(TRANSACTIONS!$A643),DAY(TRANSACTIONS!$A643)),"")</f>
        <v/>
      </c>
      <c r="C643" s="49" t="str">
        <f>IF(A643&lt;&gt;"",TIME(HOUR(TRANSACTIONS!$A643),MINUTE(TRANSACTIONS!$A643),SECOND(TRANSACTIONS!$A643)),"")</f>
        <v/>
      </c>
      <c r="D643" s="42"/>
      <c r="E643" s="42"/>
      <c r="F643" s="43"/>
      <c r="G643" s="46" t="str">
        <f>IF(AND(A643&lt;&gt;"",F643&gt;1),IF(TRANSACTIONS!$E643=RAPPORTS!$F$9,0,IF(OR(TRANSACTIONS!$D643=RAPPORTS!$A$13,TRANSACTIONS!$D643=RAPPORTS!#REF!),VLOOKUP(TRANSACTIONS!$F643,FRAIS_D_ENVOI,3,TRUE),0)),"")</f>
        <v/>
      </c>
      <c r="H643" s="46" t="str">
        <f>IFERROR(TRANSACTIONS!$F643+TRANSACTIONS!$G643,"")</f>
        <v/>
      </c>
      <c r="I643" s="44"/>
      <c r="J643" s="40" t="str">
        <f t="shared" si="9"/>
        <v/>
      </c>
    </row>
    <row r="644" spans="1:10" hidden="1" x14ac:dyDescent="0.25">
      <c r="A644" s="41"/>
      <c r="B644" s="48" t="str">
        <f>IF(A644&lt;&gt;"",DATE(YEAR(TRANSACTIONS!$A644),MONTH(TRANSACTIONS!$A644),DAY(TRANSACTIONS!$A644)),"")</f>
        <v/>
      </c>
      <c r="C644" s="49" t="str">
        <f>IF(A644&lt;&gt;"",TIME(HOUR(TRANSACTIONS!$A644),MINUTE(TRANSACTIONS!$A644),SECOND(TRANSACTIONS!$A644)),"")</f>
        <v/>
      </c>
      <c r="D644" s="42"/>
      <c r="E644" s="42"/>
      <c r="F644" s="43"/>
      <c r="G644" s="46" t="str">
        <f>IF(AND(A644&lt;&gt;"",F644&gt;1),IF(TRANSACTIONS!$E644=RAPPORTS!$F$9,0,IF(OR(TRANSACTIONS!$D644=RAPPORTS!$A$13,TRANSACTIONS!$D644=RAPPORTS!#REF!),VLOOKUP(TRANSACTIONS!$F644,FRAIS_D_ENVOI,3,TRUE),0)),"")</f>
        <v/>
      </c>
      <c r="H644" s="46" t="str">
        <f>IFERROR(TRANSACTIONS!$F644+TRANSACTIONS!$G644,"")</f>
        <v/>
      </c>
      <c r="I644" s="44"/>
      <c r="J644" s="40" t="str">
        <f t="shared" ref="J644:J707" si="10">IF(G644&lt;&gt;"",$J$1*G644,"")</f>
        <v/>
      </c>
    </row>
    <row r="645" spans="1:10" hidden="1" x14ac:dyDescent="0.25">
      <c r="A645" s="41"/>
      <c r="B645" s="48" t="str">
        <f>IF(A645&lt;&gt;"",DATE(YEAR(TRANSACTIONS!$A645),MONTH(TRANSACTIONS!$A645),DAY(TRANSACTIONS!$A645)),"")</f>
        <v/>
      </c>
      <c r="C645" s="49" t="str">
        <f>IF(A645&lt;&gt;"",TIME(HOUR(TRANSACTIONS!$A645),MINUTE(TRANSACTIONS!$A645),SECOND(TRANSACTIONS!$A645)),"")</f>
        <v/>
      </c>
      <c r="D645" s="42"/>
      <c r="E645" s="42"/>
      <c r="F645" s="43"/>
      <c r="G645" s="46" t="str">
        <f>IF(AND(A645&lt;&gt;"",F645&gt;1),IF(TRANSACTIONS!$E645=RAPPORTS!$F$9,0,IF(OR(TRANSACTIONS!$D645=RAPPORTS!$A$13,TRANSACTIONS!$D645=RAPPORTS!#REF!),VLOOKUP(TRANSACTIONS!$F645,FRAIS_D_ENVOI,3,TRUE),0)),"")</f>
        <v/>
      </c>
      <c r="H645" s="46" t="str">
        <f>IFERROR(TRANSACTIONS!$F645+TRANSACTIONS!$G645,"")</f>
        <v/>
      </c>
      <c r="I645" s="44"/>
      <c r="J645" s="40" t="str">
        <f t="shared" si="10"/>
        <v/>
      </c>
    </row>
    <row r="646" spans="1:10" hidden="1" x14ac:dyDescent="0.25">
      <c r="A646" s="41"/>
      <c r="B646" s="48" t="str">
        <f>IF(A646&lt;&gt;"",DATE(YEAR(TRANSACTIONS!$A646),MONTH(TRANSACTIONS!$A646),DAY(TRANSACTIONS!$A646)),"")</f>
        <v/>
      </c>
      <c r="C646" s="49" t="str">
        <f>IF(A646&lt;&gt;"",TIME(HOUR(TRANSACTIONS!$A646),MINUTE(TRANSACTIONS!$A646),SECOND(TRANSACTIONS!$A646)),"")</f>
        <v/>
      </c>
      <c r="D646" s="42"/>
      <c r="E646" s="42"/>
      <c r="F646" s="43"/>
      <c r="G646" s="46" t="str">
        <f>IF(AND(A646&lt;&gt;"",F646&gt;1),IF(TRANSACTIONS!$E646=RAPPORTS!$F$9,0,IF(OR(TRANSACTIONS!$D646=RAPPORTS!$A$13,TRANSACTIONS!$D646=RAPPORTS!#REF!),VLOOKUP(TRANSACTIONS!$F646,FRAIS_D_ENVOI,3,TRUE),0)),"")</f>
        <v/>
      </c>
      <c r="H646" s="46" t="str">
        <f>IFERROR(TRANSACTIONS!$F646+TRANSACTIONS!$G646,"")</f>
        <v/>
      </c>
      <c r="I646" s="44"/>
      <c r="J646" s="40" t="str">
        <f t="shared" si="10"/>
        <v/>
      </c>
    </row>
    <row r="647" spans="1:10" hidden="1" x14ac:dyDescent="0.25">
      <c r="A647" s="41"/>
      <c r="B647" s="48" t="str">
        <f>IF(A647&lt;&gt;"",DATE(YEAR(TRANSACTIONS!$A647),MONTH(TRANSACTIONS!$A647),DAY(TRANSACTIONS!$A647)),"")</f>
        <v/>
      </c>
      <c r="C647" s="49" t="str">
        <f>IF(A647&lt;&gt;"",TIME(HOUR(TRANSACTIONS!$A647),MINUTE(TRANSACTIONS!$A647),SECOND(TRANSACTIONS!$A647)),"")</f>
        <v/>
      </c>
      <c r="D647" s="42"/>
      <c r="E647" s="42"/>
      <c r="F647" s="43"/>
      <c r="G647" s="46" t="str">
        <f>IF(AND(A647&lt;&gt;"",F647&gt;1),IF(TRANSACTIONS!$E647=RAPPORTS!$F$9,0,IF(OR(TRANSACTIONS!$D647=RAPPORTS!$A$13,TRANSACTIONS!$D647=RAPPORTS!#REF!),VLOOKUP(TRANSACTIONS!$F647,FRAIS_D_ENVOI,3,TRUE),0)),"")</f>
        <v/>
      </c>
      <c r="H647" s="46" t="str">
        <f>IFERROR(TRANSACTIONS!$F647+TRANSACTIONS!$G647,"")</f>
        <v/>
      </c>
      <c r="I647" s="44"/>
      <c r="J647" s="40" t="str">
        <f t="shared" si="10"/>
        <v/>
      </c>
    </row>
    <row r="648" spans="1:10" hidden="1" x14ac:dyDescent="0.25">
      <c r="A648" s="41"/>
      <c r="B648" s="48" t="str">
        <f>IF(A648&lt;&gt;"",DATE(YEAR(TRANSACTIONS!$A648),MONTH(TRANSACTIONS!$A648),DAY(TRANSACTIONS!$A648)),"")</f>
        <v/>
      </c>
      <c r="C648" s="49" t="str">
        <f>IF(A648&lt;&gt;"",TIME(HOUR(TRANSACTIONS!$A648),MINUTE(TRANSACTIONS!$A648),SECOND(TRANSACTIONS!$A648)),"")</f>
        <v/>
      </c>
      <c r="D648" s="42"/>
      <c r="E648" s="42"/>
      <c r="F648" s="43"/>
      <c r="G648" s="46" t="str">
        <f>IF(AND(A648&lt;&gt;"",F648&gt;1),IF(TRANSACTIONS!$E648=RAPPORTS!$F$9,0,IF(OR(TRANSACTIONS!$D648=RAPPORTS!$A$13,TRANSACTIONS!$D648=RAPPORTS!#REF!),VLOOKUP(TRANSACTIONS!$F648,FRAIS_D_ENVOI,3,TRUE),0)),"")</f>
        <v/>
      </c>
      <c r="H648" s="46" t="str">
        <f>IFERROR(TRANSACTIONS!$F648+TRANSACTIONS!$G648,"")</f>
        <v/>
      </c>
      <c r="I648" s="44"/>
      <c r="J648" s="40" t="str">
        <f t="shared" si="10"/>
        <v/>
      </c>
    </row>
    <row r="649" spans="1:10" hidden="1" x14ac:dyDescent="0.25">
      <c r="A649" s="41"/>
      <c r="B649" s="48" t="str">
        <f>IF(A649&lt;&gt;"",DATE(YEAR(TRANSACTIONS!$A649),MONTH(TRANSACTIONS!$A649),DAY(TRANSACTIONS!$A649)),"")</f>
        <v/>
      </c>
      <c r="C649" s="49" t="str">
        <f>IF(A649&lt;&gt;"",TIME(HOUR(TRANSACTIONS!$A649),MINUTE(TRANSACTIONS!$A649),SECOND(TRANSACTIONS!$A649)),"")</f>
        <v/>
      </c>
      <c r="D649" s="42"/>
      <c r="E649" s="42"/>
      <c r="F649" s="43"/>
      <c r="G649" s="46" t="str">
        <f>IF(AND(A649&lt;&gt;"",F649&gt;1),IF(TRANSACTIONS!$E649=RAPPORTS!$F$9,0,IF(OR(TRANSACTIONS!$D649=RAPPORTS!$A$13,TRANSACTIONS!$D649=RAPPORTS!#REF!),VLOOKUP(TRANSACTIONS!$F649,FRAIS_D_ENVOI,3,TRUE),0)),"")</f>
        <v/>
      </c>
      <c r="H649" s="46" t="str">
        <f>IFERROR(TRANSACTIONS!$F649+TRANSACTIONS!$G649,"")</f>
        <v/>
      </c>
      <c r="I649" s="44"/>
      <c r="J649" s="40" t="str">
        <f t="shared" si="10"/>
        <v/>
      </c>
    </row>
    <row r="650" spans="1:10" hidden="1" x14ac:dyDescent="0.25">
      <c r="A650" s="41"/>
      <c r="B650" s="48" t="str">
        <f>IF(A650&lt;&gt;"",DATE(YEAR(TRANSACTIONS!$A650),MONTH(TRANSACTIONS!$A650),DAY(TRANSACTIONS!$A650)),"")</f>
        <v/>
      </c>
      <c r="C650" s="49" t="str">
        <f>IF(A650&lt;&gt;"",TIME(HOUR(TRANSACTIONS!$A650),MINUTE(TRANSACTIONS!$A650),SECOND(TRANSACTIONS!$A650)),"")</f>
        <v/>
      </c>
      <c r="D650" s="42"/>
      <c r="E650" s="42"/>
      <c r="F650" s="43"/>
      <c r="G650" s="46" t="str">
        <f>IF(AND(A650&lt;&gt;"",F650&gt;1),IF(TRANSACTIONS!$E650=RAPPORTS!$F$9,0,IF(OR(TRANSACTIONS!$D650=RAPPORTS!$A$13,TRANSACTIONS!$D650=RAPPORTS!#REF!),VLOOKUP(TRANSACTIONS!$F650,FRAIS_D_ENVOI,3,TRUE),0)),"")</f>
        <v/>
      </c>
      <c r="H650" s="46" t="str">
        <f>IFERROR(TRANSACTIONS!$F650+TRANSACTIONS!$G650,"")</f>
        <v/>
      </c>
      <c r="I650" s="44"/>
      <c r="J650" s="40" t="str">
        <f t="shared" si="10"/>
        <v/>
      </c>
    </row>
    <row r="651" spans="1:10" hidden="1" x14ac:dyDescent="0.25">
      <c r="A651" s="41"/>
      <c r="B651" s="48" t="str">
        <f>IF(A651&lt;&gt;"",DATE(YEAR(TRANSACTIONS!$A651),MONTH(TRANSACTIONS!$A651),DAY(TRANSACTIONS!$A651)),"")</f>
        <v/>
      </c>
      <c r="C651" s="49" t="str">
        <f>IF(A651&lt;&gt;"",TIME(HOUR(TRANSACTIONS!$A651),MINUTE(TRANSACTIONS!$A651),SECOND(TRANSACTIONS!$A651)),"")</f>
        <v/>
      </c>
      <c r="D651" s="42"/>
      <c r="E651" s="42"/>
      <c r="F651" s="43"/>
      <c r="G651" s="46" t="str">
        <f>IF(AND(A651&lt;&gt;"",F651&gt;1),IF(TRANSACTIONS!$E651=RAPPORTS!$F$9,0,IF(OR(TRANSACTIONS!$D651=RAPPORTS!$A$13,TRANSACTIONS!$D651=RAPPORTS!#REF!),VLOOKUP(TRANSACTIONS!$F651,FRAIS_D_ENVOI,3,TRUE),0)),"")</f>
        <v/>
      </c>
      <c r="H651" s="46" t="str">
        <f>IFERROR(TRANSACTIONS!$F651+TRANSACTIONS!$G651,"")</f>
        <v/>
      </c>
      <c r="I651" s="44"/>
      <c r="J651" s="40" t="str">
        <f t="shared" si="10"/>
        <v/>
      </c>
    </row>
    <row r="652" spans="1:10" hidden="1" x14ac:dyDescent="0.25">
      <c r="A652" s="41"/>
      <c r="B652" s="48" t="str">
        <f>IF(A652&lt;&gt;"",DATE(YEAR(TRANSACTIONS!$A652),MONTH(TRANSACTIONS!$A652),DAY(TRANSACTIONS!$A652)),"")</f>
        <v/>
      </c>
      <c r="C652" s="49" t="str">
        <f>IF(A652&lt;&gt;"",TIME(HOUR(TRANSACTIONS!$A652),MINUTE(TRANSACTIONS!$A652),SECOND(TRANSACTIONS!$A652)),"")</f>
        <v/>
      </c>
      <c r="D652" s="42"/>
      <c r="E652" s="42"/>
      <c r="F652" s="43"/>
      <c r="G652" s="46" t="str">
        <f>IF(AND(A652&lt;&gt;"",F652&gt;1),IF(TRANSACTIONS!$E652=RAPPORTS!$F$9,0,IF(OR(TRANSACTIONS!$D652=RAPPORTS!$A$13,TRANSACTIONS!$D652=RAPPORTS!#REF!),VLOOKUP(TRANSACTIONS!$F652,FRAIS_D_ENVOI,3,TRUE),0)),"")</f>
        <v/>
      </c>
      <c r="H652" s="46" t="str">
        <f>IFERROR(TRANSACTIONS!$F652+TRANSACTIONS!$G652,"")</f>
        <v/>
      </c>
      <c r="I652" s="44"/>
      <c r="J652" s="40" t="str">
        <f t="shared" si="10"/>
        <v/>
      </c>
    </row>
    <row r="653" spans="1:10" hidden="1" x14ac:dyDescent="0.25">
      <c r="A653" s="41"/>
      <c r="B653" s="48" t="str">
        <f>IF(A653&lt;&gt;"",DATE(YEAR(TRANSACTIONS!$A653),MONTH(TRANSACTIONS!$A653),DAY(TRANSACTIONS!$A653)),"")</f>
        <v/>
      </c>
      <c r="C653" s="49" t="str">
        <f>IF(A653&lt;&gt;"",TIME(HOUR(TRANSACTIONS!$A653),MINUTE(TRANSACTIONS!$A653),SECOND(TRANSACTIONS!$A653)),"")</f>
        <v/>
      </c>
      <c r="D653" s="42"/>
      <c r="E653" s="42"/>
      <c r="F653" s="43"/>
      <c r="G653" s="46" t="str">
        <f>IF(AND(A653&lt;&gt;"",F653&gt;1),IF(TRANSACTIONS!$E653=RAPPORTS!$F$9,0,IF(OR(TRANSACTIONS!$D653=RAPPORTS!$A$13,TRANSACTIONS!$D653=RAPPORTS!#REF!),VLOOKUP(TRANSACTIONS!$F653,FRAIS_D_ENVOI,3,TRUE),0)),"")</f>
        <v/>
      </c>
      <c r="H653" s="46" t="str">
        <f>IFERROR(TRANSACTIONS!$F653+TRANSACTIONS!$G653,"")</f>
        <v/>
      </c>
      <c r="I653" s="44"/>
      <c r="J653" s="40" t="str">
        <f t="shared" si="10"/>
        <v/>
      </c>
    </row>
    <row r="654" spans="1:10" hidden="1" x14ac:dyDescent="0.25">
      <c r="A654" s="41"/>
      <c r="B654" s="48" t="str">
        <f>IF(A654&lt;&gt;"",DATE(YEAR(TRANSACTIONS!$A654),MONTH(TRANSACTIONS!$A654),DAY(TRANSACTIONS!$A654)),"")</f>
        <v/>
      </c>
      <c r="C654" s="49" t="str">
        <f>IF(A654&lt;&gt;"",TIME(HOUR(TRANSACTIONS!$A654),MINUTE(TRANSACTIONS!$A654),SECOND(TRANSACTIONS!$A654)),"")</f>
        <v/>
      </c>
      <c r="D654" s="42"/>
      <c r="E654" s="42"/>
      <c r="F654" s="43"/>
      <c r="G654" s="46" t="str">
        <f>IF(AND(A654&lt;&gt;"",F654&gt;1),IF(TRANSACTIONS!$E654=RAPPORTS!$F$9,0,IF(OR(TRANSACTIONS!$D654=RAPPORTS!$A$13,TRANSACTIONS!$D654=RAPPORTS!#REF!),VLOOKUP(TRANSACTIONS!$F654,FRAIS_D_ENVOI,3,TRUE),0)),"")</f>
        <v/>
      </c>
      <c r="H654" s="46" t="str">
        <f>IFERROR(TRANSACTIONS!$F654+TRANSACTIONS!$G654,"")</f>
        <v/>
      </c>
      <c r="I654" s="44"/>
      <c r="J654" s="40" t="str">
        <f t="shared" si="10"/>
        <v/>
      </c>
    </row>
    <row r="655" spans="1:10" hidden="1" x14ac:dyDescent="0.25">
      <c r="A655" s="41"/>
      <c r="B655" s="48" t="str">
        <f>IF(A655&lt;&gt;"",DATE(YEAR(TRANSACTIONS!$A655),MONTH(TRANSACTIONS!$A655),DAY(TRANSACTIONS!$A655)),"")</f>
        <v/>
      </c>
      <c r="C655" s="49" t="str">
        <f>IF(A655&lt;&gt;"",TIME(HOUR(TRANSACTIONS!$A655),MINUTE(TRANSACTIONS!$A655),SECOND(TRANSACTIONS!$A655)),"")</f>
        <v/>
      </c>
      <c r="D655" s="42"/>
      <c r="E655" s="42"/>
      <c r="F655" s="43"/>
      <c r="G655" s="46" t="str">
        <f>IF(AND(A655&lt;&gt;"",F655&gt;1),IF(TRANSACTIONS!$E655=RAPPORTS!$F$9,0,IF(OR(TRANSACTIONS!$D655=RAPPORTS!$A$13,TRANSACTIONS!$D655=RAPPORTS!#REF!),VLOOKUP(TRANSACTIONS!$F655,FRAIS_D_ENVOI,3,TRUE),0)),"")</f>
        <v/>
      </c>
      <c r="H655" s="46" t="str">
        <f>IFERROR(TRANSACTIONS!$F655+TRANSACTIONS!$G655,"")</f>
        <v/>
      </c>
      <c r="I655" s="44"/>
      <c r="J655" s="40" t="str">
        <f t="shared" si="10"/>
        <v/>
      </c>
    </row>
    <row r="656" spans="1:10" hidden="1" x14ac:dyDescent="0.25">
      <c r="A656" s="41"/>
      <c r="B656" s="48" t="str">
        <f>IF(A656&lt;&gt;"",DATE(YEAR(TRANSACTIONS!$A656),MONTH(TRANSACTIONS!$A656),DAY(TRANSACTIONS!$A656)),"")</f>
        <v/>
      </c>
      <c r="C656" s="49" t="str">
        <f>IF(A656&lt;&gt;"",TIME(HOUR(TRANSACTIONS!$A656),MINUTE(TRANSACTIONS!$A656),SECOND(TRANSACTIONS!$A656)),"")</f>
        <v/>
      </c>
      <c r="D656" s="42"/>
      <c r="E656" s="42"/>
      <c r="F656" s="43"/>
      <c r="G656" s="46" t="str">
        <f>IF(AND(A656&lt;&gt;"",F656&gt;1),IF(TRANSACTIONS!$E656=RAPPORTS!$F$9,0,IF(OR(TRANSACTIONS!$D656=RAPPORTS!$A$13,TRANSACTIONS!$D656=RAPPORTS!#REF!),VLOOKUP(TRANSACTIONS!$F656,FRAIS_D_ENVOI,3,TRUE),0)),"")</f>
        <v/>
      </c>
      <c r="H656" s="46" t="str">
        <f>IFERROR(TRANSACTIONS!$F656+TRANSACTIONS!$G656,"")</f>
        <v/>
      </c>
      <c r="I656" s="44"/>
      <c r="J656" s="40" t="str">
        <f t="shared" si="10"/>
        <v/>
      </c>
    </row>
    <row r="657" spans="1:10" hidden="1" x14ac:dyDescent="0.25">
      <c r="A657" s="41"/>
      <c r="B657" s="48" t="str">
        <f>IF(A657&lt;&gt;"",DATE(YEAR(TRANSACTIONS!$A657),MONTH(TRANSACTIONS!$A657),DAY(TRANSACTIONS!$A657)),"")</f>
        <v/>
      </c>
      <c r="C657" s="49" t="str">
        <f>IF(A657&lt;&gt;"",TIME(HOUR(TRANSACTIONS!$A657),MINUTE(TRANSACTIONS!$A657),SECOND(TRANSACTIONS!$A657)),"")</f>
        <v/>
      </c>
      <c r="D657" s="42"/>
      <c r="E657" s="42"/>
      <c r="F657" s="43"/>
      <c r="G657" s="46" t="str">
        <f>IF(AND(A657&lt;&gt;"",F657&gt;1),IF(TRANSACTIONS!$E657=RAPPORTS!$F$9,0,IF(OR(TRANSACTIONS!$D657=RAPPORTS!$A$13,TRANSACTIONS!$D657=RAPPORTS!#REF!),VLOOKUP(TRANSACTIONS!$F657,FRAIS_D_ENVOI,3,TRUE),0)),"")</f>
        <v/>
      </c>
      <c r="H657" s="46" t="str">
        <f>IFERROR(TRANSACTIONS!$F657+TRANSACTIONS!$G657,"")</f>
        <v/>
      </c>
      <c r="I657" s="44"/>
      <c r="J657" s="40" t="str">
        <f t="shared" si="10"/>
        <v/>
      </c>
    </row>
    <row r="658" spans="1:10" hidden="1" x14ac:dyDescent="0.25">
      <c r="A658" s="41"/>
      <c r="B658" s="48" t="str">
        <f>IF(A658&lt;&gt;"",DATE(YEAR(TRANSACTIONS!$A658),MONTH(TRANSACTIONS!$A658),DAY(TRANSACTIONS!$A658)),"")</f>
        <v/>
      </c>
      <c r="C658" s="49" t="str">
        <f>IF(A658&lt;&gt;"",TIME(HOUR(TRANSACTIONS!$A658),MINUTE(TRANSACTIONS!$A658),SECOND(TRANSACTIONS!$A658)),"")</f>
        <v/>
      </c>
      <c r="D658" s="42"/>
      <c r="E658" s="42"/>
      <c r="F658" s="43"/>
      <c r="G658" s="46" t="str">
        <f>IF(AND(A658&lt;&gt;"",F658&gt;1),IF(TRANSACTIONS!$E658=RAPPORTS!$F$9,0,IF(OR(TRANSACTIONS!$D658=RAPPORTS!$A$13,TRANSACTIONS!$D658=RAPPORTS!#REF!),VLOOKUP(TRANSACTIONS!$F658,FRAIS_D_ENVOI,3,TRUE),0)),"")</f>
        <v/>
      </c>
      <c r="H658" s="46" t="str">
        <f>IFERROR(TRANSACTIONS!$F658+TRANSACTIONS!$G658,"")</f>
        <v/>
      </c>
      <c r="I658" s="44"/>
      <c r="J658" s="40" t="str">
        <f t="shared" si="10"/>
        <v/>
      </c>
    </row>
    <row r="659" spans="1:10" hidden="1" x14ac:dyDescent="0.25">
      <c r="A659" s="41"/>
      <c r="B659" s="48" t="str">
        <f>IF(A659&lt;&gt;"",DATE(YEAR(TRANSACTIONS!$A659),MONTH(TRANSACTIONS!$A659),DAY(TRANSACTIONS!$A659)),"")</f>
        <v/>
      </c>
      <c r="C659" s="49" t="str">
        <f>IF(A659&lt;&gt;"",TIME(HOUR(TRANSACTIONS!$A659),MINUTE(TRANSACTIONS!$A659),SECOND(TRANSACTIONS!$A659)),"")</f>
        <v/>
      </c>
      <c r="D659" s="42"/>
      <c r="E659" s="42"/>
      <c r="F659" s="43"/>
      <c r="G659" s="46" t="str">
        <f>IF(AND(A659&lt;&gt;"",F659&gt;1),IF(TRANSACTIONS!$E659=RAPPORTS!$F$9,0,IF(OR(TRANSACTIONS!$D659=RAPPORTS!$A$13,TRANSACTIONS!$D659=RAPPORTS!#REF!),VLOOKUP(TRANSACTIONS!$F659,FRAIS_D_ENVOI,3,TRUE),0)),"")</f>
        <v/>
      </c>
      <c r="H659" s="46" t="str">
        <f>IFERROR(TRANSACTIONS!$F659+TRANSACTIONS!$G659,"")</f>
        <v/>
      </c>
      <c r="I659" s="44"/>
      <c r="J659" s="40" t="str">
        <f t="shared" si="10"/>
        <v/>
      </c>
    </row>
    <row r="660" spans="1:10" hidden="1" x14ac:dyDescent="0.25">
      <c r="A660" s="41"/>
      <c r="B660" s="48" t="str">
        <f>IF(A660&lt;&gt;"",DATE(YEAR(TRANSACTIONS!$A660),MONTH(TRANSACTIONS!$A660),DAY(TRANSACTIONS!$A660)),"")</f>
        <v/>
      </c>
      <c r="C660" s="49" t="str">
        <f>IF(A660&lt;&gt;"",TIME(HOUR(TRANSACTIONS!$A660),MINUTE(TRANSACTIONS!$A660),SECOND(TRANSACTIONS!$A660)),"")</f>
        <v/>
      </c>
      <c r="D660" s="42"/>
      <c r="E660" s="42"/>
      <c r="F660" s="43"/>
      <c r="G660" s="46" t="str">
        <f>IF(AND(A660&lt;&gt;"",F660&gt;1),IF(TRANSACTIONS!$E660=RAPPORTS!$F$9,0,IF(OR(TRANSACTIONS!$D660=RAPPORTS!$A$13,TRANSACTIONS!$D660=RAPPORTS!#REF!),VLOOKUP(TRANSACTIONS!$F660,FRAIS_D_ENVOI,3,TRUE),0)),"")</f>
        <v/>
      </c>
      <c r="H660" s="46" t="str">
        <f>IFERROR(TRANSACTIONS!$F660+TRANSACTIONS!$G660,"")</f>
        <v/>
      </c>
      <c r="I660" s="44"/>
      <c r="J660" s="40" t="str">
        <f t="shared" si="10"/>
        <v/>
      </c>
    </row>
    <row r="661" spans="1:10" hidden="1" x14ac:dyDescent="0.25">
      <c r="A661" s="41"/>
      <c r="B661" s="48" t="str">
        <f>IF(A661&lt;&gt;"",DATE(YEAR(TRANSACTIONS!$A661),MONTH(TRANSACTIONS!$A661),DAY(TRANSACTIONS!$A661)),"")</f>
        <v/>
      </c>
      <c r="C661" s="49" t="str">
        <f>IF(A661&lt;&gt;"",TIME(HOUR(TRANSACTIONS!$A661),MINUTE(TRANSACTIONS!$A661),SECOND(TRANSACTIONS!$A661)),"")</f>
        <v/>
      </c>
      <c r="D661" s="42"/>
      <c r="E661" s="42"/>
      <c r="F661" s="43"/>
      <c r="G661" s="46" t="str">
        <f>IF(AND(A661&lt;&gt;"",F661&gt;1),IF(TRANSACTIONS!$E661=RAPPORTS!$F$9,0,IF(OR(TRANSACTIONS!$D661=RAPPORTS!$A$13,TRANSACTIONS!$D661=RAPPORTS!#REF!),VLOOKUP(TRANSACTIONS!$F661,FRAIS_D_ENVOI,3,TRUE),0)),"")</f>
        <v/>
      </c>
      <c r="H661" s="46" t="str">
        <f>IFERROR(TRANSACTIONS!$F661+TRANSACTIONS!$G661,"")</f>
        <v/>
      </c>
      <c r="I661" s="44"/>
      <c r="J661" s="40" t="str">
        <f t="shared" si="10"/>
        <v/>
      </c>
    </row>
    <row r="662" spans="1:10" hidden="1" x14ac:dyDescent="0.25">
      <c r="A662" s="41"/>
      <c r="B662" s="48" t="str">
        <f>IF(A662&lt;&gt;"",DATE(YEAR(TRANSACTIONS!$A662),MONTH(TRANSACTIONS!$A662),DAY(TRANSACTIONS!$A662)),"")</f>
        <v/>
      </c>
      <c r="C662" s="49" t="str">
        <f>IF(A662&lt;&gt;"",TIME(HOUR(TRANSACTIONS!$A662),MINUTE(TRANSACTIONS!$A662),SECOND(TRANSACTIONS!$A662)),"")</f>
        <v/>
      </c>
      <c r="D662" s="42"/>
      <c r="E662" s="42"/>
      <c r="F662" s="43"/>
      <c r="G662" s="46" t="str">
        <f>IF(AND(A662&lt;&gt;"",F662&gt;1),IF(TRANSACTIONS!$E662=RAPPORTS!$F$9,0,IF(OR(TRANSACTIONS!$D662=RAPPORTS!$A$13,TRANSACTIONS!$D662=RAPPORTS!#REF!),VLOOKUP(TRANSACTIONS!$F662,FRAIS_D_ENVOI,3,TRUE),0)),"")</f>
        <v/>
      </c>
      <c r="H662" s="46" t="str">
        <f>IFERROR(TRANSACTIONS!$F662+TRANSACTIONS!$G662,"")</f>
        <v/>
      </c>
      <c r="I662" s="44"/>
      <c r="J662" s="40" t="str">
        <f t="shared" si="10"/>
        <v/>
      </c>
    </row>
    <row r="663" spans="1:10" hidden="1" x14ac:dyDescent="0.25">
      <c r="A663" s="41"/>
      <c r="B663" s="48" t="str">
        <f>IF(A663&lt;&gt;"",DATE(YEAR(TRANSACTIONS!$A663),MONTH(TRANSACTIONS!$A663),DAY(TRANSACTIONS!$A663)),"")</f>
        <v/>
      </c>
      <c r="C663" s="49" t="str">
        <f>IF(A663&lt;&gt;"",TIME(HOUR(TRANSACTIONS!$A663),MINUTE(TRANSACTIONS!$A663),SECOND(TRANSACTIONS!$A663)),"")</f>
        <v/>
      </c>
      <c r="D663" s="42"/>
      <c r="E663" s="42"/>
      <c r="F663" s="43"/>
      <c r="G663" s="46" t="str">
        <f>IF(AND(A663&lt;&gt;"",F663&gt;1),IF(TRANSACTIONS!$E663=RAPPORTS!$F$9,0,IF(OR(TRANSACTIONS!$D663=RAPPORTS!$A$13,TRANSACTIONS!$D663=RAPPORTS!#REF!),VLOOKUP(TRANSACTIONS!$F663,FRAIS_D_ENVOI,3,TRUE),0)),"")</f>
        <v/>
      </c>
      <c r="H663" s="46" t="str">
        <f>IFERROR(TRANSACTIONS!$F663+TRANSACTIONS!$G663,"")</f>
        <v/>
      </c>
      <c r="I663" s="44"/>
      <c r="J663" s="40" t="str">
        <f t="shared" si="10"/>
        <v/>
      </c>
    </row>
    <row r="664" spans="1:10" hidden="1" x14ac:dyDescent="0.25">
      <c r="A664" s="41"/>
      <c r="B664" s="48" t="str">
        <f>IF(A664&lt;&gt;"",DATE(YEAR(TRANSACTIONS!$A664),MONTH(TRANSACTIONS!$A664),DAY(TRANSACTIONS!$A664)),"")</f>
        <v/>
      </c>
      <c r="C664" s="49" t="str">
        <f>IF(A664&lt;&gt;"",TIME(HOUR(TRANSACTIONS!$A664),MINUTE(TRANSACTIONS!$A664),SECOND(TRANSACTIONS!$A664)),"")</f>
        <v/>
      </c>
      <c r="D664" s="42"/>
      <c r="E664" s="42"/>
      <c r="F664" s="43"/>
      <c r="G664" s="46" t="str">
        <f>IF(AND(A664&lt;&gt;"",F664&gt;1),IF(TRANSACTIONS!$E664=RAPPORTS!$F$9,0,IF(OR(TRANSACTIONS!$D664=RAPPORTS!$A$13,TRANSACTIONS!$D664=RAPPORTS!#REF!),VLOOKUP(TRANSACTIONS!$F664,FRAIS_D_ENVOI,3,TRUE),0)),"")</f>
        <v/>
      </c>
      <c r="H664" s="46" t="str">
        <f>IFERROR(TRANSACTIONS!$F664+TRANSACTIONS!$G664,"")</f>
        <v/>
      </c>
      <c r="I664" s="44"/>
      <c r="J664" s="40" t="str">
        <f t="shared" si="10"/>
        <v/>
      </c>
    </row>
    <row r="665" spans="1:10" hidden="1" x14ac:dyDescent="0.25">
      <c r="A665" s="41"/>
      <c r="B665" s="48" t="str">
        <f>IF(A665&lt;&gt;"",DATE(YEAR(TRANSACTIONS!$A665),MONTH(TRANSACTIONS!$A665),DAY(TRANSACTIONS!$A665)),"")</f>
        <v/>
      </c>
      <c r="C665" s="49" t="str">
        <f>IF(A665&lt;&gt;"",TIME(HOUR(TRANSACTIONS!$A665),MINUTE(TRANSACTIONS!$A665),SECOND(TRANSACTIONS!$A665)),"")</f>
        <v/>
      </c>
      <c r="D665" s="42"/>
      <c r="E665" s="42"/>
      <c r="F665" s="43"/>
      <c r="G665" s="46" t="str">
        <f>IF(AND(A665&lt;&gt;"",F665&gt;1),IF(TRANSACTIONS!$E665=RAPPORTS!$F$9,0,IF(OR(TRANSACTIONS!$D665=RAPPORTS!$A$13,TRANSACTIONS!$D665=RAPPORTS!#REF!),VLOOKUP(TRANSACTIONS!$F665,FRAIS_D_ENVOI,3,TRUE),0)),"")</f>
        <v/>
      </c>
      <c r="H665" s="46" t="str">
        <f>IFERROR(TRANSACTIONS!$F665+TRANSACTIONS!$G665,"")</f>
        <v/>
      </c>
      <c r="I665" s="44"/>
      <c r="J665" s="40" t="str">
        <f t="shared" si="10"/>
        <v/>
      </c>
    </row>
    <row r="666" spans="1:10" hidden="1" x14ac:dyDescent="0.25">
      <c r="A666" s="41"/>
      <c r="B666" s="48" t="str">
        <f>IF(A666&lt;&gt;"",DATE(YEAR(TRANSACTIONS!$A666),MONTH(TRANSACTIONS!$A666),DAY(TRANSACTIONS!$A666)),"")</f>
        <v/>
      </c>
      <c r="C666" s="49" t="str">
        <f>IF(A666&lt;&gt;"",TIME(HOUR(TRANSACTIONS!$A666),MINUTE(TRANSACTIONS!$A666),SECOND(TRANSACTIONS!$A666)),"")</f>
        <v/>
      </c>
      <c r="D666" s="42"/>
      <c r="E666" s="42"/>
      <c r="F666" s="43"/>
      <c r="G666" s="46" t="str">
        <f>IF(AND(A666&lt;&gt;"",F666&gt;1),IF(TRANSACTIONS!$E666=RAPPORTS!$F$9,0,IF(OR(TRANSACTIONS!$D666=RAPPORTS!$A$13,TRANSACTIONS!$D666=RAPPORTS!#REF!),VLOOKUP(TRANSACTIONS!$F666,FRAIS_D_ENVOI,3,TRUE),0)),"")</f>
        <v/>
      </c>
      <c r="H666" s="46" t="str">
        <f>IFERROR(TRANSACTIONS!$F666+TRANSACTIONS!$G666,"")</f>
        <v/>
      </c>
      <c r="I666" s="44"/>
      <c r="J666" s="40" t="str">
        <f t="shared" si="10"/>
        <v/>
      </c>
    </row>
    <row r="667" spans="1:10" hidden="1" x14ac:dyDescent="0.25">
      <c r="A667" s="41"/>
      <c r="B667" s="48" t="str">
        <f>IF(A667&lt;&gt;"",DATE(YEAR(TRANSACTIONS!$A667),MONTH(TRANSACTIONS!$A667),DAY(TRANSACTIONS!$A667)),"")</f>
        <v/>
      </c>
      <c r="C667" s="49" t="str">
        <f>IF(A667&lt;&gt;"",TIME(HOUR(TRANSACTIONS!$A667),MINUTE(TRANSACTIONS!$A667),SECOND(TRANSACTIONS!$A667)),"")</f>
        <v/>
      </c>
      <c r="D667" s="42"/>
      <c r="E667" s="42"/>
      <c r="F667" s="43"/>
      <c r="G667" s="46" t="str">
        <f>IF(AND(A667&lt;&gt;"",F667&gt;1),IF(TRANSACTIONS!$E667=RAPPORTS!$F$9,0,IF(OR(TRANSACTIONS!$D667=RAPPORTS!$A$13,TRANSACTIONS!$D667=RAPPORTS!#REF!),VLOOKUP(TRANSACTIONS!$F667,FRAIS_D_ENVOI,3,TRUE),0)),"")</f>
        <v/>
      </c>
      <c r="H667" s="46" t="str">
        <f>IFERROR(TRANSACTIONS!$F667+TRANSACTIONS!$G667,"")</f>
        <v/>
      </c>
      <c r="I667" s="44"/>
      <c r="J667" s="40" t="str">
        <f t="shared" si="10"/>
        <v/>
      </c>
    </row>
    <row r="668" spans="1:10" hidden="1" x14ac:dyDescent="0.25">
      <c r="A668" s="41"/>
      <c r="B668" s="48" t="str">
        <f>IF(A668&lt;&gt;"",DATE(YEAR(TRANSACTIONS!$A668),MONTH(TRANSACTIONS!$A668),DAY(TRANSACTIONS!$A668)),"")</f>
        <v/>
      </c>
      <c r="C668" s="49" t="str">
        <f>IF(A668&lt;&gt;"",TIME(HOUR(TRANSACTIONS!$A668),MINUTE(TRANSACTIONS!$A668),SECOND(TRANSACTIONS!$A668)),"")</f>
        <v/>
      </c>
      <c r="D668" s="42"/>
      <c r="E668" s="42"/>
      <c r="F668" s="43"/>
      <c r="G668" s="46" t="str">
        <f>IF(AND(A668&lt;&gt;"",F668&gt;1),IF(TRANSACTIONS!$E668=RAPPORTS!$F$9,0,IF(OR(TRANSACTIONS!$D668=RAPPORTS!$A$13,TRANSACTIONS!$D668=RAPPORTS!#REF!),VLOOKUP(TRANSACTIONS!$F668,FRAIS_D_ENVOI,3,TRUE),0)),"")</f>
        <v/>
      </c>
      <c r="H668" s="46" t="str">
        <f>IFERROR(TRANSACTIONS!$F668+TRANSACTIONS!$G668,"")</f>
        <v/>
      </c>
      <c r="I668" s="44"/>
      <c r="J668" s="40" t="str">
        <f t="shared" si="10"/>
        <v/>
      </c>
    </row>
    <row r="669" spans="1:10" hidden="1" x14ac:dyDescent="0.25">
      <c r="A669" s="41"/>
      <c r="B669" s="48" t="str">
        <f>IF(A669&lt;&gt;"",DATE(YEAR(TRANSACTIONS!$A669),MONTH(TRANSACTIONS!$A669),DAY(TRANSACTIONS!$A669)),"")</f>
        <v/>
      </c>
      <c r="C669" s="49" t="str">
        <f>IF(A669&lt;&gt;"",TIME(HOUR(TRANSACTIONS!$A669),MINUTE(TRANSACTIONS!$A669),SECOND(TRANSACTIONS!$A669)),"")</f>
        <v/>
      </c>
      <c r="D669" s="42"/>
      <c r="E669" s="42"/>
      <c r="F669" s="43"/>
      <c r="G669" s="46" t="str">
        <f>IF(AND(A669&lt;&gt;"",F669&gt;1),IF(TRANSACTIONS!$E669=RAPPORTS!$F$9,0,IF(OR(TRANSACTIONS!$D669=RAPPORTS!$A$13,TRANSACTIONS!$D669=RAPPORTS!#REF!),VLOOKUP(TRANSACTIONS!$F669,FRAIS_D_ENVOI,3,TRUE),0)),"")</f>
        <v/>
      </c>
      <c r="H669" s="46" t="str">
        <f>IFERROR(TRANSACTIONS!$F669+TRANSACTIONS!$G669,"")</f>
        <v/>
      </c>
      <c r="I669" s="44"/>
      <c r="J669" s="40" t="str">
        <f t="shared" si="10"/>
        <v/>
      </c>
    </row>
    <row r="670" spans="1:10" hidden="1" x14ac:dyDescent="0.25">
      <c r="A670" s="41"/>
      <c r="B670" s="48" t="str">
        <f>IF(A670&lt;&gt;"",DATE(YEAR(TRANSACTIONS!$A670),MONTH(TRANSACTIONS!$A670),DAY(TRANSACTIONS!$A670)),"")</f>
        <v/>
      </c>
      <c r="C670" s="49" t="str">
        <f>IF(A670&lt;&gt;"",TIME(HOUR(TRANSACTIONS!$A670),MINUTE(TRANSACTIONS!$A670),SECOND(TRANSACTIONS!$A670)),"")</f>
        <v/>
      </c>
      <c r="D670" s="42"/>
      <c r="E670" s="42"/>
      <c r="F670" s="43"/>
      <c r="G670" s="46" t="str">
        <f>IF(AND(A670&lt;&gt;"",F670&gt;1),IF(TRANSACTIONS!$E670=RAPPORTS!$F$9,0,IF(OR(TRANSACTIONS!$D670=RAPPORTS!$A$13,TRANSACTIONS!$D670=RAPPORTS!#REF!),VLOOKUP(TRANSACTIONS!$F670,FRAIS_D_ENVOI,3,TRUE),0)),"")</f>
        <v/>
      </c>
      <c r="H670" s="46" t="str">
        <f>IFERROR(TRANSACTIONS!$F670+TRANSACTIONS!$G670,"")</f>
        <v/>
      </c>
      <c r="I670" s="44"/>
      <c r="J670" s="40" t="str">
        <f t="shared" si="10"/>
        <v/>
      </c>
    </row>
    <row r="671" spans="1:10" hidden="1" x14ac:dyDescent="0.25">
      <c r="A671" s="41"/>
      <c r="B671" s="48" t="str">
        <f>IF(A671&lt;&gt;"",DATE(YEAR(TRANSACTIONS!$A671),MONTH(TRANSACTIONS!$A671),DAY(TRANSACTIONS!$A671)),"")</f>
        <v/>
      </c>
      <c r="C671" s="49" t="str">
        <f>IF(A671&lt;&gt;"",TIME(HOUR(TRANSACTIONS!$A671),MINUTE(TRANSACTIONS!$A671),SECOND(TRANSACTIONS!$A671)),"")</f>
        <v/>
      </c>
      <c r="D671" s="42"/>
      <c r="E671" s="42"/>
      <c r="F671" s="43"/>
      <c r="G671" s="46" t="str">
        <f>IF(AND(A671&lt;&gt;"",F671&gt;1),IF(TRANSACTIONS!$E671=RAPPORTS!$F$9,0,IF(OR(TRANSACTIONS!$D671=RAPPORTS!$A$13,TRANSACTIONS!$D671=RAPPORTS!#REF!),VLOOKUP(TRANSACTIONS!$F671,FRAIS_D_ENVOI,3,TRUE),0)),"")</f>
        <v/>
      </c>
      <c r="H671" s="46" t="str">
        <f>IFERROR(TRANSACTIONS!$F671+TRANSACTIONS!$G671,"")</f>
        <v/>
      </c>
      <c r="I671" s="44"/>
      <c r="J671" s="40" t="str">
        <f t="shared" si="10"/>
        <v/>
      </c>
    </row>
    <row r="672" spans="1:10" hidden="1" x14ac:dyDescent="0.25">
      <c r="A672" s="41"/>
      <c r="B672" s="48" t="str">
        <f>IF(A672&lt;&gt;"",DATE(YEAR(TRANSACTIONS!$A672),MONTH(TRANSACTIONS!$A672),DAY(TRANSACTIONS!$A672)),"")</f>
        <v/>
      </c>
      <c r="C672" s="49" t="str">
        <f>IF(A672&lt;&gt;"",TIME(HOUR(TRANSACTIONS!$A672),MINUTE(TRANSACTIONS!$A672),SECOND(TRANSACTIONS!$A672)),"")</f>
        <v/>
      </c>
      <c r="D672" s="42"/>
      <c r="E672" s="42"/>
      <c r="F672" s="43"/>
      <c r="G672" s="46" t="str">
        <f>IF(AND(A672&lt;&gt;"",F672&gt;1),IF(TRANSACTIONS!$E672=RAPPORTS!$F$9,0,IF(OR(TRANSACTIONS!$D672=RAPPORTS!$A$13,TRANSACTIONS!$D672=RAPPORTS!#REF!),VLOOKUP(TRANSACTIONS!$F672,FRAIS_D_ENVOI,3,TRUE),0)),"")</f>
        <v/>
      </c>
      <c r="H672" s="46" t="str">
        <f>IFERROR(TRANSACTIONS!$F672+TRANSACTIONS!$G672,"")</f>
        <v/>
      </c>
      <c r="I672" s="44"/>
      <c r="J672" s="40" t="str">
        <f t="shared" si="10"/>
        <v/>
      </c>
    </row>
    <row r="673" spans="1:10" hidden="1" x14ac:dyDescent="0.25">
      <c r="A673" s="41"/>
      <c r="B673" s="48" t="str">
        <f>IF(A673&lt;&gt;"",DATE(YEAR(TRANSACTIONS!$A673),MONTH(TRANSACTIONS!$A673),DAY(TRANSACTIONS!$A673)),"")</f>
        <v/>
      </c>
      <c r="C673" s="49" t="str">
        <f>IF(A673&lt;&gt;"",TIME(HOUR(TRANSACTIONS!$A673),MINUTE(TRANSACTIONS!$A673),SECOND(TRANSACTIONS!$A673)),"")</f>
        <v/>
      </c>
      <c r="D673" s="42"/>
      <c r="E673" s="42"/>
      <c r="F673" s="43"/>
      <c r="G673" s="46" t="str">
        <f>IF(AND(A673&lt;&gt;"",F673&gt;1),IF(TRANSACTIONS!$E673=RAPPORTS!$F$9,0,IF(OR(TRANSACTIONS!$D673=RAPPORTS!$A$13,TRANSACTIONS!$D673=RAPPORTS!#REF!),VLOOKUP(TRANSACTIONS!$F673,FRAIS_D_ENVOI,3,TRUE),0)),"")</f>
        <v/>
      </c>
      <c r="H673" s="46" t="str">
        <f>IFERROR(TRANSACTIONS!$F673+TRANSACTIONS!$G673,"")</f>
        <v/>
      </c>
      <c r="I673" s="44"/>
      <c r="J673" s="40" t="str">
        <f t="shared" si="10"/>
        <v/>
      </c>
    </row>
    <row r="674" spans="1:10" hidden="1" x14ac:dyDescent="0.25">
      <c r="A674" s="41"/>
      <c r="B674" s="48" t="str">
        <f>IF(A674&lt;&gt;"",DATE(YEAR(TRANSACTIONS!$A674),MONTH(TRANSACTIONS!$A674),DAY(TRANSACTIONS!$A674)),"")</f>
        <v/>
      </c>
      <c r="C674" s="49" t="str">
        <f>IF(A674&lt;&gt;"",TIME(HOUR(TRANSACTIONS!$A674),MINUTE(TRANSACTIONS!$A674),SECOND(TRANSACTIONS!$A674)),"")</f>
        <v/>
      </c>
      <c r="D674" s="42"/>
      <c r="E674" s="42"/>
      <c r="F674" s="43"/>
      <c r="G674" s="46" t="str">
        <f>IF(AND(A674&lt;&gt;"",F674&gt;1),IF(TRANSACTIONS!$E674=RAPPORTS!$F$9,0,IF(OR(TRANSACTIONS!$D674=RAPPORTS!$A$13,TRANSACTIONS!$D674=RAPPORTS!#REF!),VLOOKUP(TRANSACTIONS!$F674,FRAIS_D_ENVOI,3,TRUE),0)),"")</f>
        <v/>
      </c>
      <c r="H674" s="46" t="str">
        <f>IFERROR(TRANSACTIONS!$F674+TRANSACTIONS!$G674,"")</f>
        <v/>
      </c>
      <c r="I674" s="44"/>
      <c r="J674" s="40" t="str">
        <f t="shared" si="10"/>
        <v/>
      </c>
    </row>
    <row r="675" spans="1:10" hidden="1" x14ac:dyDescent="0.25">
      <c r="A675" s="41"/>
      <c r="B675" s="48" t="str">
        <f>IF(A675&lt;&gt;"",DATE(YEAR(TRANSACTIONS!$A675),MONTH(TRANSACTIONS!$A675),DAY(TRANSACTIONS!$A675)),"")</f>
        <v/>
      </c>
      <c r="C675" s="49" t="str">
        <f>IF(A675&lt;&gt;"",TIME(HOUR(TRANSACTIONS!$A675),MINUTE(TRANSACTIONS!$A675),SECOND(TRANSACTIONS!$A675)),"")</f>
        <v/>
      </c>
      <c r="D675" s="42"/>
      <c r="E675" s="42"/>
      <c r="F675" s="43"/>
      <c r="G675" s="46" t="str">
        <f>IF(AND(A675&lt;&gt;"",F675&gt;1),IF(TRANSACTIONS!$E675=RAPPORTS!$F$9,0,IF(OR(TRANSACTIONS!$D675=RAPPORTS!$A$13,TRANSACTIONS!$D675=RAPPORTS!#REF!),VLOOKUP(TRANSACTIONS!$F675,FRAIS_D_ENVOI,3,TRUE),0)),"")</f>
        <v/>
      </c>
      <c r="H675" s="46" t="str">
        <f>IFERROR(TRANSACTIONS!$F675+TRANSACTIONS!$G675,"")</f>
        <v/>
      </c>
      <c r="I675" s="44"/>
      <c r="J675" s="40" t="str">
        <f t="shared" si="10"/>
        <v/>
      </c>
    </row>
    <row r="676" spans="1:10" hidden="1" x14ac:dyDescent="0.25">
      <c r="A676" s="41"/>
      <c r="B676" s="48" t="str">
        <f>IF(A676&lt;&gt;"",DATE(YEAR(TRANSACTIONS!$A676),MONTH(TRANSACTIONS!$A676),DAY(TRANSACTIONS!$A676)),"")</f>
        <v/>
      </c>
      <c r="C676" s="49" t="str">
        <f>IF(A676&lt;&gt;"",TIME(HOUR(TRANSACTIONS!$A676),MINUTE(TRANSACTIONS!$A676),SECOND(TRANSACTIONS!$A676)),"")</f>
        <v/>
      </c>
      <c r="D676" s="42"/>
      <c r="E676" s="42"/>
      <c r="F676" s="43"/>
      <c r="G676" s="46" t="str">
        <f>IF(AND(A676&lt;&gt;"",F676&gt;1),IF(TRANSACTIONS!$E676=RAPPORTS!$F$9,0,IF(OR(TRANSACTIONS!$D676=RAPPORTS!$A$13,TRANSACTIONS!$D676=RAPPORTS!#REF!),VLOOKUP(TRANSACTIONS!$F676,FRAIS_D_ENVOI,3,TRUE),0)),"")</f>
        <v/>
      </c>
      <c r="H676" s="46" t="str">
        <f>IFERROR(TRANSACTIONS!$F676+TRANSACTIONS!$G676,"")</f>
        <v/>
      </c>
      <c r="I676" s="44"/>
      <c r="J676" s="40" t="str">
        <f t="shared" si="10"/>
        <v/>
      </c>
    </row>
    <row r="677" spans="1:10" hidden="1" x14ac:dyDescent="0.25">
      <c r="A677" s="41"/>
      <c r="B677" s="48" t="str">
        <f>IF(A677&lt;&gt;"",DATE(YEAR(TRANSACTIONS!$A677),MONTH(TRANSACTIONS!$A677),DAY(TRANSACTIONS!$A677)),"")</f>
        <v/>
      </c>
      <c r="C677" s="49" t="str">
        <f>IF(A677&lt;&gt;"",TIME(HOUR(TRANSACTIONS!$A677),MINUTE(TRANSACTIONS!$A677),SECOND(TRANSACTIONS!$A677)),"")</f>
        <v/>
      </c>
      <c r="D677" s="42"/>
      <c r="E677" s="42"/>
      <c r="F677" s="43"/>
      <c r="G677" s="46" t="str">
        <f>IF(AND(A677&lt;&gt;"",F677&gt;1),IF(TRANSACTIONS!$E677=RAPPORTS!$F$9,0,IF(OR(TRANSACTIONS!$D677=RAPPORTS!$A$13,TRANSACTIONS!$D677=RAPPORTS!#REF!),VLOOKUP(TRANSACTIONS!$F677,FRAIS_D_ENVOI,3,TRUE),0)),"")</f>
        <v/>
      </c>
      <c r="H677" s="46" t="str">
        <f>IFERROR(TRANSACTIONS!$F677+TRANSACTIONS!$G677,"")</f>
        <v/>
      </c>
      <c r="I677" s="44"/>
      <c r="J677" s="40" t="str">
        <f t="shared" si="10"/>
        <v/>
      </c>
    </row>
    <row r="678" spans="1:10" hidden="1" x14ac:dyDescent="0.25">
      <c r="A678" s="41"/>
      <c r="B678" s="48" t="str">
        <f>IF(A678&lt;&gt;"",DATE(YEAR(TRANSACTIONS!$A678),MONTH(TRANSACTIONS!$A678),DAY(TRANSACTIONS!$A678)),"")</f>
        <v/>
      </c>
      <c r="C678" s="49" t="str">
        <f>IF(A678&lt;&gt;"",TIME(HOUR(TRANSACTIONS!$A678),MINUTE(TRANSACTIONS!$A678),SECOND(TRANSACTIONS!$A678)),"")</f>
        <v/>
      </c>
      <c r="D678" s="42"/>
      <c r="E678" s="42"/>
      <c r="F678" s="43"/>
      <c r="G678" s="46" t="str">
        <f>IF(AND(A678&lt;&gt;"",F678&gt;1),IF(TRANSACTIONS!$E678=RAPPORTS!$F$9,0,IF(OR(TRANSACTIONS!$D678=RAPPORTS!$A$13,TRANSACTIONS!$D678=RAPPORTS!#REF!),VLOOKUP(TRANSACTIONS!$F678,FRAIS_D_ENVOI,3,TRUE),0)),"")</f>
        <v/>
      </c>
      <c r="H678" s="46" t="str">
        <f>IFERROR(TRANSACTIONS!$F678+TRANSACTIONS!$G678,"")</f>
        <v/>
      </c>
      <c r="I678" s="44"/>
      <c r="J678" s="40" t="str">
        <f t="shared" si="10"/>
        <v/>
      </c>
    </row>
    <row r="679" spans="1:10" hidden="1" x14ac:dyDescent="0.25">
      <c r="A679" s="41"/>
      <c r="B679" s="48" t="str">
        <f>IF(A679&lt;&gt;"",DATE(YEAR(TRANSACTIONS!$A679),MONTH(TRANSACTIONS!$A679),DAY(TRANSACTIONS!$A679)),"")</f>
        <v/>
      </c>
      <c r="C679" s="49" t="str">
        <f>IF(A679&lt;&gt;"",TIME(HOUR(TRANSACTIONS!$A679),MINUTE(TRANSACTIONS!$A679),SECOND(TRANSACTIONS!$A679)),"")</f>
        <v/>
      </c>
      <c r="D679" s="42"/>
      <c r="E679" s="42"/>
      <c r="F679" s="43"/>
      <c r="G679" s="46" t="str">
        <f>IF(AND(A679&lt;&gt;"",F679&gt;1),IF(TRANSACTIONS!$E679=RAPPORTS!$F$9,0,IF(OR(TRANSACTIONS!$D679=RAPPORTS!$A$13,TRANSACTIONS!$D679=RAPPORTS!#REF!),VLOOKUP(TRANSACTIONS!$F679,FRAIS_D_ENVOI,3,TRUE),0)),"")</f>
        <v/>
      </c>
      <c r="H679" s="46" t="str">
        <f>IFERROR(TRANSACTIONS!$F679+TRANSACTIONS!$G679,"")</f>
        <v/>
      </c>
      <c r="I679" s="44"/>
      <c r="J679" s="40" t="str">
        <f t="shared" si="10"/>
        <v/>
      </c>
    </row>
    <row r="680" spans="1:10" hidden="1" x14ac:dyDescent="0.25">
      <c r="A680" s="41"/>
      <c r="B680" s="48" t="str">
        <f>IF(A680&lt;&gt;"",DATE(YEAR(TRANSACTIONS!$A680),MONTH(TRANSACTIONS!$A680),DAY(TRANSACTIONS!$A680)),"")</f>
        <v/>
      </c>
      <c r="C680" s="49" t="str">
        <f>IF(A680&lt;&gt;"",TIME(HOUR(TRANSACTIONS!$A680),MINUTE(TRANSACTIONS!$A680),SECOND(TRANSACTIONS!$A680)),"")</f>
        <v/>
      </c>
      <c r="D680" s="42"/>
      <c r="E680" s="42"/>
      <c r="F680" s="43"/>
      <c r="G680" s="46" t="str">
        <f>IF(AND(A680&lt;&gt;"",F680&gt;1),IF(TRANSACTIONS!$E680=RAPPORTS!$F$9,0,IF(OR(TRANSACTIONS!$D680=RAPPORTS!$A$13,TRANSACTIONS!$D680=RAPPORTS!#REF!),VLOOKUP(TRANSACTIONS!$F680,FRAIS_D_ENVOI,3,TRUE),0)),"")</f>
        <v/>
      </c>
      <c r="H680" s="46" t="str">
        <f>IFERROR(TRANSACTIONS!$F680+TRANSACTIONS!$G680,"")</f>
        <v/>
      </c>
      <c r="I680" s="44"/>
      <c r="J680" s="40" t="str">
        <f t="shared" si="10"/>
        <v/>
      </c>
    </row>
    <row r="681" spans="1:10" hidden="1" x14ac:dyDescent="0.25">
      <c r="A681" s="41"/>
      <c r="B681" s="48" t="str">
        <f>IF(A681&lt;&gt;"",DATE(YEAR(TRANSACTIONS!$A681),MONTH(TRANSACTIONS!$A681),DAY(TRANSACTIONS!$A681)),"")</f>
        <v/>
      </c>
      <c r="C681" s="49" t="str">
        <f>IF(A681&lt;&gt;"",TIME(HOUR(TRANSACTIONS!$A681),MINUTE(TRANSACTIONS!$A681),SECOND(TRANSACTIONS!$A681)),"")</f>
        <v/>
      </c>
      <c r="D681" s="42"/>
      <c r="E681" s="42"/>
      <c r="F681" s="43"/>
      <c r="G681" s="46" t="str">
        <f>IF(AND(A681&lt;&gt;"",F681&gt;1),IF(TRANSACTIONS!$E681=RAPPORTS!$F$9,0,IF(OR(TRANSACTIONS!$D681=RAPPORTS!$A$13,TRANSACTIONS!$D681=RAPPORTS!#REF!),VLOOKUP(TRANSACTIONS!$F681,FRAIS_D_ENVOI,3,TRUE),0)),"")</f>
        <v/>
      </c>
      <c r="H681" s="46" t="str">
        <f>IFERROR(TRANSACTIONS!$F681+TRANSACTIONS!$G681,"")</f>
        <v/>
      </c>
      <c r="I681" s="44"/>
      <c r="J681" s="40" t="str">
        <f t="shared" si="10"/>
        <v/>
      </c>
    </row>
    <row r="682" spans="1:10" hidden="1" x14ac:dyDescent="0.25">
      <c r="A682" s="41"/>
      <c r="B682" s="48" t="str">
        <f>IF(A682&lt;&gt;"",DATE(YEAR(TRANSACTIONS!$A682),MONTH(TRANSACTIONS!$A682),DAY(TRANSACTIONS!$A682)),"")</f>
        <v/>
      </c>
      <c r="C682" s="49" t="str">
        <f>IF(A682&lt;&gt;"",TIME(HOUR(TRANSACTIONS!$A682),MINUTE(TRANSACTIONS!$A682),SECOND(TRANSACTIONS!$A682)),"")</f>
        <v/>
      </c>
      <c r="D682" s="42"/>
      <c r="E682" s="42"/>
      <c r="F682" s="43"/>
      <c r="G682" s="46" t="str">
        <f>IF(AND(A682&lt;&gt;"",F682&gt;1),IF(TRANSACTIONS!$E682=RAPPORTS!$F$9,0,IF(OR(TRANSACTIONS!$D682=RAPPORTS!$A$13,TRANSACTIONS!$D682=RAPPORTS!#REF!),VLOOKUP(TRANSACTIONS!$F682,FRAIS_D_ENVOI,3,TRUE),0)),"")</f>
        <v/>
      </c>
      <c r="H682" s="46" t="str">
        <f>IFERROR(TRANSACTIONS!$F682+TRANSACTIONS!$G682,"")</f>
        <v/>
      </c>
      <c r="I682" s="44"/>
      <c r="J682" s="40" t="str">
        <f t="shared" si="10"/>
        <v/>
      </c>
    </row>
    <row r="683" spans="1:10" hidden="1" x14ac:dyDescent="0.25">
      <c r="A683" s="41"/>
      <c r="B683" s="48" t="str">
        <f>IF(A683&lt;&gt;"",DATE(YEAR(TRANSACTIONS!$A683),MONTH(TRANSACTIONS!$A683),DAY(TRANSACTIONS!$A683)),"")</f>
        <v/>
      </c>
      <c r="C683" s="49" t="str">
        <f>IF(A683&lt;&gt;"",TIME(HOUR(TRANSACTIONS!$A683),MINUTE(TRANSACTIONS!$A683),SECOND(TRANSACTIONS!$A683)),"")</f>
        <v/>
      </c>
      <c r="D683" s="42"/>
      <c r="E683" s="42"/>
      <c r="F683" s="43"/>
      <c r="G683" s="46" t="str">
        <f>IF(AND(A683&lt;&gt;"",F683&gt;1),IF(TRANSACTIONS!$E683=RAPPORTS!$F$9,0,IF(OR(TRANSACTIONS!$D683=RAPPORTS!$A$13,TRANSACTIONS!$D683=RAPPORTS!#REF!),VLOOKUP(TRANSACTIONS!$F683,FRAIS_D_ENVOI,3,TRUE),0)),"")</f>
        <v/>
      </c>
      <c r="H683" s="46" t="str">
        <f>IFERROR(TRANSACTIONS!$F683+TRANSACTIONS!$G683,"")</f>
        <v/>
      </c>
      <c r="I683" s="44"/>
      <c r="J683" s="40" t="str">
        <f t="shared" si="10"/>
        <v/>
      </c>
    </row>
    <row r="684" spans="1:10" hidden="1" x14ac:dyDescent="0.25">
      <c r="A684" s="41"/>
      <c r="B684" s="48" t="str">
        <f>IF(A684&lt;&gt;"",DATE(YEAR(TRANSACTIONS!$A684),MONTH(TRANSACTIONS!$A684),DAY(TRANSACTIONS!$A684)),"")</f>
        <v/>
      </c>
      <c r="C684" s="49" t="str">
        <f>IF(A684&lt;&gt;"",TIME(HOUR(TRANSACTIONS!$A684),MINUTE(TRANSACTIONS!$A684),SECOND(TRANSACTIONS!$A684)),"")</f>
        <v/>
      </c>
      <c r="D684" s="42"/>
      <c r="E684" s="42"/>
      <c r="F684" s="43"/>
      <c r="G684" s="46" t="str">
        <f>IF(AND(A684&lt;&gt;"",F684&gt;1),IF(TRANSACTIONS!$E684=RAPPORTS!$F$9,0,IF(OR(TRANSACTIONS!$D684=RAPPORTS!$A$13,TRANSACTIONS!$D684=RAPPORTS!#REF!),VLOOKUP(TRANSACTIONS!$F684,FRAIS_D_ENVOI,3,TRUE),0)),"")</f>
        <v/>
      </c>
      <c r="H684" s="46" t="str">
        <f>IFERROR(TRANSACTIONS!$F684+TRANSACTIONS!$G684,"")</f>
        <v/>
      </c>
      <c r="I684" s="44"/>
      <c r="J684" s="40" t="str">
        <f t="shared" si="10"/>
        <v/>
      </c>
    </row>
    <row r="685" spans="1:10" hidden="1" x14ac:dyDescent="0.25">
      <c r="A685" s="41"/>
      <c r="B685" s="48" t="str">
        <f>IF(A685&lt;&gt;"",DATE(YEAR(TRANSACTIONS!$A685),MONTH(TRANSACTIONS!$A685),DAY(TRANSACTIONS!$A685)),"")</f>
        <v/>
      </c>
      <c r="C685" s="49" t="str">
        <f>IF(A685&lt;&gt;"",TIME(HOUR(TRANSACTIONS!$A685),MINUTE(TRANSACTIONS!$A685),SECOND(TRANSACTIONS!$A685)),"")</f>
        <v/>
      </c>
      <c r="D685" s="42"/>
      <c r="E685" s="42"/>
      <c r="F685" s="43"/>
      <c r="G685" s="46" t="str">
        <f>IF(AND(A685&lt;&gt;"",F685&gt;1),IF(TRANSACTIONS!$E685=RAPPORTS!$F$9,0,IF(OR(TRANSACTIONS!$D685=RAPPORTS!$A$13,TRANSACTIONS!$D685=RAPPORTS!#REF!),VLOOKUP(TRANSACTIONS!$F685,FRAIS_D_ENVOI,3,TRUE),0)),"")</f>
        <v/>
      </c>
      <c r="H685" s="46" t="str">
        <f>IFERROR(TRANSACTIONS!$F685+TRANSACTIONS!$G685,"")</f>
        <v/>
      </c>
      <c r="I685" s="44"/>
      <c r="J685" s="40" t="str">
        <f t="shared" si="10"/>
        <v/>
      </c>
    </row>
    <row r="686" spans="1:10" hidden="1" x14ac:dyDescent="0.25">
      <c r="A686" s="41"/>
      <c r="B686" s="48" t="str">
        <f>IF(A686&lt;&gt;"",DATE(YEAR(TRANSACTIONS!$A686),MONTH(TRANSACTIONS!$A686),DAY(TRANSACTIONS!$A686)),"")</f>
        <v/>
      </c>
      <c r="C686" s="49" t="str">
        <f>IF(A686&lt;&gt;"",TIME(HOUR(TRANSACTIONS!$A686),MINUTE(TRANSACTIONS!$A686),SECOND(TRANSACTIONS!$A686)),"")</f>
        <v/>
      </c>
      <c r="D686" s="42"/>
      <c r="E686" s="42"/>
      <c r="F686" s="43"/>
      <c r="G686" s="46" t="str">
        <f>IF(AND(A686&lt;&gt;"",F686&gt;1),IF(TRANSACTIONS!$E686=RAPPORTS!$F$9,0,IF(OR(TRANSACTIONS!$D686=RAPPORTS!$A$13,TRANSACTIONS!$D686=RAPPORTS!#REF!),VLOOKUP(TRANSACTIONS!$F686,FRAIS_D_ENVOI,3,TRUE),0)),"")</f>
        <v/>
      </c>
      <c r="H686" s="46" t="str">
        <f>IFERROR(TRANSACTIONS!$F686+TRANSACTIONS!$G686,"")</f>
        <v/>
      </c>
      <c r="I686" s="44"/>
      <c r="J686" s="40" t="str">
        <f t="shared" si="10"/>
        <v/>
      </c>
    </row>
    <row r="687" spans="1:10" hidden="1" x14ac:dyDescent="0.25">
      <c r="A687" s="41"/>
      <c r="B687" s="48" t="str">
        <f>IF(A687&lt;&gt;"",DATE(YEAR(TRANSACTIONS!$A687),MONTH(TRANSACTIONS!$A687),DAY(TRANSACTIONS!$A687)),"")</f>
        <v/>
      </c>
      <c r="C687" s="49" t="str">
        <f>IF(A687&lt;&gt;"",TIME(HOUR(TRANSACTIONS!$A687),MINUTE(TRANSACTIONS!$A687),SECOND(TRANSACTIONS!$A687)),"")</f>
        <v/>
      </c>
      <c r="D687" s="42"/>
      <c r="E687" s="42"/>
      <c r="F687" s="43"/>
      <c r="G687" s="46" t="str">
        <f>IF(AND(A687&lt;&gt;"",F687&gt;1),IF(TRANSACTIONS!$E687=RAPPORTS!$F$9,0,IF(OR(TRANSACTIONS!$D687=RAPPORTS!$A$13,TRANSACTIONS!$D687=RAPPORTS!#REF!),VLOOKUP(TRANSACTIONS!$F687,FRAIS_D_ENVOI,3,TRUE),0)),"")</f>
        <v/>
      </c>
      <c r="H687" s="46" t="str">
        <f>IFERROR(TRANSACTIONS!$F687+TRANSACTIONS!$G687,"")</f>
        <v/>
      </c>
      <c r="I687" s="44"/>
      <c r="J687" s="40" t="str">
        <f t="shared" si="10"/>
        <v/>
      </c>
    </row>
    <row r="688" spans="1:10" hidden="1" x14ac:dyDescent="0.25">
      <c r="A688" s="41"/>
      <c r="B688" s="48" t="str">
        <f>IF(A688&lt;&gt;"",DATE(YEAR(TRANSACTIONS!$A688),MONTH(TRANSACTIONS!$A688),DAY(TRANSACTIONS!$A688)),"")</f>
        <v/>
      </c>
      <c r="C688" s="49" t="str">
        <f>IF(A688&lt;&gt;"",TIME(HOUR(TRANSACTIONS!$A688),MINUTE(TRANSACTIONS!$A688),SECOND(TRANSACTIONS!$A688)),"")</f>
        <v/>
      </c>
      <c r="D688" s="42"/>
      <c r="E688" s="42"/>
      <c r="F688" s="43"/>
      <c r="G688" s="46" t="str">
        <f>IF(AND(A688&lt;&gt;"",F688&gt;1),IF(TRANSACTIONS!$E688=RAPPORTS!$F$9,0,IF(OR(TRANSACTIONS!$D688=RAPPORTS!$A$13,TRANSACTIONS!$D688=RAPPORTS!#REF!),VLOOKUP(TRANSACTIONS!$F688,FRAIS_D_ENVOI,3,TRUE),0)),"")</f>
        <v/>
      </c>
      <c r="H688" s="46" t="str">
        <f>IFERROR(TRANSACTIONS!$F688+TRANSACTIONS!$G688,"")</f>
        <v/>
      </c>
      <c r="I688" s="44"/>
      <c r="J688" s="40" t="str">
        <f t="shared" si="10"/>
        <v/>
      </c>
    </row>
    <row r="689" spans="1:10" hidden="1" x14ac:dyDescent="0.25">
      <c r="A689" s="41"/>
      <c r="B689" s="48" t="str">
        <f>IF(A689&lt;&gt;"",DATE(YEAR(TRANSACTIONS!$A689),MONTH(TRANSACTIONS!$A689),DAY(TRANSACTIONS!$A689)),"")</f>
        <v/>
      </c>
      <c r="C689" s="49" t="str">
        <f>IF(A689&lt;&gt;"",TIME(HOUR(TRANSACTIONS!$A689),MINUTE(TRANSACTIONS!$A689),SECOND(TRANSACTIONS!$A689)),"")</f>
        <v/>
      </c>
      <c r="D689" s="42"/>
      <c r="E689" s="42"/>
      <c r="F689" s="43"/>
      <c r="G689" s="46" t="str">
        <f>IF(AND(A689&lt;&gt;"",F689&gt;1),IF(TRANSACTIONS!$E689=RAPPORTS!$F$9,0,IF(OR(TRANSACTIONS!$D689=RAPPORTS!$A$13,TRANSACTIONS!$D689=RAPPORTS!#REF!),VLOOKUP(TRANSACTIONS!$F689,FRAIS_D_ENVOI,3,TRUE),0)),"")</f>
        <v/>
      </c>
      <c r="H689" s="46" t="str">
        <f>IFERROR(TRANSACTIONS!$F689+TRANSACTIONS!$G689,"")</f>
        <v/>
      </c>
      <c r="I689" s="44"/>
      <c r="J689" s="40" t="str">
        <f t="shared" si="10"/>
        <v/>
      </c>
    </row>
    <row r="690" spans="1:10" hidden="1" x14ac:dyDescent="0.25">
      <c r="A690" s="41"/>
      <c r="B690" s="48" t="str">
        <f>IF(A690&lt;&gt;"",DATE(YEAR(TRANSACTIONS!$A690),MONTH(TRANSACTIONS!$A690),DAY(TRANSACTIONS!$A690)),"")</f>
        <v/>
      </c>
      <c r="C690" s="49" t="str">
        <f>IF(A690&lt;&gt;"",TIME(HOUR(TRANSACTIONS!$A690),MINUTE(TRANSACTIONS!$A690),SECOND(TRANSACTIONS!$A690)),"")</f>
        <v/>
      </c>
      <c r="D690" s="42"/>
      <c r="E690" s="42"/>
      <c r="F690" s="43"/>
      <c r="G690" s="46" t="str">
        <f>IF(AND(A690&lt;&gt;"",F690&gt;1),IF(TRANSACTIONS!$E690=RAPPORTS!$F$9,0,IF(OR(TRANSACTIONS!$D690=RAPPORTS!$A$13,TRANSACTIONS!$D690=RAPPORTS!#REF!),VLOOKUP(TRANSACTIONS!$F690,FRAIS_D_ENVOI,3,TRUE),0)),"")</f>
        <v/>
      </c>
      <c r="H690" s="46" t="str">
        <f>IFERROR(TRANSACTIONS!$F690+TRANSACTIONS!$G690,"")</f>
        <v/>
      </c>
      <c r="I690" s="44"/>
      <c r="J690" s="40" t="str">
        <f t="shared" si="10"/>
        <v/>
      </c>
    </row>
    <row r="691" spans="1:10" hidden="1" x14ac:dyDescent="0.25">
      <c r="A691" s="41"/>
      <c r="B691" s="48" t="str">
        <f>IF(A691&lt;&gt;"",DATE(YEAR(TRANSACTIONS!$A691),MONTH(TRANSACTIONS!$A691),DAY(TRANSACTIONS!$A691)),"")</f>
        <v/>
      </c>
      <c r="C691" s="49" t="str">
        <f>IF(A691&lt;&gt;"",TIME(HOUR(TRANSACTIONS!$A691),MINUTE(TRANSACTIONS!$A691),SECOND(TRANSACTIONS!$A691)),"")</f>
        <v/>
      </c>
      <c r="D691" s="42"/>
      <c r="E691" s="42"/>
      <c r="F691" s="43"/>
      <c r="G691" s="46" t="str">
        <f>IF(AND(A691&lt;&gt;"",F691&gt;1),IF(TRANSACTIONS!$E691=RAPPORTS!$F$9,0,IF(OR(TRANSACTIONS!$D691=RAPPORTS!$A$13,TRANSACTIONS!$D691=RAPPORTS!#REF!),VLOOKUP(TRANSACTIONS!$F691,FRAIS_D_ENVOI,3,TRUE),0)),"")</f>
        <v/>
      </c>
      <c r="H691" s="46" t="str">
        <f>IFERROR(TRANSACTIONS!$F691+TRANSACTIONS!$G691,"")</f>
        <v/>
      </c>
      <c r="I691" s="44"/>
      <c r="J691" s="40" t="str">
        <f t="shared" si="10"/>
        <v/>
      </c>
    </row>
    <row r="692" spans="1:10" hidden="1" x14ac:dyDescent="0.25">
      <c r="A692" s="41"/>
      <c r="B692" s="48" t="str">
        <f>IF(A692&lt;&gt;"",DATE(YEAR(TRANSACTIONS!$A692),MONTH(TRANSACTIONS!$A692),DAY(TRANSACTIONS!$A692)),"")</f>
        <v/>
      </c>
      <c r="C692" s="49" t="str">
        <f>IF(A692&lt;&gt;"",TIME(HOUR(TRANSACTIONS!$A692),MINUTE(TRANSACTIONS!$A692),SECOND(TRANSACTIONS!$A692)),"")</f>
        <v/>
      </c>
      <c r="D692" s="42"/>
      <c r="E692" s="42"/>
      <c r="F692" s="43"/>
      <c r="G692" s="46" t="str">
        <f>IF(AND(A692&lt;&gt;"",F692&gt;1),IF(TRANSACTIONS!$E692=RAPPORTS!$F$9,0,IF(OR(TRANSACTIONS!$D692=RAPPORTS!$A$13,TRANSACTIONS!$D692=RAPPORTS!#REF!),VLOOKUP(TRANSACTIONS!$F692,FRAIS_D_ENVOI,3,TRUE),0)),"")</f>
        <v/>
      </c>
      <c r="H692" s="46" t="str">
        <f>IFERROR(TRANSACTIONS!$F692+TRANSACTIONS!$G692,"")</f>
        <v/>
      </c>
      <c r="I692" s="44"/>
      <c r="J692" s="40" t="str">
        <f t="shared" si="10"/>
        <v/>
      </c>
    </row>
    <row r="693" spans="1:10" hidden="1" x14ac:dyDescent="0.25">
      <c r="A693" s="41"/>
      <c r="B693" s="48" t="str">
        <f>IF(A693&lt;&gt;"",DATE(YEAR(TRANSACTIONS!$A693),MONTH(TRANSACTIONS!$A693),DAY(TRANSACTIONS!$A693)),"")</f>
        <v/>
      </c>
      <c r="C693" s="49" t="str">
        <f>IF(A693&lt;&gt;"",TIME(HOUR(TRANSACTIONS!$A693),MINUTE(TRANSACTIONS!$A693),SECOND(TRANSACTIONS!$A693)),"")</f>
        <v/>
      </c>
      <c r="D693" s="42"/>
      <c r="E693" s="42"/>
      <c r="F693" s="43"/>
      <c r="G693" s="46" t="str">
        <f>IF(AND(A693&lt;&gt;"",F693&gt;1),IF(TRANSACTIONS!$E693=RAPPORTS!$F$9,0,IF(OR(TRANSACTIONS!$D693=RAPPORTS!$A$13,TRANSACTIONS!$D693=RAPPORTS!#REF!),VLOOKUP(TRANSACTIONS!$F693,FRAIS_D_ENVOI,3,TRUE),0)),"")</f>
        <v/>
      </c>
      <c r="H693" s="46" t="str">
        <f>IFERROR(TRANSACTIONS!$F693+TRANSACTIONS!$G693,"")</f>
        <v/>
      </c>
      <c r="I693" s="44"/>
      <c r="J693" s="40" t="str">
        <f t="shared" si="10"/>
        <v/>
      </c>
    </row>
    <row r="694" spans="1:10" hidden="1" x14ac:dyDescent="0.25">
      <c r="A694" s="41"/>
      <c r="B694" s="48" t="str">
        <f>IF(A694&lt;&gt;"",DATE(YEAR(TRANSACTIONS!$A694),MONTH(TRANSACTIONS!$A694),DAY(TRANSACTIONS!$A694)),"")</f>
        <v/>
      </c>
      <c r="C694" s="49" t="str">
        <f>IF(A694&lt;&gt;"",TIME(HOUR(TRANSACTIONS!$A694),MINUTE(TRANSACTIONS!$A694),SECOND(TRANSACTIONS!$A694)),"")</f>
        <v/>
      </c>
      <c r="D694" s="42"/>
      <c r="E694" s="42"/>
      <c r="F694" s="43"/>
      <c r="G694" s="46" t="str">
        <f>IF(AND(A694&lt;&gt;"",F694&gt;1),IF(TRANSACTIONS!$E694=RAPPORTS!$F$9,0,IF(OR(TRANSACTIONS!$D694=RAPPORTS!$A$13,TRANSACTIONS!$D694=RAPPORTS!#REF!),VLOOKUP(TRANSACTIONS!$F694,FRAIS_D_ENVOI,3,TRUE),0)),"")</f>
        <v/>
      </c>
      <c r="H694" s="46" t="str">
        <f>IFERROR(TRANSACTIONS!$F694+TRANSACTIONS!$G694,"")</f>
        <v/>
      </c>
      <c r="I694" s="44"/>
      <c r="J694" s="40" t="str">
        <f t="shared" si="10"/>
        <v/>
      </c>
    </row>
    <row r="695" spans="1:10" hidden="1" x14ac:dyDescent="0.25">
      <c r="A695" s="41"/>
      <c r="B695" s="48" t="str">
        <f>IF(A695&lt;&gt;"",DATE(YEAR(TRANSACTIONS!$A695),MONTH(TRANSACTIONS!$A695),DAY(TRANSACTIONS!$A695)),"")</f>
        <v/>
      </c>
      <c r="C695" s="49" t="str">
        <f>IF(A695&lt;&gt;"",TIME(HOUR(TRANSACTIONS!$A695),MINUTE(TRANSACTIONS!$A695),SECOND(TRANSACTIONS!$A695)),"")</f>
        <v/>
      </c>
      <c r="D695" s="42"/>
      <c r="E695" s="42"/>
      <c r="F695" s="43"/>
      <c r="G695" s="46" t="str">
        <f>IF(AND(A695&lt;&gt;"",F695&gt;1),IF(TRANSACTIONS!$E695=RAPPORTS!$F$9,0,IF(OR(TRANSACTIONS!$D695=RAPPORTS!$A$13,TRANSACTIONS!$D695=RAPPORTS!#REF!),VLOOKUP(TRANSACTIONS!$F695,FRAIS_D_ENVOI,3,TRUE),0)),"")</f>
        <v/>
      </c>
      <c r="H695" s="46" t="str">
        <f>IFERROR(TRANSACTIONS!$F695+TRANSACTIONS!$G695,"")</f>
        <v/>
      </c>
      <c r="I695" s="44"/>
      <c r="J695" s="40" t="str">
        <f t="shared" si="10"/>
        <v/>
      </c>
    </row>
    <row r="696" spans="1:10" hidden="1" x14ac:dyDescent="0.25">
      <c r="A696" s="41"/>
      <c r="B696" s="48" t="str">
        <f>IF(A696&lt;&gt;"",DATE(YEAR(TRANSACTIONS!$A696),MONTH(TRANSACTIONS!$A696),DAY(TRANSACTIONS!$A696)),"")</f>
        <v/>
      </c>
      <c r="C696" s="49" t="str">
        <f>IF(A696&lt;&gt;"",TIME(HOUR(TRANSACTIONS!$A696),MINUTE(TRANSACTIONS!$A696),SECOND(TRANSACTIONS!$A696)),"")</f>
        <v/>
      </c>
      <c r="D696" s="42"/>
      <c r="E696" s="42"/>
      <c r="F696" s="43"/>
      <c r="G696" s="46" t="str">
        <f>IF(AND(A696&lt;&gt;"",F696&gt;1),IF(TRANSACTIONS!$E696=RAPPORTS!$F$9,0,IF(OR(TRANSACTIONS!$D696=RAPPORTS!$A$13,TRANSACTIONS!$D696=RAPPORTS!#REF!),VLOOKUP(TRANSACTIONS!$F696,FRAIS_D_ENVOI,3,TRUE),0)),"")</f>
        <v/>
      </c>
      <c r="H696" s="46" t="str">
        <f>IFERROR(TRANSACTIONS!$F696+TRANSACTIONS!$G696,"")</f>
        <v/>
      </c>
      <c r="I696" s="44"/>
      <c r="J696" s="40" t="str">
        <f t="shared" si="10"/>
        <v/>
      </c>
    </row>
    <row r="697" spans="1:10" hidden="1" x14ac:dyDescent="0.25">
      <c r="A697" s="41"/>
      <c r="B697" s="48" t="str">
        <f>IF(A697&lt;&gt;"",DATE(YEAR(TRANSACTIONS!$A697),MONTH(TRANSACTIONS!$A697),DAY(TRANSACTIONS!$A697)),"")</f>
        <v/>
      </c>
      <c r="C697" s="49" t="str">
        <f>IF(A697&lt;&gt;"",TIME(HOUR(TRANSACTIONS!$A697),MINUTE(TRANSACTIONS!$A697),SECOND(TRANSACTIONS!$A697)),"")</f>
        <v/>
      </c>
      <c r="D697" s="42"/>
      <c r="E697" s="42"/>
      <c r="F697" s="43"/>
      <c r="G697" s="46" t="str">
        <f>IF(AND(A697&lt;&gt;"",F697&gt;1),IF(TRANSACTIONS!$E697=RAPPORTS!$F$9,0,IF(OR(TRANSACTIONS!$D697=RAPPORTS!$A$13,TRANSACTIONS!$D697=RAPPORTS!#REF!),VLOOKUP(TRANSACTIONS!$F697,FRAIS_D_ENVOI,3,TRUE),0)),"")</f>
        <v/>
      </c>
      <c r="H697" s="46" t="str">
        <f>IFERROR(TRANSACTIONS!$F697+TRANSACTIONS!$G697,"")</f>
        <v/>
      </c>
      <c r="I697" s="44"/>
      <c r="J697" s="40" t="str">
        <f t="shared" si="10"/>
        <v/>
      </c>
    </row>
    <row r="698" spans="1:10" hidden="1" x14ac:dyDescent="0.25">
      <c r="A698" s="41"/>
      <c r="B698" s="48" t="str">
        <f>IF(A698&lt;&gt;"",DATE(YEAR(TRANSACTIONS!$A698),MONTH(TRANSACTIONS!$A698),DAY(TRANSACTIONS!$A698)),"")</f>
        <v/>
      </c>
      <c r="C698" s="49" t="str">
        <f>IF(A698&lt;&gt;"",TIME(HOUR(TRANSACTIONS!$A698),MINUTE(TRANSACTIONS!$A698),SECOND(TRANSACTIONS!$A698)),"")</f>
        <v/>
      </c>
      <c r="D698" s="42"/>
      <c r="E698" s="42"/>
      <c r="F698" s="43"/>
      <c r="G698" s="46" t="str">
        <f>IF(AND(A698&lt;&gt;"",F698&gt;1),IF(TRANSACTIONS!$E698=RAPPORTS!$F$9,0,IF(OR(TRANSACTIONS!$D698=RAPPORTS!$A$13,TRANSACTIONS!$D698=RAPPORTS!#REF!),VLOOKUP(TRANSACTIONS!$F698,FRAIS_D_ENVOI,3,TRUE),0)),"")</f>
        <v/>
      </c>
      <c r="H698" s="46" t="str">
        <f>IFERROR(TRANSACTIONS!$F698+TRANSACTIONS!$G698,"")</f>
        <v/>
      </c>
      <c r="I698" s="44"/>
      <c r="J698" s="40" t="str">
        <f t="shared" si="10"/>
        <v/>
      </c>
    </row>
    <row r="699" spans="1:10" hidden="1" x14ac:dyDescent="0.25">
      <c r="A699" s="41"/>
      <c r="B699" s="48" t="str">
        <f>IF(A699&lt;&gt;"",DATE(YEAR(TRANSACTIONS!$A699),MONTH(TRANSACTIONS!$A699),DAY(TRANSACTIONS!$A699)),"")</f>
        <v/>
      </c>
      <c r="C699" s="49" t="str">
        <f>IF(A699&lt;&gt;"",TIME(HOUR(TRANSACTIONS!$A699),MINUTE(TRANSACTIONS!$A699),SECOND(TRANSACTIONS!$A699)),"")</f>
        <v/>
      </c>
      <c r="D699" s="42"/>
      <c r="E699" s="42"/>
      <c r="F699" s="43"/>
      <c r="G699" s="46" t="str">
        <f>IF(AND(A699&lt;&gt;"",F699&gt;1),IF(TRANSACTIONS!$E699=RAPPORTS!$F$9,0,IF(OR(TRANSACTIONS!$D699=RAPPORTS!$A$13,TRANSACTIONS!$D699=RAPPORTS!#REF!),VLOOKUP(TRANSACTIONS!$F699,FRAIS_D_ENVOI,3,TRUE),0)),"")</f>
        <v/>
      </c>
      <c r="H699" s="46" t="str">
        <f>IFERROR(TRANSACTIONS!$F699+TRANSACTIONS!$G699,"")</f>
        <v/>
      </c>
      <c r="I699" s="44"/>
      <c r="J699" s="40" t="str">
        <f t="shared" si="10"/>
        <v/>
      </c>
    </row>
    <row r="700" spans="1:10" hidden="1" x14ac:dyDescent="0.25">
      <c r="A700" s="41"/>
      <c r="B700" s="48" t="str">
        <f>IF(A700&lt;&gt;"",DATE(YEAR(TRANSACTIONS!$A700),MONTH(TRANSACTIONS!$A700),DAY(TRANSACTIONS!$A700)),"")</f>
        <v/>
      </c>
      <c r="C700" s="49" t="str">
        <f>IF(A700&lt;&gt;"",TIME(HOUR(TRANSACTIONS!$A700),MINUTE(TRANSACTIONS!$A700),SECOND(TRANSACTIONS!$A700)),"")</f>
        <v/>
      </c>
      <c r="D700" s="42"/>
      <c r="E700" s="42"/>
      <c r="F700" s="43"/>
      <c r="G700" s="46" t="str">
        <f>IF(AND(A700&lt;&gt;"",F700&gt;1),IF(TRANSACTIONS!$E700=RAPPORTS!$F$9,0,IF(OR(TRANSACTIONS!$D700=RAPPORTS!$A$13,TRANSACTIONS!$D700=RAPPORTS!#REF!),VLOOKUP(TRANSACTIONS!$F700,FRAIS_D_ENVOI,3,TRUE),0)),"")</f>
        <v/>
      </c>
      <c r="H700" s="46" t="str">
        <f>IFERROR(TRANSACTIONS!$F700+TRANSACTIONS!$G700,"")</f>
        <v/>
      </c>
      <c r="I700" s="44"/>
      <c r="J700" s="40" t="str">
        <f t="shared" si="10"/>
        <v/>
      </c>
    </row>
    <row r="701" spans="1:10" hidden="1" x14ac:dyDescent="0.25">
      <c r="A701" s="41"/>
      <c r="B701" s="48" t="str">
        <f>IF(A701&lt;&gt;"",DATE(YEAR(TRANSACTIONS!$A701),MONTH(TRANSACTIONS!$A701),DAY(TRANSACTIONS!$A701)),"")</f>
        <v/>
      </c>
      <c r="C701" s="49" t="str">
        <f>IF(A701&lt;&gt;"",TIME(HOUR(TRANSACTIONS!$A701),MINUTE(TRANSACTIONS!$A701),SECOND(TRANSACTIONS!$A701)),"")</f>
        <v/>
      </c>
      <c r="D701" s="42"/>
      <c r="E701" s="42"/>
      <c r="F701" s="43"/>
      <c r="G701" s="46" t="str">
        <f>IF(AND(A701&lt;&gt;"",F701&gt;1),IF(TRANSACTIONS!$E701=RAPPORTS!$F$9,0,IF(OR(TRANSACTIONS!$D701=RAPPORTS!$A$13,TRANSACTIONS!$D701=RAPPORTS!#REF!),VLOOKUP(TRANSACTIONS!$F701,FRAIS_D_ENVOI,3,TRUE),0)),"")</f>
        <v/>
      </c>
      <c r="H701" s="46" t="str">
        <f>IFERROR(TRANSACTIONS!$F701+TRANSACTIONS!$G701,"")</f>
        <v/>
      </c>
      <c r="I701" s="44"/>
      <c r="J701" s="40" t="str">
        <f t="shared" si="10"/>
        <v/>
      </c>
    </row>
    <row r="702" spans="1:10" hidden="1" x14ac:dyDescent="0.25">
      <c r="A702" s="41"/>
      <c r="B702" s="48" t="str">
        <f>IF(A702&lt;&gt;"",DATE(YEAR(TRANSACTIONS!$A702),MONTH(TRANSACTIONS!$A702),DAY(TRANSACTIONS!$A702)),"")</f>
        <v/>
      </c>
      <c r="C702" s="49" t="str">
        <f>IF(A702&lt;&gt;"",TIME(HOUR(TRANSACTIONS!$A702),MINUTE(TRANSACTIONS!$A702),SECOND(TRANSACTIONS!$A702)),"")</f>
        <v/>
      </c>
      <c r="D702" s="42"/>
      <c r="E702" s="42"/>
      <c r="F702" s="43"/>
      <c r="G702" s="46" t="str">
        <f>IF(AND(A702&lt;&gt;"",F702&gt;1),IF(TRANSACTIONS!$E702=RAPPORTS!$F$9,0,IF(OR(TRANSACTIONS!$D702=RAPPORTS!$A$13,TRANSACTIONS!$D702=RAPPORTS!#REF!),VLOOKUP(TRANSACTIONS!$F702,FRAIS_D_ENVOI,3,TRUE),0)),"")</f>
        <v/>
      </c>
      <c r="H702" s="46" t="str">
        <f>IFERROR(TRANSACTIONS!$F702+TRANSACTIONS!$G702,"")</f>
        <v/>
      </c>
      <c r="I702" s="44"/>
      <c r="J702" s="40" t="str">
        <f t="shared" si="10"/>
        <v/>
      </c>
    </row>
    <row r="703" spans="1:10" hidden="1" x14ac:dyDescent="0.25">
      <c r="A703" s="41"/>
      <c r="B703" s="48" t="str">
        <f>IF(A703&lt;&gt;"",DATE(YEAR(TRANSACTIONS!$A703),MONTH(TRANSACTIONS!$A703),DAY(TRANSACTIONS!$A703)),"")</f>
        <v/>
      </c>
      <c r="C703" s="49" t="str">
        <f>IF(A703&lt;&gt;"",TIME(HOUR(TRANSACTIONS!$A703),MINUTE(TRANSACTIONS!$A703),SECOND(TRANSACTIONS!$A703)),"")</f>
        <v/>
      </c>
      <c r="D703" s="42"/>
      <c r="E703" s="42"/>
      <c r="F703" s="43"/>
      <c r="G703" s="46" t="str">
        <f>IF(AND(A703&lt;&gt;"",F703&gt;1),IF(TRANSACTIONS!$E703=RAPPORTS!$F$9,0,IF(OR(TRANSACTIONS!$D703=RAPPORTS!$A$13,TRANSACTIONS!$D703=RAPPORTS!#REF!),VLOOKUP(TRANSACTIONS!$F703,FRAIS_D_ENVOI,3,TRUE),0)),"")</f>
        <v/>
      </c>
      <c r="H703" s="46" t="str">
        <f>IFERROR(TRANSACTIONS!$F703+TRANSACTIONS!$G703,"")</f>
        <v/>
      </c>
      <c r="I703" s="44"/>
      <c r="J703" s="40" t="str">
        <f t="shared" si="10"/>
        <v/>
      </c>
    </row>
    <row r="704" spans="1:10" hidden="1" x14ac:dyDescent="0.25">
      <c r="A704" s="41"/>
      <c r="B704" s="48" t="str">
        <f>IF(A704&lt;&gt;"",DATE(YEAR(TRANSACTIONS!$A704),MONTH(TRANSACTIONS!$A704),DAY(TRANSACTIONS!$A704)),"")</f>
        <v/>
      </c>
      <c r="C704" s="49" t="str">
        <f>IF(A704&lt;&gt;"",TIME(HOUR(TRANSACTIONS!$A704),MINUTE(TRANSACTIONS!$A704),SECOND(TRANSACTIONS!$A704)),"")</f>
        <v/>
      </c>
      <c r="D704" s="42"/>
      <c r="E704" s="42"/>
      <c r="F704" s="43"/>
      <c r="G704" s="46" t="str">
        <f>IF(AND(A704&lt;&gt;"",F704&gt;1),IF(TRANSACTIONS!$E704=RAPPORTS!$F$9,0,IF(OR(TRANSACTIONS!$D704=RAPPORTS!$A$13,TRANSACTIONS!$D704=RAPPORTS!#REF!),VLOOKUP(TRANSACTIONS!$F704,FRAIS_D_ENVOI,3,TRUE),0)),"")</f>
        <v/>
      </c>
      <c r="H704" s="46" t="str">
        <f>IFERROR(TRANSACTIONS!$F704+TRANSACTIONS!$G704,"")</f>
        <v/>
      </c>
      <c r="I704" s="44"/>
      <c r="J704" s="40" t="str">
        <f t="shared" si="10"/>
        <v/>
      </c>
    </row>
    <row r="705" spans="1:10" hidden="1" x14ac:dyDescent="0.25">
      <c r="A705" s="41"/>
      <c r="B705" s="48" t="str">
        <f>IF(A705&lt;&gt;"",DATE(YEAR(TRANSACTIONS!$A705),MONTH(TRANSACTIONS!$A705),DAY(TRANSACTIONS!$A705)),"")</f>
        <v/>
      </c>
      <c r="C705" s="49" t="str">
        <f>IF(A705&lt;&gt;"",TIME(HOUR(TRANSACTIONS!$A705),MINUTE(TRANSACTIONS!$A705),SECOND(TRANSACTIONS!$A705)),"")</f>
        <v/>
      </c>
      <c r="D705" s="42"/>
      <c r="E705" s="42"/>
      <c r="F705" s="43"/>
      <c r="G705" s="46" t="str">
        <f>IF(AND(A705&lt;&gt;"",F705&gt;1),IF(TRANSACTIONS!$E705=RAPPORTS!$F$9,0,IF(OR(TRANSACTIONS!$D705=RAPPORTS!$A$13,TRANSACTIONS!$D705=RAPPORTS!#REF!),VLOOKUP(TRANSACTIONS!$F705,FRAIS_D_ENVOI,3,TRUE),0)),"")</f>
        <v/>
      </c>
      <c r="H705" s="46" t="str">
        <f>IFERROR(TRANSACTIONS!$F705+TRANSACTIONS!$G705,"")</f>
        <v/>
      </c>
      <c r="I705" s="44"/>
      <c r="J705" s="40" t="str">
        <f t="shared" si="10"/>
        <v/>
      </c>
    </row>
    <row r="706" spans="1:10" hidden="1" x14ac:dyDescent="0.25">
      <c r="A706" s="41"/>
      <c r="B706" s="48" t="str">
        <f>IF(A706&lt;&gt;"",DATE(YEAR(TRANSACTIONS!$A706),MONTH(TRANSACTIONS!$A706),DAY(TRANSACTIONS!$A706)),"")</f>
        <v/>
      </c>
      <c r="C706" s="49" t="str">
        <f>IF(A706&lt;&gt;"",TIME(HOUR(TRANSACTIONS!$A706),MINUTE(TRANSACTIONS!$A706),SECOND(TRANSACTIONS!$A706)),"")</f>
        <v/>
      </c>
      <c r="D706" s="42"/>
      <c r="E706" s="42"/>
      <c r="F706" s="43"/>
      <c r="G706" s="46" t="str">
        <f>IF(AND(A706&lt;&gt;"",F706&gt;1),IF(TRANSACTIONS!$E706=RAPPORTS!$F$9,0,IF(OR(TRANSACTIONS!$D706=RAPPORTS!$A$13,TRANSACTIONS!$D706=RAPPORTS!#REF!),VLOOKUP(TRANSACTIONS!$F706,FRAIS_D_ENVOI,3,TRUE),0)),"")</f>
        <v/>
      </c>
      <c r="H706" s="46" t="str">
        <f>IFERROR(TRANSACTIONS!$F706+TRANSACTIONS!$G706,"")</f>
        <v/>
      </c>
      <c r="I706" s="44"/>
      <c r="J706" s="40" t="str">
        <f t="shared" si="10"/>
        <v/>
      </c>
    </row>
    <row r="707" spans="1:10" hidden="1" x14ac:dyDescent="0.25">
      <c r="A707" s="41"/>
      <c r="B707" s="48" t="str">
        <f>IF(A707&lt;&gt;"",DATE(YEAR(TRANSACTIONS!$A707),MONTH(TRANSACTIONS!$A707),DAY(TRANSACTIONS!$A707)),"")</f>
        <v/>
      </c>
      <c r="C707" s="49" t="str">
        <f>IF(A707&lt;&gt;"",TIME(HOUR(TRANSACTIONS!$A707),MINUTE(TRANSACTIONS!$A707),SECOND(TRANSACTIONS!$A707)),"")</f>
        <v/>
      </c>
      <c r="D707" s="42"/>
      <c r="E707" s="42"/>
      <c r="F707" s="43"/>
      <c r="G707" s="46" t="str">
        <f>IF(AND(A707&lt;&gt;"",F707&gt;1),IF(TRANSACTIONS!$E707=RAPPORTS!$F$9,0,IF(OR(TRANSACTIONS!$D707=RAPPORTS!$A$13,TRANSACTIONS!$D707=RAPPORTS!#REF!),VLOOKUP(TRANSACTIONS!$F707,FRAIS_D_ENVOI,3,TRUE),0)),"")</f>
        <v/>
      </c>
      <c r="H707" s="46" t="str">
        <f>IFERROR(TRANSACTIONS!$F707+TRANSACTIONS!$G707,"")</f>
        <v/>
      </c>
      <c r="I707" s="44"/>
      <c r="J707" s="40" t="str">
        <f t="shared" si="10"/>
        <v/>
      </c>
    </row>
    <row r="708" spans="1:10" hidden="1" x14ac:dyDescent="0.25">
      <c r="A708" s="41"/>
      <c r="B708" s="48" t="str">
        <f>IF(A708&lt;&gt;"",DATE(YEAR(TRANSACTIONS!$A708),MONTH(TRANSACTIONS!$A708),DAY(TRANSACTIONS!$A708)),"")</f>
        <v/>
      </c>
      <c r="C708" s="49" t="str">
        <f>IF(A708&lt;&gt;"",TIME(HOUR(TRANSACTIONS!$A708),MINUTE(TRANSACTIONS!$A708),SECOND(TRANSACTIONS!$A708)),"")</f>
        <v/>
      </c>
      <c r="D708" s="42"/>
      <c r="E708" s="42"/>
      <c r="F708" s="43"/>
      <c r="G708" s="46" t="str">
        <f>IF(AND(A708&lt;&gt;"",F708&gt;1),IF(TRANSACTIONS!$E708=RAPPORTS!$F$9,0,IF(OR(TRANSACTIONS!$D708=RAPPORTS!$A$13,TRANSACTIONS!$D708=RAPPORTS!#REF!),VLOOKUP(TRANSACTIONS!$F708,FRAIS_D_ENVOI,3,TRUE),0)),"")</f>
        <v/>
      </c>
      <c r="H708" s="46" t="str">
        <f>IFERROR(TRANSACTIONS!$F708+TRANSACTIONS!$G708,"")</f>
        <v/>
      </c>
      <c r="I708" s="44"/>
      <c r="J708" s="40" t="str">
        <f t="shared" ref="J708:J771" si="11">IF(G708&lt;&gt;"",$J$1*G708,"")</f>
        <v/>
      </c>
    </row>
    <row r="709" spans="1:10" hidden="1" x14ac:dyDescent="0.25">
      <c r="A709" s="41"/>
      <c r="B709" s="48" t="str">
        <f>IF(A709&lt;&gt;"",DATE(YEAR(TRANSACTIONS!$A709),MONTH(TRANSACTIONS!$A709),DAY(TRANSACTIONS!$A709)),"")</f>
        <v/>
      </c>
      <c r="C709" s="49" t="str">
        <f>IF(A709&lt;&gt;"",TIME(HOUR(TRANSACTIONS!$A709),MINUTE(TRANSACTIONS!$A709),SECOND(TRANSACTIONS!$A709)),"")</f>
        <v/>
      </c>
      <c r="D709" s="42"/>
      <c r="E709" s="42"/>
      <c r="F709" s="43"/>
      <c r="G709" s="46" t="str">
        <f>IF(AND(A709&lt;&gt;"",F709&gt;1),IF(TRANSACTIONS!$E709=RAPPORTS!$F$9,0,IF(OR(TRANSACTIONS!$D709=RAPPORTS!$A$13,TRANSACTIONS!$D709=RAPPORTS!#REF!),VLOOKUP(TRANSACTIONS!$F709,FRAIS_D_ENVOI,3,TRUE),0)),"")</f>
        <v/>
      </c>
      <c r="H709" s="46" t="str">
        <f>IFERROR(TRANSACTIONS!$F709+TRANSACTIONS!$G709,"")</f>
        <v/>
      </c>
      <c r="I709" s="44"/>
      <c r="J709" s="40" t="str">
        <f t="shared" si="11"/>
        <v/>
      </c>
    </row>
    <row r="710" spans="1:10" hidden="1" x14ac:dyDescent="0.25">
      <c r="A710" s="41"/>
      <c r="B710" s="48" t="str">
        <f>IF(A710&lt;&gt;"",DATE(YEAR(TRANSACTIONS!$A710),MONTH(TRANSACTIONS!$A710),DAY(TRANSACTIONS!$A710)),"")</f>
        <v/>
      </c>
      <c r="C710" s="49" t="str">
        <f>IF(A710&lt;&gt;"",TIME(HOUR(TRANSACTIONS!$A710),MINUTE(TRANSACTIONS!$A710),SECOND(TRANSACTIONS!$A710)),"")</f>
        <v/>
      </c>
      <c r="D710" s="42"/>
      <c r="E710" s="42"/>
      <c r="F710" s="43"/>
      <c r="G710" s="46" t="str">
        <f>IF(AND(A710&lt;&gt;"",F710&gt;1),IF(TRANSACTIONS!$E710=RAPPORTS!$F$9,0,IF(OR(TRANSACTIONS!$D710=RAPPORTS!$A$13,TRANSACTIONS!$D710=RAPPORTS!#REF!),VLOOKUP(TRANSACTIONS!$F710,FRAIS_D_ENVOI,3,TRUE),0)),"")</f>
        <v/>
      </c>
      <c r="H710" s="46" t="str">
        <f>IFERROR(TRANSACTIONS!$F710+TRANSACTIONS!$G710,"")</f>
        <v/>
      </c>
      <c r="I710" s="44"/>
      <c r="J710" s="40" t="str">
        <f t="shared" si="11"/>
        <v/>
      </c>
    </row>
    <row r="711" spans="1:10" hidden="1" x14ac:dyDescent="0.25">
      <c r="A711" s="41"/>
      <c r="B711" s="48" t="str">
        <f>IF(A711&lt;&gt;"",DATE(YEAR(TRANSACTIONS!$A711),MONTH(TRANSACTIONS!$A711),DAY(TRANSACTIONS!$A711)),"")</f>
        <v/>
      </c>
      <c r="C711" s="49" t="str">
        <f>IF(A711&lt;&gt;"",TIME(HOUR(TRANSACTIONS!$A711),MINUTE(TRANSACTIONS!$A711),SECOND(TRANSACTIONS!$A711)),"")</f>
        <v/>
      </c>
      <c r="D711" s="42"/>
      <c r="E711" s="42"/>
      <c r="F711" s="43"/>
      <c r="G711" s="46" t="str">
        <f>IF(AND(A711&lt;&gt;"",F711&gt;1),IF(TRANSACTIONS!$E711=RAPPORTS!$F$9,0,IF(OR(TRANSACTIONS!$D711=RAPPORTS!$A$13,TRANSACTIONS!$D711=RAPPORTS!#REF!),VLOOKUP(TRANSACTIONS!$F711,FRAIS_D_ENVOI,3,TRUE),0)),"")</f>
        <v/>
      </c>
      <c r="H711" s="46" t="str">
        <f>IFERROR(TRANSACTIONS!$F711+TRANSACTIONS!$G711,"")</f>
        <v/>
      </c>
      <c r="I711" s="44"/>
      <c r="J711" s="40" t="str">
        <f t="shared" si="11"/>
        <v/>
      </c>
    </row>
    <row r="712" spans="1:10" hidden="1" x14ac:dyDescent="0.25">
      <c r="A712" s="41"/>
      <c r="B712" s="48" t="str">
        <f>IF(A712&lt;&gt;"",DATE(YEAR(TRANSACTIONS!$A712),MONTH(TRANSACTIONS!$A712),DAY(TRANSACTIONS!$A712)),"")</f>
        <v/>
      </c>
      <c r="C712" s="49" t="str">
        <f>IF(A712&lt;&gt;"",TIME(HOUR(TRANSACTIONS!$A712),MINUTE(TRANSACTIONS!$A712),SECOND(TRANSACTIONS!$A712)),"")</f>
        <v/>
      </c>
      <c r="D712" s="42"/>
      <c r="E712" s="42"/>
      <c r="F712" s="43"/>
      <c r="G712" s="46" t="str">
        <f>IF(AND(A712&lt;&gt;"",F712&gt;1),IF(TRANSACTIONS!$E712=RAPPORTS!$F$9,0,IF(OR(TRANSACTIONS!$D712=RAPPORTS!$A$13,TRANSACTIONS!$D712=RAPPORTS!#REF!),VLOOKUP(TRANSACTIONS!$F712,FRAIS_D_ENVOI,3,TRUE),0)),"")</f>
        <v/>
      </c>
      <c r="H712" s="46" t="str">
        <f>IFERROR(TRANSACTIONS!$F712+TRANSACTIONS!$G712,"")</f>
        <v/>
      </c>
      <c r="I712" s="44"/>
      <c r="J712" s="40" t="str">
        <f t="shared" si="11"/>
        <v/>
      </c>
    </row>
    <row r="713" spans="1:10" hidden="1" x14ac:dyDescent="0.25">
      <c r="A713" s="41"/>
      <c r="B713" s="48" t="str">
        <f>IF(A713&lt;&gt;"",DATE(YEAR(TRANSACTIONS!$A713),MONTH(TRANSACTIONS!$A713),DAY(TRANSACTIONS!$A713)),"")</f>
        <v/>
      </c>
      <c r="C713" s="49" t="str">
        <f>IF(A713&lt;&gt;"",TIME(HOUR(TRANSACTIONS!$A713),MINUTE(TRANSACTIONS!$A713),SECOND(TRANSACTIONS!$A713)),"")</f>
        <v/>
      </c>
      <c r="D713" s="42"/>
      <c r="E713" s="42"/>
      <c r="F713" s="43"/>
      <c r="G713" s="46" t="str">
        <f>IF(AND(A713&lt;&gt;"",F713&gt;1),IF(TRANSACTIONS!$E713=RAPPORTS!$F$9,0,IF(OR(TRANSACTIONS!$D713=RAPPORTS!$A$13,TRANSACTIONS!$D713=RAPPORTS!#REF!),VLOOKUP(TRANSACTIONS!$F713,FRAIS_D_ENVOI,3,TRUE),0)),"")</f>
        <v/>
      </c>
      <c r="H713" s="46" t="str">
        <f>IFERROR(TRANSACTIONS!$F713+TRANSACTIONS!$G713,"")</f>
        <v/>
      </c>
      <c r="I713" s="44"/>
      <c r="J713" s="40" t="str">
        <f t="shared" si="11"/>
        <v/>
      </c>
    </row>
    <row r="714" spans="1:10" hidden="1" x14ac:dyDescent="0.25">
      <c r="A714" s="41"/>
      <c r="B714" s="48" t="str">
        <f>IF(A714&lt;&gt;"",DATE(YEAR(TRANSACTIONS!$A714),MONTH(TRANSACTIONS!$A714),DAY(TRANSACTIONS!$A714)),"")</f>
        <v/>
      </c>
      <c r="C714" s="49" t="str">
        <f>IF(A714&lt;&gt;"",TIME(HOUR(TRANSACTIONS!$A714),MINUTE(TRANSACTIONS!$A714),SECOND(TRANSACTIONS!$A714)),"")</f>
        <v/>
      </c>
      <c r="D714" s="42"/>
      <c r="E714" s="42"/>
      <c r="F714" s="43"/>
      <c r="G714" s="46" t="str">
        <f>IF(AND(A714&lt;&gt;"",F714&gt;1),IF(TRANSACTIONS!$E714=RAPPORTS!$F$9,0,IF(OR(TRANSACTIONS!$D714=RAPPORTS!$A$13,TRANSACTIONS!$D714=RAPPORTS!#REF!),VLOOKUP(TRANSACTIONS!$F714,FRAIS_D_ENVOI,3,TRUE),0)),"")</f>
        <v/>
      </c>
      <c r="H714" s="46" t="str">
        <f>IFERROR(TRANSACTIONS!$F714+TRANSACTIONS!$G714,"")</f>
        <v/>
      </c>
      <c r="I714" s="44"/>
      <c r="J714" s="40" t="str">
        <f t="shared" si="11"/>
        <v/>
      </c>
    </row>
    <row r="715" spans="1:10" hidden="1" x14ac:dyDescent="0.25">
      <c r="A715" s="41"/>
      <c r="B715" s="48" t="str">
        <f>IF(A715&lt;&gt;"",DATE(YEAR(TRANSACTIONS!$A715),MONTH(TRANSACTIONS!$A715),DAY(TRANSACTIONS!$A715)),"")</f>
        <v/>
      </c>
      <c r="C715" s="49" t="str">
        <f>IF(A715&lt;&gt;"",TIME(HOUR(TRANSACTIONS!$A715),MINUTE(TRANSACTIONS!$A715),SECOND(TRANSACTIONS!$A715)),"")</f>
        <v/>
      </c>
      <c r="D715" s="42"/>
      <c r="E715" s="42"/>
      <c r="F715" s="43"/>
      <c r="G715" s="46" t="str">
        <f>IF(AND(A715&lt;&gt;"",F715&gt;1),IF(TRANSACTIONS!$E715=RAPPORTS!$F$9,0,IF(OR(TRANSACTIONS!$D715=RAPPORTS!$A$13,TRANSACTIONS!$D715=RAPPORTS!#REF!),VLOOKUP(TRANSACTIONS!$F715,FRAIS_D_ENVOI,3,TRUE),0)),"")</f>
        <v/>
      </c>
      <c r="H715" s="46" t="str">
        <f>IFERROR(TRANSACTIONS!$F715+TRANSACTIONS!$G715,"")</f>
        <v/>
      </c>
      <c r="I715" s="44"/>
      <c r="J715" s="40" t="str">
        <f t="shared" si="11"/>
        <v/>
      </c>
    </row>
    <row r="716" spans="1:10" hidden="1" x14ac:dyDescent="0.25">
      <c r="A716" s="41"/>
      <c r="B716" s="48" t="str">
        <f>IF(A716&lt;&gt;"",DATE(YEAR(TRANSACTIONS!$A716),MONTH(TRANSACTIONS!$A716),DAY(TRANSACTIONS!$A716)),"")</f>
        <v/>
      </c>
      <c r="C716" s="49" t="str">
        <f>IF(A716&lt;&gt;"",TIME(HOUR(TRANSACTIONS!$A716),MINUTE(TRANSACTIONS!$A716),SECOND(TRANSACTIONS!$A716)),"")</f>
        <v/>
      </c>
      <c r="D716" s="42"/>
      <c r="E716" s="42"/>
      <c r="F716" s="43"/>
      <c r="G716" s="46" t="str">
        <f>IF(AND(A716&lt;&gt;"",F716&gt;1),IF(TRANSACTIONS!$E716=RAPPORTS!$F$9,0,IF(OR(TRANSACTIONS!$D716=RAPPORTS!$A$13,TRANSACTIONS!$D716=RAPPORTS!#REF!),VLOOKUP(TRANSACTIONS!$F716,FRAIS_D_ENVOI,3,TRUE),0)),"")</f>
        <v/>
      </c>
      <c r="H716" s="46" t="str">
        <f>IFERROR(TRANSACTIONS!$F716+TRANSACTIONS!$G716,"")</f>
        <v/>
      </c>
      <c r="I716" s="44"/>
      <c r="J716" s="40" t="str">
        <f t="shared" si="11"/>
        <v/>
      </c>
    </row>
    <row r="717" spans="1:10" hidden="1" x14ac:dyDescent="0.25">
      <c r="A717" s="41"/>
      <c r="B717" s="48" t="str">
        <f>IF(A717&lt;&gt;"",DATE(YEAR(TRANSACTIONS!$A717),MONTH(TRANSACTIONS!$A717),DAY(TRANSACTIONS!$A717)),"")</f>
        <v/>
      </c>
      <c r="C717" s="49" t="str">
        <f>IF(A717&lt;&gt;"",TIME(HOUR(TRANSACTIONS!$A717),MINUTE(TRANSACTIONS!$A717),SECOND(TRANSACTIONS!$A717)),"")</f>
        <v/>
      </c>
      <c r="D717" s="42"/>
      <c r="E717" s="42"/>
      <c r="F717" s="43"/>
      <c r="G717" s="46" t="str">
        <f>IF(AND(A717&lt;&gt;"",F717&gt;1),IF(TRANSACTIONS!$E717=RAPPORTS!$F$9,0,IF(OR(TRANSACTIONS!$D717=RAPPORTS!$A$13,TRANSACTIONS!$D717=RAPPORTS!#REF!),VLOOKUP(TRANSACTIONS!$F717,FRAIS_D_ENVOI,3,TRUE),0)),"")</f>
        <v/>
      </c>
      <c r="H717" s="46" t="str">
        <f>IFERROR(TRANSACTIONS!$F717+TRANSACTIONS!$G717,"")</f>
        <v/>
      </c>
      <c r="I717" s="44"/>
      <c r="J717" s="40" t="str">
        <f t="shared" si="11"/>
        <v/>
      </c>
    </row>
    <row r="718" spans="1:10" hidden="1" x14ac:dyDescent="0.25">
      <c r="A718" s="41"/>
      <c r="B718" s="48" t="str">
        <f>IF(A718&lt;&gt;"",DATE(YEAR(TRANSACTIONS!$A718),MONTH(TRANSACTIONS!$A718),DAY(TRANSACTIONS!$A718)),"")</f>
        <v/>
      </c>
      <c r="C718" s="49" t="str">
        <f>IF(A718&lt;&gt;"",TIME(HOUR(TRANSACTIONS!$A718),MINUTE(TRANSACTIONS!$A718),SECOND(TRANSACTIONS!$A718)),"")</f>
        <v/>
      </c>
      <c r="D718" s="42"/>
      <c r="E718" s="42"/>
      <c r="F718" s="43"/>
      <c r="G718" s="46" t="str">
        <f>IF(AND(A718&lt;&gt;"",F718&gt;1),IF(TRANSACTIONS!$E718=RAPPORTS!$F$9,0,IF(OR(TRANSACTIONS!$D718=RAPPORTS!$A$13,TRANSACTIONS!$D718=RAPPORTS!#REF!),VLOOKUP(TRANSACTIONS!$F718,FRAIS_D_ENVOI,3,TRUE),0)),"")</f>
        <v/>
      </c>
      <c r="H718" s="46" t="str">
        <f>IFERROR(TRANSACTIONS!$F718+TRANSACTIONS!$G718,"")</f>
        <v/>
      </c>
      <c r="I718" s="44"/>
      <c r="J718" s="40" t="str">
        <f t="shared" si="11"/>
        <v/>
      </c>
    </row>
    <row r="719" spans="1:10" hidden="1" x14ac:dyDescent="0.25">
      <c r="A719" s="41"/>
      <c r="B719" s="48" t="str">
        <f>IF(A719&lt;&gt;"",DATE(YEAR(TRANSACTIONS!$A719),MONTH(TRANSACTIONS!$A719),DAY(TRANSACTIONS!$A719)),"")</f>
        <v/>
      </c>
      <c r="C719" s="49" t="str">
        <f>IF(A719&lt;&gt;"",TIME(HOUR(TRANSACTIONS!$A719),MINUTE(TRANSACTIONS!$A719),SECOND(TRANSACTIONS!$A719)),"")</f>
        <v/>
      </c>
      <c r="D719" s="42"/>
      <c r="E719" s="42"/>
      <c r="F719" s="43"/>
      <c r="G719" s="46" t="str">
        <f>IF(AND(A719&lt;&gt;"",F719&gt;1),IF(TRANSACTIONS!$E719=RAPPORTS!$F$9,0,IF(OR(TRANSACTIONS!$D719=RAPPORTS!$A$13,TRANSACTIONS!$D719=RAPPORTS!#REF!),VLOOKUP(TRANSACTIONS!$F719,FRAIS_D_ENVOI,3,TRUE),0)),"")</f>
        <v/>
      </c>
      <c r="H719" s="46" t="str">
        <f>IFERROR(TRANSACTIONS!$F719+TRANSACTIONS!$G719,"")</f>
        <v/>
      </c>
      <c r="I719" s="44"/>
      <c r="J719" s="40" t="str">
        <f t="shared" si="11"/>
        <v/>
      </c>
    </row>
    <row r="720" spans="1:10" hidden="1" x14ac:dyDescent="0.25">
      <c r="A720" s="41"/>
      <c r="B720" s="48" t="str">
        <f>IF(A720&lt;&gt;"",DATE(YEAR(TRANSACTIONS!$A720),MONTH(TRANSACTIONS!$A720),DAY(TRANSACTIONS!$A720)),"")</f>
        <v/>
      </c>
      <c r="C720" s="49" t="str">
        <f>IF(A720&lt;&gt;"",TIME(HOUR(TRANSACTIONS!$A720),MINUTE(TRANSACTIONS!$A720),SECOND(TRANSACTIONS!$A720)),"")</f>
        <v/>
      </c>
      <c r="D720" s="42"/>
      <c r="E720" s="42"/>
      <c r="F720" s="43"/>
      <c r="G720" s="46" t="str">
        <f>IF(AND(A720&lt;&gt;"",F720&gt;1),IF(TRANSACTIONS!$E720=RAPPORTS!$F$9,0,IF(OR(TRANSACTIONS!$D720=RAPPORTS!$A$13,TRANSACTIONS!$D720=RAPPORTS!#REF!),VLOOKUP(TRANSACTIONS!$F720,FRAIS_D_ENVOI,3,TRUE),0)),"")</f>
        <v/>
      </c>
      <c r="H720" s="46" t="str">
        <f>IFERROR(TRANSACTIONS!$F720+TRANSACTIONS!$G720,"")</f>
        <v/>
      </c>
      <c r="I720" s="44"/>
      <c r="J720" s="40" t="str">
        <f t="shared" si="11"/>
        <v/>
      </c>
    </row>
    <row r="721" spans="1:10" hidden="1" x14ac:dyDescent="0.25">
      <c r="A721" s="41"/>
      <c r="B721" s="48" t="str">
        <f>IF(A721&lt;&gt;"",DATE(YEAR(TRANSACTIONS!$A721),MONTH(TRANSACTIONS!$A721),DAY(TRANSACTIONS!$A721)),"")</f>
        <v/>
      </c>
      <c r="C721" s="49" t="str">
        <f>IF(A721&lt;&gt;"",TIME(HOUR(TRANSACTIONS!$A721),MINUTE(TRANSACTIONS!$A721),SECOND(TRANSACTIONS!$A721)),"")</f>
        <v/>
      </c>
      <c r="D721" s="42"/>
      <c r="E721" s="42"/>
      <c r="F721" s="43"/>
      <c r="G721" s="46" t="str">
        <f>IF(AND(A721&lt;&gt;"",F721&gt;1),IF(TRANSACTIONS!$E721=RAPPORTS!$F$9,0,IF(OR(TRANSACTIONS!$D721=RAPPORTS!$A$13,TRANSACTIONS!$D721=RAPPORTS!#REF!),VLOOKUP(TRANSACTIONS!$F721,FRAIS_D_ENVOI,3,TRUE),0)),"")</f>
        <v/>
      </c>
      <c r="H721" s="46" t="str">
        <f>IFERROR(TRANSACTIONS!$F721+TRANSACTIONS!$G721,"")</f>
        <v/>
      </c>
      <c r="I721" s="44"/>
      <c r="J721" s="40" t="str">
        <f t="shared" si="11"/>
        <v/>
      </c>
    </row>
    <row r="722" spans="1:10" hidden="1" x14ac:dyDescent="0.25">
      <c r="A722" s="41"/>
      <c r="B722" s="48" t="str">
        <f>IF(A722&lt;&gt;"",DATE(YEAR(TRANSACTIONS!$A722),MONTH(TRANSACTIONS!$A722),DAY(TRANSACTIONS!$A722)),"")</f>
        <v/>
      </c>
      <c r="C722" s="49" t="str">
        <f>IF(A722&lt;&gt;"",TIME(HOUR(TRANSACTIONS!$A722),MINUTE(TRANSACTIONS!$A722),SECOND(TRANSACTIONS!$A722)),"")</f>
        <v/>
      </c>
      <c r="D722" s="42"/>
      <c r="E722" s="42"/>
      <c r="F722" s="43"/>
      <c r="G722" s="46" t="str">
        <f>IF(AND(A722&lt;&gt;"",F722&gt;1),IF(TRANSACTIONS!$E722=RAPPORTS!$F$9,0,IF(OR(TRANSACTIONS!$D722=RAPPORTS!$A$13,TRANSACTIONS!$D722=RAPPORTS!#REF!),VLOOKUP(TRANSACTIONS!$F722,FRAIS_D_ENVOI,3,TRUE),0)),"")</f>
        <v/>
      </c>
      <c r="H722" s="46" t="str">
        <f>IFERROR(TRANSACTIONS!$F722+TRANSACTIONS!$G722,"")</f>
        <v/>
      </c>
      <c r="I722" s="44"/>
      <c r="J722" s="40" t="str">
        <f t="shared" si="11"/>
        <v/>
      </c>
    </row>
    <row r="723" spans="1:10" hidden="1" x14ac:dyDescent="0.25">
      <c r="A723" s="41"/>
      <c r="B723" s="48" t="str">
        <f>IF(A723&lt;&gt;"",DATE(YEAR(TRANSACTIONS!$A723),MONTH(TRANSACTIONS!$A723),DAY(TRANSACTIONS!$A723)),"")</f>
        <v/>
      </c>
      <c r="C723" s="49" t="str">
        <f>IF(A723&lt;&gt;"",TIME(HOUR(TRANSACTIONS!$A723),MINUTE(TRANSACTIONS!$A723),SECOND(TRANSACTIONS!$A723)),"")</f>
        <v/>
      </c>
      <c r="D723" s="42"/>
      <c r="E723" s="42"/>
      <c r="F723" s="43"/>
      <c r="G723" s="46" t="str">
        <f>IF(AND(A723&lt;&gt;"",F723&gt;1),IF(TRANSACTIONS!$E723=RAPPORTS!$F$9,0,IF(OR(TRANSACTIONS!$D723=RAPPORTS!$A$13,TRANSACTIONS!$D723=RAPPORTS!#REF!),VLOOKUP(TRANSACTIONS!$F723,FRAIS_D_ENVOI,3,TRUE),0)),"")</f>
        <v/>
      </c>
      <c r="H723" s="46" t="str">
        <f>IFERROR(TRANSACTIONS!$F723+TRANSACTIONS!$G723,"")</f>
        <v/>
      </c>
      <c r="I723" s="44"/>
      <c r="J723" s="40" t="str">
        <f t="shared" si="11"/>
        <v/>
      </c>
    </row>
    <row r="724" spans="1:10" hidden="1" x14ac:dyDescent="0.25">
      <c r="A724" s="41"/>
      <c r="B724" s="48" t="str">
        <f>IF(A724&lt;&gt;"",DATE(YEAR(TRANSACTIONS!$A724),MONTH(TRANSACTIONS!$A724),DAY(TRANSACTIONS!$A724)),"")</f>
        <v/>
      </c>
      <c r="C724" s="49" t="str">
        <f>IF(A724&lt;&gt;"",TIME(HOUR(TRANSACTIONS!$A724),MINUTE(TRANSACTIONS!$A724),SECOND(TRANSACTIONS!$A724)),"")</f>
        <v/>
      </c>
      <c r="D724" s="42"/>
      <c r="E724" s="42"/>
      <c r="F724" s="43"/>
      <c r="G724" s="46" t="str">
        <f>IF(AND(A724&lt;&gt;"",F724&gt;1),IF(TRANSACTIONS!$E724=RAPPORTS!$F$9,0,IF(OR(TRANSACTIONS!$D724=RAPPORTS!$A$13,TRANSACTIONS!$D724=RAPPORTS!#REF!),VLOOKUP(TRANSACTIONS!$F724,FRAIS_D_ENVOI,3,TRUE),0)),"")</f>
        <v/>
      </c>
      <c r="H724" s="46" t="str">
        <f>IFERROR(TRANSACTIONS!$F724+TRANSACTIONS!$G724,"")</f>
        <v/>
      </c>
      <c r="I724" s="44"/>
      <c r="J724" s="40" t="str">
        <f t="shared" si="11"/>
        <v/>
      </c>
    </row>
    <row r="725" spans="1:10" hidden="1" x14ac:dyDescent="0.25">
      <c r="A725" s="41"/>
      <c r="B725" s="48" t="str">
        <f>IF(A725&lt;&gt;"",DATE(YEAR(TRANSACTIONS!$A725),MONTH(TRANSACTIONS!$A725),DAY(TRANSACTIONS!$A725)),"")</f>
        <v/>
      </c>
      <c r="C725" s="49" t="str">
        <f>IF(A725&lt;&gt;"",TIME(HOUR(TRANSACTIONS!$A725),MINUTE(TRANSACTIONS!$A725),SECOND(TRANSACTIONS!$A725)),"")</f>
        <v/>
      </c>
      <c r="D725" s="42"/>
      <c r="E725" s="42"/>
      <c r="F725" s="43"/>
      <c r="G725" s="46" t="str">
        <f>IF(AND(A725&lt;&gt;"",F725&gt;1),IF(TRANSACTIONS!$E725=RAPPORTS!$F$9,0,IF(OR(TRANSACTIONS!$D725=RAPPORTS!$A$13,TRANSACTIONS!$D725=RAPPORTS!#REF!),VLOOKUP(TRANSACTIONS!$F725,FRAIS_D_ENVOI,3,TRUE),0)),"")</f>
        <v/>
      </c>
      <c r="H725" s="46" t="str">
        <f>IFERROR(TRANSACTIONS!$F725+TRANSACTIONS!$G725,"")</f>
        <v/>
      </c>
      <c r="I725" s="44"/>
      <c r="J725" s="40" t="str">
        <f t="shared" si="11"/>
        <v/>
      </c>
    </row>
    <row r="726" spans="1:10" hidden="1" x14ac:dyDescent="0.25">
      <c r="A726" s="41"/>
      <c r="B726" s="48" t="str">
        <f>IF(A726&lt;&gt;"",DATE(YEAR(TRANSACTIONS!$A726),MONTH(TRANSACTIONS!$A726),DAY(TRANSACTIONS!$A726)),"")</f>
        <v/>
      </c>
      <c r="C726" s="49" t="str">
        <f>IF(A726&lt;&gt;"",TIME(HOUR(TRANSACTIONS!$A726),MINUTE(TRANSACTIONS!$A726),SECOND(TRANSACTIONS!$A726)),"")</f>
        <v/>
      </c>
      <c r="D726" s="42"/>
      <c r="E726" s="42"/>
      <c r="F726" s="43"/>
      <c r="G726" s="46" t="str">
        <f>IF(AND(A726&lt;&gt;"",F726&gt;1),IF(TRANSACTIONS!$E726=RAPPORTS!$F$9,0,IF(OR(TRANSACTIONS!$D726=RAPPORTS!$A$13,TRANSACTIONS!$D726=RAPPORTS!#REF!),VLOOKUP(TRANSACTIONS!$F726,FRAIS_D_ENVOI,3,TRUE),0)),"")</f>
        <v/>
      </c>
      <c r="H726" s="46" t="str">
        <f>IFERROR(TRANSACTIONS!$F726+TRANSACTIONS!$G726,"")</f>
        <v/>
      </c>
      <c r="I726" s="44"/>
      <c r="J726" s="40" t="str">
        <f t="shared" si="11"/>
        <v/>
      </c>
    </row>
    <row r="727" spans="1:10" hidden="1" x14ac:dyDescent="0.25">
      <c r="A727" s="41"/>
      <c r="B727" s="48" t="str">
        <f>IF(A727&lt;&gt;"",DATE(YEAR(TRANSACTIONS!$A727),MONTH(TRANSACTIONS!$A727),DAY(TRANSACTIONS!$A727)),"")</f>
        <v/>
      </c>
      <c r="C727" s="49" t="str">
        <f>IF(A727&lt;&gt;"",TIME(HOUR(TRANSACTIONS!$A727),MINUTE(TRANSACTIONS!$A727),SECOND(TRANSACTIONS!$A727)),"")</f>
        <v/>
      </c>
      <c r="D727" s="42"/>
      <c r="E727" s="42"/>
      <c r="F727" s="43"/>
      <c r="G727" s="46" t="str">
        <f>IF(AND(A727&lt;&gt;"",F727&gt;1),IF(TRANSACTIONS!$E727=RAPPORTS!$F$9,0,IF(OR(TRANSACTIONS!$D727=RAPPORTS!$A$13,TRANSACTIONS!$D727=RAPPORTS!#REF!),VLOOKUP(TRANSACTIONS!$F727,FRAIS_D_ENVOI,3,TRUE),0)),"")</f>
        <v/>
      </c>
      <c r="H727" s="46" t="str">
        <f>IFERROR(TRANSACTIONS!$F727+TRANSACTIONS!$G727,"")</f>
        <v/>
      </c>
      <c r="I727" s="44"/>
      <c r="J727" s="40" t="str">
        <f t="shared" si="11"/>
        <v/>
      </c>
    </row>
    <row r="728" spans="1:10" hidden="1" x14ac:dyDescent="0.25">
      <c r="A728" s="41"/>
      <c r="B728" s="48" t="str">
        <f>IF(A728&lt;&gt;"",DATE(YEAR(TRANSACTIONS!$A728),MONTH(TRANSACTIONS!$A728),DAY(TRANSACTIONS!$A728)),"")</f>
        <v/>
      </c>
      <c r="C728" s="49" t="str">
        <f>IF(A728&lt;&gt;"",TIME(HOUR(TRANSACTIONS!$A728),MINUTE(TRANSACTIONS!$A728),SECOND(TRANSACTIONS!$A728)),"")</f>
        <v/>
      </c>
      <c r="D728" s="42"/>
      <c r="E728" s="42"/>
      <c r="F728" s="43"/>
      <c r="G728" s="46" t="str">
        <f>IF(AND(A728&lt;&gt;"",F728&gt;1),IF(TRANSACTIONS!$E728=RAPPORTS!$F$9,0,IF(OR(TRANSACTIONS!$D728=RAPPORTS!$A$13,TRANSACTIONS!$D728=RAPPORTS!#REF!),VLOOKUP(TRANSACTIONS!$F728,FRAIS_D_ENVOI,3,TRUE),0)),"")</f>
        <v/>
      </c>
      <c r="H728" s="46" t="str">
        <f>IFERROR(TRANSACTIONS!$F728+TRANSACTIONS!$G728,"")</f>
        <v/>
      </c>
      <c r="I728" s="44"/>
      <c r="J728" s="40" t="str">
        <f t="shared" si="11"/>
        <v/>
      </c>
    </row>
    <row r="729" spans="1:10" hidden="1" x14ac:dyDescent="0.25">
      <c r="A729" s="41"/>
      <c r="B729" s="48" t="str">
        <f>IF(A729&lt;&gt;"",DATE(YEAR(TRANSACTIONS!$A729),MONTH(TRANSACTIONS!$A729),DAY(TRANSACTIONS!$A729)),"")</f>
        <v/>
      </c>
      <c r="C729" s="49" t="str">
        <f>IF(A729&lt;&gt;"",TIME(HOUR(TRANSACTIONS!$A729),MINUTE(TRANSACTIONS!$A729),SECOND(TRANSACTIONS!$A729)),"")</f>
        <v/>
      </c>
      <c r="D729" s="42"/>
      <c r="E729" s="42"/>
      <c r="F729" s="43"/>
      <c r="G729" s="46" t="str">
        <f>IF(AND(A729&lt;&gt;"",F729&gt;1),IF(TRANSACTIONS!$E729=RAPPORTS!$F$9,0,IF(OR(TRANSACTIONS!$D729=RAPPORTS!$A$13,TRANSACTIONS!$D729=RAPPORTS!#REF!),VLOOKUP(TRANSACTIONS!$F729,FRAIS_D_ENVOI,3,TRUE),0)),"")</f>
        <v/>
      </c>
      <c r="H729" s="46" t="str">
        <f>IFERROR(TRANSACTIONS!$F729+TRANSACTIONS!$G729,"")</f>
        <v/>
      </c>
      <c r="I729" s="44"/>
      <c r="J729" s="40" t="str">
        <f t="shared" si="11"/>
        <v/>
      </c>
    </row>
    <row r="730" spans="1:10" hidden="1" x14ac:dyDescent="0.25">
      <c r="A730" s="41"/>
      <c r="B730" s="48" t="str">
        <f>IF(A730&lt;&gt;"",DATE(YEAR(TRANSACTIONS!$A730),MONTH(TRANSACTIONS!$A730),DAY(TRANSACTIONS!$A730)),"")</f>
        <v/>
      </c>
      <c r="C730" s="49" t="str">
        <f>IF(A730&lt;&gt;"",TIME(HOUR(TRANSACTIONS!$A730),MINUTE(TRANSACTIONS!$A730),SECOND(TRANSACTIONS!$A730)),"")</f>
        <v/>
      </c>
      <c r="D730" s="42"/>
      <c r="E730" s="42"/>
      <c r="F730" s="43"/>
      <c r="G730" s="46" t="str">
        <f>IF(AND(A730&lt;&gt;"",F730&gt;1),IF(TRANSACTIONS!$E730=RAPPORTS!$F$9,0,IF(OR(TRANSACTIONS!$D730=RAPPORTS!$A$13,TRANSACTIONS!$D730=RAPPORTS!#REF!),VLOOKUP(TRANSACTIONS!$F730,FRAIS_D_ENVOI,3,TRUE),0)),"")</f>
        <v/>
      </c>
      <c r="H730" s="46" t="str">
        <f>IFERROR(TRANSACTIONS!$F730+TRANSACTIONS!$G730,"")</f>
        <v/>
      </c>
      <c r="I730" s="44"/>
      <c r="J730" s="40" t="str">
        <f t="shared" si="11"/>
        <v/>
      </c>
    </row>
    <row r="731" spans="1:10" hidden="1" x14ac:dyDescent="0.25">
      <c r="A731" s="41"/>
      <c r="B731" s="48" t="str">
        <f>IF(A731&lt;&gt;"",DATE(YEAR(TRANSACTIONS!$A731),MONTH(TRANSACTIONS!$A731),DAY(TRANSACTIONS!$A731)),"")</f>
        <v/>
      </c>
      <c r="C731" s="49" t="str">
        <f>IF(A731&lt;&gt;"",TIME(HOUR(TRANSACTIONS!$A731),MINUTE(TRANSACTIONS!$A731),SECOND(TRANSACTIONS!$A731)),"")</f>
        <v/>
      </c>
      <c r="D731" s="42"/>
      <c r="E731" s="42"/>
      <c r="F731" s="43"/>
      <c r="G731" s="46" t="str">
        <f>IF(AND(A731&lt;&gt;"",F731&gt;1),IF(TRANSACTIONS!$E731=RAPPORTS!$F$9,0,IF(OR(TRANSACTIONS!$D731=RAPPORTS!$A$13,TRANSACTIONS!$D731=RAPPORTS!#REF!),VLOOKUP(TRANSACTIONS!$F731,FRAIS_D_ENVOI,3,TRUE),0)),"")</f>
        <v/>
      </c>
      <c r="H731" s="46" t="str">
        <f>IFERROR(TRANSACTIONS!$F731+TRANSACTIONS!$G731,"")</f>
        <v/>
      </c>
      <c r="I731" s="44"/>
      <c r="J731" s="40" t="str">
        <f t="shared" si="11"/>
        <v/>
      </c>
    </row>
    <row r="732" spans="1:10" hidden="1" x14ac:dyDescent="0.25">
      <c r="A732" s="41"/>
      <c r="B732" s="48" t="str">
        <f>IF(A732&lt;&gt;"",DATE(YEAR(TRANSACTIONS!$A732),MONTH(TRANSACTIONS!$A732),DAY(TRANSACTIONS!$A732)),"")</f>
        <v/>
      </c>
      <c r="C732" s="49" t="str">
        <f>IF(A732&lt;&gt;"",TIME(HOUR(TRANSACTIONS!$A732),MINUTE(TRANSACTIONS!$A732),SECOND(TRANSACTIONS!$A732)),"")</f>
        <v/>
      </c>
      <c r="D732" s="42"/>
      <c r="E732" s="42"/>
      <c r="F732" s="43"/>
      <c r="G732" s="46" t="str">
        <f>IF(AND(A732&lt;&gt;"",F732&gt;1),IF(TRANSACTIONS!$E732=RAPPORTS!$F$9,0,IF(OR(TRANSACTIONS!$D732=RAPPORTS!$A$13,TRANSACTIONS!$D732=RAPPORTS!#REF!),VLOOKUP(TRANSACTIONS!$F732,FRAIS_D_ENVOI,3,TRUE),0)),"")</f>
        <v/>
      </c>
      <c r="H732" s="46" t="str">
        <f>IFERROR(TRANSACTIONS!$F732+TRANSACTIONS!$G732,"")</f>
        <v/>
      </c>
      <c r="I732" s="44"/>
      <c r="J732" s="40" t="str">
        <f t="shared" si="11"/>
        <v/>
      </c>
    </row>
    <row r="733" spans="1:10" hidden="1" x14ac:dyDescent="0.25">
      <c r="A733" s="41"/>
      <c r="B733" s="48" t="str">
        <f>IF(A733&lt;&gt;"",DATE(YEAR(TRANSACTIONS!$A733),MONTH(TRANSACTIONS!$A733),DAY(TRANSACTIONS!$A733)),"")</f>
        <v/>
      </c>
      <c r="C733" s="49" t="str">
        <f>IF(A733&lt;&gt;"",TIME(HOUR(TRANSACTIONS!$A733),MINUTE(TRANSACTIONS!$A733),SECOND(TRANSACTIONS!$A733)),"")</f>
        <v/>
      </c>
      <c r="D733" s="42"/>
      <c r="E733" s="42"/>
      <c r="F733" s="43"/>
      <c r="G733" s="46" t="str">
        <f>IF(AND(A733&lt;&gt;"",F733&gt;1),IF(TRANSACTIONS!$E733=RAPPORTS!$F$9,0,IF(OR(TRANSACTIONS!$D733=RAPPORTS!$A$13,TRANSACTIONS!$D733=RAPPORTS!#REF!),VLOOKUP(TRANSACTIONS!$F733,FRAIS_D_ENVOI,3,TRUE),0)),"")</f>
        <v/>
      </c>
      <c r="H733" s="46" t="str">
        <f>IFERROR(TRANSACTIONS!$F733+TRANSACTIONS!$G733,"")</f>
        <v/>
      </c>
      <c r="I733" s="44"/>
      <c r="J733" s="40" t="str">
        <f t="shared" si="11"/>
        <v/>
      </c>
    </row>
    <row r="734" spans="1:10" hidden="1" x14ac:dyDescent="0.25">
      <c r="A734" s="41"/>
      <c r="B734" s="48" t="str">
        <f>IF(A734&lt;&gt;"",DATE(YEAR(TRANSACTIONS!$A734),MONTH(TRANSACTIONS!$A734),DAY(TRANSACTIONS!$A734)),"")</f>
        <v/>
      </c>
      <c r="C734" s="49" t="str">
        <f>IF(A734&lt;&gt;"",TIME(HOUR(TRANSACTIONS!$A734),MINUTE(TRANSACTIONS!$A734),SECOND(TRANSACTIONS!$A734)),"")</f>
        <v/>
      </c>
      <c r="D734" s="42"/>
      <c r="E734" s="42"/>
      <c r="F734" s="43"/>
      <c r="G734" s="46" t="str">
        <f>IF(AND(A734&lt;&gt;"",F734&gt;1),IF(TRANSACTIONS!$E734=RAPPORTS!$F$9,0,IF(OR(TRANSACTIONS!$D734=RAPPORTS!$A$13,TRANSACTIONS!$D734=RAPPORTS!#REF!),VLOOKUP(TRANSACTIONS!$F734,FRAIS_D_ENVOI,3,TRUE),0)),"")</f>
        <v/>
      </c>
      <c r="H734" s="46" t="str">
        <f>IFERROR(TRANSACTIONS!$F734+TRANSACTIONS!$G734,"")</f>
        <v/>
      </c>
      <c r="I734" s="44"/>
      <c r="J734" s="40" t="str">
        <f t="shared" si="11"/>
        <v/>
      </c>
    </row>
    <row r="735" spans="1:10" hidden="1" x14ac:dyDescent="0.25">
      <c r="A735" s="41"/>
      <c r="B735" s="48" t="str">
        <f>IF(A735&lt;&gt;"",DATE(YEAR(TRANSACTIONS!$A735),MONTH(TRANSACTIONS!$A735),DAY(TRANSACTIONS!$A735)),"")</f>
        <v/>
      </c>
      <c r="C735" s="49" t="str">
        <f>IF(A735&lt;&gt;"",TIME(HOUR(TRANSACTIONS!$A735),MINUTE(TRANSACTIONS!$A735),SECOND(TRANSACTIONS!$A735)),"")</f>
        <v/>
      </c>
      <c r="D735" s="42"/>
      <c r="E735" s="42"/>
      <c r="F735" s="43"/>
      <c r="G735" s="46" t="str">
        <f>IF(AND(A735&lt;&gt;"",F735&gt;1),IF(TRANSACTIONS!$E735=RAPPORTS!$F$9,0,IF(OR(TRANSACTIONS!$D735=RAPPORTS!$A$13,TRANSACTIONS!$D735=RAPPORTS!#REF!),VLOOKUP(TRANSACTIONS!$F735,FRAIS_D_ENVOI,3,TRUE),0)),"")</f>
        <v/>
      </c>
      <c r="H735" s="46" t="str">
        <f>IFERROR(TRANSACTIONS!$F735+TRANSACTIONS!$G735,"")</f>
        <v/>
      </c>
      <c r="I735" s="44"/>
      <c r="J735" s="40" t="str">
        <f t="shared" si="11"/>
        <v/>
      </c>
    </row>
    <row r="736" spans="1:10" hidden="1" x14ac:dyDescent="0.25">
      <c r="A736" s="41"/>
      <c r="B736" s="48" t="str">
        <f>IF(A736&lt;&gt;"",DATE(YEAR(TRANSACTIONS!$A736),MONTH(TRANSACTIONS!$A736),DAY(TRANSACTIONS!$A736)),"")</f>
        <v/>
      </c>
      <c r="C736" s="49" t="str">
        <f>IF(A736&lt;&gt;"",TIME(HOUR(TRANSACTIONS!$A736),MINUTE(TRANSACTIONS!$A736),SECOND(TRANSACTIONS!$A736)),"")</f>
        <v/>
      </c>
      <c r="D736" s="42"/>
      <c r="E736" s="42"/>
      <c r="F736" s="43"/>
      <c r="G736" s="46" t="str">
        <f>IF(AND(A736&lt;&gt;"",F736&gt;1),IF(TRANSACTIONS!$E736=RAPPORTS!$F$9,0,IF(OR(TRANSACTIONS!$D736=RAPPORTS!$A$13,TRANSACTIONS!$D736=RAPPORTS!#REF!),VLOOKUP(TRANSACTIONS!$F736,FRAIS_D_ENVOI,3,TRUE),0)),"")</f>
        <v/>
      </c>
      <c r="H736" s="46" t="str">
        <f>IFERROR(TRANSACTIONS!$F736+TRANSACTIONS!$G736,"")</f>
        <v/>
      </c>
      <c r="I736" s="44"/>
      <c r="J736" s="40" t="str">
        <f t="shared" si="11"/>
        <v/>
      </c>
    </row>
    <row r="737" spans="1:10" hidden="1" x14ac:dyDescent="0.25">
      <c r="A737" s="41"/>
      <c r="B737" s="48" t="str">
        <f>IF(A737&lt;&gt;"",DATE(YEAR(TRANSACTIONS!$A737),MONTH(TRANSACTIONS!$A737),DAY(TRANSACTIONS!$A737)),"")</f>
        <v/>
      </c>
      <c r="C737" s="49" t="str">
        <f>IF(A737&lt;&gt;"",TIME(HOUR(TRANSACTIONS!$A737),MINUTE(TRANSACTIONS!$A737),SECOND(TRANSACTIONS!$A737)),"")</f>
        <v/>
      </c>
      <c r="D737" s="42"/>
      <c r="E737" s="42"/>
      <c r="F737" s="43"/>
      <c r="G737" s="46" t="str">
        <f>IF(AND(A737&lt;&gt;"",F737&gt;1),IF(TRANSACTIONS!$E737=RAPPORTS!$F$9,0,IF(OR(TRANSACTIONS!$D737=RAPPORTS!$A$13,TRANSACTIONS!$D737=RAPPORTS!#REF!),VLOOKUP(TRANSACTIONS!$F737,FRAIS_D_ENVOI,3,TRUE),0)),"")</f>
        <v/>
      </c>
      <c r="H737" s="46" t="str">
        <f>IFERROR(TRANSACTIONS!$F737+TRANSACTIONS!$G737,"")</f>
        <v/>
      </c>
      <c r="I737" s="44"/>
      <c r="J737" s="40" t="str">
        <f t="shared" si="11"/>
        <v/>
      </c>
    </row>
    <row r="738" spans="1:10" hidden="1" x14ac:dyDescent="0.25">
      <c r="A738" s="41"/>
      <c r="B738" s="48" t="str">
        <f>IF(A738&lt;&gt;"",DATE(YEAR(TRANSACTIONS!$A738),MONTH(TRANSACTIONS!$A738),DAY(TRANSACTIONS!$A738)),"")</f>
        <v/>
      </c>
      <c r="C738" s="49" t="str">
        <f>IF(A738&lt;&gt;"",TIME(HOUR(TRANSACTIONS!$A738),MINUTE(TRANSACTIONS!$A738),SECOND(TRANSACTIONS!$A738)),"")</f>
        <v/>
      </c>
      <c r="D738" s="42"/>
      <c r="E738" s="42"/>
      <c r="F738" s="43"/>
      <c r="G738" s="46" t="str">
        <f>IF(AND(A738&lt;&gt;"",F738&gt;1),IF(TRANSACTIONS!$E738=RAPPORTS!$F$9,0,IF(OR(TRANSACTIONS!$D738=RAPPORTS!$A$13,TRANSACTIONS!$D738=RAPPORTS!#REF!),VLOOKUP(TRANSACTIONS!$F738,FRAIS_D_ENVOI,3,TRUE),0)),"")</f>
        <v/>
      </c>
      <c r="H738" s="46" t="str">
        <f>IFERROR(TRANSACTIONS!$F738+TRANSACTIONS!$G738,"")</f>
        <v/>
      </c>
      <c r="I738" s="44"/>
      <c r="J738" s="40" t="str">
        <f t="shared" si="11"/>
        <v/>
      </c>
    </row>
    <row r="739" spans="1:10" hidden="1" x14ac:dyDescent="0.25">
      <c r="A739" s="41"/>
      <c r="B739" s="48" t="str">
        <f>IF(A739&lt;&gt;"",DATE(YEAR(TRANSACTIONS!$A739),MONTH(TRANSACTIONS!$A739),DAY(TRANSACTIONS!$A739)),"")</f>
        <v/>
      </c>
      <c r="C739" s="49" t="str">
        <f>IF(A739&lt;&gt;"",TIME(HOUR(TRANSACTIONS!$A739),MINUTE(TRANSACTIONS!$A739),SECOND(TRANSACTIONS!$A739)),"")</f>
        <v/>
      </c>
      <c r="D739" s="42"/>
      <c r="E739" s="42"/>
      <c r="F739" s="43"/>
      <c r="G739" s="46" t="str">
        <f>IF(AND(A739&lt;&gt;"",F739&gt;1),IF(TRANSACTIONS!$E739=RAPPORTS!$F$9,0,IF(OR(TRANSACTIONS!$D739=RAPPORTS!$A$13,TRANSACTIONS!$D739=RAPPORTS!#REF!),VLOOKUP(TRANSACTIONS!$F739,FRAIS_D_ENVOI,3,TRUE),0)),"")</f>
        <v/>
      </c>
      <c r="H739" s="46" t="str">
        <f>IFERROR(TRANSACTIONS!$F739+TRANSACTIONS!$G739,"")</f>
        <v/>
      </c>
      <c r="I739" s="44"/>
      <c r="J739" s="40" t="str">
        <f t="shared" si="11"/>
        <v/>
      </c>
    </row>
    <row r="740" spans="1:10" hidden="1" x14ac:dyDescent="0.25">
      <c r="A740" s="41"/>
      <c r="B740" s="48" t="str">
        <f>IF(A740&lt;&gt;"",DATE(YEAR(TRANSACTIONS!$A740),MONTH(TRANSACTIONS!$A740),DAY(TRANSACTIONS!$A740)),"")</f>
        <v/>
      </c>
      <c r="C740" s="49" t="str">
        <f>IF(A740&lt;&gt;"",TIME(HOUR(TRANSACTIONS!$A740),MINUTE(TRANSACTIONS!$A740),SECOND(TRANSACTIONS!$A740)),"")</f>
        <v/>
      </c>
      <c r="D740" s="42"/>
      <c r="E740" s="42"/>
      <c r="F740" s="43"/>
      <c r="G740" s="46" t="str">
        <f>IF(AND(A740&lt;&gt;"",F740&gt;1),IF(TRANSACTIONS!$E740=RAPPORTS!$F$9,0,IF(OR(TRANSACTIONS!$D740=RAPPORTS!$A$13,TRANSACTIONS!$D740=RAPPORTS!#REF!),VLOOKUP(TRANSACTIONS!$F740,FRAIS_D_ENVOI,3,TRUE),0)),"")</f>
        <v/>
      </c>
      <c r="H740" s="46" t="str">
        <f>IFERROR(TRANSACTIONS!$F740+TRANSACTIONS!$G740,"")</f>
        <v/>
      </c>
      <c r="I740" s="44"/>
      <c r="J740" s="40" t="str">
        <f t="shared" si="11"/>
        <v/>
      </c>
    </row>
    <row r="741" spans="1:10" hidden="1" x14ac:dyDescent="0.25">
      <c r="A741" s="41"/>
      <c r="B741" s="48" t="str">
        <f>IF(A741&lt;&gt;"",DATE(YEAR(TRANSACTIONS!$A741),MONTH(TRANSACTIONS!$A741),DAY(TRANSACTIONS!$A741)),"")</f>
        <v/>
      </c>
      <c r="C741" s="49" t="str">
        <f>IF(A741&lt;&gt;"",TIME(HOUR(TRANSACTIONS!$A741),MINUTE(TRANSACTIONS!$A741),SECOND(TRANSACTIONS!$A741)),"")</f>
        <v/>
      </c>
      <c r="D741" s="42"/>
      <c r="E741" s="42"/>
      <c r="F741" s="43"/>
      <c r="G741" s="46" t="str">
        <f>IF(AND(A741&lt;&gt;"",F741&gt;1),IF(TRANSACTIONS!$E741=RAPPORTS!$F$9,0,IF(OR(TRANSACTIONS!$D741=RAPPORTS!$A$13,TRANSACTIONS!$D741=RAPPORTS!#REF!),VLOOKUP(TRANSACTIONS!$F741,FRAIS_D_ENVOI,3,TRUE),0)),"")</f>
        <v/>
      </c>
      <c r="H741" s="46" t="str">
        <f>IFERROR(TRANSACTIONS!$F741+TRANSACTIONS!$G741,"")</f>
        <v/>
      </c>
      <c r="I741" s="44"/>
      <c r="J741" s="40" t="str">
        <f t="shared" si="11"/>
        <v/>
      </c>
    </row>
    <row r="742" spans="1:10" hidden="1" x14ac:dyDescent="0.25">
      <c r="A742" s="41"/>
      <c r="B742" s="48" t="str">
        <f>IF(A742&lt;&gt;"",DATE(YEAR(TRANSACTIONS!$A742),MONTH(TRANSACTIONS!$A742),DAY(TRANSACTIONS!$A742)),"")</f>
        <v/>
      </c>
      <c r="C742" s="49" t="str">
        <f>IF(A742&lt;&gt;"",TIME(HOUR(TRANSACTIONS!$A742),MINUTE(TRANSACTIONS!$A742),SECOND(TRANSACTIONS!$A742)),"")</f>
        <v/>
      </c>
      <c r="D742" s="42"/>
      <c r="E742" s="42"/>
      <c r="F742" s="43"/>
      <c r="G742" s="46" t="str">
        <f>IF(AND(A742&lt;&gt;"",F742&gt;1),IF(TRANSACTIONS!$E742=RAPPORTS!$F$9,0,IF(OR(TRANSACTIONS!$D742=RAPPORTS!$A$13,TRANSACTIONS!$D742=RAPPORTS!#REF!),VLOOKUP(TRANSACTIONS!$F742,FRAIS_D_ENVOI,3,TRUE),0)),"")</f>
        <v/>
      </c>
      <c r="H742" s="46" t="str">
        <f>IFERROR(TRANSACTIONS!$F742+TRANSACTIONS!$G742,"")</f>
        <v/>
      </c>
      <c r="I742" s="44"/>
      <c r="J742" s="40" t="str">
        <f t="shared" si="11"/>
        <v/>
      </c>
    </row>
    <row r="743" spans="1:10" hidden="1" x14ac:dyDescent="0.25">
      <c r="A743" s="41"/>
      <c r="B743" s="48" t="str">
        <f>IF(A743&lt;&gt;"",DATE(YEAR(TRANSACTIONS!$A743),MONTH(TRANSACTIONS!$A743),DAY(TRANSACTIONS!$A743)),"")</f>
        <v/>
      </c>
      <c r="C743" s="49" t="str">
        <f>IF(A743&lt;&gt;"",TIME(HOUR(TRANSACTIONS!$A743),MINUTE(TRANSACTIONS!$A743),SECOND(TRANSACTIONS!$A743)),"")</f>
        <v/>
      </c>
      <c r="D743" s="42"/>
      <c r="E743" s="42"/>
      <c r="F743" s="43"/>
      <c r="G743" s="46" t="str">
        <f>IF(AND(A743&lt;&gt;"",F743&gt;1),IF(TRANSACTIONS!$E743=RAPPORTS!$F$9,0,IF(OR(TRANSACTIONS!$D743=RAPPORTS!$A$13,TRANSACTIONS!$D743=RAPPORTS!#REF!),VLOOKUP(TRANSACTIONS!$F743,FRAIS_D_ENVOI,3,TRUE),0)),"")</f>
        <v/>
      </c>
      <c r="H743" s="46" t="str">
        <f>IFERROR(TRANSACTIONS!$F743+TRANSACTIONS!$G743,"")</f>
        <v/>
      </c>
      <c r="I743" s="44"/>
      <c r="J743" s="40" t="str">
        <f t="shared" si="11"/>
        <v/>
      </c>
    </row>
    <row r="744" spans="1:10" hidden="1" x14ac:dyDescent="0.25">
      <c r="A744" s="41"/>
      <c r="B744" s="48" t="str">
        <f>IF(A744&lt;&gt;"",DATE(YEAR(TRANSACTIONS!$A744),MONTH(TRANSACTIONS!$A744),DAY(TRANSACTIONS!$A744)),"")</f>
        <v/>
      </c>
      <c r="C744" s="49" t="str">
        <f>IF(A744&lt;&gt;"",TIME(HOUR(TRANSACTIONS!$A744),MINUTE(TRANSACTIONS!$A744),SECOND(TRANSACTIONS!$A744)),"")</f>
        <v/>
      </c>
      <c r="D744" s="42"/>
      <c r="E744" s="42"/>
      <c r="F744" s="43"/>
      <c r="G744" s="46" t="str">
        <f>IF(AND(A744&lt;&gt;"",F744&gt;1),IF(TRANSACTIONS!$E744=RAPPORTS!$F$9,0,IF(OR(TRANSACTIONS!$D744=RAPPORTS!$A$13,TRANSACTIONS!$D744=RAPPORTS!#REF!),VLOOKUP(TRANSACTIONS!$F744,FRAIS_D_ENVOI,3,TRUE),0)),"")</f>
        <v/>
      </c>
      <c r="H744" s="46" t="str">
        <f>IFERROR(TRANSACTIONS!$F744+TRANSACTIONS!$G744,"")</f>
        <v/>
      </c>
      <c r="I744" s="44"/>
      <c r="J744" s="40" t="str">
        <f t="shared" si="11"/>
        <v/>
      </c>
    </row>
    <row r="745" spans="1:10" hidden="1" x14ac:dyDescent="0.25">
      <c r="A745" s="41"/>
      <c r="B745" s="48" t="str">
        <f>IF(A745&lt;&gt;"",DATE(YEAR(TRANSACTIONS!$A745),MONTH(TRANSACTIONS!$A745),DAY(TRANSACTIONS!$A745)),"")</f>
        <v/>
      </c>
      <c r="C745" s="49" t="str">
        <f>IF(A745&lt;&gt;"",TIME(HOUR(TRANSACTIONS!$A745),MINUTE(TRANSACTIONS!$A745),SECOND(TRANSACTIONS!$A745)),"")</f>
        <v/>
      </c>
      <c r="D745" s="42"/>
      <c r="E745" s="42"/>
      <c r="F745" s="43"/>
      <c r="G745" s="46" t="str">
        <f>IF(AND(A745&lt;&gt;"",F745&gt;1),IF(TRANSACTIONS!$E745=RAPPORTS!$F$9,0,IF(OR(TRANSACTIONS!$D745=RAPPORTS!$A$13,TRANSACTIONS!$D745=RAPPORTS!#REF!),VLOOKUP(TRANSACTIONS!$F745,FRAIS_D_ENVOI,3,TRUE),0)),"")</f>
        <v/>
      </c>
      <c r="H745" s="46" t="str">
        <f>IFERROR(TRANSACTIONS!$F745+TRANSACTIONS!$G745,"")</f>
        <v/>
      </c>
      <c r="I745" s="44"/>
      <c r="J745" s="40" t="str">
        <f t="shared" si="11"/>
        <v/>
      </c>
    </row>
    <row r="746" spans="1:10" hidden="1" x14ac:dyDescent="0.25">
      <c r="A746" s="41"/>
      <c r="B746" s="48" t="str">
        <f>IF(A746&lt;&gt;"",DATE(YEAR(TRANSACTIONS!$A746),MONTH(TRANSACTIONS!$A746),DAY(TRANSACTIONS!$A746)),"")</f>
        <v/>
      </c>
      <c r="C746" s="49" t="str">
        <f>IF(A746&lt;&gt;"",TIME(HOUR(TRANSACTIONS!$A746),MINUTE(TRANSACTIONS!$A746),SECOND(TRANSACTIONS!$A746)),"")</f>
        <v/>
      </c>
      <c r="D746" s="42"/>
      <c r="E746" s="42"/>
      <c r="F746" s="43"/>
      <c r="G746" s="46" t="str">
        <f>IF(AND(A746&lt;&gt;"",F746&gt;1),IF(TRANSACTIONS!$E746=RAPPORTS!$F$9,0,IF(OR(TRANSACTIONS!$D746=RAPPORTS!$A$13,TRANSACTIONS!$D746=RAPPORTS!#REF!),VLOOKUP(TRANSACTIONS!$F746,FRAIS_D_ENVOI,3,TRUE),0)),"")</f>
        <v/>
      </c>
      <c r="H746" s="46" t="str">
        <f>IFERROR(TRANSACTIONS!$F746+TRANSACTIONS!$G746,"")</f>
        <v/>
      </c>
      <c r="I746" s="44"/>
      <c r="J746" s="40" t="str">
        <f t="shared" si="11"/>
        <v/>
      </c>
    </row>
    <row r="747" spans="1:10" hidden="1" x14ac:dyDescent="0.25">
      <c r="A747" s="41"/>
      <c r="B747" s="48" t="str">
        <f>IF(A747&lt;&gt;"",DATE(YEAR(TRANSACTIONS!$A747),MONTH(TRANSACTIONS!$A747),DAY(TRANSACTIONS!$A747)),"")</f>
        <v/>
      </c>
      <c r="C747" s="49" t="str">
        <f>IF(A747&lt;&gt;"",TIME(HOUR(TRANSACTIONS!$A747),MINUTE(TRANSACTIONS!$A747),SECOND(TRANSACTIONS!$A747)),"")</f>
        <v/>
      </c>
      <c r="D747" s="42"/>
      <c r="E747" s="42"/>
      <c r="F747" s="43"/>
      <c r="G747" s="46" t="str">
        <f>IF(AND(A747&lt;&gt;"",F747&gt;1),IF(TRANSACTIONS!$E747=RAPPORTS!$F$9,0,IF(OR(TRANSACTIONS!$D747=RAPPORTS!$A$13,TRANSACTIONS!$D747=RAPPORTS!#REF!),VLOOKUP(TRANSACTIONS!$F747,FRAIS_D_ENVOI,3,TRUE),0)),"")</f>
        <v/>
      </c>
      <c r="H747" s="46" t="str">
        <f>IFERROR(TRANSACTIONS!$F747+TRANSACTIONS!$G747,"")</f>
        <v/>
      </c>
      <c r="I747" s="44"/>
      <c r="J747" s="40" t="str">
        <f t="shared" si="11"/>
        <v/>
      </c>
    </row>
    <row r="748" spans="1:10" hidden="1" x14ac:dyDescent="0.25">
      <c r="A748" s="41"/>
      <c r="B748" s="48" t="str">
        <f>IF(A748&lt;&gt;"",DATE(YEAR(TRANSACTIONS!$A748),MONTH(TRANSACTIONS!$A748),DAY(TRANSACTIONS!$A748)),"")</f>
        <v/>
      </c>
      <c r="C748" s="49" t="str">
        <f>IF(A748&lt;&gt;"",TIME(HOUR(TRANSACTIONS!$A748),MINUTE(TRANSACTIONS!$A748),SECOND(TRANSACTIONS!$A748)),"")</f>
        <v/>
      </c>
      <c r="D748" s="42"/>
      <c r="E748" s="42"/>
      <c r="F748" s="43"/>
      <c r="G748" s="46" t="str">
        <f>IF(AND(A748&lt;&gt;"",F748&gt;1),IF(TRANSACTIONS!$E748=RAPPORTS!$F$9,0,IF(OR(TRANSACTIONS!$D748=RAPPORTS!$A$13,TRANSACTIONS!$D748=RAPPORTS!#REF!),VLOOKUP(TRANSACTIONS!$F748,FRAIS_D_ENVOI,3,TRUE),0)),"")</f>
        <v/>
      </c>
      <c r="H748" s="46" t="str">
        <f>IFERROR(TRANSACTIONS!$F748+TRANSACTIONS!$G748,"")</f>
        <v/>
      </c>
      <c r="I748" s="44"/>
      <c r="J748" s="40" t="str">
        <f t="shared" si="11"/>
        <v/>
      </c>
    </row>
    <row r="749" spans="1:10" hidden="1" x14ac:dyDescent="0.25">
      <c r="A749" s="41"/>
      <c r="B749" s="48" t="str">
        <f>IF(A749&lt;&gt;"",DATE(YEAR(TRANSACTIONS!$A749),MONTH(TRANSACTIONS!$A749),DAY(TRANSACTIONS!$A749)),"")</f>
        <v/>
      </c>
      <c r="C749" s="49" t="str">
        <f>IF(A749&lt;&gt;"",TIME(HOUR(TRANSACTIONS!$A749),MINUTE(TRANSACTIONS!$A749),SECOND(TRANSACTIONS!$A749)),"")</f>
        <v/>
      </c>
      <c r="D749" s="42"/>
      <c r="E749" s="42"/>
      <c r="F749" s="43"/>
      <c r="G749" s="46" t="str">
        <f>IF(AND(A749&lt;&gt;"",F749&gt;1),IF(TRANSACTIONS!$E749=RAPPORTS!$F$9,0,IF(OR(TRANSACTIONS!$D749=RAPPORTS!$A$13,TRANSACTIONS!$D749=RAPPORTS!#REF!),VLOOKUP(TRANSACTIONS!$F749,FRAIS_D_ENVOI,3,TRUE),0)),"")</f>
        <v/>
      </c>
      <c r="H749" s="46" t="str">
        <f>IFERROR(TRANSACTIONS!$F749+TRANSACTIONS!$G749,"")</f>
        <v/>
      </c>
      <c r="I749" s="44"/>
      <c r="J749" s="40" t="str">
        <f t="shared" si="11"/>
        <v/>
      </c>
    </row>
    <row r="750" spans="1:10" hidden="1" x14ac:dyDescent="0.25">
      <c r="A750" s="41"/>
      <c r="B750" s="48" t="str">
        <f>IF(A750&lt;&gt;"",DATE(YEAR(TRANSACTIONS!$A750),MONTH(TRANSACTIONS!$A750),DAY(TRANSACTIONS!$A750)),"")</f>
        <v/>
      </c>
      <c r="C750" s="49" t="str">
        <f>IF(A750&lt;&gt;"",TIME(HOUR(TRANSACTIONS!$A750),MINUTE(TRANSACTIONS!$A750),SECOND(TRANSACTIONS!$A750)),"")</f>
        <v/>
      </c>
      <c r="D750" s="42"/>
      <c r="E750" s="42"/>
      <c r="F750" s="43"/>
      <c r="G750" s="46" t="str">
        <f>IF(AND(A750&lt;&gt;"",F750&gt;1),IF(TRANSACTIONS!$E750=RAPPORTS!$F$9,0,IF(OR(TRANSACTIONS!$D750=RAPPORTS!$A$13,TRANSACTIONS!$D750=RAPPORTS!#REF!),VLOOKUP(TRANSACTIONS!$F750,FRAIS_D_ENVOI,3,TRUE),0)),"")</f>
        <v/>
      </c>
      <c r="H750" s="46" t="str">
        <f>IFERROR(TRANSACTIONS!$F750+TRANSACTIONS!$G750,"")</f>
        <v/>
      </c>
      <c r="I750" s="44"/>
      <c r="J750" s="40" t="str">
        <f t="shared" si="11"/>
        <v/>
      </c>
    </row>
    <row r="751" spans="1:10" hidden="1" x14ac:dyDescent="0.25">
      <c r="A751" s="41"/>
      <c r="B751" s="48" t="str">
        <f>IF(A751&lt;&gt;"",DATE(YEAR(TRANSACTIONS!$A751),MONTH(TRANSACTIONS!$A751),DAY(TRANSACTIONS!$A751)),"")</f>
        <v/>
      </c>
      <c r="C751" s="49" t="str">
        <f>IF(A751&lt;&gt;"",TIME(HOUR(TRANSACTIONS!$A751),MINUTE(TRANSACTIONS!$A751),SECOND(TRANSACTIONS!$A751)),"")</f>
        <v/>
      </c>
      <c r="D751" s="42"/>
      <c r="E751" s="42"/>
      <c r="F751" s="43"/>
      <c r="G751" s="46" t="str">
        <f>IF(AND(A751&lt;&gt;"",F751&gt;1),IF(TRANSACTIONS!$E751=RAPPORTS!$F$9,0,IF(OR(TRANSACTIONS!$D751=RAPPORTS!$A$13,TRANSACTIONS!$D751=RAPPORTS!#REF!),VLOOKUP(TRANSACTIONS!$F751,FRAIS_D_ENVOI,3,TRUE),0)),"")</f>
        <v/>
      </c>
      <c r="H751" s="46" t="str">
        <f>IFERROR(TRANSACTIONS!$F751+TRANSACTIONS!$G751,"")</f>
        <v/>
      </c>
      <c r="I751" s="44"/>
      <c r="J751" s="40" t="str">
        <f t="shared" si="11"/>
        <v/>
      </c>
    </row>
    <row r="752" spans="1:10" hidden="1" x14ac:dyDescent="0.25">
      <c r="A752" s="41"/>
      <c r="B752" s="48" t="str">
        <f>IF(A752&lt;&gt;"",DATE(YEAR(TRANSACTIONS!$A752),MONTH(TRANSACTIONS!$A752),DAY(TRANSACTIONS!$A752)),"")</f>
        <v/>
      </c>
      <c r="C752" s="49" t="str">
        <f>IF(A752&lt;&gt;"",TIME(HOUR(TRANSACTIONS!$A752),MINUTE(TRANSACTIONS!$A752),SECOND(TRANSACTIONS!$A752)),"")</f>
        <v/>
      </c>
      <c r="D752" s="42"/>
      <c r="E752" s="42"/>
      <c r="F752" s="43"/>
      <c r="G752" s="46" t="str">
        <f>IF(AND(A752&lt;&gt;"",F752&gt;1),IF(TRANSACTIONS!$E752=RAPPORTS!$F$9,0,IF(OR(TRANSACTIONS!$D752=RAPPORTS!$A$13,TRANSACTIONS!$D752=RAPPORTS!#REF!),VLOOKUP(TRANSACTIONS!$F752,FRAIS_D_ENVOI,3,TRUE),0)),"")</f>
        <v/>
      </c>
      <c r="H752" s="46" t="str">
        <f>IFERROR(TRANSACTIONS!$F752+TRANSACTIONS!$G752,"")</f>
        <v/>
      </c>
      <c r="I752" s="44"/>
      <c r="J752" s="40" t="str">
        <f t="shared" si="11"/>
        <v/>
      </c>
    </row>
    <row r="753" spans="1:10" hidden="1" x14ac:dyDescent="0.25">
      <c r="A753" s="41"/>
      <c r="B753" s="48" t="str">
        <f>IF(A753&lt;&gt;"",DATE(YEAR(TRANSACTIONS!$A753),MONTH(TRANSACTIONS!$A753),DAY(TRANSACTIONS!$A753)),"")</f>
        <v/>
      </c>
      <c r="C753" s="49" t="str">
        <f>IF(A753&lt;&gt;"",TIME(HOUR(TRANSACTIONS!$A753),MINUTE(TRANSACTIONS!$A753),SECOND(TRANSACTIONS!$A753)),"")</f>
        <v/>
      </c>
      <c r="D753" s="42"/>
      <c r="E753" s="42"/>
      <c r="F753" s="43"/>
      <c r="G753" s="46" t="str">
        <f>IF(AND(A753&lt;&gt;"",F753&gt;1),IF(TRANSACTIONS!$E753=RAPPORTS!$F$9,0,IF(OR(TRANSACTIONS!$D753=RAPPORTS!$A$13,TRANSACTIONS!$D753=RAPPORTS!#REF!),VLOOKUP(TRANSACTIONS!$F753,FRAIS_D_ENVOI,3,TRUE),0)),"")</f>
        <v/>
      </c>
      <c r="H753" s="46" t="str">
        <f>IFERROR(TRANSACTIONS!$F753+TRANSACTIONS!$G753,"")</f>
        <v/>
      </c>
      <c r="I753" s="44"/>
      <c r="J753" s="40" t="str">
        <f t="shared" si="11"/>
        <v/>
      </c>
    </row>
    <row r="754" spans="1:10" hidden="1" x14ac:dyDescent="0.25">
      <c r="A754" s="41"/>
      <c r="B754" s="48" t="str">
        <f>IF(A754&lt;&gt;"",DATE(YEAR(TRANSACTIONS!$A754),MONTH(TRANSACTIONS!$A754),DAY(TRANSACTIONS!$A754)),"")</f>
        <v/>
      </c>
      <c r="C754" s="49" t="str">
        <f>IF(A754&lt;&gt;"",TIME(HOUR(TRANSACTIONS!$A754),MINUTE(TRANSACTIONS!$A754),SECOND(TRANSACTIONS!$A754)),"")</f>
        <v/>
      </c>
      <c r="D754" s="42"/>
      <c r="E754" s="42"/>
      <c r="F754" s="43"/>
      <c r="G754" s="46" t="str">
        <f>IF(AND(A754&lt;&gt;"",F754&gt;1),IF(TRANSACTIONS!$E754=RAPPORTS!$F$9,0,IF(OR(TRANSACTIONS!$D754=RAPPORTS!$A$13,TRANSACTIONS!$D754=RAPPORTS!#REF!),VLOOKUP(TRANSACTIONS!$F754,FRAIS_D_ENVOI,3,TRUE),0)),"")</f>
        <v/>
      </c>
      <c r="H754" s="46" t="str">
        <f>IFERROR(TRANSACTIONS!$F754+TRANSACTIONS!$G754,"")</f>
        <v/>
      </c>
      <c r="I754" s="44"/>
      <c r="J754" s="40" t="str">
        <f t="shared" si="11"/>
        <v/>
      </c>
    </row>
    <row r="755" spans="1:10" hidden="1" x14ac:dyDescent="0.25">
      <c r="A755" s="41"/>
      <c r="B755" s="48" t="str">
        <f>IF(A755&lt;&gt;"",DATE(YEAR(TRANSACTIONS!$A755),MONTH(TRANSACTIONS!$A755),DAY(TRANSACTIONS!$A755)),"")</f>
        <v/>
      </c>
      <c r="C755" s="49" t="str">
        <f>IF(A755&lt;&gt;"",TIME(HOUR(TRANSACTIONS!$A755),MINUTE(TRANSACTIONS!$A755),SECOND(TRANSACTIONS!$A755)),"")</f>
        <v/>
      </c>
      <c r="D755" s="42"/>
      <c r="E755" s="42"/>
      <c r="F755" s="43"/>
      <c r="G755" s="46" t="str">
        <f>IF(AND(A755&lt;&gt;"",F755&gt;1),IF(TRANSACTIONS!$E755=RAPPORTS!$F$9,0,IF(OR(TRANSACTIONS!$D755=RAPPORTS!$A$13,TRANSACTIONS!$D755=RAPPORTS!#REF!),VLOOKUP(TRANSACTIONS!$F755,FRAIS_D_ENVOI,3,TRUE),0)),"")</f>
        <v/>
      </c>
      <c r="H755" s="46" t="str">
        <f>IFERROR(TRANSACTIONS!$F755+TRANSACTIONS!$G755,"")</f>
        <v/>
      </c>
      <c r="I755" s="44"/>
      <c r="J755" s="40" t="str">
        <f t="shared" si="11"/>
        <v/>
      </c>
    </row>
    <row r="756" spans="1:10" hidden="1" x14ac:dyDescent="0.25">
      <c r="A756" s="41"/>
      <c r="B756" s="48" t="str">
        <f>IF(A756&lt;&gt;"",DATE(YEAR(TRANSACTIONS!$A756),MONTH(TRANSACTIONS!$A756),DAY(TRANSACTIONS!$A756)),"")</f>
        <v/>
      </c>
      <c r="C756" s="49" t="str">
        <f>IF(A756&lt;&gt;"",TIME(HOUR(TRANSACTIONS!$A756),MINUTE(TRANSACTIONS!$A756),SECOND(TRANSACTIONS!$A756)),"")</f>
        <v/>
      </c>
      <c r="D756" s="42"/>
      <c r="E756" s="42"/>
      <c r="F756" s="43"/>
      <c r="G756" s="46" t="str">
        <f>IF(AND(A756&lt;&gt;"",F756&gt;1),IF(TRANSACTIONS!$E756=RAPPORTS!$F$9,0,IF(OR(TRANSACTIONS!$D756=RAPPORTS!$A$13,TRANSACTIONS!$D756=RAPPORTS!#REF!),VLOOKUP(TRANSACTIONS!$F756,FRAIS_D_ENVOI,3,TRUE),0)),"")</f>
        <v/>
      </c>
      <c r="H756" s="46" t="str">
        <f>IFERROR(TRANSACTIONS!$F756+TRANSACTIONS!$G756,"")</f>
        <v/>
      </c>
      <c r="I756" s="44"/>
      <c r="J756" s="40" t="str">
        <f t="shared" si="11"/>
        <v/>
      </c>
    </row>
    <row r="757" spans="1:10" hidden="1" x14ac:dyDescent="0.25">
      <c r="A757" s="41"/>
      <c r="B757" s="48" t="str">
        <f>IF(A757&lt;&gt;"",DATE(YEAR(TRANSACTIONS!$A757),MONTH(TRANSACTIONS!$A757),DAY(TRANSACTIONS!$A757)),"")</f>
        <v/>
      </c>
      <c r="C757" s="49" t="str">
        <f>IF(A757&lt;&gt;"",TIME(HOUR(TRANSACTIONS!$A757),MINUTE(TRANSACTIONS!$A757),SECOND(TRANSACTIONS!$A757)),"")</f>
        <v/>
      </c>
      <c r="D757" s="42"/>
      <c r="E757" s="42"/>
      <c r="F757" s="43"/>
      <c r="G757" s="46" t="str">
        <f>IF(AND(A757&lt;&gt;"",F757&gt;1),IF(TRANSACTIONS!$E757=RAPPORTS!$F$9,0,IF(OR(TRANSACTIONS!$D757=RAPPORTS!$A$13,TRANSACTIONS!$D757=RAPPORTS!#REF!),VLOOKUP(TRANSACTIONS!$F757,FRAIS_D_ENVOI,3,TRUE),0)),"")</f>
        <v/>
      </c>
      <c r="H757" s="46" t="str">
        <f>IFERROR(TRANSACTIONS!$F757+TRANSACTIONS!$G757,"")</f>
        <v/>
      </c>
      <c r="I757" s="44"/>
      <c r="J757" s="40" t="str">
        <f t="shared" si="11"/>
        <v/>
      </c>
    </row>
    <row r="758" spans="1:10" hidden="1" x14ac:dyDescent="0.25">
      <c r="A758" s="41"/>
      <c r="B758" s="48" t="str">
        <f>IF(A758&lt;&gt;"",DATE(YEAR(TRANSACTIONS!$A758),MONTH(TRANSACTIONS!$A758),DAY(TRANSACTIONS!$A758)),"")</f>
        <v/>
      </c>
      <c r="C758" s="49" t="str">
        <f>IF(A758&lt;&gt;"",TIME(HOUR(TRANSACTIONS!$A758),MINUTE(TRANSACTIONS!$A758),SECOND(TRANSACTIONS!$A758)),"")</f>
        <v/>
      </c>
      <c r="D758" s="42"/>
      <c r="E758" s="42"/>
      <c r="F758" s="43"/>
      <c r="G758" s="46" t="str">
        <f>IF(AND(A758&lt;&gt;"",F758&gt;1),IF(TRANSACTIONS!$E758=RAPPORTS!$F$9,0,IF(OR(TRANSACTIONS!$D758=RAPPORTS!$A$13,TRANSACTIONS!$D758=RAPPORTS!#REF!),VLOOKUP(TRANSACTIONS!$F758,FRAIS_D_ENVOI,3,TRUE),0)),"")</f>
        <v/>
      </c>
      <c r="H758" s="46" t="str">
        <f>IFERROR(TRANSACTIONS!$F758+TRANSACTIONS!$G758,"")</f>
        <v/>
      </c>
      <c r="I758" s="44"/>
      <c r="J758" s="40" t="str">
        <f t="shared" si="11"/>
        <v/>
      </c>
    </row>
    <row r="759" spans="1:10" hidden="1" x14ac:dyDescent="0.25">
      <c r="A759" s="41"/>
      <c r="B759" s="48" t="str">
        <f>IF(A759&lt;&gt;"",DATE(YEAR(TRANSACTIONS!$A759),MONTH(TRANSACTIONS!$A759),DAY(TRANSACTIONS!$A759)),"")</f>
        <v/>
      </c>
      <c r="C759" s="49" t="str">
        <f>IF(A759&lt;&gt;"",TIME(HOUR(TRANSACTIONS!$A759),MINUTE(TRANSACTIONS!$A759),SECOND(TRANSACTIONS!$A759)),"")</f>
        <v/>
      </c>
      <c r="D759" s="42"/>
      <c r="E759" s="42"/>
      <c r="F759" s="43"/>
      <c r="G759" s="46" t="str">
        <f>IF(AND(A759&lt;&gt;"",F759&gt;1),IF(TRANSACTIONS!$E759=RAPPORTS!$F$9,0,IF(OR(TRANSACTIONS!$D759=RAPPORTS!$A$13,TRANSACTIONS!$D759=RAPPORTS!#REF!),VLOOKUP(TRANSACTIONS!$F759,FRAIS_D_ENVOI,3,TRUE),0)),"")</f>
        <v/>
      </c>
      <c r="H759" s="46" t="str">
        <f>IFERROR(TRANSACTIONS!$F759+TRANSACTIONS!$G759,"")</f>
        <v/>
      </c>
      <c r="I759" s="44"/>
      <c r="J759" s="40" t="str">
        <f t="shared" si="11"/>
        <v/>
      </c>
    </row>
    <row r="760" spans="1:10" hidden="1" x14ac:dyDescent="0.25">
      <c r="A760" s="41"/>
      <c r="B760" s="48" t="str">
        <f>IF(A760&lt;&gt;"",DATE(YEAR(TRANSACTIONS!$A760),MONTH(TRANSACTIONS!$A760),DAY(TRANSACTIONS!$A760)),"")</f>
        <v/>
      </c>
      <c r="C760" s="49" t="str">
        <f>IF(A760&lt;&gt;"",TIME(HOUR(TRANSACTIONS!$A760),MINUTE(TRANSACTIONS!$A760),SECOND(TRANSACTIONS!$A760)),"")</f>
        <v/>
      </c>
      <c r="D760" s="42"/>
      <c r="E760" s="42"/>
      <c r="F760" s="43"/>
      <c r="G760" s="46" t="str">
        <f>IF(AND(A760&lt;&gt;"",F760&gt;1),IF(TRANSACTIONS!$E760=RAPPORTS!$F$9,0,IF(OR(TRANSACTIONS!$D760=RAPPORTS!$A$13,TRANSACTIONS!$D760=RAPPORTS!#REF!),VLOOKUP(TRANSACTIONS!$F760,FRAIS_D_ENVOI,3,TRUE),0)),"")</f>
        <v/>
      </c>
      <c r="H760" s="46" t="str">
        <f>IFERROR(TRANSACTIONS!$F760+TRANSACTIONS!$G760,"")</f>
        <v/>
      </c>
      <c r="I760" s="44"/>
      <c r="J760" s="40" t="str">
        <f t="shared" si="11"/>
        <v/>
      </c>
    </row>
    <row r="761" spans="1:10" hidden="1" x14ac:dyDescent="0.25">
      <c r="A761" s="41"/>
      <c r="B761" s="48" t="str">
        <f>IF(A761&lt;&gt;"",DATE(YEAR(TRANSACTIONS!$A761),MONTH(TRANSACTIONS!$A761),DAY(TRANSACTIONS!$A761)),"")</f>
        <v/>
      </c>
      <c r="C761" s="49" t="str">
        <f>IF(A761&lt;&gt;"",TIME(HOUR(TRANSACTIONS!$A761),MINUTE(TRANSACTIONS!$A761),SECOND(TRANSACTIONS!$A761)),"")</f>
        <v/>
      </c>
      <c r="D761" s="42"/>
      <c r="E761" s="42"/>
      <c r="F761" s="43"/>
      <c r="G761" s="46" t="str">
        <f>IF(AND(A761&lt;&gt;"",F761&gt;1),IF(TRANSACTIONS!$E761=RAPPORTS!$F$9,0,IF(OR(TRANSACTIONS!$D761=RAPPORTS!$A$13,TRANSACTIONS!$D761=RAPPORTS!#REF!),VLOOKUP(TRANSACTIONS!$F761,FRAIS_D_ENVOI,3,TRUE),0)),"")</f>
        <v/>
      </c>
      <c r="H761" s="46" t="str">
        <f>IFERROR(TRANSACTIONS!$F761+TRANSACTIONS!$G761,"")</f>
        <v/>
      </c>
      <c r="I761" s="44"/>
      <c r="J761" s="40" t="str">
        <f t="shared" si="11"/>
        <v/>
      </c>
    </row>
    <row r="762" spans="1:10" hidden="1" x14ac:dyDescent="0.25">
      <c r="A762" s="41"/>
      <c r="B762" s="48" t="str">
        <f>IF(A762&lt;&gt;"",DATE(YEAR(TRANSACTIONS!$A762),MONTH(TRANSACTIONS!$A762),DAY(TRANSACTIONS!$A762)),"")</f>
        <v/>
      </c>
      <c r="C762" s="49" t="str">
        <f>IF(A762&lt;&gt;"",TIME(HOUR(TRANSACTIONS!$A762),MINUTE(TRANSACTIONS!$A762),SECOND(TRANSACTIONS!$A762)),"")</f>
        <v/>
      </c>
      <c r="D762" s="42"/>
      <c r="E762" s="42"/>
      <c r="F762" s="43"/>
      <c r="G762" s="46" t="str">
        <f>IF(AND(A762&lt;&gt;"",F762&gt;1),IF(TRANSACTIONS!$E762=RAPPORTS!$F$9,0,IF(OR(TRANSACTIONS!$D762=RAPPORTS!$A$13,TRANSACTIONS!$D762=RAPPORTS!#REF!),VLOOKUP(TRANSACTIONS!$F762,FRAIS_D_ENVOI,3,TRUE),0)),"")</f>
        <v/>
      </c>
      <c r="H762" s="46" t="str">
        <f>IFERROR(TRANSACTIONS!$F762+TRANSACTIONS!$G762,"")</f>
        <v/>
      </c>
      <c r="I762" s="44"/>
      <c r="J762" s="40" t="str">
        <f t="shared" si="11"/>
        <v/>
      </c>
    </row>
    <row r="763" spans="1:10" hidden="1" x14ac:dyDescent="0.25">
      <c r="A763" s="41"/>
      <c r="B763" s="48" t="str">
        <f>IF(A763&lt;&gt;"",DATE(YEAR(TRANSACTIONS!$A763),MONTH(TRANSACTIONS!$A763),DAY(TRANSACTIONS!$A763)),"")</f>
        <v/>
      </c>
      <c r="C763" s="49" t="str">
        <f>IF(A763&lt;&gt;"",TIME(HOUR(TRANSACTIONS!$A763),MINUTE(TRANSACTIONS!$A763),SECOND(TRANSACTIONS!$A763)),"")</f>
        <v/>
      </c>
      <c r="D763" s="42"/>
      <c r="E763" s="42"/>
      <c r="F763" s="43"/>
      <c r="G763" s="46" t="str">
        <f>IF(AND(A763&lt;&gt;"",F763&gt;1),IF(TRANSACTIONS!$E763=RAPPORTS!$F$9,0,IF(OR(TRANSACTIONS!$D763=RAPPORTS!$A$13,TRANSACTIONS!$D763=RAPPORTS!#REF!),VLOOKUP(TRANSACTIONS!$F763,FRAIS_D_ENVOI,3,TRUE),0)),"")</f>
        <v/>
      </c>
      <c r="H763" s="46" t="str">
        <f>IFERROR(TRANSACTIONS!$F763+TRANSACTIONS!$G763,"")</f>
        <v/>
      </c>
      <c r="I763" s="44"/>
      <c r="J763" s="40" t="str">
        <f t="shared" si="11"/>
        <v/>
      </c>
    </row>
    <row r="764" spans="1:10" hidden="1" x14ac:dyDescent="0.25">
      <c r="A764" s="41"/>
      <c r="B764" s="48" t="str">
        <f>IF(A764&lt;&gt;"",DATE(YEAR(TRANSACTIONS!$A764),MONTH(TRANSACTIONS!$A764),DAY(TRANSACTIONS!$A764)),"")</f>
        <v/>
      </c>
      <c r="C764" s="49" t="str">
        <f>IF(A764&lt;&gt;"",TIME(HOUR(TRANSACTIONS!$A764),MINUTE(TRANSACTIONS!$A764),SECOND(TRANSACTIONS!$A764)),"")</f>
        <v/>
      </c>
      <c r="D764" s="42"/>
      <c r="E764" s="42"/>
      <c r="F764" s="43"/>
      <c r="G764" s="46" t="str">
        <f>IF(AND(A764&lt;&gt;"",F764&gt;1),IF(TRANSACTIONS!$E764=RAPPORTS!$F$9,0,IF(OR(TRANSACTIONS!$D764=RAPPORTS!$A$13,TRANSACTIONS!$D764=RAPPORTS!#REF!),VLOOKUP(TRANSACTIONS!$F764,FRAIS_D_ENVOI,3,TRUE),0)),"")</f>
        <v/>
      </c>
      <c r="H764" s="46" t="str">
        <f>IFERROR(TRANSACTIONS!$F764+TRANSACTIONS!$G764,"")</f>
        <v/>
      </c>
      <c r="I764" s="44"/>
      <c r="J764" s="40" t="str">
        <f t="shared" si="11"/>
        <v/>
      </c>
    </row>
    <row r="765" spans="1:10" hidden="1" x14ac:dyDescent="0.25">
      <c r="A765" s="41"/>
      <c r="B765" s="48" t="str">
        <f>IF(A765&lt;&gt;"",DATE(YEAR(TRANSACTIONS!$A765),MONTH(TRANSACTIONS!$A765),DAY(TRANSACTIONS!$A765)),"")</f>
        <v/>
      </c>
      <c r="C765" s="49" t="str">
        <f>IF(A765&lt;&gt;"",TIME(HOUR(TRANSACTIONS!$A765),MINUTE(TRANSACTIONS!$A765),SECOND(TRANSACTIONS!$A765)),"")</f>
        <v/>
      </c>
      <c r="D765" s="42"/>
      <c r="E765" s="42"/>
      <c r="F765" s="43"/>
      <c r="G765" s="46" t="str">
        <f>IF(AND(A765&lt;&gt;"",F765&gt;1),IF(TRANSACTIONS!$E765=RAPPORTS!$F$9,0,IF(OR(TRANSACTIONS!$D765=RAPPORTS!$A$13,TRANSACTIONS!$D765=RAPPORTS!#REF!),VLOOKUP(TRANSACTIONS!$F765,FRAIS_D_ENVOI,3,TRUE),0)),"")</f>
        <v/>
      </c>
      <c r="H765" s="46" t="str">
        <f>IFERROR(TRANSACTIONS!$F765+TRANSACTIONS!$G765,"")</f>
        <v/>
      </c>
      <c r="I765" s="44"/>
      <c r="J765" s="40" t="str">
        <f t="shared" si="11"/>
        <v/>
      </c>
    </row>
    <row r="766" spans="1:10" hidden="1" x14ac:dyDescent="0.25">
      <c r="A766" s="41"/>
      <c r="B766" s="48" t="str">
        <f>IF(A766&lt;&gt;"",DATE(YEAR(TRANSACTIONS!$A766),MONTH(TRANSACTIONS!$A766),DAY(TRANSACTIONS!$A766)),"")</f>
        <v/>
      </c>
      <c r="C766" s="49" t="str">
        <f>IF(A766&lt;&gt;"",TIME(HOUR(TRANSACTIONS!$A766),MINUTE(TRANSACTIONS!$A766),SECOND(TRANSACTIONS!$A766)),"")</f>
        <v/>
      </c>
      <c r="D766" s="42"/>
      <c r="E766" s="42"/>
      <c r="F766" s="43"/>
      <c r="G766" s="46" t="str">
        <f>IF(AND(A766&lt;&gt;"",F766&gt;1),IF(TRANSACTIONS!$E766=RAPPORTS!$F$9,0,IF(OR(TRANSACTIONS!$D766=RAPPORTS!$A$13,TRANSACTIONS!$D766=RAPPORTS!#REF!),VLOOKUP(TRANSACTIONS!$F766,FRAIS_D_ENVOI,3,TRUE),0)),"")</f>
        <v/>
      </c>
      <c r="H766" s="46" t="str">
        <f>IFERROR(TRANSACTIONS!$F766+TRANSACTIONS!$G766,"")</f>
        <v/>
      </c>
      <c r="I766" s="44"/>
      <c r="J766" s="40" t="str">
        <f t="shared" si="11"/>
        <v/>
      </c>
    </row>
    <row r="767" spans="1:10" hidden="1" x14ac:dyDescent="0.25">
      <c r="A767" s="41"/>
      <c r="B767" s="48" t="str">
        <f>IF(A767&lt;&gt;"",DATE(YEAR(TRANSACTIONS!$A767),MONTH(TRANSACTIONS!$A767),DAY(TRANSACTIONS!$A767)),"")</f>
        <v/>
      </c>
      <c r="C767" s="49" t="str">
        <f>IF(A767&lt;&gt;"",TIME(HOUR(TRANSACTIONS!$A767),MINUTE(TRANSACTIONS!$A767),SECOND(TRANSACTIONS!$A767)),"")</f>
        <v/>
      </c>
      <c r="D767" s="42"/>
      <c r="E767" s="42"/>
      <c r="F767" s="43"/>
      <c r="G767" s="46" t="str">
        <f>IF(AND(A767&lt;&gt;"",F767&gt;1),IF(TRANSACTIONS!$E767=RAPPORTS!$F$9,0,IF(OR(TRANSACTIONS!$D767=RAPPORTS!$A$13,TRANSACTIONS!$D767=RAPPORTS!#REF!),VLOOKUP(TRANSACTIONS!$F767,FRAIS_D_ENVOI,3,TRUE),0)),"")</f>
        <v/>
      </c>
      <c r="H767" s="46" t="str">
        <f>IFERROR(TRANSACTIONS!$F767+TRANSACTIONS!$G767,"")</f>
        <v/>
      </c>
      <c r="I767" s="44"/>
      <c r="J767" s="40" t="str">
        <f t="shared" si="11"/>
        <v/>
      </c>
    </row>
    <row r="768" spans="1:10" hidden="1" x14ac:dyDescent="0.25">
      <c r="A768" s="41"/>
      <c r="B768" s="48" t="str">
        <f>IF(A768&lt;&gt;"",DATE(YEAR(TRANSACTIONS!$A768),MONTH(TRANSACTIONS!$A768),DAY(TRANSACTIONS!$A768)),"")</f>
        <v/>
      </c>
      <c r="C768" s="49" t="str">
        <f>IF(A768&lt;&gt;"",TIME(HOUR(TRANSACTIONS!$A768),MINUTE(TRANSACTIONS!$A768),SECOND(TRANSACTIONS!$A768)),"")</f>
        <v/>
      </c>
      <c r="D768" s="42"/>
      <c r="E768" s="42"/>
      <c r="F768" s="43"/>
      <c r="G768" s="46" t="str">
        <f>IF(AND(A768&lt;&gt;"",F768&gt;1),IF(TRANSACTIONS!$E768=RAPPORTS!$F$9,0,IF(OR(TRANSACTIONS!$D768=RAPPORTS!$A$13,TRANSACTIONS!$D768=RAPPORTS!#REF!),VLOOKUP(TRANSACTIONS!$F768,FRAIS_D_ENVOI,3,TRUE),0)),"")</f>
        <v/>
      </c>
      <c r="H768" s="46" t="str">
        <f>IFERROR(TRANSACTIONS!$F768+TRANSACTIONS!$G768,"")</f>
        <v/>
      </c>
      <c r="I768" s="44"/>
      <c r="J768" s="40" t="str">
        <f t="shared" si="11"/>
        <v/>
      </c>
    </row>
    <row r="769" spans="1:10" hidden="1" x14ac:dyDescent="0.25">
      <c r="A769" s="41"/>
      <c r="B769" s="48" t="str">
        <f>IF(A769&lt;&gt;"",DATE(YEAR(TRANSACTIONS!$A769),MONTH(TRANSACTIONS!$A769),DAY(TRANSACTIONS!$A769)),"")</f>
        <v/>
      </c>
      <c r="C769" s="49" t="str">
        <f>IF(A769&lt;&gt;"",TIME(HOUR(TRANSACTIONS!$A769),MINUTE(TRANSACTIONS!$A769),SECOND(TRANSACTIONS!$A769)),"")</f>
        <v/>
      </c>
      <c r="D769" s="42"/>
      <c r="E769" s="42"/>
      <c r="F769" s="43"/>
      <c r="G769" s="46" t="str">
        <f>IF(AND(A769&lt;&gt;"",F769&gt;1),IF(TRANSACTIONS!$E769=RAPPORTS!$F$9,0,IF(OR(TRANSACTIONS!$D769=RAPPORTS!$A$13,TRANSACTIONS!$D769=RAPPORTS!#REF!),VLOOKUP(TRANSACTIONS!$F769,FRAIS_D_ENVOI,3,TRUE),0)),"")</f>
        <v/>
      </c>
      <c r="H769" s="46" t="str">
        <f>IFERROR(TRANSACTIONS!$F769+TRANSACTIONS!$G769,"")</f>
        <v/>
      </c>
      <c r="I769" s="44"/>
      <c r="J769" s="40" t="str">
        <f t="shared" si="11"/>
        <v/>
      </c>
    </row>
    <row r="770" spans="1:10" hidden="1" x14ac:dyDescent="0.25">
      <c r="A770" s="41"/>
      <c r="B770" s="48" t="str">
        <f>IF(A770&lt;&gt;"",DATE(YEAR(TRANSACTIONS!$A770),MONTH(TRANSACTIONS!$A770),DAY(TRANSACTIONS!$A770)),"")</f>
        <v/>
      </c>
      <c r="C770" s="49" t="str">
        <f>IF(A770&lt;&gt;"",TIME(HOUR(TRANSACTIONS!$A770),MINUTE(TRANSACTIONS!$A770),SECOND(TRANSACTIONS!$A770)),"")</f>
        <v/>
      </c>
      <c r="D770" s="42"/>
      <c r="E770" s="42"/>
      <c r="F770" s="43"/>
      <c r="G770" s="46" t="str">
        <f>IF(AND(A770&lt;&gt;"",F770&gt;1),IF(TRANSACTIONS!$E770=RAPPORTS!$F$9,0,IF(OR(TRANSACTIONS!$D770=RAPPORTS!$A$13,TRANSACTIONS!$D770=RAPPORTS!#REF!),VLOOKUP(TRANSACTIONS!$F770,FRAIS_D_ENVOI,3,TRUE),0)),"")</f>
        <v/>
      </c>
      <c r="H770" s="46" t="str">
        <f>IFERROR(TRANSACTIONS!$F770+TRANSACTIONS!$G770,"")</f>
        <v/>
      </c>
      <c r="I770" s="44"/>
      <c r="J770" s="40" t="str">
        <f t="shared" si="11"/>
        <v/>
      </c>
    </row>
    <row r="771" spans="1:10" hidden="1" x14ac:dyDescent="0.25">
      <c r="A771" s="41"/>
      <c r="B771" s="48" t="str">
        <f>IF(A771&lt;&gt;"",DATE(YEAR(TRANSACTIONS!$A771),MONTH(TRANSACTIONS!$A771),DAY(TRANSACTIONS!$A771)),"")</f>
        <v/>
      </c>
      <c r="C771" s="49" t="str">
        <f>IF(A771&lt;&gt;"",TIME(HOUR(TRANSACTIONS!$A771),MINUTE(TRANSACTIONS!$A771),SECOND(TRANSACTIONS!$A771)),"")</f>
        <v/>
      </c>
      <c r="D771" s="42"/>
      <c r="E771" s="42"/>
      <c r="F771" s="43"/>
      <c r="G771" s="46" t="str">
        <f>IF(AND(A771&lt;&gt;"",F771&gt;1),IF(TRANSACTIONS!$E771=RAPPORTS!$F$9,0,IF(OR(TRANSACTIONS!$D771=RAPPORTS!$A$13,TRANSACTIONS!$D771=RAPPORTS!#REF!),VLOOKUP(TRANSACTIONS!$F771,FRAIS_D_ENVOI,3,TRUE),0)),"")</f>
        <v/>
      </c>
      <c r="H771" s="46" t="str">
        <f>IFERROR(TRANSACTIONS!$F771+TRANSACTIONS!$G771,"")</f>
        <v/>
      </c>
      <c r="I771" s="44"/>
      <c r="J771" s="40" t="str">
        <f t="shared" si="11"/>
        <v/>
      </c>
    </row>
    <row r="772" spans="1:10" hidden="1" x14ac:dyDescent="0.25">
      <c r="A772" s="41"/>
      <c r="B772" s="48" t="str">
        <f>IF(A772&lt;&gt;"",DATE(YEAR(TRANSACTIONS!$A772),MONTH(TRANSACTIONS!$A772),DAY(TRANSACTIONS!$A772)),"")</f>
        <v/>
      </c>
      <c r="C772" s="49" t="str">
        <f>IF(A772&lt;&gt;"",TIME(HOUR(TRANSACTIONS!$A772),MINUTE(TRANSACTIONS!$A772),SECOND(TRANSACTIONS!$A772)),"")</f>
        <v/>
      </c>
      <c r="D772" s="42"/>
      <c r="E772" s="42"/>
      <c r="F772" s="43"/>
      <c r="G772" s="46" t="str">
        <f>IF(AND(A772&lt;&gt;"",F772&gt;1),IF(TRANSACTIONS!$E772=RAPPORTS!$F$9,0,IF(OR(TRANSACTIONS!$D772=RAPPORTS!$A$13,TRANSACTIONS!$D772=RAPPORTS!#REF!),VLOOKUP(TRANSACTIONS!$F772,FRAIS_D_ENVOI,3,TRUE),0)),"")</f>
        <v/>
      </c>
      <c r="H772" s="46" t="str">
        <f>IFERROR(TRANSACTIONS!$F772+TRANSACTIONS!$G772,"")</f>
        <v/>
      </c>
      <c r="I772" s="44"/>
      <c r="J772" s="40" t="str">
        <f t="shared" ref="J772:J835" si="12">IF(G772&lt;&gt;"",$J$1*G772,"")</f>
        <v/>
      </c>
    </row>
    <row r="773" spans="1:10" hidden="1" x14ac:dyDescent="0.25">
      <c r="A773" s="41"/>
      <c r="B773" s="48" t="str">
        <f>IF(A773&lt;&gt;"",DATE(YEAR(TRANSACTIONS!$A773),MONTH(TRANSACTIONS!$A773),DAY(TRANSACTIONS!$A773)),"")</f>
        <v/>
      </c>
      <c r="C773" s="49" t="str">
        <f>IF(A773&lt;&gt;"",TIME(HOUR(TRANSACTIONS!$A773),MINUTE(TRANSACTIONS!$A773),SECOND(TRANSACTIONS!$A773)),"")</f>
        <v/>
      </c>
      <c r="D773" s="42"/>
      <c r="E773" s="42"/>
      <c r="F773" s="43"/>
      <c r="G773" s="46" t="str">
        <f>IF(AND(A773&lt;&gt;"",F773&gt;1),IF(TRANSACTIONS!$E773=RAPPORTS!$F$9,0,IF(OR(TRANSACTIONS!$D773=RAPPORTS!$A$13,TRANSACTIONS!$D773=RAPPORTS!#REF!),VLOOKUP(TRANSACTIONS!$F773,FRAIS_D_ENVOI,3,TRUE),0)),"")</f>
        <v/>
      </c>
      <c r="H773" s="46" t="str">
        <f>IFERROR(TRANSACTIONS!$F773+TRANSACTIONS!$G773,"")</f>
        <v/>
      </c>
      <c r="I773" s="44"/>
      <c r="J773" s="40" t="str">
        <f t="shared" si="12"/>
        <v/>
      </c>
    </row>
    <row r="774" spans="1:10" hidden="1" x14ac:dyDescent="0.25">
      <c r="A774" s="41"/>
      <c r="B774" s="48" t="str">
        <f>IF(A774&lt;&gt;"",DATE(YEAR(TRANSACTIONS!$A774),MONTH(TRANSACTIONS!$A774),DAY(TRANSACTIONS!$A774)),"")</f>
        <v/>
      </c>
      <c r="C774" s="49" t="str">
        <f>IF(A774&lt;&gt;"",TIME(HOUR(TRANSACTIONS!$A774),MINUTE(TRANSACTIONS!$A774),SECOND(TRANSACTIONS!$A774)),"")</f>
        <v/>
      </c>
      <c r="D774" s="42"/>
      <c r="E774" s="42"/>
      <c r="F774" s="43"/>
      <c r="G774" s="46" t="str">
        <f>IF(AND(A774&lt;&gt;"",F774&gt;1),IF(TRANSACTIONS!$E774=RAPPORTS!$F$9,0,IF(OR(TRANSACTIONS!$D774=RAPPORTS!$A$13,TRANSACTIONS!$D774=RAPPORTS!#REF!),VLOOKUP(TRANSACTIONS!$F774,FRAIS_D_ENVOI,3,TRUE),0)),"")</f>
        <v/>
      </c>
      <c r="H774" s="46" t="str">
        <f>IFERROR(TRANSACTIONS!$F774+TRANSACTIONS!$G774,"")</f>
        <v/>
      </c>
      <c r="I774" s="44"/>
      <c r="J774" s="40" t="str">
        <f t="shared" si="12"/>
        <v/>
      </c>
    </row>
    <row r="775" spans="1:10" hidden="1" x14ac:dyDescent="0.25">
      <c r="A775" s="41"/>
      <c r="B775" s="48" t="str">
        <f>IF(A775&lt;&gt;"",DATE(YEAR(TRANSACTIONS!$A775),MONTH(TRANSACTIONS!$A775),DAY(TRANSACTIONS!$A775)),"")</f>
        <v/>
      </c>
      <c r="C775" s="49" t="str">
        <f>IF(A775&lt;&gt;"",TIME(HOUR(TRANSACTIONS!$A775),MINUTE(TRANSACTIONS!$A775),SECOND(TRANSACTIONS!$A775)),"")</f>
        <v/>
      </c>
      <c r="D775" s="42"/>
      <c r="E775" s="42"/>
      <c r="F775" s="43"/>
      <c r="G775" s="46" t="str">
        <f>IF(AND(A775&lt;&gt;"",F775&gt;1),IF(TRANSACTIONS!$E775=RAPPORTS!$F$9,0,IF(OR(TRANSACTIONS!$D775=RAPPORTS!$A$13,TRANSACTIONS!$D775=RAPPORTS!#REF!),VLOOKUP(TRANSACTIONS!$F775,FRAIS_D_ENVOI,3,TRUE),0)),"")</f>
        <v/>
      </c>
      <c r="H775" s="46" t="str">
        <f>IFERROR(TRANSACTIONS!$F775+TRANSACTIONS!$G775,"")</f>
        <v/>
      </c>
      <c r="I775" s="44"/>
      <c r="J775" s="40" t="str">
        <f t="shared" si="12"/>
        <v/>
      </c>
    </row>
    <row r="776" spans="1:10" hidden="1" x14ac:dyDescent="0.25">
      <c r="A776" s="41"/>
      <c r="B776" s="48" t="str">
        <f>IF(A776&lt;&gt;"",DATE(YEAR(TRANSACTIONS!$A776),MONTH(TRANSACTIONS!$A776),DAY(TRANSACTIONS!$A776)),"")</f>
        <v/>
      </c>
      <c r="C776" s="49" t="str">
        <f>IF(A776&lt;&gt;"",TIME(HOUR(TRANSACTIONS!$A776),MINUTE(TRANSACTIONS!$A776),SECOND(TRANSACTIONS!$A776)),"")</f>
        <v/>
      </c>
      <c r="D776" s="42"/>
      <c r="E776" s="42"/>
      <c r="F776" s="43"/>
      <c r="G776" s="46" t="str">
        <f>IF(AND(A776&lt;&gt;"",F776&gt;1),IF(TRANSACTIONS!$E776=RAPPORTS!$F$9,0,IF(OR(TRANSACTIONS!$D776=RAPPORTS!$A$13,TRANSACTIONS!$D776=RAPPORTS!#REF!),VLOOKUP(TRANSACTIONS!$F776,FRAIS_D_ENVOI,3,TRUE),0)),"")</f>
        <v/>
      </c>
      <c r="H776" s="46" t="str">
        <f>IFERROR(TRANSACTIONS!$F776+TRANSACTIONS!$G776,"")</f>
        <v/>
      </c>
      <c r="I776" s="44"/>
      <c r="J776" s="40" t="str">
        <f t="shared" si="12"/>
        <v/>
      </c>
    </row>
    <row r="777" spans="1:10" hidden="1" x14ac:dyDescent="0.25">
      <c r="A777" s="41"/>
      <c r="B777" s="48" t="str">
        <f>IF(A777&lt;&gt;"",DATE(YEAR(TRANSACTIONS!$A777),MONTH(TRANSACTIONS!$A777),DAY(TRANSACTIONS!$A777)),"")</f>
        <v/>
      </c>
      <c r="C777" s="49" t="str">
        <f>IF(A777&lt;&gt;"",TIME(HOUR(TRANSACTIONS!$A777),MINUTE(TRANSACTIONS!$A777),SECOND(TRANSACTIONS!$A777)),"")</f>
        <v/>
      </c>
      <c r="D777" s="42"/>
      <c r="E777" s="42"/>
      <c r="F777" s="43"/>
      <c r="G777" s="46" t="str">
        <f>IF(AND(A777&lt;&gt;"",F777&gt;1),IF(TRANSACTIONS!$E777=RAPPORTS!$F$9,0,IF(OR(TRANSACTIONS!$D777=RAPPORTS!$A$13,TRANSACTIONS!$D777=RAPPORTS!#REF!),VLOOKUP(TRANSACTIONS!$F777,FRAIS_D_ENVOI,3,TRUE),0)),"")</f>
        <v/>
      </c>
      <c r="H777" s="46" t="str">
        <f>IFERROR(TRANSACTIONS!$F777+TRANSACTIONS!$G777,"")</f>
        <v/>
      </c>
      <c r="I777" s="44"/>
      <c r="J777" s="40" t="str">
        <f t="shared" si="12"/>
        <v/>
      </c>
    </row>
    <row r="778" spans="1:10" hidden="1" x14ac:dyDescent="0.25">
      <c r="A778" s="41"/>
      <c r="B778" s="48" t="str">
        <f>IF(A778&lt;&gt;"",DATE(YEAR(TRANSACTIONS!$A778),MONTH(TRANSACTIONS!$A778),DAY(TRANSACTIONS!$A778)),"")</f>
        <v/>
      </c>
      <c r="C778" s="49" t="str">
        <f>IF(A778&lt;&gt;"",TIME(HOUR(TRANSACTIONS!$A778),MINUTE(TRANSACTIONS!$A778),SECOND(TRANSACTIONS!$A778)),"")</f>
        <v/>
      </c>
      <c r="D778" s="42"/>
      <c r="E778" s="42"/>
      <c r="F778" s="43"/>
      <c r="G778" s="46" t="str">
        <f>IF(AND(A778&lt;&gt;"",F778&gt;1),IF(TRANSACTIONS!$E778=RAPPORTS!$F$9,0,IF(OR(TRANSACTIONS!$D778=RAPPORTS!$A$13,TRANSACTIONS!$D778=RAPPORTS!#REF!),VLOOKUP(TRANSACTIONS!$F778,FRAIS_D_ENVOI,3,TRUE),0)),"")</f>
        <v/>
      </c>
      <c r="H778" s="46" t="str">
        <f>IFERROR(TRANSACTIONS!$F778+TRANSACTIONS!$G778,"")</f>
        <v/>
      </c>
      <c r="I778" s="44"/>
      <c r="J778" s="40" t="str">
        <f t="shared" si="12"/>
        <v/>
      </c>
    </row>
    <row r="779" spans="1:10" hidden="1" x14ac:dyDescent="0.25">
      <c r="A779" s="41"/>
      <c r="B779" s="48" t="str">
        <f>IF(A779&lt;&gt;"",DATE(YEAR(TRANSACTIONS!$A779),MONTH(TRANSACTIONS!$A779),DAY(TRANSACTIONS!$A779)),"")</f>
        <v/>
      </c>
      <c r="C779" s="49" t="str">
        <f>IF(A779&lt;&gt;"",TIME(HOUR(TRANSACTIONS!$A779),MINUTE(TRANSACTIONS!$A779),SECOND(TRANSACTIONS!$A779)),"")</f>
        <v/>
      </c>
      <c r="D779" s="42"/>
      <c r="E779" s="42"/>
      <c r="F779" s="43"/>
      <c r="G779" s="46" t="str">
        <f>IF(AND(A779&lt;&gt;"",F779&gt;1),IF(TRANSACTIONS!$E779=RAPPORTS!$F$9,0,IF(OR(TRANSACTIONS!$D779=RAPPORTS!$A$13,TRANSACTIONS!$D779=RAPPORTS!#REF!),VLOOKUP(TRANSACTIONS!$F779,FRAIS_D_ENVOI,3,TRUE),0)),"")</f>
        <v/>
      </c>
      <c r="H779" s="46" t="str">
        <f>IFERROR(TRANSACTIONS!$F779+TRANSACTIONS!$G779,"")</f>
        <v/>
      </c>
      <c r="I779" s="44"/>
      <c r="J779" s="40" t="str">
        <f t="shared" si="12"/>
        <v/>
      </c>
    </row>
    <row r="780" spans="1:10" hidden="1" x14ac:dyDescent="0.25">
      <c r="A780" s="41"/>
      <c r="B780" s="48" t="str">
        <f>IF(A780&lt;&gt;"",DATE(YEAR(TRANSACTIONS!$A780),MONTH(TRANSACTIONS!$A780),DAY(TRANSACTIONS!$A780)),"")</f>
        <v/>
      </c>
      <c r="C780" s="49" t="str">
        <f>IF(A780&lt;&gt;"",TIME(HOUR(TRANSACTIONS!$A780),MINUTE(TRANSACTIONS!$A780),SECOND(TRANSACTIONS!$A780)),"")</f>
        <v/>
      </c>
      <c r="D780" s="42"/>
      <c r="E780" s="42"/>
      <c r="F780" s="43"/>
      <c r="G780" s="46" t="str">
        <f>IF(AND(A780&lt;&gt;"",F780&gt;1),IF(TRANSACTIONS!$E780=RAPPORTS!$F$9,0,IF(OR(TRANSACTIONS!$D780=RAPPORTS!$A$13,TRANSACTIONS!$D780=RAPPORTS!#REF!),VLOOKUP(TRANSACTIONS!$F780,FRAIS_D_ENVOI,3,TRUE),0)),"")</f>
        <v/>
      </c>
      <c r="H780" s="46" t="str">
        <f>IFERROR(TRANSACTIONS!$F780+TRANSACTIONS!$G780,"")</f>
        <v/>
      </c>
      <c r="I780" s="44"/>
      <c r="J780" s="40" t="str">
        <f t="shared" si="12"/>
        <v/>
      </c>
    </row>
    <row r="781" spans="1:10" hidden="1" x14ac:dyDescent="0.25">
      <c r="A781" s="41"/>
      <c r="B781" s="48" t="str">
        <f>IF(A781&lt;&gt;"",DATE(YEAR(TRANSACTIONS!$A781),MONTH(TRANSACTIONS!$A781),DAY(TRANSACTIONS!$A781)),"")</f>
        <v/>
      </c>
      <c r="C781" s="49" t="str">
        <f>IF(A781&lt;&gt;"",TIME(HOUR(TRANSACTIONS!$A781),MINUTE(TRANSACTIONS!$A781),SECOND(TRANSACTIONS!$A781)),"")</f>
        <v/>
      </c>
      <c r="D781" s="42"/>
      <c r="E781" s="42"/>
      <c r="F781" s="43"/>
      <c r="G781" s="46" t="str">
        <f>IF(AND(A781&lt;&gt;"",F781&gt;1),IF(TRANSACTIONS!$E781=RAPPORTS!$F$9,0,IF(OR(TRANSACTIONS!$D781=RAPPORTS!$A$13,TRANSACTIONS!$D781=RAPPORTS!#REF!),VLOOKUP(TRANSACTIONS!$F781,FRAIS_D_ENVOI,3,TRUE),0)),"")</f>
        <v/>
      </c>
      <c r="H781" s="46" t="str">
        <f>IFERROR(TRANSACTIONS!$F781+TRANSACTIONS!$G781,"")</f>
        <v/>
      </c>
      <c r="I781" s="44"/>
      <c r="J781" s="40" t="str">
        <f t="shared" si="12"/>
        <v/>
      </c>
    </row>
    <row r="782" spans="1:10" hidden="1" x14ac:dyDescent="0.25">
      <c r="A782" s="41"/>
      <c r="B782" s="48" t="str">
        <f>IF(A782&lt;&gt;"",DATE(YEAR(TRANSACTIONS!$A782),MONTH(TRANSACTIONS!$A782),DAY(TRANSACTIONS!$A782)),"")</f>
        <v/>
      </c>
      <c r="C782" s="49" t="str">
        <f>IF(A782&lt;&gt;"",TIME(HOUR(TRANSACTIONS!$A782),MINUTE(TRANSACTIONS!$A782),SECOND(TRANSACTIONS!$A782)),"")</f>
        <v/>
      </c>
      <c r="D782" s="42"/>
      <c r="E782" s="42"/>
      <c r="F782" s="43"/>
      <c r="G782" s="46" t="str">
        <f>IF(AND(A782&lt;&gt;"",F782&gt;1),IF(TRANSACTIONS!$E782=RAPPORTS!$F$9,0,IF(OR(TRANSACTIONS!$D782=RAPPORTS!$A$13,TRANSACTIONS!$D782=RAPPORTS!#REF!),VLOOKUP(TRANSACTIONS!$F782,FRAIS_D_ENVOI,3,TRUE),0)),"")</f>
        <v/>
      </c>
      <c r="H782" s="46" t="str">
        <f>IFERROR(TRANSACTIONS!$F782+TRANSACTIONS!$G782,"")</f>
        <v/>
      </c>
      <c r="I782" s="44"/>
      <c r="J782" s="40" t="str">
        <f t="shared" si="12"/>
        <v/>
      </c>
    </row>
    <row r="783" spans="1:10" hidden="1" x14ac:dyDescent="0.25">
      <c r="A783" s="41"/>
      <c r="B783" s="48" t="str">
        <f>IF(A783&lt;&gt;"",DATE(YEAR(TRANSACTIONS!$A783),MONTH(TRANSACTIONS!$A783),DAY(TRANSACTIONS!$A783)),"")</f>
        <v/>
      </c>
      <c r="C783" s="49" t="str">
        <f>IF(A783&lt;&gt;"",TIME(HOUR(TRANSACTIONS!$A783),MINUTE(TRANSACTIONS!$A783),SECOND(TRANSACTIONS!$A783)),"")</f>
        <v/>
      </c>
      <c r="D783" s="42"/>
      <c r="E783" s="42"/>
      <c r="F783" s="43"/>
      <c r="G783" s="46" t="str">
        <f>IF(AND(A783&lt;&gt;"",F783&gt;1),IF(TRANSACTIONS!$E783=RAPPORTS!$F$9,0,IF(OR(TRANSACTIONS!$D783=RAPPORTS!$A$13,TRANSACTIONS!$D783=RAPPORTS!#REF!),VLOOKUP(TRANSACTIONS!$F783,FRAIS_D_ENVOI,3,TRUE),0)),"")</f>
        <v/>
      </c>
      <c r="H783" s="46" t="str">
        <f>IFERROR(TRANSACTIONS!$F783+TRANSACTIONS!$G783,"")</f>
        <v/>
      </c>
      <c r="I783" s="44"/>
      <c r="J783" s="40" t="str">
        <f t="shared" si="12"/>
        <v/>
      </c>
    </row>
    <row r="784" spans="1:10" hidden="1" x14ac:dyDescent="0.25">
      <c r="A784" s="41"/>
      <c r="B784" s="48" t="str">
        <f>IF(A784&lt;&gt;"",DATE(YEAR(TRANSACTIONS!$A784),MONTH(TRANSACTIONS!$A784),DAY(TRANSACTIONS!$A784)),"")</f>
        <v/>
      </c>
      <c r="C784" s="49" t="str">
        <f>IF(A784&lt;&gt;"",TIME(HOUR(TRANSACTIONS!$A784),MINUTE(TRANSACTIONS!$A784),SECOND(TRANSACTIONS!$A784)),"")</f>
        <v/>
      </c>
      <c r="D784" s="42"/>
      <c r="E784" s="42"/>
      <c r="F784" s="43"/>
      <c r="G784" s="46" t="str">
        <f>IF(AND(A784&lt;&gt;"",F784&gt;1),IF(TRANSACTIONS!$E784=RAPPORTS!$F$9,0,IF(OR(TRANSACTIONS!$D784=RAPPORTS!$A$13,TRANSACTIONS!$D784=RAPPORTS!#REF!),VLOOKUP(TRANSACTIONS!$F784,FRAIS_D_ENVOI,3,TRUE),0)),"")</f>
        <v/>
      </c>
      <c r="H784" s="46" t="str">
        <f>IFERROR(TRANSACTIONS!$F784+TRANSACTIONS!$G784,"")</f>
        <v/>
      </c>
      <c r="I784" s="44"/>
      <c r="J784" s="40" t="str">
        <f t="shared" si="12"/>
        <v/>
      </c>
    </row>
    <row r="785" spans="1:10" hidden="1" x14ac:dyDescent="0.25">
      <c r="A785" s="41"/>
      <c r="B785" s="48" t="str">
        <f>IF(A785&lt;&gt;"",DATE(YEAR(TRANSACTIONS!$A785),MONTH(TRANSACTIONS!$A785),DAY(TRANSACTIONS!$A785)),"")</f>
        <v/>
      </c>
      <c r="C785" s="49" t="str">
        <f>IF(A785&lt;&gt;"",TIME(HOUR(TRANSACTIONS!$A785),MINUTE(TRANSACTIONS!$A785),SECOND(TRANSACTIONS!$A785)),"")</f>
        <v/>
      </c>
      <c r="D785" s="42"/>
      <c r="E785" s="42"/>
      <c r="F785" s="43"/>
      <c r="G785" s="46" t="str">
        <f>IF(AND(A785&lt;&gt;"",F785&gt;1),IF(TRANSACTIONS!$E785=RAPPORTS!$F$9,0,IF(OR(TRANSACTIONS!$D785=RAPPORTS!$A$13,TRANSACTIONS!$D785=RAPPORTS!#REF!),VLOOKUP(TRANSACTIONS!$F785,FRAIS_D_ENVOI,3,TRUE),0)),"")</f>
        <v/>
      </c>
      <c r="H785" s="46" t="str">
        <f>IFERROR(TRANSACTIONS!$F785+TRANSACTIONS!$G785,"")</f>
        <v/>
      </c>
      <c r="I785" s="44"/>
      <c r="J785" s="40" t="str">
        <f t="shared" si="12"/>
        <v/>
      </c>
    </row>
    <row r="786" spans="1:10" hidden="1" x14ac:dyDescent="0.25">
      <c r="A786" s="41"/>
      <c r="B786" s="48" t="str">
        <f>IF(A786&lt;&gt;"",DATE(YEAR(TRANSACTIONS!$A786),MONTH(TRANSACTIONS!$A786),DAY(TRANSACTIONS!$A786)),"")</f>
        <v/>
      </c>
      <c r="C786" s="49" t="str">
        <f>IF(A786&lt;&gt;"",TIME(HOUR(TRANSACTIONS!$A786),MINUTE(TRANSACTIONS!$A786),SECOND(TRANSACTIONS!$A786)),"")</f>
        <v/>
      </c>
      <c r="D786" s="42"/>
      <c r="E786" s="42"/>
      <c r="F786" s="43"/>
      <c r="G786" s="46" t="str">
        <f>IF(AND(A786&lt;&gt;"",F786&gt;1),IF(TRANSACTIONS!$E786=RAPPORTS!$F$9,0,IF(OR(TRANSACTIONS!$D786=RAPPORTS!$A$13,TRANSACTIONS!$D786=RAPPORTS!#REF!),VLOOKUP(TRANSACTIONS!$F786,FRAIS_D_ENVOI,3,TRUE),0)),"")</f>
        <v/>
      </c>
      <c r="H786" s="46" t="str">
        <f>IFERROR(TRANSACTIONS!$F786+TRANSACTIONS!$G786,"")</f>
        <v/>
      </c>
      <c r="I786" s="44"/>
      <c r="J786" s="40" t="str">
        <f t="shared" si="12"/>
        <v/>
      </c>
    </row>
    <row r="787" spans="1:10" hidden="1" x14ac:dyDescent="0.25">
      <c r="A787" s="41"/>
      <c r="B787" s="48" t="str">
        <f>IF(A787&lt;&gt;"",DATE(YEAR(TRANSACTIONS!$A787),MONTH(TRANSACTIONS!$A787),DAY(TRANSACTIONS!$A787)),"")</f>
        <v/>
      </c>
      <c r="C787" s="49" t="str">
        <f>IF(A787&lt;&gt;"",TIME(HOUR(TRANSACTIONS!$A787),MINUTE(TRANSACTIONS!$A787),SECOND(TRANSACTIONS!$A787)),"")</f>
        <v/>
      </c>
      <c r="D787" s="42"/>
      <c r="E787" s="42"/>
      <c r="F787" s="43"/>
      <c r="G787" s="46" t="str">
        <f>IF(AND(A787&lt;&gt;"",F787&gt;1),IF(TRANSACTIONS!$E787=RAPPORTS!$F$9,0,IF(OR(TRANSACTIONS!$D787=RAPPORTS!$A$13,TRANSACTIONS!$D787=RAPPORTS!#REF!),VLOOKUP(TRANSACTIONS!$F787,FRAIS_D_ENVOI,3,TRUE),0)),"")</f>
        <v/>
      </c>
      <c r="H787" s="46" t="str">
        <f>IFERROR(TRANSACTIONS!$F787+TRANSACTIONS!$G787,"")</f>
        <v/>
      </c>
      <c r="I787" s="44"/>
      <c r="J787" s="40" t="str">
        <f t="shared" si="12"/>
        <v/>
      </c>
    </row>
    <row r="788" spans="1:10" hidden="1" x14ac:dyDescent="0.25">
      <c r="A788" s="41"/>
      <c r="B788" s="48" t="str">
        <f>IF(A788&lt;&gt;"",DATE(YEAR(TRANSACTIONS!$A788),MONTH(TRANSACTIONS!$A788),DAY(TRANSACTIONS!$A788)),"")</f>
        <v/>
      </c>
      <c r="C788" s="49" t="str">
        <f>IF(A788&lt;&gt;"",TIME(HOUR(TRANSACTIONS!$A788),MINUTE(TRANSACTIONS!$A788),SECOND(TRANSACTIONS!$A788)),"")</f>
        <v/>
      </c>
      <c r="D788" s="42"/>
      <c r="E788" s="42"/>
      <c r="F788" s="43"/>
      <c r="G788" s="46" t="str">
        <f>IF(AND(A788&lt;&gt;"",F788&gt;1),IF(TRANSACTIONS!$E788=RAPPORTS!$F$9,0,IF(OR(TRANSACTIONS!$D788=RAPPORTS!$A$13,TRANSACTIONS!$D788=RAPPORTS!#REF!),VLOOKUP(TRANSACTIONS!$F788,FRAIS_D_ENVOI,3,TRUE),0)),"")</f>
        <v/>
      </c>
      <c r="H788" s="46" t="str">
        <f>IFERROR(TRANSACTIONS!$F788+TRANSACTIONS!$G788,"")</f>
        <v/>
      </c>
      <c r="I788" s="44"/>
      <c r="J788" s="40" t="str">
        <f t="shared" si="12"/>
        <v/>
      </c>
    </row>
    <row r="789" spans="1:10" hidden="1" x14ac:dyDescent="0.25">
      <c r="A789" s="41"/>
      <c r="B789" s="48" t="str">
        <f>IF(A789&lt;&gt;"",DATE(YEAR(TRANSACTIONS!$A789),MONTH(TRANSACTIONS!$A789),DAY(TRANSACTIONS!$A789)),"")</f>
        <v/>
      </c>
      <c r="C789" s="49" t="str">
        <f>IF(A789&lt;&gt;"",TIME(HOUR(TRANSACTIONS!$A789),MINUTE(TRANSACTIONS!$A789),SECOND(TRANSACTIONS!$A789)),"")</f>
        <v/>
      </c>
      <c r="D789" s="42"/>
      <c r="E789" s="42"/>
      <c r="F789" s="43"/>
      <c r="G789" s="46" t="str">
        <f>IF(AND(A789&lt;&gt;"",F789&gt;1),IF(TRANSACTIONS!$E789=RAPPORTS!$F$9,0,IF(OR(TRANSACTIONS!$D789=RAPPORTS!$A$13,TRANSACTIONS!$D789=RAPPORTS!#REF!),VLOOKUP(TRANSACTIONS!$F789,FRAIS_D_ENVOI,3,TRUE),0)),"")</f>
        <v/>
      </c>
      <c r="H789" s="46" t="str">
        <f>IFERROR(TRANSACTIONS!$F789+TRANSACTIONS!$G789,"")</f>
        <v/>
      </c>
      <c r="I789" s="44"/>
      <c r="J789" s="40" t="str">
        <f t="shared" si="12"/>
        <v/>
      </c>
    </row>
    <row r="790" spans="1:10" hidden="1" x14ac:dyDescent="0.25">
      <c r="A790" s="41"/>
      <c r="B790" s="48" t="str">
        <f>IF(A790&lt;&gt;"",DATE(YEAR(TRANSACTIONS!$A790),MONTH(TRANSACTIONS!$A790),DAY(TRANSACTIONS!$A790)),"")</f>
        <v/>
      </c>
      <c r="C790" s="49" t="str">
        <f>IF(A790&lt;&gt;"",TIME(HOUR(TRANSACTIONS!$A790),MINUTE(TRANSACTIONS!$A790),SECOND(TRANSACTIONS!$A790)),"")</f>
        <v/>
      </c>
      <c r="D790" s="42"/>
      <c r="E790" s="42"/>
      <c r="F790" s="43"/>
      <c r="G790" s="46" t="str">
        <f>IF(AND(A790&lt;&gt;"",F790&gt;1),IF(TRANSACTIONS!$E790=RAPPORTS!$F$9,0,IF(OR(TRANSACTIONS!$D790=RAPPORTS!$A$13,TRANSACTIONS!$D790=RAPPORTS!#REF!),VLOOKUP(TRANSACTIONS!$F790,FRAIS_D_ENVOI,3,TRUE),0)),"")</f>
        <v/>
      </c>
      <c r="H790" s="46" t="str">
        <f>IFERROR(TRANSACTIONS!$F790+TRANSACTIONS!$G790,"")</f>
        <v/>
      </c>
      <c r="I790" s="44"/>
      <c r="J790" s="40" t="str">
        <f t="shared" si="12"/>
        <v/>
      </c>
    </row>
    <row r="791" spans="1:10" hidden="1" x14ac:dyDescent="0.25">
      <c r="A791" s="41"/>
      <c r="B791" s="48" t="str">
        <f>IF(A791&lt;&gt;"",DATE(YEAR(TRANSACTIONS!$A791),MONTH(TRANSACTIONS!$A791),DAY(TRANSACTIONS!$A791)),"")</f>
        <v/>
      </c>
      <c r="C791" s="49" t="str">
        <f>IF(A791&lt;&gt;"",TIME(HOUR(TRANSACTIONS!$A791),MINUTE(TRANSACTIONS!$A791),SECOND(TRANSACTIONS!$A791)),"")</f>
        <v/>
      </c>
      <c r="D791" s="42"/>
      <c r="E791" s="42"/>
      <c r="F791" s="43"/>
      <c r="G791" s="46" t="str">
        <f>IF(AND(A791&lt;&gt;"",F791&gt;1),IF(TRANSACTIONS!$E791=RAPPORTS!$F$9,0,IF(OR(TRANSACTIONS!$D791=RAPPORTS!$A$13,TRANSACTIONS!$D791=RAPPORTS!#REF!),VLOOKUP(TRANSACTIONS!$F791,FRAIS_D_ENVOI,3,TRUE),0)),"")</f>
        <v/>
      </c>
      <c r="H791" s="46" t="str">
        <f>IFERROR(TRANSACTIONS!$F791+TRANSACTIONS!$G791,"")</f>
        <v/>
      </c>
      <c r="I791" s="44"/>
      <c r="J791" s="40" t="str">
        <f t="shared" si="12"/>
        <v/>
      </c>
    </row>
    <row r="792" spans="1:10" hidden="1" x14ac:dyDescent="0.25">
      <c r="A792" s="41"/>
      <c r="B792" s="48" t="str">
        <f>IF(A792&lt;&gt;"",DATE(YEAR(TRANSACTIONS!$A792),MONTH(TRANSACTIONS!$A792),DAY(TRANSACTIONS!$A792)),"")</f>
        <v/>
      </c>
      <c r="C792" s="49" t="str">
        <f>IF(A792&lt;&gt;"",TIME(HOUR(TRANSACTIONS!$A792),MINUTE(TRANSACTIONS!$A792),SECOND(TRANSACTIONS!$A792)),"")</f>
        <v/>
      </c>
      <c r="D792" s="42"/>
      <c r="E792" s="42"/>
      <c r="F792" s="43"/>
      <c r="G792" s="46" t="str">
        <f>IF(AND(A792&lt;&gt;"",F792&gt;1),IF(TRANSACTIONS!$E792=RAPPORTS!$F$9,0,IF(OR(TRANSACTIONS!$D792=RAPPORTS!$A$13,TRANSACTIONS!$D792=RAPPORTS!#REF!),VLOOKUP(TRANSACTIONS!$F792,FRAIS_D_ENVOI,3,TRUE),0)),"")</f>
        <v/>
      </c>
      <c r="H792" s="46" t="str">
        <f>IFERROR(TRANSACTIONS!$F792+TRANSACTIONS!$G792,"")</f>
        <v/>
      </c>
      <c r="I792" s="44"/>
      <c r="J792" s="40" t="str">
        <f t="shared" si="12"/>
        <v/>
      </c>
    </row>
    <row r="793" spans="1:10" hidden="1" x14ac:dyDescent="0.25">
      <c r="A793" s="41"/>
      <c r="B793" s="48" t="str">
        <f>IF(A793&lt;&gt;"",DATE(YEAR(TRANSACTIONS!$A793),MONTH(TRANSACTIONS!$A793),DAY(TRANSACTIONS!$A793)),"")</f>
        <v/>
      </c>
      <c r="C793" s="49" t="str">
        <f>IF(A793&lt;&gt;"",TIME(HOUR(TRANSACTIONS!$A793),MINUTE(TRANSACTIONS!$A793),SECOND(TRANSACTIONS!$A793)),"")</f>
        <v/>
      </c>
      <c r="D793" s="42"/>
      <c r="E793" s="42"/>
      <c r="F793" s="43"/>
      <c r="G793" s="46" t="str">
        <f>IF(AND(A793&lt;&gt;"",F793&gt;1),IF(TRANSACTIONS!$E793=RAPPORTS!$F$9,0,IF(OR(TRANSACTIONS!$D793=RAPPORTS!$A$13,TRANSACTIONS!$D793=RAPPORTS!#REF!),VLOOKUP(TRANSACTIONS!$F793,FRAIS_D_ENVOI,3,TRUE),0)),"")</f>
        <v/>
      </c>
      <c r="H793" s="46" t="str">
        <f>IFERROR(TRANSACTIONS!$F793+TRANSACTIONS!$G793,"")</f>
        <v/>
      </c>
      <c r="I793" s="44"/>
      <c r="J793" s="40" t="str">
        <f t="shared" si="12"/>
        <v/>
      </c>
    </row>
    <row r="794" spans="1:10" hidden="1" x14ac:dyDescent="0.25">
      <c r="A794" s="41"/>
      <c r="B794" s="48" t="str">
        <f>IF(A794&lt;&gt;"",DATE(YEAR(TRANSACTIONS!$A794),MONTH(TRANSACTIONS!$A794),DAY(TRANSACTIONS!$A794)),"")</f>
        <v/>
      </c>
      <c r="C794" s="49" t="str">
        <f>IF(A794&lt;&gt;"",TIME(HOUR(TRANSACTIONS!$A794),MINUTE(TRANSACTIONS!$A794),SECOND(TRANSACTIONS!$A794)),"")</f>
        <v/>
      </c>
      <c r="D794" s="42"/>
      <c r="E794" s="42"/>
      <c r="F794" s="43"/>
      <c r="G794" s="46" t="str">
        <f>IF(AND(A794&lt;&gt;"",F794&gt;1),IF(TRANSACTIONS!$E794=RAPPORTS!$F$9,0,IF(OR(TRANSACTIONS!$D794=RAPPORTS!$A$13,TRANSACTIONS!$D794=RAPPORTS!#REF!),VLOOKUP(TRANSACTIONS!$F794,FRAIS_D_ENVOI,3,TRUE),0)),"")</f>
        <v/>
      </c>
      <c r="H794" s="46" t="str">
        <f>IFERROR(TRANSACTIONS!$F794+TRANSACTIONS!$G794,"")</f>
        <v/>
      </c>
      <c r="I794" s="44"/>
      <c r="J794" s="40" t="str">
        <f t="shared" si="12"/>
        <v/>
      </c>
    </row>
    <row r="795" spans="1:10" hidden="1" x14ac:dyDescent="0.25">
      <c r="A795" s="41"/>
      <c r="B795" s="48" t="str">
        <f>IF(A795&lt;&gt;"",DATE(YEAR(TRANSACTIONS!$A795),MONTH(TRANSACTIONS!$A795),DAY(TRANSACTIONS!$A795)),"")</f>
        <v/>
      </c>
      <c r="C795" s="49" t="str">
        <f>IF(A795&lt;&gt;"",TIME(HOUR(TRANSACTIONS!$A795),MINUTE(TRANSACTIONS!$A795),SECOND(TRANSACTIONS!$A795)),"")</f>
        <v/>
      </c>
      <c r="D795" s="42"/>
      <c r="E795" s="42"/>
      <c r="F795" s="43"/>
      <c r="G795" s="46" t="str">
        <f>IF(AND(A795&lt;&gt;"",F795&gt;1),IF(TRANSACTIONS!$E795=RAPPORTS!$F$9,0,IF(OR(TRANSACTIONS!$D795=RAPPORTS!$A$13,TRANSACTIONS!$D795=RAPPORTS!#REF!),VLOOKUP(TRANSACTIONS!$F795,FRAIS_D_ENVOI,3,TRUE),0)),"")</f>
        <v/>
      </c>
      <c r="H795" s="46" t="str">
        <f>IFERROR(TRANSACTIONS!$F795+TRANSACTIONS!$G795,"")</f>
        <v/>
      </c>
      <c r="I795" s="44"/>
      <c r="J795" s="40" t="str">
        <f t="shared" si="12"/>
        <v/>
      </c>
    </row>
    <row r="796" spans="1:10" hidden="1" x14ac:dyDescent="0.25">
      <c r="A796" s="41"/>
      <c r="B796" s="48" t="str">
        <f>IF(A796&lt;&gt;"",DATE(YEAR(TRANSACTIONS!$A796),MONTH(TRANSACTIONS!$A796),DAY(TRANSACTIONS!$A796)),"")</f>
        <v/>
      </c>
      <c r="C796" s="49" t="str">
        <f>IF(A796&lt;&gt;"",TIME(HOUR(TRANSACTIONS!$A796),MINUTE(TRANSACTIONS!$A796),SECOND(TRANSACTIONS!$A796)),"")</f>
        <v/>
      </c>
      <c r="D796" s="42"/>
      <c r="E796" s="42"/>
      <c r="F796" s="43"/>
      <c r="G796" s="46" t="str">
        <f>IF(AND(A796&lt;&gt;"",F796&gt;1),IF(TRANSACTIONS!$E796=RAPPORTS!$F$9,0,IF(OR(TRANSACTIONS!$D796=RAPPORTS!$A$13,TRANSACTIONS!$D796=RAPPORTS!#REF!),VLOOKUP(TRANSACTIONS!$F796,FRAIS_D_ENVOI,3,TRUE),0)),"")</f>
        <v/>
      </c>
      <c r="H796" s="46" t="str">
        <f>IFERROR(TRANSACTIONS!$F796+TRANSACTIONS!$G796,"")</f>
        <v/>
      </c>
      <c r="I796" s="44"/>
      <c r="J796" s="40" t="str">
        <f t="shared" si="12"/>
        <v/>
      </c>
    </row>
    <row r="797" spans="1:10" hidden="1" x14ac:dyDescent="0.25">
      <c r="A797" s="41"/>
      <c r="B797" s="48" t="str">
        <f>IF(A797&lt;&gt;"",DATE(YEAR(TRANSACTIONS!$A797),MONTH(TRANSACTIONS!$A797),DAY(TRANSACTIONS!$A797)),"")</f>
        <v/>
      </c>
      <c r="C797" s="49" t="str">
        <f>IF(A797&lt;&gt;"",TIME(HOUR(TRANSACTIONS!$A797),MINUTE(TRANSACTIONS!$A797),SECOND(TRANSACTIONS!$A797)),"")</f>
        <v/>
      </c>
      <c r="D797" s="42"/>
      <c r="E797" s="42"/>
      <c r="F797" s="43"/>
      <c r="G797" s="46" t="str">
        <f>IF(AND(A797&lt;&gt;"",F797&gt;1),IF(TRANSACTIONS!$E797=RAPPORTS!$F$9,0,IF(OR(TRANSACTIONS!$D797=RAPPORTS!$A$13,TRANSACTIONS!$D797=RAPPORTS!#REF!),VLOOKUP(TRANSACTIONS!$F797,FRAIS_D_ENVOI,3,TRUE),0)),"")</f>
        <v/>
      </c>
      <c r="H797" s="46" t="str">
        <f>IFERROR(TRANSACTIONS!$F797+TRANSACTIONS!$G797,"")</f>
        <v/>
      </c>
      <c r="I797" s="44"/>
      <c r="J797" s="40" t="str">
        <f t="shared" si="12"/>
        <v/>
      </c>
    </row>
    <row r="798" spans="1:10" hidden="1" x14ac:dyDescent="0.25">
      <c r="A798" s="41"/>
      <c r="B798" s="48" t="str">
        <f>IF(A798&lt;&gt;"",DATE(YEAR(TRANSACTIONS!$A798),MONTH(TRANSACTIONS!$A798),DAY(TRANSACTIONS!$A798)),"")</f>
        <v/>
      </c>
      <c r="C798" s="49" t="str">
        <f>IF(A798&lt;&gt;"",TIME(HOUR(TRANSACTIONS!$A798),MINUTE(TRANSACTIONS!$A798),SECOND(TRANSACTIONS!$A798)),"")</f>
        <v/>
      </c>
      <c r="D798" s="42"/>
      <c r="E798" s="42"/>
      <c r="F798" s="43"/>
      <c r="G798" s="46" t="str">
        <f>IF(AND(A798&lt;&gt;"",F798&gt;1),IF(TRANSACTIONS!$E798=RAPPORTS!$F$9,0,IF(OR(TRANSACTIONS!$D798=RAPPORTS!$A$13,TRANSACTIONS!$D798=RAPPORTS!#REF!),VLOOKUP(TRANSACTIONS!$F798,FRAIS_D_ENVOI,3,TRUE),0)),"")</f>
        <v/>
      </c>
      <c r="H798" s="46" t="str">
        <f>IFERROR(TRANSACTIONS!$F798+TRANSACTIONS!$G798,"")</f>
        <v/>
      </c>
      <c r="I798" s="44"/>
      <c r="J798" s="40" t="str">
        <f t="shared" si="12"/>
        <v/>
      </c>
    </row>
    <row r="799" spans="1:10" hidden="1" x14ac:dyDescent="0.25">
      <c r="A799" s="41"/>
      <c r="B799" s="48" t="str">
        <f>IF(A799&lt;&gt;"",DATE(YEAR(TRANSACTIONS!$A799),MONTH(TRANSACTIONS!$A799),DAY(TRANSACTIONS!$A799)),"")</f>
        <v/>
      </c>
      <c r="C799" s="49" t="str">
        <f>IF(A799&lt;&gt;"",TIME(HOUR(TRANSACTIONS!$A799),MINUTE(TRANSACTIONS!$A799),SECOND(TRANSACTIONS!$A799)),"")</f>
        <v/>
      </c>
      <c r="D799" s="42"/>
      <c r="E799" s="42"/>
      <c r="F799" s="43"/>
      <c r="G799" s="46" t="str">
        <f>IF(AND(A799&lt;&gt;"",F799&gt;1),IF(TRANSACTIONS!$E799=RAPPORTS!$F$9,0,IF(OR(TRANSACTIONS!$D799=RAPPORTS!$A$13,TRANSACTIONS!$D799=RAPPORTS!#REF!),VLOOKUP(TRANSACTIONS!$F799,FRAIS_D_ENVOI,3,TRUE),0)),"")</f>
        <v/>
      </c>
      <c r="H799" s="46" t="str">
        <f>IFERROR(TRANSACTIONS!$F799+TRANSACTIONS!$G799,"")</f>
        <v/>
      </c>
      <c r="I799" s="44"/>
      <c r="J799" s="40" t="str">
        <f t="shared" si="12"/>
        <v/>
      </c>
    </row>
    <row r="800" spans="1:10" hidden="1" x14ac:dyDescent="0.25">
      <c r="A800" s="41"/>
      <c r="B800" s="48" t="str">
        <f>IF(A800&lt;&gt;"",DATE(YEAR(TRANSACTIONS!$A800),MONTH(TRANSACTIONS!$A800),DAY(TRANSACTIONS!$A800)),"")</f>
        <v/>
      </c>
      <c r="C800" s="49" t="str">
        <f>IF(A800&lt;&gt;"",TIME(HOUR(TRANSACTIONS!$A800),MINUTE(TRANSACTIONS!$A800),SECOND(TRANSACTIONS!$A800)),"")</f>
        <v/>
      </c>
      <c r="D800" s="42"/>
      <c r="E800" s="42"/>
      <c r="F800" s="43"/>
      <c r="G800" s="46" t="str">
        <f>IF(AND(A800&lt;&gt;"",F800&gt;1),IF(TRANSACTIONS!$E800=RAPPORTS!$F$9,0,IF(OR(TRANSACTIONS!$D800=RAPPORTS!$A$13,TRANSACTIONS!$D800=RAPPORTS!#REF!),VLOOKUP(TRANSACTIONS!$F800,FRAIS_D_ENVOI,3,TRUE),0)),"")</f>
        <v/>
      </c>
      <c r="H800" s="46" t="str">
        <f>IFERROR(TRANSACTIONS!$F800+TRANSACTIONS!$G800,"")</f>
        <v/>
      </c>
      <c r="I800" s="44"/>
      <c r="J800" s="40" t="str">
        <f t="shared" si="12"/>
        <v/>
      </c>
    </row>
    <row r="801" spans="1:10" hidden="1" x14ac:dyDescent="0.25">
      <c r="A801" s="41"/>
      <c r="B801" s="48" t="str">
        <f>IF(A801&lt;&gt;"",DATE(YEAR(TRANSACTIONS!$A801),MONTH(TRANSACTIONS!$A801),DAY(TRANSACTIONS!$A801)),"")</f>
        <v/>
      </c>
      <c r="C801" s="49" t="str">
        <f>IF(A801&lt;&gt;"",TIME(HOUR(TRANSACTIONS!$A801),MINUTE(TRANSACTIONS!$A801),SECOND(TRANSACTIONS!$A801)),"")</f>
        <v/>
      </c>
      <c r="D801" s="42"/>
      <c r="E801" s="42"/>
      <c r="F801" s="43"/>
      <c r="G801" s="46" t="str">
        <f>IF(AND(A801&lt;&gt;"",F801&gt;1),IF(TRANSACTIONS!$E801=RAPPORTS!$F$9,0,IF(OR(TRANSACTIONS!$D801=RAPPORTS!$A$13,TRANSACTIONS!$D801=RAPPORTS!#REF!),VLOOKUP(TRANSACTIONS!$F801,FRAIS_D_ENVOI,3,TRUE),0)),"")</f>
        <v/>
      </c>
      <c r="H801" s="46" t="str">
        <f>IFERROR(TRANSACTIONS!$F801+TRANSACTIONS!$G801,"")</f>
        <v/>
      </c>
      <c r="I801" s="44"/>
      <c r="J801" s="40" t="str">
        <f t="shared" si="12"/>
        <v/>
      </c>
    </row>
    <row r="802" spans="1:10" hidden="1" x14ac:dyDescent="0.25">
      <c r="A802" s="41"/>
      <c r="B802" s="48" t="str">
        <f>IF(A802&lt;&gt;"",DATE(YEAR(TRANSACTIONS!$A802),MONTH(TRANSACTIONS!$A802),DAY(TRANSACTIONS!$A802)),"")</f>
        <v/>
      </c>
      <c r="C802" s="49" t="str">
        <f>IF(A802&lt;&gt;"",TIME(HOUR(TRANSACTIONS!$A802),MINUTE(TRANSACTIONS!$A802),SECOND(TRANSACTIONS!$A802)),"")</f>
        <v/>
      </c>
      <c r="D802" s="42"/>
      <c r="E802" s="42"/>
      <c r="F802" s="43"/>
      <c r="G802" s="46" t="str">
        <f>IF(AND(A802&lt;&gt;"",F802&gt;1),IF(TRANSACTIONS!$E802=RAPPORTS!$F$9,0,IF(OR(TRANSACTIONS!$D802=RAPPORTS!$A$13,TRANSACTIONS!$D802=RAPPORTS!#REF!),VLOOKUP(TRANSACTIONS!$F802,FRAIS_D_ENVOI,3,TRUE),0)),"")</f>
        <v/>
      </c>
      <c r="H802" s="46" t="str">
        <f>IFERROR(TRANSACTIONS!$F802+TRANSACTIONS!$G802,"")</f>
        <v/>
      </c>
      <c r="I802" s="44"/>
      <c r="J802" s="40" t="str">
        <f t="shared" si="12"/>
        <v/>
      </c>
    </row>
    <row r="803" spans="1:10" hidden="1" x14ac:dyDescent="0.25">
      <c r="A803" s="41"/>
      <c r="B803" s="48" t="str">
        <f>IF(A803&lt;&gt;"",DATE(YEAR(TRANSACTIONS!$A803),MONTH(TRANSACTIONS!$A803),DAY(TRANSACTIONS!$A803)),"")</f>
        <v/>
      </c>
      <c r="C803" s="49" t="str">
        <f>IF(A803&lt;&gt;"",TIME(HOUR(TRANSACTIONS!$A803),MINUTE(TRANSACTIONS!$A803),SECOND(TRANSACTIONS!$A803)),"")</f>
        <v/>
      </c>
      <c r="D803" s="42"/>
      <c r="E803" s="42"/>
      <c r="F803" s="43"/>
      <c r="G803" s="46" t="str">
        <f>IF(AND(A803&lt;&gt;"",F803&gt;1),IF(TRANSACTIONS!$E803=RAPPORTS!$F$9,0,IF(OR(TRANSACTIONS!$D803=RAPPORTS!$A$13,TRANSACTIONS!$D803=RAPPORTS!#REF!),VLOOKUP(TRANSACTIONS!$F803,FRAIS_D_ENVOI,3,TRUE),0)),"")</f>
        <v/>
      </c>
      <c r="H803" s="46" t="str">
        <f>IFERROR(TRANSACTIONS!$F803+TRANSACTIONS!$G803,"")</f>
        <v/>
      </c>
      <c r="I803" s="44"/>
      <c r="J803" s="40" t="str">
        <f t="shared" si="12"/>
        <v/>
      </c>
    </row>
    <row r="804" spans="1:10" hidden="1" x14ac:dyDescent="0.25">
      <c r="A804" s="41"/>
      <c r="B804" s="48" t="str">
        <f>IF(A804&lt;&gt;"",DATE(YEAR(TRANSACTIONS!$A804),MONTH(TRANSACTIONS!$A804),DAY(TRANSACTIONS!$A804)),"")</f>
        <v/>
      </c>
      <c r="C804" s="49" t="str">
        <f>IF(A804&lt;&gt;"",TIME(HOUR(TRANSACTIONS!$A804),MINUTE(TRANSACTIONS!$A804),SECOND(TRANSACTIONS!$A804)),"")</f>
        <v/>
      </c>
      <c r="D804" s="42"/>
      <c r="E804" s="42"/>
      <c r="F804" s="43"/>
      <c r="G804" s="46" t="str">
        <f>IF(AND(A804&lt;&gt;"",F804&gt;1),IF(TRANSACTIONS!$E804=RAPPORTS!$F$9,0,IF(OR(TRANSACTIONS!$D804=RAPPORTS!$A$13,TRANSACTIONS!$D804=RAPPORTS!#REF!),VLOOKUP(TRANSACTIONS!$F804,FRAIS_D_ENVOI,3,TRUE),0)),"")</f>
        <v/>
      </c>
      <c r="H804" s="46" t="str">
        <f>IFERROR(TRANSACTIONS!$F804+TRANSACTIONS!$G804,"")</f>
        <v/>
      </c>
      <c r="I804" s="44"/>
      <c r="J804" s="40" t="str">
        <f t="shared" si="12"/>
        <v/>
      </c>
    </row>
    <row r="805" spans="1:10" hidden="1" x14ac:dyDescent="0.25">
      <c r="A805" s="41"/>
      <c r="B805" s="48" t="str">
        <f>IF(A805&lt;&gt;"",DATE(YEAR(TRANSACTIONS!$A805),MONTH(TRANSACTIONS!$A805),DAY(TRANSACTIONS!$A805)),"")</f>
        <v/>
      </c>
      <c r="C805" s="49" t="str">
        <f>IF(A805&lt;&gt;"",TIME(HOUR(TRANSACTIONS!$A805),MINUTE(TRANSACTIONS!$A805),SECOND(TRANSACTIONS!$A805)),"")</f>
        <v/>
      </c>
      <c r="D805" s="42"/>
      <c r="E805" s="42"/>
      <c r="F805" s="43"/>
      <c r="G805" s="46" t="str">
        <f>IF(AND(A805&lt;&gt;"",F805&gt;1),IF(TRANSACTIONS!$E805=RAPPORTS!$F$9,0,IF(OR(TRANSACTIONS!$D805=RAPPORTS!$A$13,TRANSACTIONS!$D805=RAPPORTS!#REF!),VLOOKUP(TRANSACTIONS!$F805,FRAIS_D_ENVOI,3,TRUE),0)),"")</f>
        <v/>
      </c>
      <c r="H805" s="46" t="str">
        <f>IFERROR(TRANSACTIONS!$F805+TRANSACTIONS!$G805,"")</f>
        <v/>
      </c>
      <c r="I805" s="44"/>
      <c r="J805" s="40" t="str">
        <f t="shared" si="12"/>
        <v/>
      </c>
    </row>
    <row r="806" spans="1:10" hidden="1" x14ac:dyDescent="0.25">
      <c r="A806" s="41"/>
      <c r="B806" s="48" t="str">
        <f>IF(A806&lt;&gt;"",DATE(YEAR(TRANSACTIONS!$A806),MONTH(TRANSACTIONS!$A806),DAY(TRANSACTIONS!$A806)),"")</f>
        <v/>
      </c>
      <c r="C806" s="49" t="str">
        <f>IF(A806&lt;&gt;"",TIME(HOUR(TRANSACTIONS!$A806),MINUTE(TRANSACTIONS!$A806),SECOND(TRANSACTIONS!$A806)),"")</f>
        <v/>
      </c>
      <c r="D806" s="42"/>
      <c r="E806" s="42"/>
      <c r="F806" s="43"/>
      <c r="G806" s="46" t="str">
        <f>IF(AND(A806&lt;&gt;"",F806&gt;1),IF(TRANSACTIONS!$E806=RAPPORTS!$F$9,0,IF(OR(TRANSACTIONS!$D806=RAPPORTS!$A$13,TRANSACTIONS!$D806=RAPPORTS!#REF!),VLOOKUP(TRANSACTIONS!$F806,FRAIS_D_ENVOI,3,TRUE),0)),"")</f>
        <v/>
      </c>
      <c r="H806" s="46" t="str">
        <f>IFERROR(TRANSACTIONS!$F806+TRANSACTIONS!$G806,"")</f>
        <v/>
      </c>
      <c r="I806" s="44"/>
      <c r="J806" s="40" t="str">
        <f t="shared" si="12"/>
        <v/>
      </c>
    </row>
    <row r="807" spans="1:10" hidden="1" x14ac:dyDescent="0.25">
      <c r="A807" s="41"/>
      <c r="B807" s="48" t="str">
        <f>IF(A807&lt;&gt;"",DATE(YEAR(TRANSACTIONS!$A807),MONTH(TRANSACTIONS!$A807),DAY(TRANSACTIONS!$A807)),"")</f>
        <v/>
      </c>
      <c r="C807" s="49" t="str">
        <f>IF(A807&lt;&gt;"",TIME(HOUR(TRANSACTIONS!$A807),MINUTE(TRANSACTIONS!$A807),SECOND(TRANSACTIONS!$A807)),"")</f>
        <v/>
      </c>
      <c r="D807" s="42"/>
      <c r="E807" s="42"/>
      <c r="F807" s="43"/>
      <c r="G807" s="46" t="str">
        <f>IF(AND(A807&lt;&gt;"",F807&gt;1),IF(TRANSACTIONS!$E807=RAPPORTS!$F$9,0,IF(OR(TRANSACTIONS!$D807=RAPPORTS!$A$13,TRANSACTIONS!$D807=RAPPORTS!#REF!),VLOOKUP(TRANSACTIONS!$F807,FRAIS_D_ENVOI,3,TRUE),0)),"")</f>
        <v/>
      </c>
      <c r="H807" s="46" t="str">
        <f>IFERROR(TRANSACTIONS!$F807+TRANSACTIONS!$G807,"")</f>
        <v/>
      </c>
      <c r="I807" s="44"/>
      <c r="J807" s="40" t="str">
        <f t="shared" si="12"/>
        <v/>
      </c>
    </row>
    <row r="808" spans="1:10" hidden="1" x14ac:dyDescent="0.25">
      <c r="A808" s="41"/>
      <c r="B808" s="48" t="str">
        <f>IF(A808&lt;&gt;"",DATE(YEAR(TRANSACTIONS!$A808),MONTH(TRANSACTIONS!$A808),DAY(TRANSACTIONS!$A808)),"")</f>
        <v/>
      </c>
      <c r="C808" s="49" t="str">
        <f>IF(A808&lt;&gt;"",TIME(HOUR(TRANSACTIONS!$A808),MINUTE(TRANSACTIONS!$A808),SECOND(TRANSACTIONS!$A808)),"")</f>
        <v/>
      </c>
      <c r="D808" s="42"/>
      <c r="E808" s="42"/>
      <c r="F808" s="43"/>
      <c r="G808" s="46" t="str">
        <f>IF(AND(A808&lt;&gt;"",F808&gt;1),IF(TRANSACTIONS!$E808=RAPPORTS!$F$9,0,IF(OR(TRANSACTIONS!$D808=RAPPORTS!$A$13,TRANSACTIONS!$D808=RAPPORTS!#REF!),VLOOKUP(TRANSACTIONS!$F808,FRAIS_D_ENVOI,3,TRUE),0)),"")</f>
        <v/>
      </c>
      <c r="H808" s="46" t="str">
        <f>IFERROR(TRANSACTIONS!$F808+TRANSACTIONS!$G808,"")</f>
        <v/>
      </c>
      <c r="I808" s="44"/>
      <c r="J808" s="40" t="str">
        <f t="shared" si="12"/>
        <v/>
      </c>
    </row>
    <row r="809" spans="1:10" hidden="1" x14ac:dyDescent="0.25">
      <c r="A809" s="41"/>
      <c r="B809" s="48" t="str">
        <f>IF(A809&lt;&gt;"",DATE(YEAR(TRANSACTIONS!$A809),MONTH(TRANSACTIONS!$A809),DAY(TRANSACTIONS!$A809)),"")</f>
        <v/>
      </c>
      <c r="C809" s="49" t="str">
        <f>IF(A809&lt;&gt;"",TIME(HOUR(TRANSACTIONS!$A809),MINUTE(TRANSACTIONS!$A809),SECOND(TRANSACTIONS!$A809)),"")</f>
        <v/>
      </c>
      <c r="D809" s="42"/>
      <c r="E809" s="42"/>
      <c r="F809" s="43"/>
      <c r="G809" s="46" t="str">
        <f>IF(AND(A809&lt;&gt;"",F809&gt;1),IF(TRANSACTIONS!$E809=RAPPORTS!$F$9,0,IF(OR(TRANSACTIONS!$D809=RAPPORTS!$A$13,TRANSACTIONS!$D809=RAPPORTS!#REF!),VLOOKUP(TRANSACTIONS!$F809,FRAIS_D_ENVOI,3,TRUE),0)),"")</f>
        <v/>
      </c>
      <c r="H809" s="46" t="str">
        <f>IFERROR(TRANSACTIONS!$F809+TRANSACTIONS!$G809,"")</f>
        <v/>
      </c>
      <c r="I809" s="44"/>
      <c r="J809" s="40" t="str">
        <f t="shared" si="12"/>
        <v/>
      </c>
    </row>
    <row r="810" spans="1:10" hidden="1" x14ac:dyDescent="0.25">
      <c r="A810" s="41"/>
      <c r="B810" s="48" t="str">
        <f>IF(A810&lt;&gt;"",DATE(YEAR(TRANSACTIONS!$A810),MONTH(TRANSACTIONS!$A810),DAY(TRANSACTIONS!$A810)),"")</f>
        <v/>
      </c>
      <c r="C810" s="49" t="str">
        <f>IF(A810&lt;&gt;"",TIME(HOUR(TRANSACTIONS!$A810),MINUTE(TRANSACTIONS!$A810),SECOND(TRANSACTIONS!$A810)),"")</f>
        <v/>
      </c>
      <c r="D810" s="42"/>
      <c r="E810" s="42"/>
      <c r="F810" s="43"/>
      <c r="G810" s="46" t="str">
        <f>IF(AND(A810&lt;&gt;"",F810&gt;1),IF(TRANSACTIONS!$E810=RAPPORTS!$F$9,0,IF(OR(TRANSACTIONS!$D810=RAPPORTS!$A$13,TRANSACTIONS!$D810=RAPPORTS!#REF!),VLOOKUP(TRANSACTIONS!$F810,FRAIS_D_ENVOI,3,TRUE),0)),"")</f>
        <v/>
      </c>
      <c r="H810" s="46" t="str">
        <f>IFERROR(TRANSACTIONS!$F810+TRANSACTIONS!$G810,"")</f>
        <v/>
      </c>
      <c r="I810" s="44"/>
      <c r="J810" s="40" t="str">
        <f t="shared" si="12"/>
        <v/>
      </c>
    </row>
    <row r="811" spans="1:10" hidden="1" x14ac:dyDescent="0.25">
      <c r="A811" s="41"/>
      <c r="B811" s="48" t="str">
        <f>IF(A811&lt;&gt;"",DATE(YEAR(TRANSACTIONS!$A811),MONTH(TRANSACTIONS!$A811),DAY(TRANSACTIONS!$A811)),"")</f>
        <v/>
      </c>
      <c r="C811" s="49" t="str">
        <f>IF(A811&lt;&gt;"",TIME(HOUR(TRANSACTIONS!$A811),MINUTE(TRANSACTIONS!$A811),SECOND(TRANSACTIONS!$A811)),"")</f>
        <v/>
      </c>
      <c r="D811" s="42"/>
      <c r="E811" s="42"/>
      <c r="F811" s="43"/>
      <c r="G811" s="46" t="str">
        <f>IF(AND(A811&lt;&gt;"",F811&gt;1),IF(TRANSACTIONS!$E811=RAPPORTS!$F$9,0,IF(OR(TRANSACTIONS!$D811=RAPPORTS!$A$13,TRANSACTIONS!$D811=RAPPORTS!#REF!),VLOOKUP(TRANSACTIONS!$F811,FRAIS_D_ENVOI,3,TRUE),0)),"")</f>
        <v/>
      </c>
      <c r="H811" s="46" t="str">
        <f>IFERROR(TRANSACTIONS!$F811+TRANSACTIONS!$G811,"")</f>
        <v/>
      </c>
      <c r="I811" s="44"/>
      <c r="J811" s="40" t="str">
        <f t="shared" si="12"/>
        <v/>
      </c>
    </row>
    <row r="812" spans="1:10" hidden="1" x14ac:dyDescent="0.25">
      <c r="A812" s="41"/>
      <c r="B812" s="48" t="str">
        <f>IF(A812&lt;&gt;"",DATE(YEAR(TRANSACTIONS!$A812),MONTH(TRANSACTIONS!$A812),DAY(TRANSACTIONS!$A812)),"")</f>
        <v/>
      </c>
      <c r="C812" s="49" t="str">
        <f>IF(A812&lt;&gt;"",TIME(HOUR(TRANSACTIONS!$A812),MINUTE(TRANSACTIONS!$A812),SECOND(TRANSACTIONS!$A812)),"")</f>
        <v/>
      </c>
      <c r="D812" s="42"/>
      <c r="E812" s="42"/>
      <c r="F812" s="43"/>
      <c r="G812" s="46" t="str">
        <f>IF(AND(A812&lt;&gt;"",F812&gt;1),IF(TRANSACTIONS!$E812=RAPPORTS!$F$9,0,IF(OR(TRANSACTIONS!$D812=RAPPORTS!$A$13,TRANSACTIONS!$D812=RAPPORTS!#REF!),VLOOKUP(TRANSACTIONS!$F812,FRAIS_D_ENVOI,3,TRUE),0)),"")</f>
        <v/>
      </c>
      <c r="H812" s="46" t="str">
        <f>IFERROR(TRANSACTIONS!$F812+TRANSACTIONS!$G812,"")</f>
        <v/>
      </c>
      <c r="I812" s="44"/>
      <c r="J812" s="40" t="str">
        <f t="shared" si="12"/>
        <v/>
      </c>
    </row>
    <row r="813" spans="1:10" hidden="1" x14ac:dyDescent="0.25">
      <c r="A813" s="41"/>
      <c r="B813" s="48" t="str">
        <f>IF(A813&lt;&gt;"",DATE(YEAR(TRANSACTIONS!$A813),MONTH(TRANSACTIONS!$A813),DAY(TRANSACTIONS!$A813)),"")</f>
        <v/>
      </c>
      <c r="C813" s="49" t="str">
        <f>IF(A813&lt;&gt;"",TIME(HOUR(TRANSACTIONS!$A813),MINUTE(TRANSACTIONS!$A813),SECOND(TRANSACTIONS!$A813)),"")</f>
        <v/>
      </c>
      <c r="D813" s="42"/>
      <c r="E813" s="42"/>
      <c r="F813" s="43"/>
      <c r="G813" s="46" t="str">
        <f>IF(AND(A813&lt;&gt;"",F813&gt;1),IF(TRANSACTIONS!$E813=RAPPORTS!$F$9,0,IF(OR(TRANSACTIONS!$D813=RAPPORTS!$A$13,TRANSACTIONS!$D813=RAPPORTS!#REF!),VLOOKUP(TRANSACTIONS!$F813,FRAIS_D_ENVOI,3,TRUE),0)),"")</f>
        <v/>
      </c>
      <c r="H813" s="46" t="str">
        <f>IFERROR(TRANSACTIONS!$F813+TRANSACTIONS!$G813,"")</f>
        <v/>
      </c>
      <c r="I813" s="44"/>
      <c r="J813" s="40" t="str">
        <f t="shared" si="12"/>
        <v/>
      </c>
    </row>
    <row r="814" spans="1:10" hidden="1" x14ac:dyDescent="0.25">
      <c r="A814" s="41"/>
      <c r="B814" s="48" t="str">
        <f>IF(A814&lt;&gt;"",DATE(YEAR(TRANSACTIONS!$A814),MONTH(TRANSACTIONS!$A814),DAY(TRANSACTIONS!$A814)),"")</f>
        <v/>
      </c>
      <c r="C814" s="49" t="str">
        <f>IF(A814&lt;&gt;"",TIME(HOUR(TRANSACTIONS!$A814),MINUTE(TRANSACTIONS!$A814),SECOND(TRANSACTIONS!$A814)),"")</f>
        <v/>
      </c>
      <c r="D814" s="42"/>
      <c r="E814" s="42"/>
      <c r="F814" s="43"/>
      <c r="G814" s="46" t="str">
        <f>IF(AND(A814&lt;&gt;"",F814&gt;1),IF(TRANSACTIONS!$E814=RAPPORTS!$F$9,0,IF(OR(TRANSACTIONS!$D814=RAPPORTS!$A$13,TRANSACTIONS!$D814=RAPPORTS!#REF!),VLOOKUP(TRANSACTIONS!$F814,FRAIS_D_ENVOI,3,TRUE),0)),"")</f>
        <v/>
      </c>
      <c r="H814" s="46" t="str">
        <f>IFERROR(TRANSACTIONS!$F814+TRANSACTIONS!$G814,"")</f>
        <v/>
      </c>
      <c r="I814" s="44"/>
      <c r="J814" s="40" t="str">
        <f t="shared" si="12"/>
        <v/>
      </c>
    </row>
    <row r="815" spans="1:10" hidden="1" x14ac:dyDescent="0.25">
      <c r="A815" s="41"/>
      <c r="B815" s="48" t="str">
        <f>IF(A815&lt;&gt;"",DATE(YEAR(TRANSACTIONS!$A815),MONTH(TRANSACTIONS!$A815),DAY(TRANSACTIONS!$A815)),"")</f>
        <v/>
      </c>
      <c r="C815" s="49" t="str">
        <f>IF(A815&lt;&gt;"",TIME(HOUR(TRANSACTIONS!$A815),MINUTE(TRANSACTIONS!$A815),SECOND(TRANSACTIONS!$A815)),"")</f>
        <v/>
      </c>
      <c r="D815" s="42"/>
      <c r="E815" s="42"/>
      <c r="F815" s="43"/>
      <c r="G815" s="46" t="str">
        <f>IF(AND(A815&lt;&gt;"",F815&gt;1),IF(TRANSACTIONS!$E815=RAPPORTS!$F$9,0,IF(OR(TRANSACTIONS!$D815=RAPPORTS!$A$13,TRANSACTIONS!$D815=RAPPORTS!#REF!),VLOOKUP(TRANSACTIONS!$F815,FRAIS_D_ENVOI,3,TRUE),0)),"")</f>
        <v/>
      </c>
      <c r="H815" s="46" t="str">
        <f>IFERROR(TRANSACTIONS!$F815+TRANSACTIONS!$G815,"")</f>
        <v/>
      </c>
      <c r="I815" s="44"/>
      <c r="J815" s="40" t="str">
        <f t="shared" si="12"/>
        <v/>
      </c>
    </row>
    <row r="816" spans="1:10" hidden="1" x14ac:dyDescent="0.25">
      <c r="A816" s="41"/>
      <c r="B816" s="48" t="str">
        <f>IF(A816&lt;&gt;"",DATE(YEAR(TRANSACTIONS!$A816),MONTH(TRANSACTIONS!$A816),DAY(TRANSACTIONS!$A816)),"")</f>
        <v/>
      </c>
      <c r="C816" s="49" t="str">
        <f>IF(A816&lt;&gt;"",TIME(HOUR(TRANSACTIONS!$A816),MINUTE(TRANSACTIONS!$A816),SECOND(TRANSACTIONS!$A816)),"")</f>
        <v/>
      </c>
      <c r="D816" s="42"/>
      <c r="E816" s="42"/>
      <c r="F816" s="43"/>
      <c r="G816" s="46" t="str">
        <f>IF(AND(A816&lt;&gt;"",F816&gt;1),IF(TRANSACTIONS!$E816=RAPPORTS!$F$9,0,IF(OR(TRANSACTIONS!$D816=RAPPORTS!$A$13,TRANSACTIONS!$D816=RAPPORTS!#REF!),VLOOKUP(TRANSACTIONS!$F816,FRAIS_D_ENVOI,3,TRUE),0)),"")</f>
        <v/>
      </c>
      <c r="H816" s="46" t="str">
        <f>IFERROR(TRANSACTIONS!$F816+TRANSACTIONS!$G816,"")</f>
        <v/>
      </c>
      <c r="I816" s="44"/>
      <c r="J816" s="40" t="str">
        <f t="shared" si="12"/>
        <v/>
      </c>
    </row>
    <row r="817" spans="1:10" hidden="1" x14ac:dyDescent="0.25">
      <c r="A817" s="41"/>
      <c r="B817" s="48" t="str">
        <f>IF(A817&lt;&gt;"",DATE(YEAR(TRANSACTIONS!$A817),MONTH(TRANSACTIONS!$A817),DAY(TRANSACTIONS!$A817)),"")</f>
        <v/>
      </c>
      <c r="C817" s="49" t="str">
        <f>IF(A817&lt;&gt;"",TIME(HOUR(TRANSACTIONS!$A817),MINUTE(TRANSACTIONS!$A817),SECOND(TRANSACTIONS!$A817)),"")</f>
        <v/>
      </c>
      <c r="D817" s="42"/>
      <c r="E817" s="42"/>
      <c r="F817" s="43"/>
      <c r="G817" s="46" t="str">
        <f>IF(AND(A817&lt;&gt;"",F817&gt;1),IF(TRANSACTIONS!$E817=RAPPORTS!$F$9,0,IF(OR(TRANSACTIONS!$D817=RAPPORTS!$A$13,TRANSACTIONS!$D817=RAPPORTS!#REF!),VLOOKUP(TRANSACTIONS!$F817,FRAIS_D_ENVOI,3,TRUE),0)),"")</f>
        <v/>
      </c>
      <c r="H817" s="46" t="str">
        <f>IFERROR(TRANSACTIONS!$F817+TRANSACTIONS!$G817,"")</f>
        <v/>
      </c>
      <c r="I817" s="44"/>
      <c r="J817" s="40" t="str">
        <f t="shared" si="12"/>
        <v/>
      </c>
    </row>
    <row r="818" spans="1:10" hidden="1" x14ac:dyDescent="0.25">
      <c r="A818" s="41"/>
      <c r="B818" s="48" t="str">
        <f>IF(A818&lt;&gt;"",DATE(YEAR(TRANSACTIONS!$A818),MONTH(TRANSACTIONS!$A818),DAY(TRANSACTIONS!$A818)),"")</f>
        <v/>
      </c>
      <c r="C818" s="49" t="str">
        <f>IF(A818&lt;&gt;"",TIME(HOUR(TRANSACTIONS!$A818),MINUTE(TRANSACTIONS!$A818),SECOND(TRANSACTIONS!$A818)),"")</f>
        <v/>
      </c>
      <c r="D818" s="42"/>
      <c r="E818" s="42"/>
      <c r="F818" s="43"/>
      <c r="G818" s="46" t="str">
        <f>IF(AND(A818&lt;&gt;"",F818&gt;1),IF(TRANSACTIONS!$E818=RAPPORTS!$F$9,0,IF(OR(TRANSACTIONS!$D818=RAPPORTS!$A$13,TRANSACTIONS!$D818=RAPPORTS!#REF!),VLOOKUP(TRANSACTIONS!$F818,FRAIS_D_ENVOI,3,TRUE),0)),"")</f>
        <v/>
      </c>
      <c r="H818" s="46" t="str">
        <f>IFERROR(TRANSACTIONS!$F818+TRANSACTIONS!$G818,"")</f>
        <v/>
      </c>
      <c r="I818" s="44"/>
      <c r="J818" s="40" t="str">
        <f t="shared" si="12"/>
        <v/>
      </c>
    </row>
    <row r="819" spans="1:10" hidden="1" x14ac:dyDescent="0.25">
      <c r="A819" s="41"/>
      <c r="B819" s="48" t="str">
        <f>IF(A819&lt;&gt;"",DATE(YEAR(TRANSACTIONS!$A819),MONTH(TRANSACTIONS!$A819),DAY(TRANSACTIONS!$A819)),"")</f>
        <v/>
      </c>
      <c r="C819" s="49" t="str">
        <f>IF(A819&lt;&gt;"",TIME(HOUR(TRANSACTIONS!$A819),MINUTE(TRANSACTIONS!$A819),SECOND(TRANSACTIONS!$A819)),"")</f>
        <v/>
      </c>
      <c r="D819" s="42"/>
      <c r="E819" s="42"/>
      <c r="F819" s="43"/>
      <c r="G819" s="46" t="str">
        <f>IF(AND(A819&lt;&gt;"",F819&gt;1),IF(TRANSACTIONS!$E819=RAPPORTS!$F$9,0,IF(OR(TRANSACTIONS!$D819=RAPPORTS!$A$13,TRANSACTIONS!$D819=RAPPORTS!#REF!),VLOOKUP(TRANSACTIONS!$F819,FRAIS_D_ENVOI,3,TRUE),0)),"")</f>
        <v/>
      </c>
      <c r="H819" s="46" t="str">
        <f>IFERROR(TRANSACTIONS!$F819+TRANSACTIONS!$G819,"")</f>
        <v/>
      </c>
      <c r="I819" s="44"/>
      <c r="J819" s="40" t="str">
        <f t="shared" si="12"/>
        <v/>
      </c>
    </row>
    <row r="820" spans="1:10" hidden="1" x14ac:dyDescent="0.25">
      <c r="A820" s="41"/>
      <c r="B820" s="48" t="str">
        <f>IF(A820&lt;&gt;"",DATE(YEAR(TRANSACTIONS!$A820),MONTH(TRANSACTIONS!$A820),DAY(TRANSACTIONS!$A820)),"")</f>
        <v/>
      </c>
      <c r="C820" s="49" t="str">
        <f>IF(A820&lt;&gt;"",TIME(HOUR(TRANSACTIONS!$A820),MINUTE(TRANSACTIONS!$A820),SECOND(TRANSACTIONS!$A820)),"")</f>
        <v/>
      </c>
      <c r="D820" s="42"/>
      <c r="E820" s="42"/>
      <c r="F820" s="43"/>
      <c r="G820" s="46" t="str">
        <f>IF(AND(A820&lt;&gt;"",F820&gt;1),IF(TRANSACTIONS!$E820=RAPPORTS!$F$9,0,IF(OR(TRANSACTIONS!$D820=RAPPORTS!$A$13,TRANSACTIONS!$D820=RAPPORTS!#REF!),VLOOKUP(TRANSACTIONS!$F820,FRAIS_D_ENVOI,3,TRUE),0)),"")</f>
        <v/>
      </c>
      <c r="H820" s="46" t="str">
        <f>IFERROR(TRANSACTIONS!$F820+TRANSACTIONS!$G820,"")</f>
        <v/>
      </c>
      <c r="I820" s="44"/>
      <c r="J820" s="40" t="str">
        <f t="shared" si="12"/>
        <v/>
      </c>
    </row>
    <row r="821" spans="1:10" hidden="1" x14ac:dyDescent="0.25">
      <c r="A821" s="41"/>
      <c r="B821" s="48" t="str">
        <f>IF(A821&lt;&gt;"",DATE(YEAR(TRANSACTIONS!$A821),MONTH(TRANSACTIONS!$A821),DAY(TRANSACTIONS!$A821)),"")</f>
        <v/>
      </c>
      <c r="C821" s="49" t="str">
        <f>IF(A821&lt;&gt;"",TIME(HOUR(TRANSACTIONS!$A821),MINUTE(TRANSACTIONS!$A821),SECOND(TRANSACTIONS!$A821)),"")</f>
        <v/>
      </c>
      <c r="D821" s="42"/>
      <c r="E821" s="42"/>
      <c r="F821" s="43"/>
      <c r="G821" s="46" t="str">
        <f>IF(AND(A821&lt;&gt;"",F821&gt;1),IF(TRANSACTIONS!$E821=RAPPORTS!$F$9,0,IF(OR(TRANSACTIONS!$D821=RAPPORTS!$A$13,TRANSACTIONS!$D821=RAPPORTS!#REF!),VLOOKUP(TRANSACTIONS!$F821,FRAIS_D_ENVOI,3,TRUE),0)),"")</f>
        <v/>
      </c>
      <c r="H821" s="46" t="str">
        <f>IFERROR(TRANSACTIONS!$F821+TRANSACTIONS!$G821,"")</f>
        <v/>
      </c>
      <c r="I821" s="44"/>
      <c r="J821" s="40" t="str">
        <f t="shared" si="12"/>
        <v/>
      </c>
    </row>
    <row r="822" spans="1:10" hidden="1" x14ac:dyDescent="0.25">
      <c r="A822" s="41"/>
      <c r="B822" s="48" t="str">
        <f>IF(A822&lt;&gt;"",DATE(YEAR(TRANSACTIONS!$A822),MONTH(TRANSACTIONS!$A822),DAY(TRANSACTIONS!$A822)),"")</f>
        <v/>
      </c>
      <c r="C822" s="49" t="str">
        <f>IF(A822&lt;&gt;"",TIME(HOUR(TRANSACTIONS!$A822),MINUTE(TRANSACTIONS!$A822),SECOND(TRANSACTIONS!$A822)),"")</f>
        <v/>
      </c>
      <c r="D822" s="42"/>
      <c r="E822" s="42"/>
      <c r="F822" s="43"/>
      <c r="G822" s="46" t="str">
        <f>IF(AND(A822&lt;&gt;"",F822&gt;1),IF(TRANSACTIONS!$E822=RAPPORTS!$F$9,0,IF(OR(TRANSACTIONS!$D822=RAPPORTS!$A$13,TRANSACTIONS!$D822=RAPPORTS!#REF!),VLOOKUP(TRANSACTIONS!$F822,FRAIS_D_ENVOI,3,TRUE),0)),"")</f>
        <v/>
      </c>
      <c r="H822" s="46" t="str">
        <f>IFERROR(TRANSACTIONS!$F822+TRANSACTIONS!$G822,"")</f>
        <v/>
      </c>
      <c r="I822" s="44"/>
      <c r="J822" s="40" t="str">
        <f t="shared" si="12"/>
        <v/>
      </c>
    </row>
    <row r="823" spans="1:10" hidden="1" x14ac:dyDescent="0.25">
      <c r="A823" s="41"/>
      <c r="B823" s="48" t="str">
        <f>IF(A823&lt;&gt;"",DATE(YEAR(TRANSACTIONS!$A823),MONTH(TRANSACTIONS!$A823),DAY(TRANSACTIONS!$A823)),"")</f>
        <v/>
      </c>
      <c r="C823" s="49" t="str">
        <f>IF(A823&lt;&gt;"",TIME(HOUR(TRANSACTIONS!$A823),MINUTE(TRANSACTIONS!$A823),SECOND(TRANSACTIONS!$A823)),"")</f>
        <v/>
      </c>
      <c r="D823" s="42"/>
      <c r="E823" s="42"/>
      <c r="F823" s="43"/>
      <c r="G823" s="46" t="str">
        <f>IF(AND(A823&lt;&gt;"",F823&gt;1),IF(TRANSACTIONS!$E823=RAPPORTS!$F$9,0,IF(OR(TRANSACTIONS!$D823=RAPPORTS!$A$13,TRANSACTIONS!$D823=RAPPORTS!#REF!),VLOOKUP(TRANSACTIONS!$F823,FRAIS_D_ENVOI,3,TRUE),0)),"")</f>
        <v/>
      </c>
      <c r="H823" s="46" t="str">
        <f>IFERROR(TRANSACTIONS!$F823+TRANSACTIONS!$G823,"")</f>
        <v/>
      </c>
      <c r="I823" s="44"/>
      <c r="J823" s="40" t="str">
        <f t="shared" si="12"/>
        <v/>
      </c>
    </row>
    <row r="824" spans="1:10" hidden="1" x14ac:dyDescent="0.25">
      <c r="A824" s="41"/>
      <c r="B824" s="48" t="str">
        <f>IF(A824&lt;&gt;"",DATE(YEAR(TRANSACTIONS!$A824),MONTH(TRANSACTIONS!$A824),DAY(TRANSACTIONS!$A824)),"")</f>
        <v/>
      </c>
      <c r="C824" s="49" t="str">
        <f>IF(A824&lt;&gt;"",TIME(HOUR(TRANSACTIONS!$A824),MINUTE(TRANSACTIONS!$A824),SECOND(TRANSACTIONS!$A824)),"")</f>
        <v/>
      </c>
      <c r="D824" s="42"/>
      <c r="E824" s="42"/>
      <c r="F824" s="43"/>
      <c r="G824" s="46" t="str">
        <f>IF(AND(A824&lt;&gt;"",F824&gt;1),IF(TRANSACTIONS!$E824=RAPPORTS!$F$9,0,IF(OR(TRANSACTIONS!$D824=RAPPORTS!$A$13,TRANSACTIONS!$D824=RAPPORTS!#REF!),VLOOKUP(TRANSACTIONS!$F824,FRAIS_D_ENVOI,3,TRUE),0)),"")</f>
        <v/>
      </c>
      <c r="H824" s="46" t="str">
        <f>IFERROR(TRANSACTIONS!$F824+TRANSACTIONS!$G824,"")</f>
        <v/>
      </c>
      <c r="I824" s="44"/>
      <c r="J824" s="40" t="str">
        <f t="shared" si="12"/>
        <v/>
      </c>
    </row>
    <row r="825" spans="1:10" hidden="1" x14ac:dyDescent="0.25">
      <c r="A825" s="41"/>
      <c r="B825" s="48" t="str">
        <f>IF(A825&lt;&gt;"",DATE(YEAR(TRANSACTIONS!$A825),MONTH(TRANSACTIONS!$A825),DAY(TRANSACTIONS!$A825)),"")</f>
        <v/>
      </c>
      <c r="C825" s="49" t="str">
        <f>IF(A825&lt;&gt;"",TIME(HOUR(TRANSACTIONS!$A825),MINUTE(TRANSACTIONS!$A825),SECOND(TRANSACTIONS!$A825)),"")</f>
        <v/>
      </c>
      <c r="D825" s="42"/>
      <c r="E825" s="42"/>
      <c r="F825" s="43"/>
      <c r="G825" s="46" t="str">
        <f>IF(AND(A825&lt;&gt;"",F825&gt;1),IF(TRANSACTIONS!$E825=RAPPORTS!$F$9,0,IF(OR(TRANSACTIONS!$D825=RAPPORTS!$A$13,TRANSACTIONS!$D825=RAPPORTS!#REF!),VLOOKUP(TRANSACTIONS!$F825,FRAIS_D_ENVOI,3,TRUE),0)),"")</f>
        <v/>
      </c>
      <c r="H825" s="46" t="str">
        <f>IFERROR(TRANSACTIONS!$F825+TRANSACTIONS!$G825,"")</f>
        <v/>
      </c>
      <c r="I825" s="44"/>
      <c r="J825" s="40" t="str">
        <f t="shared" si="12"/>
        <v/>
      </c>
    </row>
    <row r="826" spans="1:10" hidden="1" x14ac:dyDescent="0.25">
      <c r="A826" s="41"/>
      <c r="B826" s="48" t="str">
        <f>IF(A826&lt;&gt;"",DATE(YEAR(TRANSACTIONS!$A826),MONTH(TRANSACTIONS!$A826),DAY(TRANSACTIONS!$A826)),"")</f>
        <v/>
      </c>
      <c r="C826" s="49" t="str">
        <f>IF(A826&lt;&gt;"",TIME(HOUR(TRANSACTIONS!$A826),MINUTE(TRANSACTIONS!$A826),SECOND(TRANSACTIONS!$A826)),"")</f>
        <v/>
      </c>
      <c r="D826" s="42"/>
      <c r="E826" s="42"/>
      <c r="F826" s="43"/>
      <c r="G826" s="46" t="str">
        <f>IF(AND(A826&lt;&gt;"",F826&gt;1),IF(TRANSACTIONS!$E826=RAPPORTS!$F$9,0,IF(OR(TRANSACTIONS!$D826=RAPPORTS!$A$13,TRANSACTIONS!$D826=RAPPORTS!#REF!),VLOOKUP(TRANSACTIONS!$F826,FRAIS_D_ENVOI,3,TRUE),0)),"")</f>
        <v/>
      </c>
      <c r="H826" s="46" t="str">
        <f>IFERROR(TRANSACTIONS!$F826+TRANSACTIONS!$G826,"")</f>
        <v/>
      </c>
      <c r="I826" s="44"/>
      <c r="J826" s="40" t="str">
        <f t="shared" si="12"/>
        <v/>
      </c>
    </row>
    <row r="827" spans="1:10" hidden="1" x14ac:dyDescent="0.25">
      <c r="A827" s="41"/>
      <c r="B827" s="48" t="str">
        <f>IF(A827&lt;&gt;"",DATE(YEAR(TRANSACTIONS!$A827),MONTH(TRANSACTIONS!$A827),DAY(TRANSACTIONS!$A827)),"")</f>
        <v/>
      </c>
      <c r="C827" s="49" t="str">
        <f>IF(A827&lt;&gt;"",TIME(HOUR(TRANSACTIONS!$A827),MINUTE(TRANSACTIONS!$A827),SECOND(TRANSACTIONS!$A827)),"")</f>
        <v/>
      </c>
      <c r="D827" s="42"/>
      <c r="E827" s="42"/>
      <c r="F827" s="43"/>
      <c r="G827" s="46" t="str">
        <f>IF(AND(A827&lt;&gt;"",F827&gt;1),IF(TRANSACTIONS!$E827=RAPPORTS!$F$9,0,IF(OR(TRANSACTIONS!$D827=RAPPORTS!$A$13,TRANSACTIONS!$D827=RAPPORTS!#REF!),VLOOKUP(TRANSACTIONS!$F827,FRAIS_D_ENVOI,3,TRUE),0)),"")</f>
        <v/>
      </c>
      <c r="H827" s="46" t="str">
        <f>IFERROR(TRANSACTIONS!$F827+TRANSACTIONS!$G827,"")</f>
        <v/>
      </c>
      <c r="I827" s="44"/>
      <c r="J827" s="40" t="str">
        <f t="shared" si="12"/>
        <v/>
      </c>
    </row>
    <row r="828" spans="1:10" hidden="1" x14ac:dyDescent="0.25">
      <c r="A828" s="41"/>
      <c r="B828" s="48" t="str">
        <f>IF(A828&lt;&gt;"",DATE(YEAR(TRANSACTIONS!$A828),MONTH(TRANSACTIONS!$A828),DAY(TRANSACTIONS!$A828)),"")</f>
        <v/>
      </c>
      <c r="C828" s="49" t="str">
        <f>IF(A828&lt;&gt;"",TIME(HOUR(TRANSACTIONS!$A828),MINUTE(TRANSACTIONS!$A828),SECOND(TRANSACTIONS!$A828)),"")</f>
        <v/>
      </c>
      <c r="D828" s="42"/>
      <c r="E828" s="42"/>
      <c r="F828" s="43"/>
      <c r="G828" s="46" t="str">
        <f>IF(AND(A828&lt;&gt;"",F828&gt;1),IF(TRANSACTIONS!$E828=RAPPORTS!$F$9,0,IF(OR(TRANSACTIONS!$D828=RAPPORTS!$A$13,TRANSACTIONS!$D828=RAPPORTS!#REF!),VLOOKUP(TRANSACTIONS!$F828,FRAIS_D_ENVOI,3,TRUE),0)),"")</f>
        <v/>
      </c>
      <c r="H828" s="46" t="str">
        <f>IFERROR(TRANSACTIONS!$F828+TRANSACTIONS!$G828,"")</f>
        <v/>
      </c>
      <c r="I828" s="44"/>
      <c r="J828" s="40" t="str">
        <f t="shared" si="12"/>
        <v/>
      </c>
    </row>
    <row r="829" spans="1:10" hidden="1" x14ac:dyDescent="0.25">
      <c r="A829" s="41"/>
      <c r="B829" s="48" t="str">
        <f>IF(A829&lt;&gt;"",DATE(YEAR(TRANSACTIONS!$A829),MONTH(TRANSACTIONS!$A829),DAY(TRANSACTIONS!$A829)),"")</f>
        <v/>
      </c>
      <c r="C829" s="49" t="str">
        <f>IF(A829&lt;&gt;"",TIME(HOUR(TRANSACTIONS!$A829),MINUTE(TRANSACTIONS!$A829),SECOND(TRANSACTIONS!$A829)),"")</f>
        <v/>
      </c>
      <c r="D829" s="42"/>
      <c r="E829" s="42"/>
      <c r="F829" s="43"/>
      <c r="G829" s="46" t="str">
        <f>IF(AND(A829&lt;&gt;"",F829&gt;1),IF(TRANSACTIONS!$E829=RAPPORTS!$F$9,0,IF(OR(TRANSACTIONS!$D829=RAPPORTS!$A$13,TRANSACTIONS!$D829=RAPPORTS!#REF!),VLOOKUP(TRANSACTIONS!$F829,FRAIS_D_ENVOI,3,TRUE),0)),"")</f>
        <v/>
      </c>
      <c r="H829" s="46" t="str">
        <f>IFERROR(TRANSACTIONS!$F829+TRANSACTIONS!$G829,"")</f>
        <v/>
      </c>
      <c r="I829" s="44"/>
      <c r="J829" s="40" t="str">
        <f t="shared" si="12"/>
        <v/>
      </c>
    </row>
    <row r="830" spans="1:10" hidden="1" x14ac:dyDescent="0.25">
      <c r="A830" s="41"/>
      <c r="B830" s="48" t="str">
        <f>IF(A830&lt;&gt;"",DATE(YEAR(TRANSACTIONS!$A830),MONTH(TRANSACTIONS!$A830),DAY(TRANSACTIONS!$A830)),"")</f>
        <v/>
      </c>
      <c r="C830" s="49" t="str">
        <f>IF(A830&lt;&gt;"",TIME(HOUR(TRANSACTIONS!$A830),MINUTE(TRANSACTIONS!$A830),SECOND(TRANSACTIONS!$A830)),"")</f>
        <v/>
      </c>
      <c r="D830" s="42"/>
      <c r="E830" s="42"/>
      <c r="F830" s="43"/>
      <c r="G830" s="46" t="str">
        <f>IF(AND(A830&lt;&gt;"",F830&gt;1),IF(TRANSACTIONS!$E830=RAPPORTS!$F$9,0,IF(OR(TRANSACTIONS!$D830=RAPPORTS!$A$13,TRANSACTIONS!$D830=RAPPORTS!#REF!),VLOOKUP(TRANSACTIONS!$F830,FRAIS_D_ENVOI,3,TRUE),0)),"")</f>
        <v/>
      </c>
      <c r="H830" s="46" t="str">
        <f>IFERROR(TRANSACTIONS!$F830+TRANSACTIONS!$G830,"")</f>
        <v/>
      </c>
      <c r="I830" s="44"/>
      <c r="J830" s="40" t="str">
        <f t="shared" si="12"/>
        <v/>
      </c>
    </row>
    <row r="831" spans="1:10" hidden="1" x14ac:dyDescent="0.25">
      <c r="A831" s="41"/>
      <c r="B831" s="48" t="str">
        <f>IF(A831&lt;&gt;"",DATE(YEAR(TRANSACTIONS!$A831),MONTH(TRANSACTIONS!$A831),DAY(TRANSACTIONS!$A831)),"")</f>
        <v/>
      </c>
      <c r="C831" s="49" t="str">
        <f>IF(A831&lt;&gt;"",TIME(HOUR(TRANSACTIONS!$A831),MINUTE(TRANSACTIONS!$A831),SECOND(TRANSACTIONS!$A831)),"")</f>
        <v/>
      </c>
      <c r="D831" s="42"/>
      <c r="E831" s="42"/>
      <c r="F831" s="43"/>
      <c r="G831" s="46" t="str">
        <f>IF(AND(A831&lt;&gt;"",F831&gt;1),IF(TRANSACTIONS!$E831=RAPPORTS!$F$9,0,IF(OR(TRANSACTIONS!$D831=RAPPORTS!$A$13,TRANSACTIONS!$D831=RAPPORTS!#REF!),VLOOKUP(TRANSACTIONS!$F831,FRAIS_D_ENVOI,3,TRUE),0)),"")</f>
        <v/>
      </c>
      <c r="H831" s="46" t="str">
        <f>IFERROR(TRANSACTIONS!$F831+TRANSACTIONS!$G831,"")</f>
        <v/>
      </c>
      <c r="I831" s="44"/>
      <c r="J831" s="40" t="str">
        <f t="shared" si="12"/>
        <v/>
      </c>
    </row>
    <row r="832" spans="1:10" hidden="1" x14ac:dyDescent="0.25">
      <c r="A832" s="41"/>
      <c r="B832" s="48" t="str">
        <f>IF(A832&lt;&gt;"",DATE(YEAR(TRANSACTIONS!$A832),MONTH(TRANSACTIONS!$A832),DAY(TRANSACTIONS!$A832)),"")</f>
        <v/>
      </c>
      <c r="C832" s="49" t="str">
        <f>IF(A832&lt;&gt;"",TIME(HOUR(TRANSACTIONS!$A832),MINUTE(TRANSACTIONS!$A832),SECOND(TRANSACTIONS!$A832)),"")</f>
        <v/>
      </c>
      <c r="D832" s="42"/>
      <c r="E832" s="42"/>
      <c r="F832" s="43"/>
      <c r="G832" s="46" t="str">
        <f>IF(AND(A832&lt;&gt;"",F832&gt;1),IF(TRANSACTIONS!$E832=RAPPORTS!$F$9,0,IF(OR(TRANSACTIONS!$D832=RAPPORTS!$A$13,TRANSACTIONS!$D832=RAPPORTS!#REF!),VLOOKUP(TRANSACTIONS!$F832,FRAIS_D_ENVOI,3,TRUE),0)),"")</f>
        <v/>
      </c>
      <c r="H832" s="46" t="str">
        <f>IFERROR(TRANSACTIONS!$F832+TRANSACTIONS!$G832,"")</f>
        <v/>
      </c>
      <c r="I832" s="44"/>
      <c r="J832" s="40" t="str">
        <f t="shared" si="12"/>
        <v/>
      </c>
    </row>
    <row r="833" spans="1:10" hidden="1" x14ac:dyDescent="0.25">
      <c r="A833" s="41"/>
      <c r="B833" s="48" t="str">
        <f>IF(A833&lt;&gt;"",DATE(YEAR(TRANSACTIONS!$A833),MONTH(TRANSACTIONS!$A833),DAY(TRANSACTIONS!$A833)),"")</f>
        <v/>
      </c>
      <c r="C833" s="49" t="str">
        <f>IF(A833&lt;&gt;"",TIME(HOUR(TRANSACTIONS!$A833),MINUTE(TRANSACTIONS!$A833),SECOND(TRANSACTIONS!$A833)),"")</f>
        <v/>
      </c>
      <c r="D833" s="42"/>
      <c r="E833" s="42"/>
      <c r="F833" s="43"/>
      <c r="G833" s="46" t="str">
        <f>IF(AND(A833&lt;&gt;"",F833&gt;1),IF(TRANSACTIONS!$E833=RAPPORTS!$F$9,0,IF(OR(TRANSACTIONS!$D833=RAPPORTS!$A$13,TRANSACTIONS!$D833=RAPPORTS!#REF!),VLOOKUP(TRANSACTIONS!$F833,FRAIS_D_ENVOI,3,TRUE),0)),"")</f>
        <v/>
      </c>
      <c r="H833" s="46" t="str">
        <f>IFERROR(TRANSACTIONS!$F833+TRANSACTIONS!$G833,"")</f>
        <v/>
      </c>
      <c r="I833" s="44"/>
      <c r="J833" s="40" t="str">
        <f t="shared" si="12"/>
        <v/>
      </c>
    </row>
    <row r="834" spans="1:10" hidden="1" x14ac:dyDescent="0.25">
      <c r="A834" s="41"/>
      <c r="B834" s="48" t="str">
        <f>IF(A834&lt;&gt;"",DATE(YEAR(TRANSACTIONS!$A834),MONTH(TRANSACTIONS!$A834),DAY(TRANSACTIONS!$A834)),"")</f>
        <v/>
      </c>
      <c r="C834" s="49" t="str">
        <f>IF(A834&lt;&gt;"",TIME(HOUR(TRANSACTIONS!$A834),MINUTE(TRANSACTIONS!$A834),SECOND(TRANSACTIONS!$A834)),"")</f>
        <v/>
      </c>
      <c r="D834" s="42"/>
      <c r="E834" s="42"/>
      <c r="F834" s="43"/>
      <c r="G834" s="46" t="str">
        <f>IF(AND(A834&lt;&gt;"",F834&gt;1),IF(TRANSACTIONS!$E834=RAPPORTS!$F$9,0,IF(OR(TRANSACTIONS!$D834=RAPPORTS!$A$13,TRANSACTIONS!$D834=RAPPORTS!#REF!),VLOOKUP(TRANSACTIONS!$F834,FRAIS_D_ENVOI,3,TRUE),0)),"")</f>
        <v/>
      </c>
      <c r="H834" s="46" t="str">
        <f>IFERROR(TRANSACTIONS!$F834+TRANSACTIONS!$G834,"")</f>
        <v/>
      </c>
      <c r="I834" s="44"/>
      <c r="J834" s="40" t="str">
        <f t="shared" si="12"/>
        <v/>
      </c>
    </row>
    <row r="835" spans="1:10" hidden="1" x14ac:dyDescent="0.25">
      <c r="A835" s="41"/>
      <c r="B835" s="48" t="str">
        <f>IF(A835&lt;&gt;"",DATE(YEAR(TRANSACTIONS!$A835),MONTH(TRANSACTIONS!$A835),DAY(TRANSACTIONS!$A835)),"")</f>
        <v/>
      </c>
      <c r="C835" s="49" t="str">
        <f>IF(A835&lt;&gt;"",TIME(HOUR(TRANSACTIONS!$A835),MINUTE(TRANSACTIONS!$A835),SECOND(TRANSACTIONS!$A835)),"")</f>
        <v/>
      </c>
      <c r="D835" s="42"/>
      <c r="E835" s="42"/>
      <c r="F835" s="43"/>
      <c r="G835" s="46" t="str">
        <f>IF(AND(A835&lt;&gt;"",F835&gt;1),IF(TRANSACTIONS!$E835=RAPPORTS!$F$9,0,IF(OR(TRANSACTIONS!$D835=RAPPORTS!$A$13,TRANSACTIONS!$D835=RAPPORTS!#REF!),VLOOKUP(TRANSACTIONS!$F835,FRAIS_D_ENVOI,3,TRUE),0)),"")</f>
        <v/>
      </c>
      <c r="H835" s="46" t="str">
        <f>IFERROR(TRANSACTIONS!$F835+TRANSACTIONS!$G835,"")</f>
        <v/>
      </c>
      <c r="I835" s="44"/>
      <c r="J835" s="40" t="str">
        <f t="shared" si="12"/>
        <v/>
      </c>
    </row>
    <row r="836" spans="1:10" hidden="1" x14ac:dyDescent="0.25">
      <c r="A836" s="41"/>
      <c r="B836" s="48" t="str">
        <f>IF(A836&lt;&gt;"",DATE(YEAR(TRANSACTIONS!$A836),MONTH(TRANSACTIONS!$A836),DAY(TRANSACTIONS!$A836)),"")</f>
        <v/>
      </c>
      <c r="C836" s="49" t="str">
        <f>IF(A836&lt;&gt;"",TIME(HOUR(TRANSACTIONS!$A836),MINUTE(TRANSACTIONS!$A836),SECOND(TRANSACTIONS!$A836)),"")</f>
        <v/>
      </c>
      <c r="D836" s="42"/>
      <c r="E836" s="42"/>
      <c r="F836" s="43"/>
      <c r="G836" s="46" t="str">
        <f>IF(AND(A836&lt;&gt;"",F836&gt;1),IF(TRANSACTIONS!$E836=RAPPORTS!$F$9,0,IF(OR(TRANSACTIONS!$D836=RAPPORTS!$A$13,TRANSACTIONS!$D836=RAPPORTS!#REF!),VLOOKUP(TRANSACTIONS!$F836,FRAIS_D_ENVOI,3,TRUE),0)),"")</f>
        <v/>
      </c>
      <c r="H836" s="46" t="str">
        <f>IFERROR(TRANSACTIONS!$F836+TRANSACTIONS!$G836,"")</f>
        <v/>
      </c>
      <c r="I836" s="44"/>
      <c r="J836" s="40" t="str">
        <f t="shared" ref="J836:J851" si="13">IF(G836&lt;&gt;"",$J$1*G836,"")</f>
        <v/>
      </c>
    </row>
    <row r="837" spans="1:10" hidden="1" x14ac:dyDescent="0.25">
      <c r="A837" s="41"/>
      <c r="B837" s="48" t="str">
        <f>IF(A837&lt;&gt;"",DATE(YEAR(TRANSACTIONS!$A837),MONTH(TRANSACTIONS!$A837),DAY(TRANSACTIONS!$A837)),"")</f>
        <v/>
      </c>
      <c r="C837" s="49" t="str">
        <f>IF(A837&lt;&gt;"",TIME(HOUR(TRANSACTIONS!$A837),MINUTE(TRANSACTIONS!$A837),SECOND(TRANSACTIONS!$A837)),"")</f>
        <v/>
      </c>
      <c r="D837" s="42"/>
      <c r="E837" s="42"/>
      <c r="F837" s="43"/>
      <c r="G837" s="46" t="str">
        <f>IF(AND(A837&lt;&gt;"",F837&gt;1),IF(TRANSACTIONS!$E837=RAPPORTS!$F$9,0,IF(OR(TRANSACTIONS!$D837=RAPPORTS!$A$13,TRANSACTIONS!$D837=RAPPORTS!#REF!),VLOOKUP(TRANSACTIONS!$F837,FRAIS_D_ENVOI,3,TRUE),0)),"")</f>
        <v/>
      </c>
      <c r="H837" s="46" t="str">
        <f>IFERROR(TRANSACTIONS!$F837+TRANSACTIONS!$G837,"")</f>
        <v/>
      </c>
      <c r="I837" s="44"/>
      <c r="J837" s="40" t="str">
        <f t="shared" si="13"/>
        <v/>
      </c>
    </row>
    <row r="838" spans="1:10" hidden="1" x14ac:dyDescent="0.25">
      <c r="A838" s="41"/>
      <c r="B838" s="48" t="str">
        <f>IF(A838&lt;&gt;"",DATE(YEAR(TRANSACTIONS!$A838),MONTH(TRANSACTIONS!$A838),DAY(TRANSACTIONS!$A838)),"")</f>
        <v/>
      </c>
      <c r="C838" s="49" t="str">
        <f>IF(A838&lt;&gt;"",TIME(HOUR(TRANSACTIONS!$A838),MINUTE(TRANSACTIONS!$A838),SECOND(TRANSACTIONS!$A838)),"")</f>
        <v/>
      </c>
      <c r="D838" s="42"/>
      <c r="E838" s="42"/>
      <c r="F838" s="43"/>
      <c r="G838" s="46" t="str">
        <f>IF(AND(A838&lt;&gt;"",F838&gt;1),IF(TRANSACTIONS!$E838=RAPPORTS!$F$9,0,IF(OR(TRANSACTIONS!$D838=RAPPORTS!$A$13,TRANSACTIONS!$D838=RAPPORTS!#REF!),VLOOKUP(TRANSACTIONS!$F838,FRAIS_D_ENVOI,3,TRUE),0)),"")</f>
        <v/>
      </c>
      <c r="H838" s="46" t="str">
        <f>IFERROR(TRANSACTIONS!$F838+TRANSACTIONS!$G838,"")</f>
        <v/>
      </c>
      <c r="I838" s="44"/>
      <c r="J838" s="40" t="str">
        <f t="shared" si="13"/>
        <v/>
      </c>
    </row>
    <row r="839" spans="1:10" hidden="1" x14ac:dyDescent="0.25">
      <c r="A839" s="41"/>
      <c r="B839" s="48" t="str">
        <f>IF(A839&lt;&gt;"",DATE(YEAR(TRANSACTIONS!$A839),MONTH(TRANSACTIONS!$A839),DAY(TRANSACTIONS!$A839)),"")</f>
        <v/>
      </c>
      <c r="C839" s="49" t="str">
        <f>IF(A839&lt;&gt;"",TIME(HOUR(TRANSACTIONS!$A839),MINUTE(TRANSACTIONS!$A839),SECOND(TRANSACTIONS!$A839)),"")</f>
        <v/>
      </c>
      <c r="D839" s="42"/>
      <c r="E839" s="42"/>
      <c r="F839" s="43"/>
      <c r="G839" s="46" t="str">
        <f>IF(AND(A839&lt;&gt;"",F839&gt;1),IF(TRANSACTIONS!$E839=RAPPORTS!$F$9,0,IF(OR(TRANSACTIONS!$D839=RAPPORTS!$A$13,TRANSACTIONS!$D839=RAPPORTS!#REF!),VLOOKUP(TRANSACTIONS!$F839,FRAIS_D_ENVOI,3,TRUE),0)),"")</f>
        <v/>
      </c>
      <c r="H839" s="46" t="str">
        <f>IFERROR(TRANSACTIONS!$F839+TRANSACTIONS!$G839,"")</f>
        <v/>
      </c>
      <c r="I839" s="44"/>
      <c r="J839" s="40" t="str">
        <f t="shared" si="13"/>
        <v/>
      </c>
    </row>
    <row r="840" spans="1:10" hidden="1" x14ac:dyDescent="0.25">
      <c r="A840" s="41"/>
      <c r="B840" s="48" t="str">
        <f>IF(A840&lt;&gt;"",DATE(YEAR(TRANSACTIONS!$A840),MONTH(TRANSACTIONS!$A840),DAY(TRANSACTIONS!$A840)),"")</f>
        <v/>
      </c>
      <c r="C840" s="49" t="str">
        <f>IF(A840&lt;&gt;"",TIME(HOUR(TRANSACTIONS!$A840),MINUTE(TRANSACTIONS!$A840),SECOND(TRANSACTIONS!$A840)),"")</f>
        <v/>
      </c>
      <c r="D840" s="42"/>
      <c r="E840" s="42"/>
      <c r="F840" s="43"/>
      <c r="G840" s="46" t="str">
        <f>IF(AND(A840&lt;&gt;"",F840&gt;1),IF(TRANSACTIONS!$E840=RAPPORTS!$F$9,0,IF(OR(TRANSACTIONS!$D840=RAPPORTS!$A$13,TRANSACTIONS!$D840=RAPPORTS!#REF!),VLOOKUP(TRANSACTIONS!$F840,FRAIS_D_ENVOI,3,TRUE),0)),"")</f>
        <v/>
      </c>
      <c r="H840" s="46" t="str">
        <f>IFERROR(TRANSACTIONS!$F840+TRANSACTIONS!$G840,"")</f>
        <v/>
      </c>
      <c r="I840" s="44"/>
      <c r="J840" s="40" t="str">
        <f t="shared" si="13"/>
        <v/>
      </c>
    </row>
    <row r="841" spans="1:10" hidden="1" x14ac:dyDescent="0.25">
      <c r="A841" s="41"/>
      <c r="B841" s="48" t="str">
        <f>IF(A841&lt;&gt;"",DATE(YEAR(TRANSACTIONS!$A841),MONTH(TRANSACTIONS!$A841),DAY(TRANSACTIONS!$A841)),"")</f>
        <v/>
      </c>
      <c r="C841" s="49" t="str">
        <f>IF(A841&lt;&gt;"",TIME(HOUR(TRANSACTIONS!$A841),MINUTE(TRANSACTIONS!$A841),SECOND(TRANSACTIONS!$A841)),"")</f>
        <v/>
      </c>
      <c r="D841" s="42"/>
      <c r="E841" s="42"/>
      <c r="F841" s="43"/>
      <c r="G841" s="46" t="str">
        <f>IF(AND(A841&lt;&gt;"",F841&gt;1),IF(TRANSACTIONS!$E841=RAPPORTS!$F$9,0,IF(OR(TRANSACTIONS!$D841=RAPPORTS!$A$13,TRANSACTIONS!$D841=RAPPORTS!#REF!),VLOOKUP(TRANSACTIONS!$F841,FRAIS_D_ENVOI,3,TRUE),0)),"")</f>
        <v/>
      </c>
      <c r="H841" s="46" t="str">
        <f>IFERROR(TRANSACTIONS!$F841+TRANSACTIONS!$G841,"")</f>
        <v/>
      </c>
      <c r="I841" s="44"/>
      <c r="J841" s="40" t="str">
        <f t="shared" si="13"/>
        <v/>
      </c>
    </row>
    <row r="842" spans="1:10" hidden="1" x14ac:dyDescent="0.25">
      <c r="A842" s="41"/>
      <c r="B842" s="48" t="str">
        <f>IF(A842&lt;&gt;"",DATE(YEAR(TRANSACTIONS!$A842),MONTH(TRANSACTIONS!$A842),DAY(TRANSACTIONS!$A842)),"")</f>
        <v/>
      </c>
      <c r="C842" s="49" t="str">
        <f>IF(A842&lt;&gt;"",TIME(HOUR(TRANSACTIONS!$A842),MINUTE(TRANSACTIONS!$A842),SECOND(TRANSACTIONS!$A842)),"")</f>
        <v/>
      </c>
      <c r="D842" s="42"/>
      <c r="E842" s="42"/>
      <c r="F842" s="43"/>
      <c r="G842" s="46" t="str">
        <f>IF(AND(A842&lt;&gt;"",F842&gt;1),IF(TRANSACTIONS!$E842=RAPPORTS!$F$9,0,IF(OR(TRANSACTIONS!$D842=RAPPORTS!$A$13,TRANSACTIONS!$D842=RAPPORTS!#REF!),VLOOKUP(TRANSACTIONS!$F842,FRAIS_D_ENVOI,3,TRUE),0)),"")</f>
        <v/>
      </c>
      <c r="H842" s="46" t="str">
        <f>IFERROR(TRANSACTIONS!$F842+TRANSACTIONS!$G842,"")</f>
        <v/>
      </c>
      <c r="I842" s="44"/>
      <c r="J842" s="40" t="str">
        <f t="shared" si="13"/>
        <v/>
      </c>
    </row>
    <row r="843" spans="1:10" hidden="1" x14ac:dyDescent="0.25">
      <c r="A843" s="41"/>
      <c r="B843" s="48" t="str">
        <f>IF(A843&lt;&gt;"",DATE(YEAR(TRANSACTIONS!$A843),MONTH(TRANSACTIONS!$A843),DAY(TRANSACTIONS!$A843)),"")</f>
        <v/>
      </c>
      <c r="C843" s="49" t="str">
        <f>IF(A843&lt;&gt;"",TIME(HOUR(TRANSACTIONS!$A843),MINUTE(TRANSACTIONS!$A843),SECOND(TRANSACTIONS!$A843)),"")</f>
        <v/>
      </c>
      <c r="D843" s="42"/>
      <c r="E843" s="42"/>
      <c r="F843" s="43"/>
      <c r="G843" s="46" t="str">
        <f>IF(AND(A843&lt;&gt;"",F843&gt;1),IF(TRANSACTIONS!$E843=RAPPORTS!$F$9,0,IF(OR(TRANSACTIONS!$D843=RAPPORTS!$A$13,TRANSACTIONS!$D843=RAPPORTS!#REF!),VLOOKUP(TRANSACTIONS!$F843,FRAIS_D_ENVOI,3,TRUE),0)),"")</f>
        <v/>
      </c>
      <c r="H843" s="46" t="str">
        <f>IFERROR(TRANSACTIONS!$F843+TRANSACTIONS!$G843,"")</f>
        <v/>
      </c>
      <c r="I843" s="44"/>
      <c r="J843" s="40" t="str">
        <f t="shared" si="13"/>
        <v/>
      </c>
    </row>
    <row r="844" spans="1:10" hidden="1" x14ac:dyDescent="0.25">
      <c r="A844" s="41"/>
      <c r="B844" s="48" t="str">
        <f>IF(A844&lt;&gt;"",DATE(YEAR(TRANSACTIONS!$A844),MONTH(TRANSACTIONS!$A844),DAY(TRANSACTIONS!$A844)),"")</f>
        <v/>
      </c>
      <c r="C844" s="49" t="str">
        <f>IF(A844&lt;&gt;"",TIME(HOUR(TRANSACTIONS!$A844),MINUTE(TRANSACTIONS!$A844),SECOND(TRANSACTIONS!$A844)),"")</f>
        <v/>
      </c>
      <c r="D844" s="42"/>
      <c r="E844" s="42"/>
      <c r="F844" s="43"/>
      <c r="G844" s="46" t="str">
        <f>IF(AND(A844&lt;&gt;"",F844&gt;1),IF(TRANSACTIONS!$E844=RAPPORTS!$F$9,0,IF(OR(TRANSACTIONS!$D844=RAPPORTS!$A$13,TRANSACTIONS!$D844=RAPPORTS!#REF!),VLOOKUP(TRANSACTIONS!$F844,FRAIS_D_ENVOI,3,TRUE),0)),"")</f>
        <v/>
      </c>
      <c r="H844" s="46" t="str">
        <f>IFERROR(TRANSACTIONS!$F844+TRANSACTIONS!$G844,"")</f>
        <v/>
      </c>
      <c r="I844" s="44"/>
      <c r="J844" s="40" t="str">
        <f t="shared" si="13"/>
        <v/>
      </c>
    </row>
    <row r="845" spans="1:10" hidden="1" x14ac:dyDescent="0.25">
      <c r="A845" s="41"/>
      <c r="B845" s="48" t="str">
        <f>IF(A845&lt;&gt;"",DATE(YEAR(TRANSACTIONS!$A845),MONTH(TRANSACTIONS!$A845),DAY(TRANSACTIONS!$A845)),"")</f>
        <v/>
      </c>
      <c r="C845" s="49" t="str">
        <f>IF(A845&lt;&gt;"",TIME(HOUR(TRANSACTIONS!$A845),MINUTE(TRANSACTIONS!$A845),SECOND(TRANSACTIONS!$A845)),"")</f>
        <v/>
      </c>
      <c r="D845" s="42"/>
      <c r="E845" s="42"/>
      <c r="F845" s="43"/>
      <c r="G845" s="46" t="str">
        <f>IF(AND(A845&lt;&gt;"",F845&gt;1),IF(TRANSACTIONS!$E845=RAPPORTS!$F$9,0,IF(OR(TRANSACTIONS!$D845=RAPPORTS!$A$13,TRANSACTIONS!$D845=RAPPORTS!#REF!),VLOOKUP(TRANSACTIONS!$F845,FRAIS_D_ENVOI,3,TRUE),0)),"")</f>
        <v/>
      </c>
      <c r="H845" s="46" t="str">
        <f>IFERROR(TRANSACTIONS!$F845+TRANSACTIONS!$G845,"")</f>
        <v/>
      </c>
      <c r="I845" s="44"/>
      <c r="J845" s="40" t="str">
        <f t="shared" si="13"/>
        <v/>
      </c>
    </row>
    <row r="846" spans="1:10" hidden="1" x14ac:dyDescent="0.25">
      <c r="A846" s="41"/>
      <c r="B846" s="48" t="str">
        <f>IF(A846&lt;&gt;"",DATE(YEAR(TRANSACTIONS!$A846),MONTH(TRANSACTIONS!$A846),DAY(TRANSACTIONS!$A846)),"")</f>
        <v/>
      </c>
      <c r="C846" s="49" t="str">
        <f>IF(A846&lt;&gt;"",TIME(HOUR(TRANSACTIONS!$A846),MINUTE(TRANSACTIONS!$A846),SECOND(TRANSACTIONS!$A846)),"")</f>
        <v/>
      </c>
      <c r="D846" s="42"/>
      <c r="E846" s="42"/>
      <c r="F846" s="43"/>
      <c r="G846" s="46" t="str">
        <f>IF(AND(A846&lt;&gt;"",F846&gt;1),IF(TRANSACTIONS!$E846=RAPPORTS!$F$9,0,IF(OR(TRANSACTIONS!$D846=RAPPORTS!$A$13,TRANSACTIONS!$D846=RAPPORTS!#REF!),VLOOKUP(TRANSACTIONS!$F846,FRAIS_D_ENVOI,3,TRUE),0)),"")</f>
        <v/>
      </c>
      <c r="H846" s="46" t="str">
        <f>IFERROR(TRANSACTIONS!$F846+TRANSACTIONS!$G846,"")</f>
        <v/>
      </c>
      <c r="I846" s="44"/>
      <c r="J846" s="40" t="str">
        <f t="shared" si="13"/>
        <v/>
      </c>
    </row>
    <row r="847" spans="1:10" hidden="1" x14ac:dyDescent="0.25">
      <c r="A847" s="41"/>
      <c r="B847" s="48" t="str">
        <f>IF(A847&lt;&gt;"",DATE(YEAR(TRANSACTIONS!$A847),MONTH(TRANSACTIONS!$A847),DAY(TRANSACTIONS!$A847)),"")</f>
        <v/>
      </c>
      <c r="C847" s="49" t="str">
        <f>IF(A847&lt;&gt;"",TIME(HOUR(TRANSACTIONS!$A847),MINUTE(TRANSACTIONS!$A847),SECOND(TRANSACTIONS!$A847)),"")</f>
        <v/>
      </c>
      <c r="D847" s="42"/>
      <c r="E847" s="42"/>
      <c r="F847" s="43"/>
      <c r="G847" s="46" t="str">
        <f>IF(AND(A847&lt;&gt;"",F847&gt;1),IF(TRANSACTIONS!$E847=RAPPORTS!$F$9,0,IF(OR(TRANSACTIONS!$D847=RAPPORTS!$A$13,TRANSACTIONS!$D847=RAPPORTS!#REF!),VLOOKUP(TRANSACTIONS!$F847,FRAIS_D_ENVOI,3,TRUE),0)),"")</f>
        <v/>
      </c>
      <c r="H847" s="46" t="str">
        <f>IFERROR(TRANSACTIONS!$F847+TRANSACTIONS!$G847,"")</f>
        <v/>
      </c>
      <c r="I847" s="44"/>
      <c r="J847" s="40" t="str">
        <f t="shared" si="13"/>
        <v/>
      </c>
    </row>
    <row r="848" spans="1:10" hidden="1" x14ac:dyDescent="0.25">
      <c r="A848" s="41"/>
      <c r="B848" s="48" t="str">
        <f>IF(A848&lt;&gt;"",DATE(YEAR(TRANSACTIONS!$A848),MONTH(TRANSACTIONS!$A848),DAY(TRANSACTIONS!$A848)),"")</f>
        <v/>
      </c>
      <c r="C848" s="49" t="str">
        <f>IF(A848&lt;&gt;"",TIME(HOUR(TRANSACTIONS!$A848),MINUTE(TRANSACTIONS!$A848),SECOND(TRANSACTIONS!$A848)),"")</f>
        <v/>
      </c>
      <c r="D848" s="42"/>
      <c r="E848" s="42"/>
      <c r="F848" s="43"/>
      <c r="G848" s="46" t="str">
        <f>IF(AND(A848&lt;&gt;"",F848&gt;1),IF(TRANSACTIONS!$E848=RAPPORTS!$F$9,0,IF(OR(TRANSACTIONS!$D848=RAPPORTS!$A$13,TRANSACTIONS!$D848=RAPPORTS!#REF!),VLOOKUP(TRANSACTIONS!$F848,FRAIS_D_ENVOI,3,TRUE),0)),"")</f>
        <v/>
      </c>
      <c r="H848" s="46" t="str">
        <f>IFERROR(TRANSACTIONS!$F848+TRANSACTIONS!$G848,"")</f>
        <v/>
      </c>
      <c r="I848" s="44"/>
      <c r="J848" s="40" t="str">
        <f t="shared" si="13"/>
        <v/>
      </c>
    </row>
    <row r="849" spans="1:10" hidden="1" x14ac:dyDescent="0.25">
      <c r="A849" s="41"/>
      <c r="B849" s="48" t="str">
        <f>IF(A849&lt;&gt;"",DATE(YEAR(TRANSACTIONS!$A849),MONTH(TRANSACTIONS!$A849),DAY(TRANSACTIONS!$A849)),"")</f>
        <v/>
      </c>
      <c r="C849" s="49" t="str">
        <f>IF(A849&lt;&gt;"",TIME(HOUR(TRANSACTIONS!$A849),MINUTE(TRANSACTIONS!$A849),SECOND(TRANSACTIONS!$A849)),"")</f>
        <v/>
      </c>
      <c r="D849" s="42"/>
      <c r="E849" s="42"/>
      <c r="F849" s="43"/>
      <c r="G849" s="46" t="str">
        <f>IF(AND(A849&lt;&gt;"",F849&gt;1),IF(TRANSACTIONS!$E849=RAPPORTS!$F$9,0,IF(OR(TRANSACTIONS!$D849=RAPPORTS!$A$13,TRANSACTIONS!$D849=RAPPORTS!#REF!),VLOOKUP(TRANSACTIONS!$F849,FRAIS_D_ENVOI,3,TRUE),0)),"")</f>
        <v/>
      </c>
      <c r="H849" s="46" t="str">
        <f>IFERROR(TRANSACTIONS!$F849+TRANSACTIONS!$G849,"")</f>
        <v/>
      </c>
      <c r="I849" s="44"/>
      <c r="J849" s="40" t="str">
        <f t="shared" si="13"/>
        <v/>
      </c>
    </row>
    <row r="850" spans="1:10" hidden="1" x14ac:dyDescent="0.25">
      <c r="A850" s="41"/>
      <c r="B850" s="48" t="str">
        <f>IF(A850&lt;&gt;"",DATE(YEAR(TRANSACTIONS!$A850),MONTH(TRANSACTIONS!$A850),DAY(TRANSACTIONS!$A850)),"")</f>
        <v/>
      </c>
      <c r="C850" s="49" t="str">
        <f>IF(A850&lt;&gt;"",TIME(HOUR(TRANSACTIONS!$A850),MINUTE(TRANSACTIONS!$A850),SECOND(TRANSACTIONS!$A850)),"")</f>
        <v/>
      </c>
      <c r="D850" s="42"/>
      <c r="E850" s="42"/>
      <c r="F850" s="43"/>
      <c r="G850" s="46" t="str">
        <f>IF(AND(A850&lt;&gt;"",F850&gt;1),IF(TRANSACTIONS!$E850=RAPPORTS!$F$9,0,IF(OR(TRANSACTIONS!$D850=RAPPORTS!$A$13,TRANSACTIONS!$D850=RAPPORTS!#REF!),VLOOKUP(TRANSACTIONS!$F850,FRAIS_D_ENVOI,3,TRUE),0)),"")</f>
        <v/>
      </c>
      <c r="H850" s="46" t="str">
        <f>IFERROR(TRANSACTIONS!$F850+TRANSACTIONS!$G850,"")</f>
        <v/>
      </c>
      <c r="I850" s="44"/>
      <c r="J850" s="40" t="str">
        <f t="shared" si="13"/>
        <v/>
      </c>
    </row>
    <row r="851" spans="1:10" hidden="1" x14ac:dyDescent="0.25">
      <c r="A851" s="41"/>
      <c r="B851" s="48" t="str">
        <f>IF(A851&lt;&gt;"",DATE(YEAR(TRANSACTIONS!$A851),MONTH(TRANSACTIONS!$A851),DAY(TRANSACTIONS!$A851)),"")</f>
        <v/>
      </c>
      <c r="C851" s="49" t="str">
        <f>IF(A851&lt;&gt;"",TIME(HOUR(TRANSACTIONS!$A851),MINUTE(TRANSACTIONS!$A851),SECOND(TRANSACTIONS!$A851)),"")</f>
        <v/>
      </c>
      <c r="D851" s="42"/>
      <c r="E851" s="42"/>
      <c r="F851" s="43"/>
      <c r="G851" s="46" t="str">
        <f>IF(AND(A851&lt;&gt;"",F851&gt;1),IF(TRANSACTIONS!$E851=RAPPORTS!$F$9,0,IF(OR(TRANSACTIONS!$D851=RAPPORTS!$A$13,TRANSACTIONS!$D851=RAPPORTS!#REF!),VLOOKUP(TRANSACTIONS!$F851,FRAIS_D_ENVOI,3,TRUE),0)),"")</f>
        <v/>
      </c>
      <c r="H851" s="46" t="str">
        <f>IFERROR(TRANSACTIONS!$F851+TRANSACTIONS!$G851,"")</f>
        <v/>
      </c>
      <c r="I851" s="44"/>
      <c r="J851" s="40" t="str">
        <f t="shared" si="13"/>
        <v/>
      </c>
    </row>
    <row r="852" spans="1:10" x14ac:dyDescent="0.25">
      <c r="A852" s="41">
        <v>45389.540851620368</v>
      </c>
      <c r="B852" s="48">
        <f>IF(A852&lt;&gt;"",DATE(YEAR(TRANSACTIONS!$A852),MONTH(TRANSACTIONS!$A852),DAY(TRANSACTIONS!$A852)),"")</f>
        <v>45389</v>
      </c>
      <c r="C852" s="49">
        <f>IF(A852&lt;&gt;"",TIME(HOUR(TRANSACTIONS!$A852),MINUTE(TRANSACTIONS!$A852),SECOND(TRANSACTIONS!$A852)),"")</f>
        <v>0.54085648148148147</v>
      </c>
      <c r="D852" s="82" t="s">
        <v>62</v>
      </c>
      <c r="E852" s="88" t="s">
        <v>6</v>
      </c>
      <c r="F852" s="112">
        <v>40000</v>
      </c>
      <c r="G852" s="46"/>
      <c r="H852" s="46">
        <f>IFERROR(TRANSACTIONS!$F852+TRANSACTIONS!$G852,"")</f>
        <v>40000</v>
      </c>
      <c r="I852" s="57" t="s">
        <v>41</v>
      </c>
    </row>
    <row r="853" spans="1:10" x14ac:dyDescent="0.25">
      <c r="A853" s="41">
        <v>45389.541205555557</v>
      </c>
      <c r="B853" s="48">
        <f>IF(A853&lt;&gt;"",DATE(YEAR(TRANSACTIONS!$A853),MONTH(TRANSACTIONS!$A853),DAY(TRANSACTIONS!$A853)),"")</f>
        <v>45389</v>
      </c>
      <c r="C853" s="49">
        <f>IF(A853&lt;&gt;"",TIME(HOUR(TRANSACTIONS!$A853),MINUTE(TRANSACTIONS!$A853),SECOND(TRANSACTIONS!$A853)),"")</f>
        <v>0.54120370370370374</v>
      </c>
      <c r="D853" s="82" t="s">
        <v>62</v>
      </c>
      <c r="E853" s="88" t="s">
        <v>7</v>
      </c>
      <c r="F853" s="112">
        <v>1500</v>
      </c>
      <c r="G853" s="46"/>
      <c r="H853" s="46">
        <f>IFERROR(TRANSACTIONS!$F853+TRANSACTIONS!$G853,"")</f>
        <v>1500</v>
      </c>
      <c r="I853" s="57" t="s">
        <v>41</v>
      </c>
    </row>
    <row r="854" spans="1:10" x14ac:dyDescent="0.25">
      <c r="A854" s="41">
        <v>45389.541829166665</v>
      </c>
      <c r="B854" s="48">
        <f>IF(A854&lt;&gt;"",DATE(YEAR(TRANSACTIONS!$A854),MONTH(TRANSACTIONS!$A854),DAY(TRANSACTIONS!$A854)),"")</f>
        <v>45389</v>
      </c>
      <c r="C854" s="49">
        <f>IF(A854&lt;&gt;"",TIME(HOUR(TRANSACTIONS!$A854),MINUTE(TRANSACTIONS!$A854),SECOND(TRANSACTIONS!$A854)),"")</f>
        <v>0.54182870370370373</v>
      </c>
      <c r="D854" s="82" t="s">
        <v>62</v>
      </c>
      <c r="E854" s="88" t="s">
        <v>7</v>
      </c>
      <c r="F854" s="112">
        <v>5000</v>
      </c>
      <c r="G854" s="46"/>
      <c r="H854" s="46">
        <f>IFERROR(TRANSACTIONS!$F854+TRANSACTIONS!$G854,"")</f>
        <v>5000</v>
      </c>
      <c r="I854" s="57" t="s">
        <v>41</v>
      </c>
    </row>
    <row r="855" spans="1:10" x14ac:dyDescent="0.25">
      <c r="A855" s="41">
        <v>45389.546656365739</v>
      </c>
      <c r="B855" s="48">
        <f>IF(A855&lt;&gt;"",DATE(YEAR(TRANSACTIONS!$A855),MONTH(TRANSACTIONS!$A855),DAY(TRANSACTIONS!$A855)),"")</f>
        <v>45389</v>
      </c>
      <c r="C855" s="49">
        <f>IF(A855&lt;&gt;"",TIME(HOUR(TRANSACTIONS!$A855),MINUTE(TRANSACTIONS!$A855),SECOND(TRANSACTIONS!$A855)),"")</f>
        <v>0.5466550925925926</v>
      </c>
      <c r="D855" s="82" t="s">
        <v>25</v>
      </c>
      <c r="E855" s="88" t="s">
        <v>7</v>
      </c>
      <c r="F855" s="112">
        <v>18000</v>
      </c>
      <c r="G855" s="46"/>
      <c r="H855" s="46">
        <f>IFERROR(TRANSACTIONS!$F855+TRANSACTIONS!$G855,"")</f>
        <v>18000</v>
      </c>
      <c r="I855" s="57" t="s">
        <v>41</v>
      </c>
    </row>
    <row r="856" spans="1:10" x14ac:dyDescent="0.25">
      <c r="A856" s="41">
        <v>45389.54689513889</v>
      </c>
      <c r="B856" s="48">
        <f>IF(A856&lt;&gt;"",DATE(YEAR(TRANSACTIONS!$A856),MONTH(TRANSACTIONS!$A856),DAY(TRANSACTIONS!$A856)),"")</f>
        <v>45389</v>
      </c>
      <c r="C856" s="49">
        <f>IF(A856&lt;&gt;"",TIME(HOUR(TRANSACTIONS!$A856),MINUTE(TRANSACTIONS!$A856),SECOND(TRANSACTIONS!$A856)),"")</f>
        <v>0.54689814814814819</v>
      </c>
      <c r="D856" s="82" t="s">
        <v>62</v>
      </c>
      <c r="E856" s="88" t="s">
        <v>7</v>
      </c>
      <c r="F856" s="112">
        <v>10000</v>
      </c>
      <c r="G856" s="46"/>
      <c r="H856" s="46">
        <f>IFERROR(TRANSACTIONS!$F856+TRANSACTIONS!$G856,"")</f>
        <v>10000</v>
      </c>
      <c r="I856" s="57" t="s">
        <v>41</v>
      </c>
    </row>
    <row r="857" spans="1:10" x14ac:dyDescent="0.25">
      <c r="A857" s="41">
        <v>45389.552275578702</v>
      </c>
      <c r="B857" s="48">
        <f>IF(A857&lt;&gt;"",DATE(YEAR(TRANSACTIONS!$A857),MONTH(TRANSACTIONS!$A857),DAY(TRANSACTIONS!$A857)),"")</f>
        <v>45389</v>
      </c>
      <c r="C857" s="49">
        <f>IF(A857&lt;&gt;"",TIME(HOUR(TRANSACTIONS!$A857),MINUTE(TRANSACTIONS!$A857),SECOND(TRANSACTIONS!$A857)),"")</f>
        <v>0.55228009259259259</v>
      </c>
      <c r="D857" s="82" t="s">
        <v>62</v>
      </c>
      <c r="E857" s="88" t="s">
        <v>6</v>
      </c>
      <c r="F857" s="112">
        <v>15000</v>
      </c>
      <c r="G857" s="46"/>
      <c r="H857" s="46">
        <f>IFERROR(TRANSACTIONS!$F857+TRANSACTIONS!$G857,"")</f>
        <v>15000</v>
      </c>
      <c r="I857" s="57" t="s">
        <v>41</v>
      </c>
    </row>
    <row r="858" spans="1:10" x14ac:dyDescent="0.25">
      <c r="A858" s="41">
        <v>45389.552309143517</v>
      </c>
      <c r="B858" s="48">
        <f>IF(A858&lt;&gt;"",DATE(YEAR(TRANSACTIONS!$A858),MONTH(TRANSACTIONS!$A858),DAY(TRANSACTIONS!$A858)),"")</f>
        <v>45389</v>
      </c>
      <c r="C858" s="49">
        <f>IF(A858&lt;&gt;"",TIME(HOUR(TRANSACTIONS!$A858),MINUTE(TRANSACTIONS!$A858),SECOND(TRANSACTIONS!$A858)),"")</f>
        <v>0.55231481481481481</v>
      </c>
      <c r="D858" s="82" t="s">
        <v>62</v>
      </c>
      <c r="E858" s="88" t="s">
        <v>7</v>
      </c>
      <c r="F858" s="112">
        <v>60000</v>
      </c>
      <c r="G858" s="46"/>
      <c r="H858" s="46">
        <f>IFERROR(TRANSACTIONS!$F858+TRANSACTIONS!$G858,"")</f>
        <v>60000</v>
      </c>
      <c r="I858" s="57" t="s">
        <v>41</v>
      </c>
    </row>
    <row r="859" spans="1:10" x14ac:dyDescent="0.25">
      <c r="A859" s="41">
        <v>45389.553870949072</v>
      </c>
      <c r="B859" s="48">
        <f>IF(A859&lt;&gt;"",DATE(YEAR(TRANSACTIONS!$A859),MONTH(TRANSACTIONS!$A859),DAY(TRANSACTIONS!$A859)),"")</f>
        <v>45389</v>
      </c>
      <c r="C859" s="49">
        <f>IF(A859&lt;&gt;"",TIME(HOUR(TRANSACTIONS!$A859),MINUTE(TRANSACTIONS!$A859),SECOND(TRANSACTIONS!$A859)),"")</f>
        <v>0.55386574074074069</v>
      </c>
      <c r="D859" s="82" t="s">
        <v>62</v>
      </c>
      <c r="E859" s="88" t="s">
        <v>6</v>
      </c>
      <c r="F859" s="112">
        <v>15000</v>
      </c>
      <c r="G859" s="46"/>
      <c r="H859" s="46">
        <f>IFERROR(TRANSACTIONS!$F859+TRANSACTIONS!$G859,"")</f>
        <v>15000</v>
      </c>
      <c r="I859" s="57" t="s">
        <v>41</v>
      </c>
    </row>
    <row r="860" spans="1:10" x14ac:dyDescent="0.25">
      <c r="A860" s="41">
        <v>45389.557201157404</v>
      </c>
      <c r="B860" s="48">
        <f>IF(A860&lt;&gt;"",DATE(YEAR(TRANSACTIONS!$A860),MONTH(TRANSACTIONS!$A860),DAY(TRANSACTIONS!$A860)),"")</f>
        <v>45389</v>
      </c>
      <c r="C860" s="49">
        <f>IF(A860&lt;&gt;"",TIME(HOUR(TRANSACTIONS!$A860),MINUTE(TRANSACTIONS!$A860),SECOND(TRANSACTIONS!$A860)),"")</f>
        <v>0.5571990740740741</v>
      </c>
      <c r="D860" s="82" t="s">
        <v>62</v>
      </c>
      <c r="E860" s="88" t="s">
        <v>6</v>
      </c>
      <c r="F860" s="112">
        <v>24500</v>
      </c>
      <c r="G860" s="46"/>
      <c r="H860" s="46">
        <f>IFERROR(TRANSACTIONS!$F860+TRANSACTIONS!$G860,"")</f>
        <v>24500</v>
      </c>
      <c r="I860" s="57" t="s">
        <v>41</v>
      </c>
    </row>
    <row r="861" spans="1:10" x14ac:dyDescent="0.25">
      <c r="A861" s="41">
        <v>45389.57692673611</v>
      </c>
      <c r="B861" s="48">
        <f>IF(A861&lt;&gt;"",DATE(YEAR(TRANSACTIONS!$A861),MONTH(TRANSACTIONS!$A861),DAY(TRANSACTIONS!$A861)),"")</f>
        <v>45389</v>
      </c>
      <c r="C861" s="49">
        <f>IF(A861&lt;&gt;"",TIME(HOUR(TRANSACTIONS!$A861),MINUTE(TRANSACTIONS!$A861),SECOND(TRANSACTIONS!$A861)),"")</f>
        <v>0.57692129629629629</v>
      </c>
      <c r="D861" s="82" t="s">
        <v>62</v>
      </c>
      <c r="E861" s="88" t="s">
        <v>7</v>
      </c>
      <c r="F861" s="112">
        <v>35000</v>
      </c>
      <c r="G861" s="46"/>
      <c r="H861" s="46">
        <f>IFERROR(TRANSACTIONS!$F861+TRANSACTIONS!$G861,"")</f>
        <v>35000</v>
      </c>
      <c r="I861" s="57" t="s">
        <v>41</v>
      </c>
    </row>
    <row r="862" spans="1:10" x14ac:dyDescent="0.25">
      <c r="A862" s="41">
        <v>45389.576936111109</v>
      </c>
      <c r="B862" s="48">
        <f>IF(A862&lt;&gt;"",DATE(YEAR(TRANSACTIONS!$A862),MONTH(TRANSACTIONS!$A862),DAY(TRANSACTIONS!$A862)),"")</f>
        <v>45389</v>
      </c>
      <c r="C862" s="49">
        <f>IF(A862&lt;&gt;"",TIME(HOUR(TRANSACTIONS!$A862),MINUTE(TRANSACTIONS!$A862),SECOND(TRANSACTIONS!$A862)),"")</f>
        <v>0.57693287037037033</v>
      </c>
      <c r="D862" s="82" t="s">
        <v>62</v>
      </c>
      <c r="E862" s="88" t="s">
        <v>7</v>
      </c>
      <c r="F862" s="112">
        <v>3000</v>
      </c>
      <c r="G862" s="46"/>
      <c r="H862" s="46">
        <f>IFERROR(TRANSACTIONS!$F862+TRANSACTIONS!$G862,"")</f>
        <v>3000</v>
      </c>
      <c r="I862" s="57" t="s">
        <v>41</v>
      </c>
    </row>
    <row r="863" spans="1:10" x14ac:dyDescent="0.25">
      <c r="A863" s="41">
        <v>45389.576949305556</v>
      </c>
      <c r="B863" s="48">
        <f>IF(A863&lt;&gt;"",DATE(YEAR(TRANSACTIONS!$A863),MONTH(TRANSACTIONS!$A863),DAY(TRANSACTIONS!$A863)),"")</f>
        <v>45389</v>
      </c>
      <c r="C863" s="49">
        <f>IF(A863&lt;&gt;"",TIME(HOUR(TRANSACTIONS!$A863),MINUTE(TRANSACTIONS!$A863),SECOND(TRANSACTIONS!$A863)),"")</f>
        <v>0.57694444444444437</v>
      </c>
      <c r="D863" s="82" t="s">
        <v>62</v>
      </c>
      <c r="E863" s="88" t="s">
        <v>7</v>
      </c>
      <c r="F863" s="112">
        <v>1000</v>
      </c>
      <c r="G863" s="46"/>
      <c r="H863" s="46">
        <f>IFERROR(TRANSACTIONS!$F863+TRANSACTIONS!$G863,"")</f>
        <v>1000</v>
      </c>
      <c r="I863" s="57" t="s">
        <v>41</v>
      </c>
    </row>
    <row r="864" spans="1:10" x14ac:dyDescent="0.25">
      <c r="A864" s="41">
        <v>45389.576957291669</v>
      </c>
      <c r="B864" s="48">
        <f>IF(A864&lt;&gt;"",DATE(YEAR(TRANSACTIONS!$A864),MONTH(TRANSACTIONS!$A864),DAY(TRANSACTIONS!$A864)),"")</f>
        <v>45389</v>
      </c>
      <c r="C864" s="49">
        <f>IF(A864&lt;&gt;"",TIME(HOUR(TRANSACTIONS!$A864),MINUTE(TRANSACTIONS!$A864),SECOND(TRANSACTIONS!$A864)),"")</f>
        <v>0.57695601851851852</v>
      </c>
      <c r="D864" s="82" t="s">
        <v>62</v>
      </c>
      <c r="E864" s="88" t="s">
        <v>6</v>
      </c>
      <c r="F864" s="112">
        <v>25250</v>
      </c>
      <c r="G864" s="46"/>
      <c r="H864" s="46">
        <f>IFERROR(TRANSACTIONS!$F864+TRANSACTIONS!$G864,"")</f>
        <v>25250</v>
      </c>
      <c r="I864" s="57" t="s">
        <v>41</v>
      </c>
    </row>
    <row r="865" spans="1:9" x14ac:dyDescent="0.25">
      <c r="A865" s="41">
        <v>45389.576965856482</v>
      </c>
      <c r="B865" s="48">
        <f>IF(A865&lt;&gt;"",DATE(YEAR(TRANSACTIONS!$A865),MONTH(TRANSACTIONS!$A865),DAY(TRANSACTIONS!$A865)),"")</f>
        <v>45389</v>
      </c>
      <c r="C865" s="49">
        <f>IF(A865&lt;&gt;"",TIME(HOUR(TRANSACTIONS!$A865),MINUTE(TRANSACTIONS!$A865),SECOND(TRANSACTIONS!$A865)),"")</f>
        <v>0.57696759259259256</v>
      </c>
      <c r="D865" s="82" t="s">
        <v>25</v>
      </c>
      <c r="E865" s="88" t="s">
        <v>7</v>
      </c>
      <c r="F865" s="112">
        <v>41000</v>
      </c>
      <c r="G865" s="46"/>
      <c r="H865" s="46">
        <f>IFERROR(TRANSACTIONS!$F865+TRANSACTIONS!$G865,"")</f>
        <v>41000</v>
      </c>
      <c r="I865" s="57" t="s">
        <v>41</v>
      </c>
    </row>
    <row r="866" spans="1:9" x14ac:dyDescent="0.25">
      <c r="A866" s="41">
        <v>45389.583467245371</v>
      </c>
      <c r="B866" s="48">
        <f>IF(A866&lt;&gt;"",DATE(YEAR(TRANSACTIONS!$A866),MONTH(TRANSACTIONS!$A866),DAY(TRANSACTIONS!$A866)),"")</f>
        <v>45389</v>
      </c>
      <c r="C866" s="49">
        <f>IF(A866&lt;&gt;"",TIME(HOUR(TRANSACTIONS!$A866),MINUTE(TRANSACTIONS!$A866),SECOND(TRANSACTIONS!$A866)),"")</f>
        <v>0.58347222222222228</v>
      </c>
      <c r="D866" s="82" t="s">
        <v>62</v>
      </c>
      <c r="E866" s="88" t="s">
        <v>7</v>
      </c>
      <c r="F866" s="112">
        <v>9000</v>
      </c>
      <c r="G866" s="46"/>
      <c r="H866" s="46">
        <f>IFERROR(TRANSACTIONS!$F866+TRANSACTIONS!$G866,"")</f>
        <v>9000</v>
      </c>
      <c r="I866" s="57" t="s">
        <v>41</v>
      </c>
    </row>
    <row r="867" spans="1:9" x14ac:dyDescent="0.25">
      <c r="A867" s="41">
        <v>45389.622059143519</v>
      </c>
      <c r="B867" s="48">
        <f>IF(A867&lt;&gt;"",DATE(YEAR(TRANSACTIONS!$A867),MONTH(TRANSACTIONS!$A867),DAY(TRANSACTIONS!$A867)),"")</f>
        <v>45389</v>
      </c>
      <c r="C867" s="49">
        <f>IF(A867&lt;&gt;"",TIME(HOUR(TRANSACTIONS!$A867),MINUTE(TRANSACTIONS!$A867),SECOND(TRANSACTIONS!$A867)),"")</f>
        <v>0.62206018518518513</v>
      </c>
      <c r="D867" s="82" t="s">
        <v>62</v>
      </c>
      <c r="E867" s="88" t="s">
        <v>7</v>
      </c>
      <c r="F867" s="112">
        <v>2000</v>
      </c>
      <c r="G867" s="46"/>
      <c r="H867" s="46">
        <f>IFERROR(TRANSACTIONS!$F867+TRANSACTIONS!$G867,"")</f>
        <v>2000</v>
      </c>
      <c r="I867" s="57" t="s">
        <v>41</v>
      </c>
    </row>
    <row r="868" spans="1:9" x14ac:dyDescent="0.25">
      <c r="A868" s="41">
        <v>45389.622103125002</v>
      </c>
      <c r="B868" s="48">
        <f>IF(A868&lt;&gt;"",DATE(YEAR(TRANSACTIONS!$A868),MONTH(TRANSACTIONS!$A868),DAY(TRANSACTIONS!$A868)),"")</f>
        <v>45389</v>
      </c>
      <c r="C868" s="49">
        <f>IF(A868&lt;&gt;"",TIME(HOUR(TRANSACTIONS!$A868),MINUTE(TRANSACTIONS!$A868),SECOND(TRANSACTIONS!$A868)),"")</f>
        <v>0.62210648148148151</v>
      </c>
      <c r="D868" s="82" t="s">
        <v>62</v>
      </c>
      <c r="E868" s="88" t="s">
        <v>7</v>
      </c>
      <c r="F868" s="112">
        <v>1000</v>
      </c>
      <c r="G868" s="46"/>
      <c r="H868" s="46">
        <f>IFERROR(TRANSACTIONS!$F868+TRANSACTIONS!$G868,"")</f>
        <v>1000</v>
      </c>
      <c r="I868" s="57" t="s">
        <v>41</v>
      </c>
    </row>
    <row r="869" spans="1:9" x14ac:dyDescent="0.25">
      <c r="A869" s="41">
        <v>45389.62211921296</v>
      </c>
      <c r="B869" s="48">
        <f>IF(A869&lt;&gt;"",DATE(YEAR(TRANSACTIONS!$A869),MONTH(TRANSACTIONS!$A869),DAY(TRANSACTIONS!$A869)),"")</f>
        <v>45389</v>
      </c>
      <c r="C869" s="49">
        <f>IF(A869&lt;&gt;"",TIME(HOUR(TRANSACTIONS!$A869),MINUTE(TRANSACTIONS!$A869),SECOND(TRANSACTIONS!$A869)),"")</f>
        <v>0.62211805555555555</v>
      </c>
      <c r="D869" s="82" t="s">
        <v>62</v>
      </c>
      <c r="E869" s="88" t="s">
        <v>6</v>
      </c>
      <c r="F869" s="112">
        <v>6500</v>
      </c>
      <c r="G869" s="46"/>
      <c r="H869" s="46">
        <f>IFERROR(TRANSACTIONS!$F869+TRANSACTIONS!$G869,"")</f>
        <v>6500</v>
      </c>
      <c r="I869" s="57" t="s">
        <v>41</v>
      </c>
    </row>
    <row r="870" spans="1:9" x14ac:dyDescent="0.25">
      <c r="A870" s="41">
        <v>45389.622150925927</v>
      </c>
      <c r="B870" s="48">
        <f>IF(A870&lt;&gt;"",DATE(YEAR(TRANSACTIONS!$A870),MONTH(TRANSACTIONS!$A870),DAY(TRANSACTIONS!$A870)),"")</f>
        <v>45389</v>
      </c>
      <c r="C870" s="49">
        <f>IF(A870&lt;&gt;"",TIME(HOUR(TRANSACTIONS!$A870),MINUTE(TRANSACTIONS!$A870),SECOND(TRANSACTIONS!$A870)),"")</f>
        <v>0.62215277777777778</v>
      </c>
      <c r="D870" s="82" t="s">
        <v>62</v>
      </c>
      <c r="E870" s="88" t="s">
        <v>7</v>
      </c>
      <c r="F870" s="112">
        <v>6000</v>
      </c>
      <c r="G870" s="46"/>
      <c r="H870" s="46">
        <f>IFERROR(TRANSACTIONS!$F870+TRANSACTIONS!$G870,"")</f>
        <v>6000</v>
      </c>
      <c r="I870" s="57" t="s">
        <v>41</v>
      </c>
    </row>
    <row r="871" spans="1:9" x14ac:dyDescent="0.25">
      <c r="A871" s="41">
        <v>45389.62294976852</v>
      </c>
      <c r="B871" s="48">
        <f>IF(A871&lt;&gt;"",DATE(YEAR(TRANSACTIONS!$A871),MONTH(TRANSACTIONS!$A871),DAY(TRANSACTIONS!$A871)),"")</f>
        <v>45389</v>
      </c>
      <c r="C871" s="49">
        <f>IF(A871&lt;&gt;"",TIME(HOUR(TRANSACTIONS!$A871),MINUTE(TRANSACTIONS!$A871),SECOND(TRANSACTIONS!$A871)),"")</f>
        <v>0.6229513888888889</v>
      </c>
      <c r="D871" s="82" t="s">
        <v>62</v>
      </c>
      <c r="E871" s="82" t="s">
        <v>7</v>
      </c>
      <c r="F871" s="94">
        <v>5000</v>
      </c>
      <c r="G871" s="46"/>
      <c r="H871" s="46">
        <f>IFERROR(TRANSACTIONS!$F871+TRANSACTIONS!$G871,"")</f>
        <v>5000</v>
      </c>
      <c r="I871" s="57" t="s">
        <v>41</v>
      </c>
    </row>
    <row r="872" spans="1:9" x14ac:dyDescent="0.25">
      <c r="A872" s="41">
        <v>45389.622958449072</v>
      </c>
      <c r="B872" s="48">
        <f>IF(A872&lt;&gt;"",DATE(YEAR(TRANSACTIONS!$A872),MONTH(TRANSACTIONS!$A872),DAY(TRANSACTIONS!$A872)),"")</f>
        <v>45389</v>
      </c>
      <c r="C872" s="49">
        <f>IF(A872&lt;&gt;"",TIME(HOUR(TRANSACTIONS!$A872),MINUTE(TRANSACTIONS!$A872),SECOND(TRANSACTIONS!$A872)),"")</f>
        <v>0.62296296296296294</v>
      </c>
      <c r="D872" s="82" t="s">
        <v>62</v>
      </c>
      <c r="E872" s="82" t="s">
        <v>6</v>
      </c>
      <c r="F872" s="94">
        <v>5000</v>
      </c>
      <c r="G872" s="46"/>
      <c r="H872" s="46">
        <f>IFERROR(TRANSACTIONS!$F872+TRANSACTIONS!$G872,"")</f>
        <v>5000</v>
      </c>
      <c r="I872" s="57" t="s">
        <v>41</v>
      </c>
    </row>
    <row r="873" spans="1:9" x14ac:dyDescent="0.25">
      <c r="A873" s="41">
        <v>45389.622999421299</v>
      </c>
      <c r="B873" s="48">
        <f>IF(A873&lt;&gt;"",DATE(YEAR(TRANSACTIONS!$A873),MONTH(TRANSACTIONS!$A873),DAY(TRANSACTIONS!$A873)),"")</f>
        <v>45389</v>
      </c>
      <c r="C873" s="49">
        <f>IF(A873&lt;&gt;"",TIME(HOUR(TRANSACTIONS!$A873),MINUTE(TRANSACTIONS!$A873),SECOND(TRANSACTIONS!$A873)),"")</f>
        <v>0.62299768518518517</v>
      </c>
      <c r="D873" s="82" t="s">
        <v>62</v>
      </c>
      <c r="E873" s="82" t="s">
        <v>7</v>
      </c>
      <c r="F873" s="94">
        <v>20000</v>
      </c>
      <c r="G873" s="46"/>
      <c r="H873" s="46">
        <f>IFERROR(TRANSACTIONS!$F873+TRANSACTIONS!$G873,"")</f>
        <v>20000</v>
      </c>
      <c r="I873" s="57" t="s">
        <v>41</v>
      </c>
    </row>
    <row r="874" spans="1:9" x14ac:dyDescent="0.25">
      <c r="A874" s="41">
        <v>45389.623012847223</v>
      </c>
      <c r="B874" s="48">
        <f>IF(A874&lt;&gt;"",DATE(YEAR(TRANSACTIONS!$A874),MONTH(TRANSACTIONS!$A874),DAY(TRANSACTIONS!$A874)),"")</f>
        <v>45389</v>
      </c>
      <c r="C874" s="49">
        <f>IF(A874&lt;&gt;"",TIME(HOUR(TRANSACTIONS!$A874),MINUTE(TRANSACTIONS!$A874),SECOND(TRANSACTIONS!$A874)),"")</f>
        <v>0.62300925925925921</v>
      </c>
      <c r="D874" s="82" t="s">
        <v>62</v>
      </c>
      <c r="E874" s="82" t="s">
        <v>7</v>
      </c>
      <c r="F874" s="94">
        <v>10000</v>
      </c>
      <c r="G874" s="46"/>
      <c r="H874" s="46">
        <f>IFERROR(TRANSACTIONS!$F874+TRANSACTIONS!$G874,"")</f>
        <v>10000</v>
      </c>
      <c r="I874" s="57" t="s">
        <v>41</v>
      </c>
    </row>
    <row r="875" spans="1:9" x14ac:dyDescent="0.25">
      <c r="A875" s="41">
        <v>45389.623582754626</v>
      </c>
      <c r="B875" s="48">
        <f>IF(A875&lt;&gt;"",DATE(YEAR(TRANSACTIONS!$A875),MONTH(TRANSACTIONS!$A875),DAY(TRANSACTIONS!$A875)),"")</f>
        <v>45389</v>
      </c>
      <c r="C875" s="49">
        <f>IF(A875&lt;&gt;"",TIME(HOUR(TRANSACTIONS!$A875),MINUTE(TRANSACTIONS!$A875),SECOND(TRANSACTIONS!$A875)),"")</f>
        <v>0.62358796296296293</v>
      </c>
      <c r="D875" s="82" t="s">
        <v>25</v>
      </c>
      <c r="E875" s="82" t="s">
        <v>7</v>
      </c>
      <c r="F875" s="94">
        <v>20000</v>
      </c>
      <c r="G875" s="46"/>
      <c r="H875" s="46">
        <f>IFERROR(TRANSACTIONS!$F875+TRANSACTIONS!$G875,"")</f>
        <v>20000</v>
      </c>
      <c r="I875" s="57" t="s">
        <v>41</v>
      </c>
    </row>
    <row r="876" spans="1:9" x14ac:dyDescent="0.25">
      <c r="A876" s="41">
        <v>45389.624263194448</v>
      </c>
      <c r="B876" s="48">
        <f>IF(A876&lt;&gt;"",DATE(YEAR(TRANSACTIONS!$A876),MONTH(TRANSACTIONS!$A876),DAY(TRANSACTIONS!$A876)),"")</f>
        <v>45389</v>
      </c>
      <c r="C876" s="49">
        <f>IF(A876&lt;&gt;"",TIME(HOUR(TRANSACTIONS!$A876),MINUTE(TRANSACTIONS!$A876),SECOND(TRANSACTIONS!$A876)),"")</f>
        <v>0.62425925925925929</v>
      </c>
      <c r="D876" s="82" t="s">
        <v>25</v>
      </c>
      <c r="E876" s="82" t="s">
        <v>6</v>
      </c>
      <c r="F876" s="94">
        <v>1000</v>
      </c>
      <c r="G876" s="46"/>
      <c r="H876" s="46">
        <f>IFERROR(TRANSACTIONS!$F876+TRANSACTIONS!$G876,"")</f>
        <v>1000</v>
      </c>
      <c r="I876" s="57" t="s">
        <v>41</v>
      </c>
    </row>
    <row r="877" spans="1:9" x14ac:dyDescent="0.25">
      <c r="A877" s="41">
        <v>45389.628140624998</v>
      </c>
      <c r="B877" s="48">
        <f>IF(A877&lt;&gt;"",DATE(YEAR(TRANSACTIONS!$A877),MONTH(TRANSACTIONS!$A877),DAY(TRANSACTIONS!$A877)),"")</f>
        <v>45389</v>
      </c>
      <c r="C877" s="49">
        <f>IF(A877&lt;&gt;"",TIME(HOUR(TRANSACTIONS!$A877),MINUTE(TRANSACTIONS!$A877),SECOND(TRANSACTIONS!$A877)),"")</f>
        <v>0.62813657407407408</v>
      </c>
      <c r="D877" s="82" t="s">
        <v>62</v>
      </c>
      <c r="E877" s="82" t="s">
        <v>7</v>
      </c>
      <c r="F877" s="94">
        <v>1500</v>
      </c>
      <c r="G877" s="46"/>
      <c r="H877" s="46">
        <f>IFERROR(TRANSACTIONS!$F877+TRANSACTIONS!$G877,"")</f>
        <v>1500</v>
      </c>
      <c r="I877" s="57" t="s">
        <v>41</v>
      </c>
    </row>
    <row r="878" spans="1:9" x14ac:dyDescent="0.25">
      <c r="A878" s="41">
        <v>45389.628403935189</v>
      </c>
      <c r="B878" s="48">
        <f>IF(A878&lt;&gt;"",DATE(YEAR(TRANSACTIONS!$A878),MONTH(TRANSACTIONS!$A878),DAY(TRANSACTIONS!$A878)),"")</f>
        <v>45389</v>
      </c>
      <c r="C878" s="49">
        <f>IF(A878&lt;&gt;"",TIME(HOUR(TRANSACTIONS!$A878),MINUTE(TRANSACTIONS!$A878),SECOND(TRANSACTIONS!$A878)),"")</f>
        <v>0.62840277777777775</v>
      </c>
      <c r="D878" s="82" t="s">
        <v>62</v>
      </c>
      <c r="E878" s="82" t="s">
        <v>6</v>
      </c>
      <c r="F878" s="94">
        <v>20000</v>
      </c>
      <c r="G878" s="46"/>
      <c r="H878" s="46">
        <f>IFERROR(TRANSACTIONS!$F878+TRANSACTIONS!$G878,"")</f>
        <v>20000</v>
      </c>
      <c r="I878" s="57" t="s">
        <v>41</v>
      </c>
    </row>
    <row r="879" spans="1:9" x14ac:dyDescent="0.25">
      <c r="A879" s="41">
        <v>45389.629770833337</v>
      </c>
      <c r="B879" s="48">
        <f>IF(A879&lt;&gt;"",DATE(YEAR(TRANSACTIONS!$A879),MONTH(TRANSACTIONS!$A879),DAY(TRANSACTIONS!$A879)),"")</f>
        <v>45389</v>
      </c>
      <c r="C879" s="49">
        <f>IF(A879&lt;&gt;"",TIME(HOUR(TRANSACTIONS!$A879),MINUTE(TRANSACTIONS!$A879),SECOND(TRANSACTIONS!$A879)),"")</f>
        <v>0.62976851851851856</v>
      </c>
      <c r="D879" s="82" t="s">
        <v>25</v>
      </c>
      <c r="E879" s="82" t="s">
        <v>7</v>
      </c>
      <c r="F879" s="94">
        <v>2000</v>
      </c>
      <c r="G879" s="46"/>
      <c r="H879" s="46">
        <f>IFERROR(TRANSACTIONS!$F879+TRANSACTIONS!$G879,"")</f>
        <v>2000</v>
      </c>
      <c r="I879" s="57" t="s">
        <v>41</v>
      </c>
    </row>
    <row r="880" spans="1:9" x14ac:dyDescent="0.25">
      <c r="A880" s="41">
        <v>45389.636985069446</v>
      </c>
      <c r="B880" s="48">
        <f>IF(A880&lt;&gt;"",DATE(YEAR(TRANSACTIONS!$A880),MONTH(TRANSACTIONS!$A880),DAY(TRANSACTIONS!$A880)),"")</f>
        <v>45389</v>
      </c>
      <c r="C880" s="49">
        <f>IF(A880&lt;&gt;"",TIME(HOUR(TRANSACTIONS!$A880),MINUTE(TRANSACTIONS!$A880),SECOND(TRANSACTIONS!$A880)),"")</f>
        <v>0.6369907407407408</v>
      </c>
      <c r="D880" s="82" t="s">
        <v>25</v>
      </c>
      <c r="E880" s="82" t="s">
        <v>7</v>
      </c>
      <c r="F880" s="94">
        <v>3000</v>
      </c>
      <c r="G880" s="46"/>
      <c r="H880" s="46">
        <f>IFERROR(TRANSACTIONS!$F880+TRANSACTIONS!$G880,"")</f>
        <v>3000</v>
      </c>
      <c r="I880" s="57" t="s">
        <v>41</v>
      </c>
    </row>
    <row r="881" spans="1:9" x14ac:dyDescent="0.25">
      <c r="A881" s="41">
        <v>45389.636996180554</v>
      </c>
      <c r="B881" s="48">
        <f>IF(A881&lt;&gt;"",DATE(YEAR(TRANSACTIONS!$A881),MONTH(TRANSACTIONS!$A881),DAY(TRANSACTIONS!$A881)),"")</f>
        <v>45389</v>
      </c>
      <c r="C881" s="49">
        <f>IF(A881&lt;&gt;"",TIME(HOUR(TRANSACTIONS!$A881),MINUTE(TRANSACTIONS!$A881),SECOND(TRANSACTIONS!$A881)),"")</f>
        <v>0.6369907407407408</v>
      </c>
      <c r="D881" s="82" t="s">
        <v>62</v>
      </c>
      <c r="E881" s="82" t="s">
        <v>6</v>
      </c>
      <c r="F881" s="94">
        <v>2000</v>
      </c>
      <c r="G881" s="46"/>
      <c r="H881" s="46">
        <f>IFERROR(TRANSACTIONS!$F881+TRANSACTIONS!$G881,"")</f>
        <v>2000</v>
      </c>
      <c r="I881" s="57" t="s">
        <v>41</v>
      </c>
    </row>
    <row r="882" spans="1:9" x14ac:dyDescent="0.25">
      <c r="A882" s="41">
        <v>45389.641900694442</v>
      </c>
      <c r="B882" s="48">
        <f>IF(A882&lt;&gt;"",DATE(YEAR(TRANSACTIONS!$A882),MONTH(TRANSACTIONS!$A882),DAY(TRANSACTIONS!$A882)),"")</f>
        <v>45389</v>
      </c>
      <c r="C882" s="49">
        <f>IF(A882&lt;&gt;"",TIME(HOUR(TRANSACTIONS!$A882),MINUTE(TRANSACTIONS!$A882),SECOND(TRANSACTIONS!$A882)),"")</f>
        <v>0.64189814814814816</v>
      </c>
      <c r="D882" s="82" t="s">
        <v>62</v>
      </c>
      <c r="E882" s="82" t="s">
        <v>6</v>
      </c>
      <c r="F882" s="94">
        <v>10000</v>
      </c>
      <c r="G882" s="46"/>
      <c r="H882" s="46">
        <f>IFERROR(TRANSACTIONS!$F882+TRANSACTIONS!$G882,"")</f>
        <v>10000</v>
      </c>
      <c r="I882" s="57" t="s">
        <v>41</v>
      </c>
    </row>
    <row r="883" spans="1:9" x14ac:dyDescent="0.25">
      <c r="A883" s="41">
        <v>45389.642037731479</v>
      </c>
      <c r="B883" s="48">
        <f>IF(A883&lt;&gt;"",DATE(YEAR(TRANSACTIONS!$A883),MONTH(TRANSACTIONS!$A883),DAY(TRANSACTIONS!$A883)),"")</f>
        <v>45389</v>
      </c>
      <c r="C883" s="49">
        <f>IF(A883&lt;&gt;"",TIME(HOUR(TRANSACTIONS!$A883),MINUTE(TRANSACTIONS!$A883),SECOND(TRANSACTIONS!$A883)),"")</f>
        <v>0.64203703703703707</v>
      </c>
      <c r="D883" s="82" t="s">
        <v>62</v>
      </c>
      <c r="E883" s="82" t="s">
        <v>7</v>
      </c>
      <c r="F883" s="94">
        <v>7000</v>
      </c>
      <c r="G883" s="46"/>
      <c r="H883" s="46">
        <f>IFERROR(TRANSACTIONS!$F883+TRANSACTIONS!$G883,"")</f>
        <v>7000</v>
      </c>
      <c r="I883" s="57" t="s">
        <v>41</v>
      </c>
    </row>
    <row r="884" spans="1:9" x14ac:dyDescent="0.25">
      <c r="A884" s="41">
        <v>45389.649176388892</v>
      </c>
      <c r="B884" s="48">
        <f>IF(A884&lt;&gt;"",DATE(YEAR(TRANSACTIONS!$A884),MONTH(TRANSACTIONS!$A884),DAY(TRANSACTIONS!$A884)),"")</f>
        <v>45389</v>
      </c>
      <c r="C884" s="49">
        <f>IF(A884&lt;&gt;"",TIME(HOUR(TRANSACTIONS!$A884),MINUTE(TRANSACTIONS!$A884),SECOND(TRANSACTIONS!$A884)),"")</f>
        <v>0.64917824074074071</v>
      </c>
      <c r="D884" s="82" t="s">
        <v>62</v>
      </c>
      <c r="E884" s="82" t="s">
        <v>7</v>
      </c>
      <c r="F884" s="94">
        <v>6300</v>
      </c>
      <c r="G884" s="46"/>
      <c r="H884" s="46">
        <f>IFERROR(TRANSACTIONS!$F884+TRANSACTIONS!$G884,"")</f>
        <v>6300</v>
      </c>
      <c r="I884" s="57" t="s">
        <v>41</v>
      </c>
    </row>
    <row r="885" spans="1:9" x14ac:dyDescent="0.25">
      <c r="A885" s="41">
        <v>45389.649374768516</v>
      </c>
      <c r="B885" s="48">
        <f>IF(A885&lt;&gt;"",DATE(YEAR(TRANSACTIONS!$A885),MONTH(TRANSACTIONS!$A885),DAY(TRANSACTIONS!$A885)),"")</f>
        <v>45389</v>
      </c>
      <c r="C885" s="49">
        <f>IF(A885&lt;&gt;"",TIME(HOUR(TRANSACTIONS!$A885),MINUTE(TRANSACTIONS!$A885),SECOND(TRANSACTIONS!$A885)),"")</f>
        <v>0.64937500000000004</v>
      </c>
      <c r="D885" s="82" t="s">
        <v>25</v>
      </c>
      <c r="E885" s="82" t="s">
        <v>7</v>
      </c>
      <c r="F885" s="94">
        <v>8900</v>
      </c>
      <c r="G885" s="46"/>
      <c r="H885" s="46">
        <f>IFERROR(TRANSACTIONS!$F885+TRANSACTIONS!$G885,"")</f>
        <v>8900</v>
      </c>
      <c r="I885" s="57" t="s">
        <v>41</v>
      </c>
    </row>
    <row r="886" spans="1:9" x14ac:dyDescent="0.25">
      <c r="A886" s="41">
        <v>45389.652407986112</v>
      </c>
      <c r="B886" s="48">
        <f>IF(A886&lt;&gt;"",DATE(YEAR(TRANSACTIONS!$A886),MONTH(TRANSACTIONS!$A886),DAY(TRANSACTIONS!$A886)),"")</f>
        <v>45389</v>
      </c>
      <c r="C886" s="49">
        <f>IF(A886&lt;&gt;"",TIME(HOUR(TRANSACTIONS!$A886),MINUTE(TRANSACTIONS!$A886),SECOND(TRANSACTIONS!$A886)),"")</f>
        <v>0.65240740740740744</v>
      </c>
      <c r="D886" s="82" t="s">
        <v>62</v>
      </c>
      <c r="E886" s="82" t="s">
        <v>6</v>
      </c>
      <c r="F886" s="94">
        <v>80000</v>
      </c>
      <c r="G886" s="46"/>
      <c r="H886" s="46">
        <f>IFERROR(TRANSACTIONS!$F886+TRANSACTIONS!$G886,"")</f>
        <v>80000</v>
      </c>
      <c r="I886" s="57" t="s">
        <v>41</v>
      </c>
    </row>
    <row r="887" spans="1:9" x14ac:dyDescent="0.25">
      <c r="A887" s="41">
        <v>45389.65254398148</v>
      </c>
      <c r="B887" s="48">
        <f>IF(A887&lt;&gt;"",DATE(YEAR(TRANSACTIONS!$A887),MONTH(TRANSACTIONS!$A887),DAY(TRANSACTIONS!$A887)),"")</f>
        <v>45389</v>
      </c>
      <c r="C887" s="49">
        <f>IF(A887&lt;&gt;"",TIME(HOUR(TRANSACTIONS!$A887),MINUTE(TRANSACTIONS!$A887),SECOND(TRANSACTIONS!$A887)),"")</f>
        <v>0.65254629629629635</v>
      </c>
      <c r="D887" s="82" t="s">
        <v>62</v>
      </c>
      <c r="E887" s="82" t="s">
        <v>7</v>
      </c>
      <c r="F887" s="94">
        <v>212000</v>
      </c>
      <c r="G887" s="46"/>
      <c r="H887" s="46">
        <f>IFERROR(TRANSACTIONS!$F887+TRANSACTIONS!$G887,"")</f>
        <v>212000</v>
      </c>
      <c r="I887" s="57" t="s">
        <v>41</v>
      </c>
    </row>
    <row r="888" spans="1:9" x14ac:dyDescent="0.25">
      <c r="A888" s="41">
        <v>45389.655119791663</v>
      </c>
      <c r="B888" s="48">
        <f>IF(A888&lt;&gt;"",DATE(YEAR(TRANSACTIONS!$A888),MONTH(TRANSACTIONS!$A888),DAY(TRANSACTIONS!$A888)),"")</f>
        <v>45389</v>
      </c>
      <c r="C888" s="49">
        <f>IF(A888&lt;&gt;"",TIME(HOUR(TRANSACTIONS!$A888),MINUTE(TRANSACTIONS!$A888),SECOND(TRANSACTIONS!$A888)),"")</f>
        <v>0.65511574074074075</v>
      </c>
      <c r="D888" s="82" t="s">
        <v>62</v>
      </c>
      <c r="E888" s="82" t="s">
        <v>7</v>
      </c>
      <c r="F888" s="94">
        <v>1000</v>
      </c>
      <c r="G888" s="46"/>
      <c r="H888" s="46">
        <f>IFERROR(TRANSACTIONS!$F888+TRANSACTIONS!$G888,"")</f>
        <v>1000</v>
      </c>
      <c r="I888" s="57" t="s">
        <v>41</v>
      </c>
    </row>
    <row r="889" spans="1:9" x14ac:dyDescent="0.25">
      <c r="A889" s="41">
        <v>45389.656971990742</v>
      </c>
      <c r="B889" s="48">
        <f>IF(A889&lt;&gt;"",DATE(YEAR(TRANSACTIONS!$A889),MONTH(TRANSACTIONS!$A889),DAY(TRANSACTIONS!$A889)),"")</f>
        <v>45389</v>
      </c>
      <c r="C889" s="49">
        <f>IF(A889&lt;&gt;"",TIME(HOUR(TRANSACTIONS!$A889),MINUTE(TRANSACTIONS!$A889),SECOND(TRANSACTIONS!$A889)),"")</f>
        <v>0.65696759259259252</v>
      </c>
      <c r="D889" s="82" t="s">
        <v>25</v>
      </c>
      <c r="E889" s="82" t="s">
        <v>6</v>
      </c>
      <c r="F889" s="94">
        <v>12500</v>
      </c>
      <c r="G889" s="46"/>
      <c r="H889" s="46">
        <f>IFERROR(TRANSACTIONS!$F889+TRANSACTIONS!$G889,"")</f>
        <v>12500</v>
      </c>
      <c r="I889" s="57" t="s">
        <v>41</v>
      </c>
    </row>
    <row r="890" spans="1:9" x14ac:dyDescent="0.25">
      <c r="A890" s="41">
        <v>45389.659464004631</v>
      </c>
      <c r="B890" s="48">
        <f>IF(A890&lt;&gt;"",DATE(YEAR(TRANSACTIONS!$A890),MONTH(TRANSACTIONS!$A890),DAY(TRANSACTIONS!$A890)),"")</f>
        <v>45389</v>
      </c>
      <c r="C890" s="49">
        <f>IF(A890&lt;&gt;"",TIME(HOUR(TRANSACTIONS!$A890),MINUTE(TRANSACTIONS!$A890),SECOND(TRANSACTIONS!$A890)),"")</f>
        <v>0.65946759259259258</v>
      </c>
      <c r="D890" s="82" t="s">
        <v>62</v>
      </c>
      <c r="E890" s="82" t="s">
        <v>7</v>
      </c>
      <c r="F890" s="94">
        <v>10000</v>
      </c>
      <c r="G890" s="46"/>
      <c r="H890" s="46">
        <f>IFERROR(TRANSACTIONS!$F890+TRANSACTIONS!$G890,"")</f>
        <v>10000</v>
      </c>
      <c r="I890" s="57" t="s">
        <v>41</v>
      </c>
    </row>
    <row r="891" spans="1:9" x14ac:dyDescent="0.25">
      <c r="A891" s="41">
        <v>45389.66411597222</v>
      </c>
      <c r="B891" s="48">
        <f>IF(A891&lt;&gt;"",DATE(YEAR(TRANSACTIONS!$A891),MONTH(TRANSACTIONS!$A891),DAY(TRANSACTIONS!$A891)),"")</f>
        <v>45389</v>
      </c>
      <c r="C891" s="49">
        <f>IF(A891&lt;&gt;"",TIME(HOUR(TRANSACTIONS!$A891),MINUTE(TRANSACTIONS!$A891),SECOND(TRANSACTIONS!$A891)),"")</f>
        <v>0.66412037037037031</v>
      </c>
      <c r="D891" s="82" t="s">
        <v>62</v>
      </c>
      <c r="E891" s="82" t="s">
        <v>6</v>
      </c>
      <c r="F891" s="94">
        <v>2000</v>
      </c>
      <c r="G891" s="46"/>
      <c r="H891" s="46">
        <f>IFERROR(TRANSACTIONS!$F891+TRANSACTIONS!$G891,"")</f>
        <v>2000</v>
      </c>
      <c r="I891" s="57" t="s">
        <v>41</v>
      </c>
    </row>
    <row r="892" spans="1:9" x14ac:dyDescent="0.25">
      <c r="A892" s="41">
        <v>45389.66425775463</v>
      </c>
      <c r="B892" s="48">
        <f>IF(A892&lt;&gt;"",DATE(YEAR(TRANSACTIONS!$A892),MONTH(TRANSACTIONS!$A892),DAY(TRANSACTIONS!$A892)),"")</f>
        <v>45389</v>
      </c>
      <c r="C892" s="49">
        <f>IF(A892&lt;&gt;"",TIME(HOUR(TRANSACTIONS!$A892),MINUTE(TRANSACTIONS!$A892),SECOND(TRANSACTIONS!$A892)),"")</f>
        <v>0.66425925925925922</v>
      </c>
      <c r="D892" s="82" t="s">
        <v>62</v>
      </c>
      <c r="E892" s="82" t="s">
        <v>7</v>
      </c>
      <c r="F892" s="94">
        <v>50000</v>
      </c>
      <c r="G892" s="46"/>
      <c r="H892" s="46">
        <f>IFERROR(TRANSACTIONS!$F892+TRANSACTIONS!$G892,"")</f>
        <v>50000</v>
      </c>
      <c r="I892" s="57" t="s">
        <v>41</v>
      </c>
    </row>
    <row r="893" spans="1:9" x14ac:dyDescent="0.25">
      <c r="A893" s="41">
        <v>45389.686948379633</v>
      </c>
      <c r="B893" s="48">
        <f>IF(A893&lt;&gt;"",DATE(YEAR(TRANSACTIONS!$A893),MONTH(TRANSACTIONS!$A893),DAY(TRANSACTIONS!$A893)),"")</f>
        <v>45389</v>
      </c>
      <c r="C893" s="49">
        <f>IF(A893&lt;&gt;"",TIME(HOUR(TRANSACTIONS!$A893),MINUTE(TRANSACTIONS!$A893),SECOND(TRANSACTIONS!$A893)),"")</f>
        <v>0.68694444444444447</v>
      </c>
      <c r="D893" s="82" t="s">
        <v>62</v>
      </c>
      <c r="E893" s="82" t="s">
        <v>7</v>
      </c>
      <c r="F893" s="94">
        <v>12000</v>
      </c>
      <c r="G893" s="46"/>
      <c r="H893" s="46">
        <f>IFERROR(TRANSACTIONS!$F893+TRANSACTIONS!$G893,"")</f>
        <v>12000</v>
      </c>
      <c r="I893" s="57" t="s">
        <v>41</v>
      </c>
    </row>
    <row r="894" spans="1:9" x14ac:dyDescent="0.25">
      <c r="A894" s="41">
        <v>45389.690160879632</v>
      </c>
      <c r="B894" s="48">
        <f>IF(A894&lt;&gt;"",DATE(YEAR(TRANSACTIONS!$A894),MONTH(TRANSACTIONS!$A894),DAY(TRANSACTIONS!$A894)),"")</f>
        <v>45389</v>
      </c>
      <c r="C894" s="49">
        <f>IF(A894&lt;&gt;"",TIME(HOUR(TRANSACTIONS!$A894),MINUTE(TRANSACTIONS!$A894),SECOND(TRANSACTIONS!$A894)),"")</f>
        <v>0.69016203703703705</v>
      </c>
      <c r="D894" s="82" t="s">
        <v>62</v>
      </c>
      <c r="E894" s="82" t="s">
        <v>6</v>
      </c>
      <c r="F894" s="94">
        <v>40000</v>
      </c>
      <c r="G894" s="46"/>
      <c r="H894" s="46">
        <f>IFERROR(TRANSACTIONS!$F894+TRANSACTIONS!$G894,"")</f>
        <v>40000</v>
      </c>
      <c r="I894" s="57" t="s">
        <v>41</v>
      </c>
    </row>
    <row r="895" spans="1:9" x14ac:dyDescent="0.25">
      <c r="A895" s="41">
        <v>45389.690830902779</v>
      </c>
      <c r="B895" s="48">
        <f>IF(A895&lt;&gt;"",DATE(YEAR(TRANSACTIONS!$A895),MONTH(TRANSACTIONS!$A895),DAY(TRANSACTIONS!$A895)),"")</f>
        <v>45389</v>
      </c>
      <c r="C895" s="49">
        <f>IF(A895&lt;&gt;"",TIME(HOUR(TRANSACTIONS!$A895),MINUTE(TRANSACTIONS!$A895),SECOND(TRANSACTIONS!$A895)),"")</f>
        <v>0.6908333333333333</v>
      </c>
      <c r="D895" s="82" t="s">
        <v>62</v>
      </c>
      <c r="E895" s="82" t="s">
        <v>7</v>
      </c>
      <c r="F895" s="94">
        <v>1000</v>
      </c>
      <c r="G895" s="46"/>
      <c r="H895" s="46">
        <f>IFERROR(TRANSACTIONS!$F895+TRANSACTIONS!$G895,"")</f>
        <v>1000</v>
      </c>
      <c r="I895" s="57" t="s">
        <v>41</v>
      </c>
    </row>
    <row r="896" spans="1:9" x14ac:dyDescent="0.25">
      <c r="A896" s="81">
        <v>45389.690877546294</v>
      </c>
      <c r="B896" s="83">
        <f>IF(A896&lt;&gt;"",DATE(YEAR(TRANSACTIONS!$A896),MONTH(TRANSACTIONS!$A896),DAY(TRANSACTIONS!$A896)),"")</f>
        <v>45389</v>
      </c>
      <c r="C896" s="84">
        <f>IF(A896&lt;&gt;"",TIME(HOUR(TRANSACTIONS!$A896),MINUTE(TRANSACTIONS!$A896),SECOND(TRANSACTIONS!$A896)),"")</f>
        <v>0.69087962962962957</v>
      </c>
      <c r="D896" s="82" t="s">
        <v>62</v>
      </c>
      <c r="E896" s="82" t="s">
        <v>6</v>
      </c>
      <c r="F896" s="94">
        <v>9000</v>
      </c>
      <c r="G896" s="86"/>
      <c r="H896" s="86">
        <f>IFERROR(TRANSACTIONS!$F896+TRANSACTIONS!$G896,"")</f>
        <v>9000</v>
      </c>
      <c r="I896" s="87" t="s">
        <v>41</v>
      </c>
    </row>
    <row r="897" spans="1:10" x14ac:dyDescent="0.25">
      <c r="A897" s="41">
        <v>45389.690895254629</v>
      </c>
      <c r="B897" s="48">
        <f>IF(A897&lt;&gt;"",DATE(YEAR(TRANSACTIONS!$A897),MONTH(TRANSACTIONS!$A897),DAY(TRANSACTIONS!$A897)),"")</f>
        <v>45389</v>
      </c>
      <c r="C897" s="49">
        <f>IF(A897&lt;&gt;"",TIME(HOUR(TRANSACTIONS!$A897),MINUTE(TRANSACTIONS!$A897),SECOND(TRANSACTIONS!$A897)),"")</f>
        <v>0.69089120370370372</v>
      </c>
      <c r="D897" s="82" t="s">
        <v>62</v>
      </c>
      <c r="E897" s="82" t="s">
        <v>7</v>
      </c>
      <c r="F897" s="94">
        <v>8000</v>
      </c>
      <c r="G897" s="46"/>
      <c r="H897" s="46">
        <f>IFERROR(TRANSACTIONS!$F897+TRANSACTIONS!$G897,"")</f>
        <v>8000</v>
      </c>
      <c r="I897" s="57" t="s">
        <v>41</v>
      </c>
    </row>
    <row r="898" spans="1:10" x14ac:dyDescent="0.25">
      <c r="A898" s="41">
        <v>45389.690910648147</v>
      </c>
      <c r="B898" s="48">
        <f>IF(A898&lt;&gt;"",DATE(YEAR(TRANSACTIONS!$A898),MONTH(TRANSACTIONS!$A898),DAY(TRANSACTIONS!$A898)),"")</f>
        <v>45389</v>
      </c>
      <c r="C898" s="49">
        <f>IF(A898&lt;&gt;"",TIME(HOUR(TRANSACTIONS!$A898),MINUTE(TRANSACTIONS!$A898),SECOND(TRANSACTIONS!$A898)),"")</f>
        <v>0.6909143518518519</v>
      </c>
      <c r="D898" s="82" t="s">
        <v>62</v>
      </c>
      <c r="E898" s="82" t="s">
        <v>6</v>
      </c>
      <c r="F898" s="94">
        <v>5000</v>
      </c>
      <c r="G898" s="46"/>
      <c r="H898" s="46">
        <f>IFERROR(TRANSACTIONS!$F898+TRANSACTIONS!$G898,"")</f>
        <v>5000</v>
      </c>
      <c r="I898" s="57" t="s">
        <v>41</v>
      </c>
    </row>
    <row r="899" spans="1:10" x14ac:dyDescent="0.25">
      <c r="A899" s="41">
        <v>45389.691397337963</v>
      </c>
      <c r="B899" s="48">
        <f>IF(A899&lt;&gt;"",DATE(YEAR(TRANSACTIONS!$A899),MONTH(TRANSACTIONS!$A899),DAY(TRANSACTIONS!$A899)),"")</f>
        <v>45389</v>
      </c>
      <c r="C899" s="49">
        <f>IF(A899&lt;&gt;"",TIME(HOUR(TRANSACTIONS!$A899),MINUTE(TRANSACTIONS!$A899),SECOND(TRANSACTIONS!$A899)),"")</f>
        <v>0.69140046296296298</v>
      </c>
      <c r="D899" s="82" t="s">
        <v>25</v>
      </c>
      <c r="E899" s="82" t="s">
        <v>6</v>
      </c>
      <c r="F899" s="94">
        <v>51000</v>
      </c>
      <c r="G899" s="46"/>
      <c r="H899" s="46">
        <f>IFERROR(TRANSACTIONS!$F899+TRANSACTIONS!$G899,"")</f>
        <v>51000</v>
      </c>
      <c r="I899" s="57" t="s">
        <v>41</v>
      </c>
    </row>
    <row r="900" spans="1:10" x14ac:dyDescent="0.25">
      <c r="A900" s="41">
        <v>45389.691406944446</v>
      </c>
      <c r="B900" s="48">
        <f>IF(A900&lt;&gt;"",DATE(YEAR(TRANSACTIONS!$A900),MONTH(TRANSACTIONS!$A900),DAY(TRANSACTIONS!$A900)),"")</f>
        <v>45389</v>
      </c>
      <c r="C900" s="49">
        <f>IF(A900&lt;&gt;"",TIME(HOUR(TRANSACTIONS!$A900),MINUTE(TRANSACTIONS!$A900),SECOND(TRANSACTIONS!$A900)),"")</f>
        <v>0.69141203703703702</v>
      </c>
      <c r="D900" s="82" t="s">
        <v>25</v>
      </c>
      <c r="E900" s="82" t="s">
        <v>6</v>
      </c>
      <c r="F900" s="94">
        <v>1000</v>
      </c>
      <c r="G900" s="46"/>
      <c r="H900" s="46">
        <f>IFERROR(TRANSACTIONS!$F900+TRANSACTIONS!$G900,"")</f>
        <v>1000</v>
      </c>
      <c r="I900" s="57" t="s">
        <v>41</v>
      </c>
    </row>
    <row r="901" spans="1:10" x14ac:dyDescent="0.25">
      <c r="A901" s="41">
        <v>45389.691448263889</v>
      </c>
      <c r="B901" s="48">
        <f>IF(A901&lt;&gt;"",DATE(YEAR(TRANSACTIONS!$A901),MONTH(TRANSACTIONS!$A901),DAY(TRANSACTIONS!$A901)),"")</f>
        <v>45389</v>
      </c>
      <c r="C901" s="49">
        <f>IF(A901&lt;&gt;"",TIME(HOUR(TRANSACTIONS!$A901),MINUTE(TRANSACTIONS!$A901),SECOND(TRANSACTIONS!$A901)),"")</f>
        <v>0.69144675925925936</v>
      </c>
      <c r="D901" s="82" t="s">
        <v>25</v>
      </c>
      <c r="E901" s="82" t="s">
        <v>7</v>
      </c>
      <c r="F901" s="94">
        <v>169000</v>
      </c>
      <c r="G901" s="46"/>
      <c r="H901" s="46">
        <f>IFERROR(TRANSACTIONS!$F901+TRANSACTIONS!$G901,"")</f>
        <v>169000</v>
      </c>
      <c r="I901" s="57" t="s">
        <v>41</v>
      </c>
    </row>
    <row r="902" spans="1:10" x14ac:dyDescent="0.25">
      <c r="A902" s="113">
        <v>45389.692297222224</v>
      </c>
      <c r="B902" s="114">
        <f>IF(A902&lt;&gt;"",DATE(YEAR(TRANSACTIONS!$A902),MONTH(TRANSACTIONS!$A902),DAY(TRANSACTIONS!$A902)),"")</f>
        <v>45389</v>
      </c>
      <c r="C902" s="115">
        <f>IF(A902&lt;&gt;"",TIME(HOUR(TRANSACTIONS!$A902),MINUTE(TRANSACTIONS!$A902),SECOND(TRANSACTIONS!$A902)),"")</f>
        <v>0.69229166666666664</v>
      </c>
      <c r="D902" s="82" t="s">
        <v>62</v>
      </c>
      <c r="E902" s="82" t="s">
        <v>7</v>
      </c>
      <c r="F902" s="94">
        <v>30000</v>
      </c>
      <c r="G902" s="117"/>
      <c r="H902" s="117">
        <f>IFERROR(TRANSACTIONS!$F902+TRANSACTIONS!$G902,"")</f>
        <v>30000</v>
      </c>
      <c r="I902" s="123" t="s">
        <v>41</v>
      </c>
      <c r="J902" s="118"/>
    </row>
    <row r="903" spans="1:10" x14ac:dyDescent="0.25">
      <c r="A903" s="41">
        <v>45389.693704976853</v>
      </c>
      <c r="B903" s="48">
        <f>IF(A903&lt;&gt;"",DATE(YEAR(TRANSACTIONS!$A903),MONTH(TRANSACTIONS!$A903),DAY(TRANSACTIONS!$A903)),"")</f>
        <v>45389</v>
      </c>
      <c r="C903" s="49">
        <f>IF(A903&lt;&gt;"",TIME(HOUR(TRANSACTIONS!$A903),MINUTE(TRANSACTIONS!$A903),SECOND(TRANSACTIONS!$A903)),"")</f>
        <v>0.6937037037037036</v>
      </c>
      <c r="D903" s="82" t="s">
        <v>62</v>
      </c>
      <c r="E903" s="82" t="s">
        <v>7</v>
      </c>
      <c r="F903" s="94">
        <v>300000</v>
      </c>
      <c r="G903" s="46"/>
      <c r="H903" s="46">
        <f>IFERROR(TRANSACTIONS!$F903+TRANSACTIONS!$G903,"")</f>
        <v>300000</v>
      </c>
      <c r="I903" s="57" t="s">
        <v>41</v>
      </c>
    </row>
    <row r="904" spans="1:10" x14ac:dyDescent="0.25">
      <c r="A904" s="41">
        <v>45389.699340046296</v>
      </c>
      <c r="B904" s="48">
        <f>IF(A904&lt;&gt;"",DATE(YEAR(TRANSACTIONS!$A904),MONTH(TRANSACTIONS!$A904),DAY(TRANSACTIONS!$A904)),"")</f>
        <v>45389</v>
      </c>
      <c r="C904" s="49">
        <f>IF(A904&lt;&gt;"",TIME(HOUR(TRANSACTIONS!$A904),MINUTE(TRANSACTIONS!$A904),SECOND(TRANSACTIONS!$A904)),"")</f>
        <v>0.69934027777777785</v>
      </c>
      <c r="D904" s="82" t="s">
        <v>62</v>
      </c>
      <c r="E904" s="82" t="s">
        <v>6</v>
      </c>
      <c r="F904" s="94">
        <v>5000</v>
      </c>
      <c r="G904" s="46"/>
      <c r="H904" s="46">
        <f>IFERROR(TRANSACTIONS!$F904+TRANSACTIONS!$G904,"")</f>
        <v>5000</v>
      </c>
      <c r="I904" s="57" t="s">
        <v>41</v>
      </c>
    </row>
    <row r="905" spans="1:10" x14ac:dyDescent="0.25">
      <c r="A905" s="41">
        <v>45389.701921990738</v>
      </c>
      <c r="B905" s="48">
        <f>IF(A905&lt;&gt;"",DATE(YEAR(TRANSACTIONS!$A905),MONTH(TRANSACTIONS!$A905),DAY(TRANSACTIONS!$A905)),"")</f>
        <v>45389</v>
      </c>
      <c r="C905" s="49">
        <f>IF(A905&lt;&gt;"",TIME(HOUR(TRANSACTIONS!$A905),MINUTE(TRANSACTIONS!$A905),SECOND(TRANSACTIONS!$A905)),"")</f>
        <v>0.70192129629629629</v>
      </c>
      <c r="D905" s="82" t="s">
        <v>62</v>
      </c>
      <c r="E905" s="82" t="s">
        <v>7</v>
      </c>
      <c r="F905" s="94">
        <v>5000</v>
      </c>
      <c r="G905" s="46"/>
      <c r="H905" s="46">
        <f>IFERROR(TRANSACTIONS!$F905+TRANSACTIONS!$G905,"")</f>
        <v>5000</v>
      </c>
      <c r="I905" s="57" t="s">
        <v>41</v>
      </c>
    </row>
    <row r="906" spans="1:10" x14ac:dyDescent="0.25">
      <c r="A906" s="81">
        <v>45389.704525810186</v>
      </c>
      <c r="B906" s="83">
        <f>IF(A906&lt;&gt;"",DATE(YEAR(TRANSACTIONS!$A906),MONTH(TRANSACTIONS!$A906),DAY(TRANSACTIONS!$A906)),"")</f>
        <v>45389</v>
      </c>
      <c r="C906" s="84">
        <f>IF(A906&lt;&gt;"",TIME(HOUR(TRANSACTIONS!$A906),MINUTE(TRANSACTIONS!$A906),SECOND(TRANSACTIONS!$A906)),"")</f>
        <v>0.70452546296296292</v>
      </c>
      <c r="D906" s="82" t="s">
        <v>62</v>
      </c>
      <c r="E906" s="82" t="s">
        <v>6</v>
      </c>
      <c r="F906" s="94">
        <v>5000</v>
      </c>
      <c r="G906" s="86"/>
      <c r="H906" s="86">
        <f>IFERROR(TRANSACTIONS!$F906+TRANSACTIONS!$G906,"")</f>
        <v>5000</v>
      </c>
      <c r="I906" s="87" t="s">
        <v>41</v>
      </c>
    </row>
    <row r="907" spans="1:10" x14ac:dyDescent="0.25">
      <c r="A907" s="41">
        <v>45389.704534490738</v>
      </c>
      <c r="B907" s="48">
        <f>IF(A907&lt;&gt;"",DATE(YEAR(TRANSACTIONS!$A907),MONTH(TRANSACTIONS!$A907),DAY(TRANSACTIONS!$A907)),"")</f>
        <v>45389</v>
      </c>
      <c r="C907" s="49">
        <f>IF(A907&lt;&gt;"",TIME(HOUR(TRANSACTIONS!$A907),MINUTE(TRANSACTIONS!$A907),SECOND(TRANSACTIONS!$A907)),"")</f>
        <v>0.70453703703703707</v>
      </c>
      <c r="D907" s="82" t="s">
        <v>62</v>
      </c>
      <c r="E907" s="82" t="s">
        <v>6</v>
      </c>
      <c r="F907" s="94">
        <v>302000</v>
      </c>
      <c r="G907" s="46"/>
      <c r="H907" s="46">
        <f>IFERROR(TRANSACTIONS!$F907+TRANSACTIONS!$G907,"")</f>
        <v>302000</v>
      </c>
      <c r="I907" s="57" t="s">
        <v>41</v>
      </c>
    </row>
    <row r="908" spans="1:10" x14ac:dyDescent="0.25">
      <c r="A908" s="41">
        <v>45389.705500925927</v>
      </c>
      <c r="B908" s="48">
        <f>IF(A908&lt;&gt;"",DATE(YEAR(TRANSACTIONS!$A908),MONTH(TRANSACTIONS!$A908),DAY(TRANSACTIONS!$A908)),"")</f>
        <v>45389</v>
      </c>
      <c r="C908" s="49">
        <f>IF(A908&lt;&gt;"",TIME(HOUR(TRANSACTIONS!$A908),MINUTE(TRANSACTIONS!$A908),SECOND(TRANSACTIONS!$A908)),"")</f>
        <v>0.70549768518518519</v>
      </c>
      <c r="D908" s="82" t="s">
        <v>62</v>
      </c>
      <c r="E908" s="82" t="s">
        <v>7</v>
      </c>
      <c r="F908" s="94">
        <v>5000</v>
      </c>
      <c r="G908" s="46"/>
      <c r="H908" s="46">
        <f>IFERROR(TRANSACTIONS!$F908+TRANSACTIONS!$G908,"")</f>
        <v>5000</v>
      </c>
      <c r="I908" s="57" t="s">
        <v>41</v>
      </c>
    </row>
    <row r="909" spans="1:10" x14ac:dyDescent="0.25">
      <c r="A909" s="41">
        <v>45389.708401851851</v>
      </c>
      <c r="B909" s="48">
        <f>IF(A909&lt;&gt;"",DATE(YEAR(TRANSACTIONS!$A909),MONTH(TRANSACTIONS!$A909),DAY(TRANSACTIONS!$A909)),"")</f>
        <v>45389</v>
      </c>
      <c r="C909" s="49">
        <f>IF(A909&lt;&gt;"",TIME(HOUR(TRANSACTIONS!$A909),MINUTE(TRANSACTIONS!$A909),SECOND(TRANSACTIONS!$A909)),"")</f>
        <v>0.70840277777777771</v>
      </c>
      <c r="D909" s="82" t="s">
        <v>25</v>
      </c>
      <c r="E909" s="82" t="s">
        <v>6</v>
      </c>
      <c r="F909" s="94">
        <v>10000</v>
      </c>
      <c r="G909" s="46"/>
      <c r="H909" s="46">
        <f>IFERROR(TRANSACTIONS!$F909+TRANSACTIONS!$G909,"")</f>
        <v>10000</v>
      </c>
      <c r="I909" s="57" t="s">
        <v>41</v>
      </c>
    </row>
    <row r="910" spans="1:10" ht="12.75" customHeight="1" x14ac:dyDescent="0.25">
      <c r="A910" s="41">
        <v>45389.719960185183</v>
      </c>
      <c r="B910" s="48">
        <f>IF(A910&lt;&gt;"",DATE(YEAR(TRANSACTIONS!$A910),MONTH(TRANSACTIONS!$A910),DAY(TRANSACTIONS!$A910)),"")</f>
        <v>45389</v>
      </c>
      <c r="C910" s="49">
        <f>IF(A910&lt;&gt;"",TIME(HOUR(TRANSACTIONS!$A910),MINUTE(TRANSACTIONS!$A910),SECOND(TRANSACTIONS!$A910)),"")</f>
        <v>0.71996527777777775</v>
      </c>
      <c r="D910" s="82" t="s">
        <v>62</v>
      </c>
      <c r="E910" s="82" t="s">
        <v>7</v>
      </c>
      <c r="F910" s="94">
        <v>20000</v>
      </c>
      <c r="G910" s="46"/>
      <c r="H910" s="46">
        <f>IFERROR(TRANSACTIONS!$F910+TRANSACTIONS!$G910,"")</f>
        <v>20000</v>
      </c>
      <c r="I910" s="57" t="s">
        <v>41</v>
      </c>
    </row>
    <row r="911" spans="1:10" x14ac:dyDescent="0.25">
      <c r="A911" s="41">
        <v>45389.719969444443</v>
      </c>
      <c r="B911" s="48">
        <f>IF(A911&lt;&gt;"",DATE(YEAR(TRANSACTIONS!$A911),MONTH(TRANSACTIONS!$A911),DAY(TRANSACTIONS!$A911)),"")</f>
        <v>45389</v>
      </c>
      <c r="C911" s="49">
        <f>IF(A911&lt;&gt;"",TIME(HOUR(TRANSACTIONS!$A911),MINUTE(TRANSACTIONS!$A911),SECOND(TRANSACTIONS!$A911)),"")</f>
        <v>0.71996527777777775</v>
      </c>
      <c r="D911" s="82" t="s">
        <v>62</v>
      </c>
      <c r="E911" s="82" t="s">
        <v>7</v>
      </c>
      <c r="F911" s="94">
        <v>15000</v>
      </c>
      <c r="G911" s="46"/>
      <c r="H911" s="46">
        <f>IFERROR(TRANSACTIONS!$F911+TRANSACTIONS!$G911,"")</f>
        <v>15000</v>
      </c>
      <c r="I911" s="57" t="s">
        <v>41</v>
      </c>
    </row>
    <row r="912" spans="1:10" x14ac:dyDescent="0.25">
      <c r="A912" s="41">
        <v>45389.720287384262</v>
      </c>
      <c r="B912" s="48">
        <f>IF(A912&lt;&gt;"",DATE(YEAR(TRANSACTIONS!$A912),MONTH(TRANSACTIONS!$A912),DAY(TRANSACTIONS!$A912)),"")</f>
        <v>45389</v>
      </c>
      <c r="C912" s="49">
        <f>IF(A912&lt;&gt;"",TIME(HOUR(TRANSACTIONS!$A912),MINUTE(TRANSACTIONS!$A912),SECOND(TRANSACTIONS!$A912)),"")</f>
        <v>0.72028935185185183</v>
      </c>
      <c r="D912" s="82" t="s">
        <v>49</v>
      </c>
      <c r="E912" s="82" t="s">
        <v>6</v>
      </c>
      <c r="F912" s="94">
        <v>1300</v>
      </c>
      <c r="G912" s="46"/>
      <c r="H912" s="46">
        <f>IFERROR(TRANSACTIONS!$F912+TRANSACTIONS!$G912,"")</f>
        <v>1300</v>
      </c>
      <c r="I912" s="57" t="s">
        <v>41</v>
      </c>
    </row>
    <row r="913" spans="1:10" x14ac:dyDescent="0.25">
      <c r="A913" s="271">
        <v>45389</v>
      </c>
      <c r="B913" s="48">
        <f>IF(A914&lt;&gt;"",DATE(YEAR(TRANSACTIONS!$A914),MONTH(TRANSACTIONS!$A914),DAY(TRANSACTIONS!$A914)),"")</f>
        <v>45389</v>
      </c>
      <c r="C913" s="49">
        <f>IF(A914&lt;&gt;"",TIME(HOUR(TRANSACTIONS!$A914),MINUTE(TRANSACTIONS!$A914),SECOND(TRANSACTIONS!$A914)),"")</f>
        <v>0.7257986111111111</v>
      </c>
      <c r="D913" s="82" t="s">
        <v>62</v>
      </c>
      <c r="E913" s="82" t="s">
        <v>7</v>
      </c>
      <c r="F913" s="94">
        <v>2000</v>
      </c>
      <c r="G913" s="46"/>
      <c r="H913" s="46">
        <f>IFERROR(TRANSACTIONS!$F913+TRANSACTIONS!$G913,"")</f>
        <v>2000</v>
      </c>
      <c r="I913" s="57" t="s">
        <v>41</v>
      </c>
    </row>
    <row r="914" spans="1:10" x14ac:dyDescent="0.25">
      <c r="A914" s="41">
        <v>45389.725804282411</v>
      </c>
      <c r="B914" s="48">
        <f>IF(A915&lt;&gt;"",DATE(YEAR(TRANSACTIONS!$A915),MONTH(TRANSACTIONS!$A915),DAY(TRANSACTIONS!$A915)),"")</f>
        <v>45389</v>
      </c>
      <c r="C914" s="49">
        <f>IF(A915&lt;&gt;"",TIME(HOUR(TRANSACTIONS!$A915),MINUTE(TRANSACTIONS!$A915),SECOND(TRANSACTIONS!$A915)),"")</f>
        <v>0.72666666666666668</v>
      </c>
      <c r="D914" s="82" t="s">
        <v>62</v>
      </c>
      <c r="E914" s="82" t="s">
        <v>7</v>
      </c>
      <c r="F914" s="94">
        <v>10000</v>
      </c>
      <c r="G914" s="46"/>
      <c r="H914" s="46">
        <f>IFERROR(TRANSACTIONS!$F914+TRANSACTIONS!$G914,"")</f>
        <v>10000</v>
      </c>
      <c r="I914" s="57" t="s">
        <v>41</v>
      </c>
    </row>
    <row r="915" spans="1:10" x14ac:dyDescent="0.25">
      <c r="A915" s="41">
        <v>45389.72666122685</v>
      </c>
      <c r="B915" s="48" t="e">
        <f>IF(#REF!&lt;&gt;"",DATE(YEAR(TRANSACTIONS!#REF!),MONTH(TRANSACTIONS!#REF!),DAY(TRANSACTIONS!#REF!)),"")</f>
        <v>#REF!</v>
      </c>
      <c r="C915" s="49" t="e">
        <f>IF(#REF!&lt;&gt;"",TIME(HOUR(TRANSACTIONS!#REF!),MINUTE(TRANSACTIONS!#REF!),SECOND(TRANSACTIONS!#REF!)),"")</f>
        <v>#REF!</v>
      </c>
      <c r="D915" s="82" t="s">
        <v>62</v>
      </c>
      <c r="E915" s="82" t="s">
        <v>7</v>
      </c>
      <c r="F915" s="94">
        <v>1000</v>
      </c>
      <c r="G915" s="46"/>
      <c r="H915" s="46">
        <f>IFERROR(TRANSACTIONS!$F915+TRANSACTIONS!$G915,"")</f>
        <v>1000</v>
      </c>
      <c r="I915" s="57" t="s">
        <v>41</v>
      </c>
    </row>
    <row r="916" spans="1:10" x14ac:dyDescent="0.25">
      <c r="A916" s="113">
        <v>45389.736508912036</v>
      </c>
      <c r="B916" s="114">
        <f>IF(A916&lt;&gt;"",DATE(YEAR(TRANSACTIONS!$A916),MONTH(TRANSACTIONS!$A916),DAY(TRANSACTIONS!$A916)),"")</f>
        <v>45389</v>
      </c>
      <c r="C916" s="115">
        <f>IF(A916&lt;&gt;"",TIME(HOUR(TRANSACTIONS!$A916),MINUTE(TRANSACTIONS!$A916),SECOND(TRANSACTIONS!$A916)),"")</f>
        <v>0.7365046296296297</v>
      </c>
      <c r="D916" s="82" t="s">
        <v>62</v>
      </c>
      <c r="E916" s="82" t="s">
        <v>7</v>
      </c>
      <c r="F916" s="94">
        <v>1000</v>
      </c>
      <c r="G916" s="117"/>
      <c r="H916" s="117">
        <f>IFERROR(TRANSACTIONS!$F916+TRANSACTIONS!$G916,"")</f>
        <v>1000</v>
      </c>
      <c r="I916" s="123" t="s">
        <v>41</v>
      </c>
    </row>
    <row r="917" spans="1:10" x14ac:dyDescent="0.25">
      <c r="A917" s="71">
        <v>45389.736518634258</v>
      </c>
      <c r="B917" s="73">
        <f>IF(A917&lt;&gt;"",DATE(YEAR(TRANSACTIONS!$A917),MONTH(TRANSACTIONS!$A917),DAY(TRANSACTIONS!$A917)),"")</f>
        <v>45389</v>
      </c>
      <c r="C917" s="74">
        <f>IF(A917&lt;&gt;"",TIME(HOUR(TRANSACTIONS!$A917),MINUTE(TRANSACTIONS!$A917),SECOND(TRANSACTIONS!$A917)),"")</f>
        <v>0.73651620370370363</v>
      </c>
      <c r="D917" s="72" t="s">
        <v>62</v>
      </c>
      <c r="E917" s="72" t="s">
        <v>7</v>
      </c>
      <c r="F917" s="180">
        <v>10000</v>
      </c>
      <c r="G917" s="75"/>
      <c r="H917" s="75">
        <f>IFERROR(TRANSACTIONS!$F917+TRANSACTIONS!$G917,"")</f>
        <v>10000</v>
      </c>
      <c r="I917" s="89" t="s">
        <v>41</v>
      </c>
    </row>
    <row r="918" spans="1:10" x14ac:dyDescent="0.25">
      <c r="A918" s="160"/>
      <c r="B918" s="161" t="str">
        <f>IF(A918&lt;&gt;"",DATE(YEAR(TRANSACTIONS!$A918),MONTH(TRANSACTIONS!$A918),DAY(TRANSACTIONS!$A918)),"")</f>
        <v/>
      </c>
      <c r="C918" s="162" t="str">
        <f>IF(A918&lt;&gt;"",TIME(HOUR(TRANSACTIONS!$A918),MINUTE(TRANSACTIONS!$A918),SECOND(TRANSACTIONS!$A918)),"")</f>
        <v/>
      </c>
      <c r="D918" s="82"/>
      <c r="E918" s="82"/>
      <c r="F918" s="94"/>
      <c r="G918" s="163"/>
      <c r="H918" s="163">
        <f>IFERROR(TRANSACTIONS!$F918+TRANSACTIONS!$G918,"")</f>
        <v>0</v>
      </c>
      <c r="I918" s="164" t="s">
        <v>41</v>
      </c>
      <c r="J918" s="165"/>
    </row>
    <row r="919" spans="1:10" x14ac:dyDescent="0.25">
      <c r="A919" s="41">
        <v>45390.462594212964</v>
      </c>
      <c r="B919" s="48">
        <f>IF(A919&lt;&gt;"",DATE(YEAR(TRANSACTIONS!$A919),MONTH(TRANSACTIONS!$A919),DAY(TRANSACTIONS!$A919)),"")</f>
        <v>45390</v>
      </c>
      <c r="C919" s="49">
        <f>IF(A919&lt;&gt;"",TIME(HOUR(TRANSACTIONS!$A919),MINUTE(TRANSACTIONS!$A919),SECOND(TRANSACTIONS!$A919)),"")</f>
        <v>0.46259259259259261</v>
      </c>
      <c r="D919" s="82" t="s">
        <v>25</v>
      </c>
      <c r="E919" s="82" t="s">
        <v>6</v>
      </c>
      <c r="F919" s="94">
        <v>170000</v>
      </c>
      <c r="G919" s="46"/>
      <c r="H919" s="46">
        <f>IFERROR(TRANSACTIONS!$F919+TRANSACTIONS!$G919,"")</f>
        <v>170000</v>
      </c>
      <c r="I919" s="57" t="s">
        <v>41</v>
      </c>
    </row>
    <row r="920" spans="1:10" x14ac:dyDescent="0.25">
      <c r="A920" s="41">
        <v>45390.467624305558</v>
      </c>
      <c r="B920" s="48">
        <f>IF(A920&lt;&gt;"",DATE(YEAR(TRANSACTIONS!$A920),MONTH(TRANSACTIONS!$A920),DAY(TRANSACTIONS!$A920)),"")</f>
        <v>45390</v>
      </c>
      <c r="C920" s="49">
        <f>IF(A920&lt;&gt;"",TIME(HOUR(TRANSACTIONS!$A920),MINUTE(TRANSACTIONS!$A920),SECOND(TRANSACTIONS!$A920)),"")</f>
        <v>0.46762731481481484</v>
      </c>
      <c r="D920" s="82" t="s">
        <v>62</v>
      </c>
      <c r="E920" s="82" t="s">
        <v>6</v>
      </c>
      <c r="F920" s="94">
        <v>10100</v>
      </c>
      <c r="G920" s="46"/>
      <c r="H920" s="46">
        <f>IFERROR(TRANSACTIONS!$F920+TRANSACTIONS!$G920,"")</f>
        <v>10100</v>
      </c>
      <c r="I920" s="57" t="s">
        <v>41</v>
      </c>
    </row>
    <row r="921" spans="1:10" x14ac:dyDescent="0.25">
      <c r="A921" s="41">
        <v>45390.468683333333</v>
      </c>
      <c r="B921" s="48">
        <f>IF(A921&lt;&gt;"",DATE(YEAR(TRANSACTIONS!$A921),MONTH(TRANSACTIONS!$A921),DAY(TRANSACTIONS!$A921)),"")</f>
        <v>45390</v>
      </c>
      <c r="C921" s="49">
        <f>IF(A921&lt;&gt;"",TIME(HOUR(TRANSACTIONS!$A921),MINUTE(TRANSACTIONS!$A921),SECOND(TRANSACTIONS!$A921)),"")</f>
        <v>0.46868055555555554</v>
      </c>
      <c r="D921" s="82" t="s">
        <v>62</v>
      </c>
      <c r="E921" s="82" t="s">
        <v>6</v>
      </c>
      <c r="F921" s="94">
        <v>13000</v>
      </c>
      <c r="G921" s="46"/>
      <c r="H921" s="46">
        <f>IFERROR(TRANSACTIONS!$F921+TRANSACTIONS!$G921,"")</f>
        <v>13000</v>
      </c>
      <c r="I921" s="57" t="s">
        <v>41</v>
      </c>
    </row>
    <row r="922" spans="1:10" x14ac:dyDescent="0.25">
      <c r="A922" s="41">
        <v>45390.468702893515</v>
      </c>
      <c r="B922" s="48">
        <f>IF(A922&lt;&gt;"",DATE(YEAR(TRANSACTIONS!$A922),MONTH(TRANSACTIONS!$A922),DAY(TRANSACTIONS!$A922)),"")</f>
        <v>45390</v>
      </c>
      <c r="C922" s="49">
        <f>IF(A922&lt;&gt;"",TIME(HOUR(TRANSACTIONS!$A922),MINUTE(TRANSACTIONS!$A922),SECOND(TRANSACTIONS!$A922)),"")</f>
        <v>0.46870370370370368</v>
      </c>
      <c r="D922" s="82" t="s">
        <v>62</v>
      </c>
      <c r="E922" s="82" t="s">
        <v>7</v>
      </c>
      <c r="F922" s="94">
        <v>7000</v>
      </c>
      <c r="G922" s="46"/>
      <c r="H922" s="46">
        <f>IFERROR(TRANSACTIONS!$F922+TRANSACTIONS!$G922,"")</f>
        <v>7000</v>
      </c>
      <c r="I922" s="57" t="s">
        <v>41</v>
      </c>
    </row>
    <row r="923" spans="1:10" x14ac:dyDescent="0.25">
      <c r="A923" s="41">
        <v>45390.468718750002</v>
      </c>
      <c r="B923" s="48">
        <f>IF(A923&lt;&gt;"",DATE(YEAR(TRANSACTIONS!$A923),MONTH(TRANSACTIONS!$A923),DAY(TRANSACTIONS!$A923)),"")</f>
        <v>45390</v>
      </c>
      <c r="C923" s="49">
        <f>IF(A923&lt;&gt;"",TIME(HOUR(TRANSACTIONS!$A923),MINUTE(TRANSACTIONS!$A923),SECOND(TRANSACTIONS!$A923)),"")</f>
        <v>0.46871527777777783</v>
      </c>
      <c r="D923" s="82" t="s">
        <v>62</v>
      </c>
      <c r="E923" s="82" t="s">
        <v>6</v>
      </c>
      <c r="F923" s="94">
        <v>2000</v>
      </c>
      <c r="G923" s="46"/>
      <c r="H923" s="46">
        <f>IFERROR(TRANSACTIONS!$F923+TRANSACTIONS!$G923,"")</f>
        <v>2000</v>
      </c>
      <c r="I923" s="57" t="s">
        <v>41</v>
      </c>
    </row>
    <row r="924" spans="1:10" x14ac:dyDescent="0.25">
      <c r="A924" s="41">
        <v>45390.468725578707</v>
      </c>
      <c r="B924" s="48">
        <f>IF(A924&lt;&gt;"",DATE(YEAR(TRANSACTIONS!$A924),MONTH(TRANSACTIONS!$A924),DAY(TRANSACTIONS!$A924)),"")</f>
        <v>45390</v>
      </c>
      <c r="C924" s="49">
        <f>IF(A924&lt;&gt;"",TIME(HOUR(TRANSACTIONS!$A924),MINUTE(TRANSACTIONS!$A924),SECOND(TRANSACTIONS!$A924)),"")</f>
        <v>0.46872685185185187</v>
      </c>
      <c r="D924" s="82" t="s">
        <v>62</v>
      </c>
      <c r="E924" s="82" t="s">
        <v>6</v>
      </c>
      <c r="F924" s="94">
        <v>500</v>
      </c>
      <c r="G924" s="46"/>
      <c r="H924" s="46">
        <f>IFERROR(TRANSACTIONS!$F924+TRANSACTIONS!$G924,"")</f>
        <v>500</v>
      </c>
      <c r="I924" s="57" t="s">
        <v>41</v>
      </c>
    </row>
    <row r="925" spans="1:10" x14ac:dyDescent="0.25">
      <c r="A925" s="41">
        <v>45390.485589467593</v>
      </c>
      <c r="B925" s="48">
        <f>IF(A925&lt;&gt;"",DATE(YEAR(TRANSACTIONS!$A925),MONTH(TRANSACTIONS!$A925),DAY(TRANSACTIONS!$A925)),"")</f>
        <v>45390</v>
      </c>
      <c r="C925" s="49">
        <f>IF(A925&lt;&gt;"",TIME(HOUR(TRANSACTIONS!$A925),MINUTE(TRANSACTIONS!$A925),SECOND(TRANSACTIONS!$A925)),"")</f>
        <v>0.4855902777777778</v>
      </c>
      <c r="D925" s="82" t="s">
        <v>62</v>
      </c>
      <c r="E925" s="82" t="s">
        <v>6</v>
      </c>
      <c r="F925" s="94">
        <v>10000</v>
      </c>
      <c r="G925" s="46"/>
      <c r="H925" s="46">
        <f>IFERROR(TRANSACTIONS!$F925+TRANSACTIONS!$G925,"")</f>
        <v>10000</v>
      </c>
      <c r="I925" s="57" t="s">
        <v>41</v>
      </c>
    </row>
    <row r="926" spans="1:10" x14ac:dyDescent="0.25">
      <c r="A926" s="41">
        <v>45390.485621064814</v>
      </c>
      <c r="B926" s="48">
        <f>IF(A926&lt;&gt;"",DATE(YEAR(TRANSACTIONS!$A926),MONTH(TRANSACTIONS!$A926),DAY(TRANSACTIONS!$A926)),"")</f>
        <v>45390</v>
      </c>
      <c r="C926" s="49">
        <f>IF(A926&lt;&gt;"",TIME(HOUR(TRANSACTIONS!$A926),MINUTE(TRANSACTIONS!$A926),SECOND(TRANSACTIONS!$A926)),"")</f>
        <v>0.48562499999999997</v>
      </c>
      <c r="D926" s="82" t="s">
        <v>62</v>
      </c>
      <c r="E926" s="82" t="s">
        <v>7</v>
      </c>
      <c r="F926" s="94">
        <v>10000</v>
      </c>
      <c r="G926" s="46"/>
      <c r="H926" s="46">
        <f>IFERROR(TRANSACTIONS!$F926+TRANSACTIONS!$G926,"")</f>
        <v>10000</v>
      </c>
      <c r="I926" s="57" t="s">
        <v>41</v>
      </c>
    </row>
    <row r="927" spans="1:10" x14ac:dyDescent="0.25">
      <c r="A927" s="41">
        <v>45390.526063657409</v>
      </c>
      <c r="B927" s="48">
        <f>IF(A927&lt;&gt;"",DATE(YEAR(TRANSACTIONS!$A927),MONTH(TRANSACTIONS!$A927),DAY(TRANSACTIONS!$A927)),"")</f>
        <v>45390</v>
      </c>
      <c r="C927" s="49">
        <f>IF(A927&lt;&gt;"",TIME(HOUR(TRANSACTIONS!$A927),MINUTE(TRANSACTIONS!$A927),SECOND(TRANSACTIONS!$A927)),"")</f>
        <v>0.52606481481481482</v>
      </c>
      <c r="D927" s="82" t="s">
        <v>62</v>
      </c>
      <c r="E927" s="82" t="s">
        <v>7</v>
      </c>
      <c r="F927" s="94">
        <v>10000</v>
      </c>
      <c r="G927" s="46"/>
      <c r="H927" s="46">
        <f>IFERROR(TRANSACTIONS!$F927+TRANSACTIONS!$G927,"")</f>
        <v>10000</v>
      </c>
      <c r="I927" s="57" t="s">
        <v>41</v>
      </c>
    </row>
    <row r="928" spans="1:10" x14ac:dyDescent="0.25">
      <c r="A928" s="41">
        <v>45390.527784722224</v>
      </c>
      <c r="B928" s="48">
        <f>IF(A928&lt;&gt;"",DATE(YEAR(TRANSACTIONS!$A928),MONTH(TRANSACTIONS!$A928),DAY(TRANSACTIONS!$A928)),"")</f>
        <v>45390</v>
      </c>
      <c r="C928" s="49">
        <f>IF(A928&lt;&gt;"",TIME(HOUR(TRANSACTIONS!$A928),MINUTE(TRANSACTIONS!$A928),SECOND(TRANSACTIONS!$A928)),"")</f>
        <v>0.52778935185185183</v>
      </c>
      <c r="D928" s="82" t="s">
        <v>62</v>
      </c>
      <c r="E928" s="82" t="s">
        <v>6</v>
      </c>
      <c r="F928" s="94">
        <v>30000</v>
      </c>
      <c r="G928" s="46"/>
      <c r="H928" s="46">
        <f>IFERROR(TRANSACTIONS!$F928+TRANSACTIONS!$G928,"")</f>
        <v>30000</v>
      </c>
      <c r="I928" s="57" t="s">
        <v>41</v>
      </c>
    </row>
    <row r="929" spans="1:10" x14ac:dyDescent="0.25">
      <c r="A929" s="41">
        <v>45390.527801504628</v>
      </c>
      <c r="B929" s="48">
        <f>IF(A929&lt;&gt;"",DATE(YEAR(TRANSACTIONS!$A929),MONTH(TRANSACTIONS!$A929),DAY(TRANSACTIONS!$A929)),"")</f>
        <v>45390</v>
      </c>
      <c r="C929" s="49">
        <f>IF(A929&lt;&gt;"",TIME(HOUR(TRANSACTIONS!$A929),MINUTE(TRANSACTIONS!$A929),SECOND(TRANSACTIONS!$A929)),"")</f>
        <v>0.52780092592592587</v>
      </c>
      <c r="D929" s="82" t="s">
        <v>62</v>
      </c>
      <c r="E929" s="82" t="s">
        <v>6</v>
      </c>
      <c r="F929" s="94">
        <v>500000</v>
      </c>
      <c r="G929" s="46"/>
      <c r="H929" s="46">
        <f>IFERROR(TRANSACTIONS!$F929+TRANSACTIONS!$G929,"")</f>
        <v>500000</v>
      </c>
      <c r="I929" s="57" t="s">
        <v>41</v>
      </c>
    </row>
    <row r="930" spans="1:10" x14ac:dyDescent="0.25">
      <c r="A930" s="41">
        <v>45390.527819791663</v>
      </c>
      <c r="B930" s="48">
        <f>IF(A930&lt;&gt;"",DATE(YEAR(TRANSACTIONS!$A930),MONTH(TRANSACTIONS!$A930),DAY(TRANSACTIONS!$A930)),"")</f>
        <v>45390</v>
      </c>
      <c r="C930" s="49">
        <f>IF(A930&lt;&gt;"",TIME(HOUR(TRANSACTIONS!$A930),MINUTE(TRANSACTIONS!$A930),SECOND(TRANSACTIONS!$A930)),"")</f>
        <v>0.52782407407407406</v>
      </c>
      <c r="D930" s="82" t="s">
        <v>62</v>
      </c>
      <c r="E930" s="82" t="s">
        <v>6</v>
      </c>
      <c r="F930" s="94">
        <v>500000</v>
      </c>
      <c r="G930" s="46"/>
      <c r="H930" s="46">
        <f>IFERROR(TRANSACTIONS!$F930+TRANSACTIONS!$G930,"")</f>
        <v>500000</v>
      </c>
      <c r="I930" s="57" t="s">
        <v>41</v>
      </c>
    </row>
    <row r="931" spans="1:10" x14ac:dyDescent="0.25">
      <c r="A931" s="41">
        <v>45390.527835185188</v>
      </c>
      <c r="B931" s="48">
        <f>IF(A931&lt;&gt;"",DATE(YEAR(TRANSACTIONS!$A931),MONTH(TRANSACTIONS!$A931),DAY(TRANSACTIONS!$A931)),"")</f>
        <v>45390</v>
      </c>
      <c r="C931" s="49">
        <f>IF(A931&lt;&gt;"",TIME(HOUR(TRANSACTIONS!$A931),MINUTE(TRANSACTIONS!$A931),SECOND(TRANSACTIONS!$A931)),"")</f>
        <v>0.52783564814814821</v>
      </c>
      <c r="D931" s="82" t="s">
        <v>62</v>
      </c>
      <c r="E931" s="82" t="s">
        <v>7</v>
      </c>
      <c r="F931" s="94">
        <v>3000</v>
      </c>
      <c r="G931" s="46"/>
      <c r="H931" s="46">
        <f>IFERROR(TRANSACTIONS!$F931+TRANSACTIONS!$G931,"")</f>
        <v>3000</v>
      </c>
      <c r="I931" s="57" t="s">
        <v>41</v>
      </c>
    </row>
    <row r="932" spans="1:10" x14ac:dyDescent="0.25">
      <c r="A932" s="41">
        <v>45390.528253472221</v>
      </c>
      <c r="B932" s="48">
        <f>IF(A932&lt;&gt;"",DATE(YEAR(TRANSACTIONS!$A932),MONTH(TRANSACTIONS!$A932),DAY(TRANSACTIONS!$A932)),"")</f>
        <v>45390</v>
      </c>
      <c r="C932" s="49">
        <f>IF(A932&lt;&gt;"",TIME(HOUR(TRANSACTIONS!$A932),MINUTE(TRANSACTIONS!$A932),SECOND(TRANSACTIONS!$A932)),"")</f>
        <v>0.52825231481481483</v>
      </c>
      <c r="D932" s="82" t="s">
        <v>62</v>
      </c>
      <c r="E932" s="82" t="s">
        <v>7</v>
      </c>
      <c r="F932" s="94">
        <v>10000</v>
      </c>
      <c r="G932" s="46"/>
      <c r="H932" s="46">
        <f>IFERROR(TRANSACTIONS!$F932+TRANSACTIONS!$G932,"")</f>
        <v>10000</v>
      </c>
      <c r="I932" s="57" t="s">
        <v>41</v>
      </c>
    </row>
    <row r="933" spans="1:10" x14ac:dyDescent="0.25">
      <c r="A933" s="41">
        <v>45390.538065856483</v>
      </c>
      <c r="B933" s="48">
        <f>IF(A933&lt;&gt;"",DATE(YEAR(TRANSACTIONS!$A933),MONTH(TRANSACTIONS!$A933),DAY(TRANSACTIONS!$A933)),"")</f>
        <v>45390</v>
      </c>
      <c r="C933" s="49">
        <f>IF(A933&lt;&gt;"",TIME(HOUR(TRANSACTIONS!$A933),MINUTE(TRANSACTIONS!$A933),SECOND(TRANSACTIONS!$A933)),"")</f>
        <v>0.53806712962962966</v>
      </c>
      <c r="D933" s="82" t="s">
        <v>62</v>
      </c>
      <c r="E933" s="82" t="s">
        <v>7</v>
      </c>
      <c r="F933" s="94">
        <v>150000</v>
      </c>
      <c r="G933" s="46"/>
      <c r="H933" s="46">
        <f>IFERROR(TRANSACTIONS!$F933+TRANSACTIONS!$G933,"")</f>
        <v>150000</v>
      </c>
      <c r="I933" s="57" t="s">
        <v>41</v>
      </c>
    </row>
    <row r="934" spans="1:10" x14ac:dyDescent="0.25">
      <c r="A934" s="41">
        <v>45390.538075231481</v>
      </c>
      <c r="B934" s="48">
        <f>IF(A934&lt;&gt;"",DATE(YEAR(TRANSACTIONS!$A934),MONTH(TRANSACTIONS!$A934),DAY(TRANSACTIONS!$A934)),"")</f>
        <v>45390</v>
      </c>
      <c r="C934" s="49">
        <f>IF(A934&lt;&gt;"",TIME(HOUR(TRANSACTIONS!$A934),MINUTE(TRANSACTIONS!$A934),SECOND(TRANSACTIONS!$A934)),"")</f>
        <v>0.5380787037037037</v>
      </c>
      <c r="D934" s="82" t="s">
        <v>62</v>
      </c>
      <c r="E934" s="82" t="s">
        <v>6</v>
      </c>
      <c r="F934" s="94">
        <v>10000</v>
      </c>
      <c r="G934" s="46"/>
      <c r="H934" s="46">
        <f>IFERROR(TRANSACTIONS!$F934+TRANSACTIONS!$G934,"")</f>
        <v>10000</v>
      </c>
      <c r="I934" s="57" t="s">
        <v>41</v>
      </c>
    </row>
    <row r="935" spans="1:10" x14ac:dyDescent="0.25">
      <c r="A935" s="41">
        <v>45390.538090856484</v>
      </c>
      <c r="B935" s="48">
        <f>IF(A935&lt;&gt;"",DATE(YEAR(TRANSACTIONS!$A935),MONTH(TRANSACTIONS!$A935),DAY(TRANSACTIONS!$A935)),"")</f>
        <v>45390</v>
      </c>
      <c r="C935" s="49">
        <f>IF(A935&lt;&gt;"",TIME(HOUR(TRANSACTIONS!$A935),MINUTE(TRANSACTIONS!$A935),SECOND(TRANSACTIONS!$A935)),"")</f>
        <v>0.53809027777777774</v>
      </c>
      <c r="D935" s="82" t="s">
        <v>62</v>
      </c>
      <c r="E935" s="82" t="s">
        <v>6</v>
      </c>
      <c r="F935" s="94">
        <v>305000</v>
      </c>
      <c r="G935" s="46"/>
      <c r="H935" s="46">
        <f>IFERROR(TRANSACTIONS!$F935+TRANSACTIONS!$G935,"")</f>
        <v>305000</v>
      </c>
      <c r="I935" s="57" t="s">
        <v>41</v>
      </c>
    </row>
    <row r="936" spans="1:10" x14ac:dyDescent="0.25">
      <c r="A936" s="41">
        <v>45390.538099537036</v>
      </c>
      <c r="B936" s="48">
        <f>IF(A936&lt;&gt;"",DATE(YEAR(TRANSACTIONS!$A936),MONTH(TRANSACTIONS!$A936),DAY(TRANSACTIONS!$A936)),"")</f>
        <v>45390</v>
      </c>
      <c r="C936" s="49">
        <f>IF(A936&lt;&gt;"",TIME(HOUR(TRANSACTIONS!$A936),MINUTE(TRANSACTIONS!$A936),SECOND(TRANSACTIONS!$A936)),"")</f>
        <v>0.53810185185185189</v>
      </c>
      <c r="D936" s="82" t="s">
        <v>62</v>
      </c>
      <c r="E936" s="82" t="s">
        <v>6</v>
      </c>
      <c r="F936" s="82">
        <v>1500</v>
      </c>
      <c r="G936" s="46"/>
      <c r="H936" s="46">
        <f>IFERROR(TRANSACTIONS!$F936+TRANSACTIONS!$G936,"")</f>
        <v>1500</v>
      </c>
      <c r="I936" s="57" t="s">
        <v>41</v>
      </c>
    </row>
    <row r="937" spans="1:10" x14ac:dyDescent="0.25">
      <c r="A937" s="41">
        <v>45390.538120833335</v>
      </c>
      <c r="B937" s="48">
        <f>IF(A937&lt;&gt;"",DATE(YEAR(TRANSACTIONS!$A937),MONTH(TRANSACTIONS!$A937),DAY(TRANSACTIONS!$A937)),"")</f>
        <v>45390</v>
      </c>
      <c r="C937" s="49">
        <f>IF(A937&lt;&gt;"",TIME(HOUR(TRANSACTIONS!$A937),MINUTE(TRANSACTIONS!$A937),SECOND(TRANSACTIONS!$A937)),"")</f>
        <v>0.53812499999999996</v>
      </c>
      <c r="D937" s="82" t="s">
        <v>62</v>
      </c>
      <c r="E937" s="82" t="s">
        <v>7</v>
      </c>
      <c r="F937" s="94">
        <v>4000</v>
      </c>
      <c r="G937" s="46"/>
      <c r="H937" s="46">
        <f>IFERROR(TRANSACTIONS!$F937+TRANSACTIONS!$G937,"")</f>
        <v>4000</v>
      </c>
      <c r="I937" s="57" t="s">
        <v>41</v>
      </c>
    </row>
    <row r="938" spans="1:10" x14ac:dyDescent="0.25">
      <c r="A938" s="41">
        <v>45390.540812500003</v>
      </c>
      <c r="B938" s="48">
        <f>IF(A938&lt;&gt;"",DATE(YEAR(TRANSACTIONS!$A938),MONTH(TRANSACTIONS!$A938),DAY(TRANSACTIONS!$A938)),"")</f>
        <v>45390</v>
      </c>
      <c r="C938" s="49">
        <f>IF(A938&lt;&gt;"",TIME(HOUR(TRANSACTIONS!$A938),MINUTE(TRANSACTIONS!$A938),SECOND(TRANSACTIONS!$A938)),"")</f>
        <v>0.5408101851851852</v>
      </c>
      <c r="D938" s="82" t="s">
        <v>62</v>
      </c>
      <c r="E938" s="82" t="s">
        <v>7</v>
      </c>
      <c r="F938" s="94">
        <v>15000</v>
      </c>
      <c r="G938" s="46"/>
      <c r="H938" s="46">
        <f>IFERROR(TRANSACTIONS!$F938+TRANSACTIONS!$G938,"")</f>
        <v>15000</v>
      </c>
      <c r="I938" s="57" t="s">
        <v>41</v>
      </c>
    </row>
    <row r="939" spans="1:10" x14ac:dyDescent="0.25">
      <c r="A939" s="41">
        <v>45390.54082141204</v>
      </c>
      <c r="B939" s="48">
        <f>IF(A939&lt;&gt;"",DATE(YEAR(TRANSACTIONS!$A939),MONTH(TRANSACTIONS!$A939),DAY(TRANSACTIONS!$A939)),"")</f>
        <v>45390</v>
      </c>
      <c r="C939" s="49">
        <f>IF(A939&lt;&gt;"",TIME(HOUR(TRANSACTIONS!$A939),MINUTE(TRANSACTIONS!$A939),SECOND(TRANSACTIONS!$A939)),"")</f>
        <v>0.54082175925925924</v>
      </c>
      <c r="D939" s="82" t="s">
        <v>62</v>
      </c>
      <c r="E939" s="82" t="s">
        <v>6</v>
      </c>
      <c r="F939" s="94">
        <v>20000</v>
      </c>
      <c r="G939" s="46"/>
      <c r="H939" s="46">
        <f>IFERROR(TRANSACTIONS!$F939+TRANSACTIONS!$G939,"")</f>
        <v>20000</v>
      </c>
      <c r="I939" s="57" t="s">
        <v>41</v>
      </c>
    </row>
    <row r="940" spans="1:10" x14ac:dyDescent="0.25">
      <c r="A940" s="41">
        <v>45390.540861226851</v>
      </c>
      <c r="B940" s="48">
        <f>IF(A940&lt;&gt;"",DATE(YEAR(TRANSACTIONS!$A940),MONTH(TRANSACTIONS!$A940),DAY(TRANSACTIONS!$A940)),"")</f>
        <v>45390</v>
      </c>
      <c r="C940" s="49">
        <f>IF(A940&lt;&gt;"",TIME(HOUR(TRANSACTIONS!$A940),MINUTE(TRANSACTIONS!$A940),SECOND(TRANSACTIONS!$A940)),"")</f>
        <v>0.54085648148148147</v>
      </c>
      <c r="D940" s="82" t="s">
        <v>62</v>
      </c>
      <c r="E940" s="82" t="s">
        <v>7</v>
      </c>
      <c r="F940" s="94">
        <v>46300</v>
      </c>
      <c r="G940" s="46"/>
      <c r="H940" s="46">
        <f>IFERROR(TRANSACTIONS!$F940+TRANSACTIONS!$G940,"")</f>
        <v>46300</v>
      </c>
      <c r="I940" s="57" t="s">
        <v>41</v>
      </c>
    </row>
    <row r="941" spans="1:10" x14ac:dyDescent="0.25">
      <c r="A941" s="41">
        <v>45390.540874652776</v>
      </c>
      <c r="B941" s="48">
        <f>IF(A941&lt;&gt;"",DATE(YEAR(TRANSACTIONS!$A941),MONTH(TRANSACTIONS!$A941),DAY(TRANSACTIONS!$A941)),"")</f>
        <v>45390</v>
      </c>
      <c r="C941" s="49">
        <f>IF(A941&lt;&gt;"",TIME(HOUR(TRANSACTIONS!$A941),MINUTE(TRANSACTIONS!$A941),SECOND(TRANSACTIONS!$A941)),"")</f>
        <v>0.54087962962962965</v>
      </c>
      <c r="D941" s="82" t="s">
        <v>62</v>
      </c>
      <c r="E941" s="82" t="s">
        <v>7</v>
      </c>
      <c r="F941" s="94">
        <v>20000</v>
      </c>
      <c r="G941" s="46"/>
      <c r="H941" s="46">
        <f>IFERROR(TRANSACTIONS!$F941+TRANSACTIONS!$G941,"")</f>
        <v>20000</v>
      </c>
      <c r="I941" s="57" t="s">
        <v>41</v>
      </c>
    </row>
    <row r="942" spans="1:10" x14ac:dyDescent="0.25">
      <c r="A942" s="41">
        <v>45390.540900115739</v>
      </c>
      <c r="B942" s="48">
        <f>IF(A942&lt;&gt;"",DATE(YEAR(TRANSACTIONS!$A942),MONTH(TRANSACTIONS!$A942),DAY(TRANSACTIONS!$A942)),"")</f>
        <v>45390</v>
      </c>
      <c r="C942" s="49">
        <f>IF(A942&lt;&gt;"",TIME(HOUR(TRANSACTIONS!$A942),MINUTE(TRANSACTIONS!$A942),SECOND(TRANSACTIONS!$A942)),"")</f>
        <v>0.54090277777777784</v>
      </c>
      <c r="D942" s="82" t="s">
        <v>62</v>
      </c>
      <c r="E942" s="82" t="s">
        <v>6</v>
      </c>
      <c r="F942" s="94">
        <v>5000</v>
      </c>
      <c r="G942" s="46"/>
      <c r="H942" s="46">
        <f>IFERROR(TRANSACTIONS!$F942+TRANSACTIONS!$G942,"")</f>
        <v>5000</v>
      </c>
      <c r="I942" s="57" t="s">
        <v>41</v>
      </c>
    </row>
    <row r="943" spans="1:10" x14ac:dyDescent="0.25">
      <c r="A943" s="41">
        <v>45390.540916087964</v>
      </c>
      <c r="B943" s="48">
        <f>IF(A943&lt;&gt;"",DATE(YEAR(TRANSACTIONS!$A943),MONTH(TRANSACTIONS!$A943),DAY(TRANSACTIONS!$A943)),"")</f>
        <v>45390</v>
      </c>
      <c r="C943" s="49">
        <f>IF(A943&lt;&gt;"",TIME(HOUR(TRANSACTIONS!$A943),MINUTE(TRANSACTIONS!$A943),SECOND(TRANSACTIONS!$A943)),"")</f>
        <v>0.54091435185185188</v>
      </c>
      <c r="D943" s="82" t="s">
        <v>25</v>
      </c>
      <c r="E943" s="82" t="s">
        <v>6</v>
      </c>
      <c r="F943" s="94">
        <v>17000</v>
      </c>
      <c r="G943" s="46"/>
      <c r="H943" s="46">
        <f>IFERROR(TRANSACTIONS!$F943+TRANSACTIONS!$G943,"")</f>
        <v>17000</v>
      </c>
      <c r="I943" s="57" t="s">
        <v>41</v>
      </c>
    </row>
    <row r="944" spans="1:10" x14ac:dyDescent="0.25">
      <c r="A944" s="113">
        <v>45390.540936805555</v>
      </c>
      <c r="B944" s="114">
        <f>IF(A944&lt;&gt;"",DATE(YEAR(TRANSACTIONS!$A944),MONTH(TRANSACTIONS!$A944),DAY(TRANSACTIONS!$A944)),"")</f>
        <v>45390</v>
      </c>
      <c r="C944" s="115">
        <f>IF(A944&lt;&gt;"",TIME(HOUR(TRANSACTIONS!$A944),MINUTE(TRANSACTIONS!$A944),SECOND(TRANSACTIONS!$A944)),"")</f>
        <v>0.54093749999999996</v>
      </c>
      <c r="D944" s="116" t="s">
        <v>49</v>
      </c>
      <c r="E944" s="116" t="s">
        <v>6</v>
      </c>
      <c r="F944" s="185">
        <v>500</v>
      </c>
      <c r="G944" s="117"/>
      <c r="H944" s="117">
        <f>IFERROR(TRANSACTIONS!$F944+TRANSACTIONS!$G944,"")</f>
        <v>500</v>
      </c>
      <c r="I944" s="123" t="s">
        <v>41</v>
      </c>
      <c r="J944" s="118"/>
    </row>
    <row r="945" spans="1:9" x14ac:dyDescent="0.25">
      <c r="A945" s="41">
        <v>45390.542336342594</v>
      </c>
      <c r="B945" s="48">
        <f>IF(A945&lt;&gt;"",DATE(YEAR(TRANSACTIONS!$A945),MONTH(TRANSACTIONS!$A945),DAY(TRANSACTIONS!$A945)),"")</f>
        <v>45390</v>
      </c>
      <c r="C945" s="49">
        <f>IF(A945&lt;&gt;"",TIME(HOUR(TRANSACTIONS!$A945),MINUTE(TRANSACTIONS!$A945),SECOND(TRANSACTIONS!$A945)),"")</f>
        <v>0.54233796296296299</v>
      </c>
      <c r="D945" s="82" t="s">
        <v>25</v>
      </c>
      <c r="E945" s="82" t="s">
        <v>7</v>
      </c>
      <c r="F945" s="94">
        <v>500000</v>
      </c>
      <c r="G945" s="46"/>
      <c r="H945" s="46">
        <f>IFERROR(TRANSACTIONS!$F945+TRANSACTIONS!$G945,"")</f>
        <v>500000</v>
      </c>
      <c r="I945" s="57" t="s">
        <v>41</v>
      </c>
    </row>
    <row r="946" spans="1:9" x14ac:dyDescent="0.25">
      <c r="A946" s="41">
        <v>45390.542362384258</v>
      </c>
      <c r="B946" s="48">
        <f>IF(A946&lt;&gt;"",DATE(YEAR(TRANSACTIONS!$A946),MONTH(TRANSACTIONS!$A946),DAY(TRANSACTIONS!$A946)),"")</f>
        <v>45390</v>
      </c>
      <c r="C946" s="49">
        <f>IF(A946&lt;&gt;"",TIME(HOUR(TRANSACTIONS!$A946),MINUTE(TRANSACTIONS!$A946),SECOND(TRANSACTIONS!$A946)),"")</f>
        <v>0.54236111111111118</v>
      </c>
      <c r="D946" s="82" t="s">
        <v>25</v>
      </c>
      <c r="E946" s="82" t="s">
        <v>7</v>
      </c>
      <c r="F946" s="94">
        <v>500000</v>
      </c>
      <c r="G946" s="46"/>
      <c r="H946" s="46">
        <f>IFERROR(TRANSACTIONS!$F946+TRANSACTIONS!$G946,"")</f>
        <v>500000</v>
      </c>
      <c r="I946" s="57" t="s">
        <v>41</v>
      </c>
    </row>
    <row r="947" spans="1:9" x14ac:dyDescent="0.25">
      <c r="A947" s="41">
        <v>45390.542374652781</v>
      </c>
      <c r="B947" s="48">
        <f>IF(A947&lt;&gt;"",DATE(YEAR(TRANSACTIONS!$A947),MONTH(TRANSACTIONS!$A947),DAY(TRANSACTIONS!$A947)),"")</f>
        <v>45390</v>
      </c>
      <c r="C947" s="49">
        <f>IF(A947&lt;&gt;"",TIME(HOUR(TRANSACTIONS!$A947),MINUTE(TRANSACTIONS!$A947),SECOND(TRANSACTIONS!$A947)),"")</f>
        <v>0.54237268518518522</v>
      </c>
      <c r="D947" s="82" t="s">
        <v>25</v>
      </c>
      <c r="E947" s="82" t="s">
        <v>7</v>
      </c>
      <c r="F947" s="94">
        <v>15000</v>
      </c>
      <c r="G947" s="46"/>
      <c r="H947" s="46">
        <f>IFERROR(TRANSACTIONS!$F947+TRANSACTIONS!$G947,"")</f>
        <v>15000</v>
      </c>
      <c r="I947" s="57" t="s">
        <v>41</v>
      </c>
    </row>
    <row r="948" spans="1:9" x14ac:dyDescent="0.25">
      <c r="A948" s="41">
        <v>45390.542386458335</v>
      </c>
      <c r="B948" s="48">
        <f>IF(A948&lt;&gt;"",DATE(YEAR(TRANSACTIONS!$A948),MONTH(TRANSACTIONS!$A948),DAY(TRANSACTIONS!$A948)),"")</f>
        <v>45390</v>
      </c>
      <c r="C948" s="49">
        <f>IF(A948&lt;&gt;"",TIME(HOUR(TRANSACTIONS!$A948),MINUTE(TRANSACTIONS!$A948),SECOND(TRANSACTIONS!$A948)),"")</f>
        <v>0.54238425925925926</v>
      </c>
      <c r="D948" s="82" t="s">
        <v>25</v>
      </c>
      <c r="E948" s="82" t="s">
        <v>7</v>
      </c>
      <c r="F948" s="94">
        <v>25000</v>
      </c>
      <c r="G948" s="46"/>
      <c r="H948" s="46">
        <f>IFERROR(TRANSACTIONS!$F948+TRANSACTIONS!$G948,"")</f>
        <v>25000</v>
      </c>
      <c r="I948" s="57" t="s">
        <v>41</v>
      </c>
    </row>
    <row r="949" spans="1:9" x14ac:dyDescent="0.25">
      <c r="A949" s="41">
        <v>45390.542398379628</v>
      </c>
      <c r="B949" s="48">
        <f>IF(A949&lt;&gt;"",DATE(YEAR(TRANSACTIONS!$A949),MONTH(TRANSACTIONS!$A949),DAY(TRANSACTIONS!$A949)),"")</f>
        <v>45390</v>
      </c>
      <c r="C949" s="49">
        <f>IF(A949&lt;&gt;"",TIME(HOUR(TRANSACTIONS!$A949),MINUTE(TRANSACTIONS!$A949),SECOND(TRANSACTIONS!$A949)),"")</f>
        <v>0.5423958333333333</v>
      </c>
      <c r="D949" s="82" t="s">
        <v>49</v>
      </c>
      <c r="E949" s="82" t="s">
        <v>6</v>
      </c>
      <c r="F949" s="94">
        <v>1300</v>
      </c>
      <c r="G949" s="46"/>
      <c r="H949" s="46">
        <f>IFERROR(TRANSACTIONS!$F949+TRANSACTIONS!$G949,"")</f>
        <v>1300</v>
      </c>
      <c r="I949" s="57" t="s">
        <v>41</v>
      </c>
    </row>
    <row r="950" spans="1:9" x14ac:dyDescent="0.25">
      <c r="A950" s="41">
        <v>45390.544215624999</v>
      </c>
      <c r="B950" s="48">
        <f>IF(A950&lt;&gt;"",DATE(YEAR(TRANSACTIONS!$A950),MONTH(TRANSACTIONS!$A950),DAY(TRANSACTIONS!$A950)),"")</f>
        <v>45390</v>
      </c>
      <c r="C950" s="49">
        <f>IF(A950&lt;&gt;"",TIME(HOUR(TRANSACTIONS!$A950),MINUTE(TRANSACTIONS!$A950),SECOND(TRANSACTIONS!$A950)),"")</f>
        <v>0.54421296296296295</v>
      </c>
      <c r="D950" s="82" t="s">
        <v>62</v>
      </c>
      <c r="E950" s="82" t="s">
        <v>6</v>
      </c>
      <c r="F950" s="94">
        <v>10100</v>
      </c>
      <c r="G950" s="46"/>
      <c r="H950" s="46">
        <f>IFERROR(TRANSACTIONS!$F950+TRANSACTIONS!$G950,"")</f>
        <v>10100</v>
      </c>
      <c r="I950" s="57" t="s">
        <v>41</v>
      </c>
    </row>
    <row r="951" spans="1:9" x14ac:dyDescent="0.25">
      <c r="A951" s="41">
        <v>45390.546450925925</v>
      </c>
      <c r="B951" s="48">
        <f>IF(A951&lt;&gt;"",DATE(YEAR(TRANSACTIONS!$A951),MONTH(TRANSACTIONS!$A951),DAY(TRANSACTIONS!$A951)),"")</f>
        <v>45390</v>
      </c>
      <c r="C951" s="49">
        <f>IF(A951&lt;&gt;"",TIME(HOUR(TRANSACTIONS!$A951),MINUTE(TRANSACTIONS!$A951),SECOND(TRANSACTIONS!$A951)),"")</f>
        <v>0.54644675925925923</v>
      </c>
      <c r="D951" s="82" t="s">
        <v>25</v>
      </c>
      <c r="E951" s="82" t="s">
        <v>6</v>
      </c>
      <c r="F951" s="94">
        <v>5000</v>
      </c>
      <c r="G951" s="46"/>
      <c r="H951" s="46">
        <f>IFERROR(TRANSACTIONS!$F951+TRANSACTIONS!$G951,"")</f>
        <v>5000</v>
      </c>
      <c r="I951" s="57" t="s">
        <v>41</v>
      </c>
    </row>
    <row r="952" spans="1:9" x14ac:dyDescent="0.25">
      <c r="A952" s="41">
        <v>45390.565282523145</v>
      </c>
      <c r="B952" s="48">
        <f>IF(A952&lt;&gt;"",DATE(YEAR(TRANSACTIONS!$A952),MONTH(TRANSACTIONS!$A952),DAY(TRANSACTIONS!$A952)),"")</f>
        <v>45390</v>
      </c>
      <c r="C952" s="49">
        <f>IF(A952&lt;&gt;"",TIME(HOUR(TRANSACTIONS!$A952),MINUTE(TRANSACTIONS!$A952),SECOND(TRANSACTIONS!$A952)),"")</f>
        <v>0.56527777777777777</v>
      </c>
      <c r="D952" s="82" t="s">
        <v>62</v>
      </c>
      <c r="E952" s="82" t="s">
        <v>7</v>
      </c>
      <c r="F952" s="94">
        <v>5000</v>
      </c>
      <c r="G952" s="46"/>
      <c r="H952" s="46">
        <f>IFERROR(TRANSACTIONS!$F952+TRANSACTIONS!$G952,"")</f>
        <v>5000</v>
      </c>
      <c r="I952" s="57" t="s">
        <v>41</v>
      </c>
    </row>
    <row r="953" spans="1:9" x14ac:dyDescent="0.25">
      <c r="A953" s="41">
        <v>45390.567033796295</v>
      </c>
      <c r="B953" s="48">
        <f>IF(A953&lt;&gt;"",DATE(YEAR(TRANSACTIONS!$A953),MONTH(TRANSACTIONS!$A953),DAY(TRANSACTIONS!$A953)),"")</f>
        <v>45390</v>
      </c>
      <c r="C953" s="49">
        <f>IF(A953&lt;&gt;"",TIME(HOUR(TRANSACTIONS!$A953),MINUTE(TRANSACTIONS!$A953),SECOND(TRANSACTIONS!$A953)),"")</f>
        <v>0.56703703703703701</v>
      </c>
      <c r="D953" s="82" t="s">
        <v>62</v>
      </c>
      <c r="E953" s="82" t="s">
        <v>7</v>
      </c>
      <c r="F953" s="94">
        <v>20000</v>
      </c>
      <c r="G953" s="46"/>
      <c r="H953" s="46">
        <f>IFERROR(TRANSACTIONS!$F953+TRANSACTIONS!$G953,"")</f>
        <v>20000</v>
      </c>
      <c r="I953" s="57" t="s">
        <v>41</v>
      </c>
    </row>
    <row r="954" spans="1:9" x14ac:dyDescent="0.25">
      <c r="A954" s="41">
        <v>45390.567159722224</v>
      </c>
      <c r="B954" s="48">
        <f>IF(A954&lt;&gt;"",DATE(YEAR(TRANSACTIONS!$A954),MONTH(TRANSACTIONS!$A954),DAY(TRANSACTIONS!$A954)),"")</f>
        <v>45390</v>
      </c>
      <c r="C954" s="49">
        <f>IF(A954&lt;&gt;"",TIME(HOUR(TRANSACTIONS!$A954),MINUTE(TRANSACTIONS!$A954),SECOND(TRANSACTIONS!$A954)),"")</f>
        <v>0.56716435185185188</v>
      </c>
      <c r="D954" s="82" t="s">
        <v>49</v>
      </c>
      <c r="E954" s="82" t="s">
        <v>6</v>
      </c>
      <c r="F954" s="94">
        <v>2200</v>
      </c>
      <c r="G954" s="46"/>
      <c r="H954" s="46">
        <f>IFERROR(TRANSACTIONS!$F954+TRANSACTIONS!$G954,"")</f>
        <v>2200</v>
      </c>
      <c r="I954" s="57" t="s">
        <v>41</v>
      </c>
    </row>
    <row r="955" spans="1:9" x14ac:dyDescent="0.25">
      <c r="A955" s="41">
        <v>45390.575997685184</v>
      </c>
      <c r="B955" s="48">
        <f>IF(A955&lt;&gt;"",DATE(YEAR(TRANSACTIONS!$A955),MONTH(TRANSACTIONS!$A955),DAY(TRANSACTIONS!$A955)),"")</f>
        <v>45390</v>
      </c>
      <c r="C955" s="49">
        <f>IF(A955&lt;&gt;"",TIME(HOUR(TRANSACTIONS!$A955),MINUTE(TRANSACTIONS!$A955),SECOND(TRANSACTIONS!$A955)),"")</f>
        <v>0.5759953703703703</v>
      </c>
      <c r="D955" s="82" t="s">
        <v>62</v>
      </c>
      <c r="E955" s="82" t="s">
        <v>7</v>
      </c>
      <c r="F955" s="94">
        <v>5000</v>
      </c>
      <c r="G955" s="46"/>
      <c r="H955" s="46">
        <f>IFERROR(TRANSACTIONS!$F955+TRANSACTIONS!$G955,"")</f>
        <v>5000</v>
      </c>
      <c r="I955" s="57" t="s">
        <v>41</v>
      </c>
    </row>
    <row r="956" spans="1:9" x14ac:dyDescent="0.25">
      <c r="A956" s="41">
        <v>45390.576127546294</v>
      </c>
      <c r="B956" s="48">
        <f>IF(A956&lt;&gt;"",DATE(YEAR(TRANSACTIONS!$A956),MONTH(TRANSACTIONS!$A956),DAY(TRANSACTIONS!$A956)),"")</f>
        <v>45390</v>
      </c>
      <c r="C956" s="49">
        <f>IF(A956&lt;&gt;"",TIME(HOUR(TRANSACTIONS!$A956),MINUTE(TRANSACTIONS!$A956),SECOND(TRANSACTIONS!$A956)),"")</f>
        <v>0.57612268518518517</v>
      </c>
      <c r="D956" s="82" t="s">
        <v>62</v>
      </c>
      <c r="E956" s="82" t="s">
        <v>6</v>
      </c>
      <c r="F956" s="94">
        <v>1000</v>
      </c>
      <c r="G956" s="46"/>
      <c r="H956" s="46">
        <f>IFERROR(TRANSACTIONS!$F956+TRANSACTIONS!$G956,"")</f>
        <v>1000</v>
      </c>
      <c r="I956" s="57" t="s">
        <v>41</v>
      </c>
    </row>
    <row r="957" spans="1:9" x14ac:dyDescent="0.25">
      <c r="A957" s="41">
        <v>45390.578291898149</v>
      </c>
      <c r="B957" s="48">
        <f>IF(A957&lt;&gt;"",DATE(YEAR(TRANSACTIONS!$A957),MONTH(TRANSACTIONS!$A957),DAY(TRANSACTIONS!$A957)),"")</f>
        <v>45390</v>
      </c>
      <c r="C957" s="49">
        <f>IF(A957&lt;&gt;"",TIME(HOUR(TRANSACTIONS!$A957),MINUTE(TRANSACTIONS!$A957),SECOND(TRANSACTIONS!$A957)),"")</f>
        <v>0.5782870370370371</v>
      </c>
      <c r="D957" s="82" t="s">
        <v>62</v>
      </c>
      <c r="E957" s="82" t="s">
        <v>7</v>
      </c>
      <c r="F957" s="94">
        <v>10000</v>
      </c>
      <c r="G957" s="46"/>
      <c r="H957" s="46">
        <f>IFERROR(TRANSACTIONS!$F957+TRANSACTIONS!$G957,"")</f>
        <v>10000</v>
      </c>
      <c r="I957" s="57" t="s">
        <v>41</v>
      </c>
    </row>
    <row r="958" spans="1:9" x14ac:dyDescent="0.25">
      <c r="A958" s="41">
        <v>45390.5856369213</v>
      </c>
      <c r="B958" s="48">
        <f>IF(A958&lt;&gt;"",DATE(YEAR(TRANSACTIONS!$A958),MONTH(TRANSACTIONS!$A958),DAY(TRANSACTIONS!$A958)),"")</f>
        <v>45390</v>
      </c>
      <c r="C958" s="49">
        <f>IF(A958&lt;&gt;"",TIME(HOUR(TRANSACTIONS!$A958),MINUTE(TRANSACTIONS!$A958),SECOND(TRANSACTIONS!$A958)),"")</f>
        <v>0.5856365740740741</v>
      </c>
      <c r="D958" s="82" t="s">
        <v>62</v>
      </c>
      <c r="E958" s="82" t="s">
        <v>7</v>
      </c>
      <c r="F958" s="94">
        <v>30000</v>
      </c>
      <c r="G958" s="46"/>
      <c r="H958" s="46">
        <f>IFERROR(TRANSACTIONS!$F958+TRANSACTIONS!$G958,"")</f>
        <v>30000</v>
      </c>
      <c r="I958" s="57" t="s">
        <v>41</v>
      </c>
    </row>
    <row r="959" spans="1:9" x14ac:dyDescent="0.25">
      <c r="A959" s="41">
        <v>45390.585650231478</v>
      </c>
      <c r="B959" s="48">
        <f>IF(A959&lt;&gt;"",DATE(YEAR(TRANSACTIONS!$A959),MONTH(TRANSACTIONS!$A959),DAY(TRANSACTIONS!$A959)),"")</f>
        <v>45390</v>
      </c>
      <c r="C959" s="49">
        <f>IF(A959&lt;&gt;"",TIME(HOUR(TRANSACTIONS!$A959),MINUTE(TRANSACTIONS!$A959),SECOND(TRANSACTIONS!$A959)),"")</f>
        <v>0.58564814814814814</v>
      </c>
      <c r="D959" s="82" t="s">
        <v>25</v>
      </c>
      <c r="E959" s="82" t="s">
        <v>6</v>
      </c>
      <c r="F959" s="94">
        <v>30000</v>
      </c>
      <c r="G959" s="46"/>
      <c r="H959" s="46">
        <f>IFERROR(TRANSACTIONS!$F959+TRANSACTIONS!$G959,"")</f>
        <v>30000</v>
      </c>
      <c r="I959" s="57" t="s">
        <v>41</v>
      </c>
    </row>
    <row r="960" spans="1:9" x14ac:dyDescent="0.25">
      <c r="A960" s="41">
        <v>45390.67585821759</v>
      </c>
      <c r="B960" s="48">
        <f>IF(A960&lt;&gt;"",DATE(YEAR(TRANSACTIONS!$A960),MONTH(TRANSACTIONS!$A960),DAY(TRANSACTIONS!$A960)),"")</f>
        <v>45390</v>
      </c>
      <c r="C960" s="49">
        <f>IF(A960&lt;&gt;"",TIME(HOUR(TRANSACTIONS!$A960),MINUTE(TRANSACTIONS!$A960),SECOND(TRANSACTIONS!$A960)),"")</f>
        <v>0.67585648148148147</v>
      </c>
      <c r="D960" s="82" t="s">
        <v>62</v>
      </c>
      <c r="E960" s="82" t="s">
        <v>7</v>
      </c>
      <c r="F960" s="94">
        <v>11000</v>
      </c>
      <c r="G960" s="46"/>
      <c r="H960" s="46">
        <f>IFERROR(TRANSACTIONS!$F960+TRANSACTIONS!$G960,"")</f>
        <v>11000</v>
      </c>
      <c r="I960" s="57" t="s">
        <v>41</v>
      </c>
    </row>
    <row r="961" spans="1:9" x14ac:dyDescent="0.25">
      <c r="A961" s="41">
        <v>45390.675931018515</v>
      </c>
      <c r="B961" s="48">
        <f>IF(A961&lt;&gt;"",DATE(YEAR(TRANSACTIONS!$A961),MONTH(TRANSACTIONS!$A961),DAY(TRANSACTIONS!$A961)),"")</f>
        <v>45390</v>
      </c>
      <c r="C961" s="49">
        <f>IF(A961&lt;&gt;"",TIME(HOUR(TRANSACTIONS!$A961),MINUTE(TRANSACTIONS!$A961),SECOND(TRANSACTIONS!$A961)),"")</f>
        <v>0.67592592592592593</v>
      </c>
      <c r="D961" s="82" t="s">
        <v>62</v>
      </c>
      <c r="E961" s="82" t="s">
        <v>7</v>
      </c>
      <c r="F961" s="94">
        <v>99000</v>
      </c>
      <c r="G961" s="46"/>
      <c r="H961" s="46">
        <f>IFERROR(TRANSACTIONS!$F961+TRANSACTIONS!$G961,"")</f>
        <v>99000</v>
      </c>
      <c r="I961" s="57" t="s">
        <v>41</v>
      </c>
    </row>
    <row r="962" spans="1:9" x14ac:dyDescent="0.25">
      <c r="A962" s="41">
        <v>45390.675944675924</v>
      </c>
      <c r="B962" s="48">
        <f>IF(A962&lt;&gt;"",DATE(YEAR(TRANSACTIONS!$A962),MONTH(TRANSACTIONS!$A962),DAY(TRANSACTIONS!$A962)),"")</f>
        <v>45390</v>
      </c>
      <c r="C962" s="49">
        <f>IF(A962&lt;&gt;"",TIME(HOUR(TRANSACTIONS!$A962),MINUTE(TRANSACTIONS!$A962),SECOND(TRANSACTIONS!$A962)),"")</f>
        <v>0.67594907407407412</v>
      </c>
      <c r="D962" s="82" t="s">
        <v>62</v>
      </c>
      <c r="E962" s="82" t="s">
        <v>7</v>
      </c>
      <c r="F962" s="94">
        <v>1000</v>
      </c>
      <c r="G962" s="46"/>
      <c r="H962" s="46">
        <f>IFERROR(TRANSACTIONS!$F962+TRANSACTIONS!$G962,"")</f>
        <v>1000</v>
      </c>
      <c r="I962" s="57" t="s">
        <v>41</v>
      </c>
    </row>
    <row r="963" spans="1:9" x14ac:dyDescent="0.25">
      <c r="A963" s="41">
        <v>45390.675977893516</v>
      </c>
      <c r="B963" s="48">
        <f>IF(A963&lt;&gt;"",DATE(YEAR(TRANSACTIONS!$A963),MONTH(TRANSACTIONS!$A963),DAY(TRANSACTIONS!$A963)),"")</f>
        <v>45390</v>
      </c>
      <c r="C963" s="49">
        <f>IF(A963&lt;&gt;"",TIME(HOUR(TRANSACTIONS!$A963),MINUTE(TRANSACTIONS!$A963),SECOND(TRANSACTIONS!$A963)),"")</f>
        <v>0.6759722222222222</v>
      </c>
      <c r="D963" s="82" t="s">
        <v>62</v>
      </c>
      <c r="E963" s="82" t="s">
        <v>7</v>
      </c>
      <c r="F963" s="94">
        <v>20000</v>
      </c>
      <c r="G963" s="46"/>
      <c r="H963" s="46">
        <f>IFERROR(TRANSACTIONS!$F963+TRANSACTIONS!$G963,"")</f>
        <v>20000</v>
      </c>
      <c r="I963" s="57" t="s">
        <v>41</v>
      </c>
    </row>
    <row r="964" spans="1:9" x14ac:dyDescent="0.25">
      <c r="A964" s="41">
        <v>45390.675992939818</v>
      </c>
      <c r="B964" s="48">
        <f>IF(A964&lt;&gt;"",DATE(YEAR(TRANSACTIONS!$A964),MONTH(TRANSACTIONS!$A964),DAY(TRANSACTIONS!$A964)),"")</f>
        <v>45390</v>
      </c>
      <c r="C964" s="49">
        <f>IF(A964&lt;&gt;"",TIME(HOUR(TRANSACTIONS!$A964),MINUTE(TRANSACTIONS!$A964),SECOND(TRANSACTIONS!$A964)),"")</f>
        <v>0.67599537037037039</v>
      </c>
      <c r="D964" s="82" t="s">
        <v>62</v>
      </c>
      <c r="E964" s="82" t="s">
        <v>6</v>
      </c>
      <c r="F964" s="94">
        <v>6500</v>
      </c>
      <c r="G964" s="46"/>
      <c r="H964" s="46">
        <f>IFERROR(TRANSACTIONS!$F964+TRANSACTIONS!$G964,"")</f>
        <v>6500</v>
      </c>
      <c r="I964" s="57" t="s">
        <v>41</v>
      </c>
    </row>
    <row r="965" spans="1:9" x14ac:dyDescent="0.25">
      <c r="A965" s="41">
        <v>45390.676002314816</v>
      </c>
      <c r="B965" s="48">
        <f>IF(A965&lt;&gt;"",DATE(YEAR(TRANSACTIONS!$A965),MONTH(TRANSACTIONS!$A965),DAY(TRANSACTIONS!$A965)),"")</f>
        <v>45390</v>
      </c>
      <c r="C965" s="49">
        <f>IF(A965&lt;&gt;"",TIME(HOUR(TRANSACTIONS!$A965),MINUTE(TRANSACTIONS!$A965),SECOND(TRANSACTIONS!$A965)),"")</f>
        <v>0.67600694444444442</v>
      </c>
      <c r="D965" s="82" t="s">
        <v>62</v>
      </c>
      <c r="E965" s="82" t="s">
        <v>7</v>
      </c>
      <c r="F965" s="94">
        <v>2000</v>
      </c>
      <c r="G965" s="46"/>
      <c r="H965" s="46">
        <f>IFERROR(TRANSACTIONS!$F965+TRANSACTIONS!$G965,"")</f>
        <v>2000</v>
      </c>
      <c r="I965" s="57" t="s">
        <v>41</v>
      </c>
    </row>
    <row r="966" spans="1:9" x14ac:dyDescent="0.25">
      <c r="A966" s="41">
        <v>45390.676046759261</v>
      </c>
      <c r="B966" s="48">
        <f>IF(A966&lt;&gt;"",DATE(YEAR(TRANSACTIONS!$A966),MONTH(TRANSACTIONS!$A966),DAY(TRANSACTIONS!$A966)),"")</f>
        <v>45390</v>
      </c>
      <c r="C966" s="49">
        <f>IF(A966&lt;&gt;"",TIME(HOUR(TRANSACTIONS!$A966),MINUTE(TRANSACTIONS!$A966),SECOND(TRANSACTIONS!$A966)),"")</f>
        <v>0.67604166666666676</v>
      </c>
      <c r="D966" s="82" t="s">
        <v>62</v>
      </c>
      <c r="E966" s="82" t="s">
        <v>6</v>
      </c>
      <c r="F966" s="94">
        <v>10000</v>
      </c>
      <c r="G966" s="46"/>
      <c r="H966" s="46">
        <f>IFERROR(TRANSACTIONS!$F966+TRANSACTIONS!$G966,"")</f>
        <v>10000</v>
      </c>
      <c r="I966" s="57" t="s">
        <v>41</v>
      </c>
    </row>
    <row r="967" spans="1:9" x14ac:dyDescent="0.25">
      <c r="A967" s="41">
        <v>45390.676064120373</v>
      </c>
      <c r="B967" s="48">
        <f>IF(A967&lt;&gt;"",DATE(YEAR(TRANSACTIONS!$A967),MONTH(TRANSACTIONS!$A967),DAY(TRANSACTIONS!$A967)),"")</f>
        <v>45390</v>
      </c>
      <c r="C967" s="49">
        <f>IF(A967&lt;&gt;"",TIME(HOUR(TRANSACTIONS!$A967),MINUTE(TRANSACTIONS!$A967),SECOND(TRANSACTIONS!$A967)),"")</f>
        <v>0.67606481481481484</v>
      </c>
      <c r="D967" s="82" t="s">
        <v>62</v>
      </c>
      <c r="E967" s="82" t="s">
        <v>6</v>
      </c>
      <c r="F967" s="94">
        <v>100000</v>
      </c>
      <c r="G967" s="46"/>
      <c r="H967" s="46">
        <f>IFERROR(TRANSACTIONS!$F967+TRANSACTIONS!$G967,"")</f>
        <v>100000</v>
      </c>
      <c r="I967" s="57" t="s">
        <v>41</v>
      </c>
    </row>
    <row r="968" spans="1:9" x14ac:dyDescent="0.25">
      <c r="A968" s="41">
        <v>45390.676078009259</v>
      </c>
      <c r="B968" s="114">
        <f>IF(A968&lt;&gt;"",DATE(YEAR(TRANSACTIONS!$A968),MONTH(TRANSACTIONS!$A968),DAY(TRANSACTIONS!$A968)),"")</f>
        <v>45390</v>
      </c>
      <c r="C968" s="115">
        <f>IF(A968&lt;&gt;"",TIME(HOUR(TRANSACTIONS!$A968),MINUTE(TRANSACTIONS!$A968),SECOND(TRANSACTIONS!$A968)),"")</f>
        <v>0.67607638888888888</v>
      </c>
      <c r="D968" s="40" t="s">
        <v>62</v>
      </c>
      <c r="E968" s="40" t="s">
        <v>6</v>
      </c>
      <c r="F968" s="94">
        <v>4000</v>
      </c>
      <c r="G968" s="117"/>
      <c r="H968" s="117">
        <f>IFERROR(TRANSACTIONS!$F968+TRANSACTIONS!$G968,"")</f>
        <v>4000</v>
      </c>
      <c r="I968" s="123" t="s">
        <v>41</v>
      </c>
    </row>
    <row r="969" spans="1:9" x14ac:dyDescent="0.25">
      <c r="A969" s="81">
        <v>45390.676092708331</v>
      </c>
      <c r="B969" s="83">
        <f>IF(A969&lt;&gt;"",DATE(YEAR(TRANSACTIONS!$A969),MONTH(TRANSACTIONS!$A969),DAY(TRANSACTIONS!$A969)),"")</f>
        <v>45390</v>
      </c>
      <c r="C969" s="84">
        <f>IF(A969&lt;&gt;"",TIME(HOUR(TRANSACTIONS!$A969),MINUTE(TRANSACTIONS!$A969),SECOND(TRANSACTIONS!$A969)),"")</f>
        <v>0.67608796296296303</v>
      </c>
      <c r="D969" s="93" t="s">
        <v>62</v>
      </c>
      <c r="E969" s="82" t="s">
        <v>6</v>
      </c>
      <c r="F969" s="94">
        <v>15000</v>
      </c>
      <c r="G969" s="86"/>
      <c r="H969" s="86">
        <f>IFERROR(TRANSACTIONS!$F969+TRANSACTIONS!$G969,"")</f>
        <v>15000</v>
      </c>
      <c r="I969" s="87" t="s">
        <v>41</v>
      </c>
    </row>
    <row r="970" spans="1:9" x14ac:dyDescent="0.25">
      <c r="A970" s="41">
        <v>45390.676101736113</v>
      </c>
      <c r="B970" s="48">
        <f>IF(A970&lt;&gt;"",DATE(YEAR(TRANSACTIONS!$A970),MONTH(TRANSACTIONS!$A970),DAY(TRANSACTIONS!$A970)),"")</f>
        <v>45390</v>
      </c>
      <c r="C970" s="49">
        <f>IF(A970&lt;&gt;"",TIME(HOUR(TRANSACTIONS!$A970),MINUTE(TRANSACTIONS!$A970),SECOND(TRANSACTIONS!$A970)),"")</f>
        <v>0.67609953703703696</v>
      </c>
      <c r="D970" s="82" t="s">
        <v>62</v>
      </c>
      <c r="E970" s="82" t="s">
        <v>7</v>
      </c>
      <c r="F970" s="94">
        <v>5000</v>
      </c>
      <c r="G970" s="46"/>
      <c r="H970" s="46">
        <f>IFERROR(TRANSACTIONS!$F970+TRANSACTIONS!$G970,"")</f>
        <v>5000</v>
      </c>
      <c r="I970" s="57" t="s">
        <v>41</v>
      </c>
    </row>
    <row r="971" spans="1:9" x14ac:dyDescent="0.25">
      <c r="A971" s="41">
        <v>45390.676112037036</v>
      </c>
      <c r="B971" s="48">
        <f>IF(A971&lt;&gt;"",DATE(YEAR(TRANSACTIONS!$A971),MONTH(TRANSACTIONS!$A971),DAY(TRANSACTIONS!$A971)),"")</f>
        <v>45390</v>
      </c>
      <c r="C971" s="49">
        <f>IF(A971&lt;&gt;"",TIME(HOUR(TRANSACTIONS!$A971),MINUTE(TRANSACTIONS!$A971),SECOND(TRANSACTIONS!$A971)),"")</f>
        <v>0.67611111111111111</v>
      </c>
      <c r="D971" s="82" t="s">
        <v>62</v>
      </c>
      <c r="E971" s="82" t="s">
        <v>6</v>
      </c>
      <c r="F971" s="94">
        <v>25000</v>
      </c>
      <c r="G971" s="46"/>
      <c r="H971" s="46">
        <f>IFERROR(TRANSACTIONS!$F971+TRANSACTIONS!$G971,"")</f>
        <v>25000</v>
      </c>
      <c r="I971" s="57" t="s">
        <v>41</v>
      </c>
    </row>
    <row r="972" spans="1:9" x14ac:dyDescent="0.25">
      <c r="A972" s="41">
        <v>45390.676118171294</v>
      </c>
      <c r="B972" s="48">
        <f>IF(A972&lt;&gt;"",DATE(YEAR(TRANSACTIONS!$A972),MONTH(TRANSACTIONS!$A972),DAY(TRANSACTIONS!$A972)),"")</f>
        <v>45390</v>
      </c>
      <c r="C972" s="49">
        <f>IF(A972&lt;&gt;"",TIME(HOUR(TRANSACTIONS!$A972),MINUTE(TRANSACTIONS!$A972),SECOND(TRANSACTIONS!$A972)),"")</f>
        <v>0.67612268518518526</v>
      </c>
      <c r="D972" s="82" t="s">
        <v>62</v>
      </c>
      <c r="E972" s="82" t="s">
        <v>7</v>
      </c>
      <c r="F972" s="94">
        <v>5000</v>
      </c>
      <c r="G972" s="46"/>
      <c r="H972" s="46">
        <f>IFERROR(TRANSACTIONS!$F972+TRANSACTIONS!$G972,"")</f>
        <v>5000</v>
      </c>
      <c r="I972" s="57" t="s">
        <v>41</v>
      </c>
    </row>
    <row r="973" spans="1:9" x14ac:dyDescent="0.25">
      <c r="A973" s="41">
        <v>45390.676136111113</v>
      </c>
      <c r="B973" s="48">
        <f>IF(A973&lt;&gt;"",DATE(YEAR(TRANSACTIONS!$A973),MONTH(TRANSACTIONS!$A973),DAY(TRANSACTIONS!$A973)),"")</f>
        <v>45390</v>
      </c>
      <c r="C973" s="49">
        <f>IF(A973&lt;&gt;"",TIME(HOUR(TRANSACTIONS!$A973),MINUTE(TRANSACTIONS!$A973),SECOND(TRANSACTIONS!$A973)),"")</f>
        <v>0.6761342592592593</v>
      </c>
      <c r="D973" s="82" t="s">
        <v>62</v>
      </c>
      <c r="E973" s="82" t="s">
        <v>6</v>
      </c>
      <c r="F973" s="94">
        <v>3000</v>
      </c>
      <c r="G973" s="46"/>
      <c r="H973" s="46">
        <f>IFERROR(TRANSACTIONS!$F973+TRANSACTIONS!$G973,"")</f>
        <v>3000</v>
      </c>
      <c r="I973" s="57" t="s">
        <v>41</v>
      </c>
    </row>
    <row r="974" spans="1:9" x14ac:dyDescent="0.25">
      <c r="A974" s="41">
        <v>45390.676185069446</v>
      </c>
      <c r="B974" s="48">
        <f>IF(A974&lt;&gt;"",DATE(YEAR(TRANSACTIONS!$A974),MONTH(TRANSACTIONS!$A974),DAY(TRANSACTIONS!$A974)),"")</f>
        <v>45390</v>
      </c>
      <c r="C974" s="49">
        <f>IF(A974&lt;&gt;"",TIME(HOUR(TRANSACTIONS!$A974),MINUTE(TRANSACTIONS!$A974),SECOND(TRANSACTIONS!$A974)),"")</f>
        <v>0.67618055555555545</v>
      </c>
      <c r="D974" s="82" t="s">
        <v>62</v>
      </c>
      <c r="E974" s="82" t="s">
        <v>7</v>
      </c>
      <c r="F974" s="94">
        <v>120000</v>
      </c>
      <c r="G974" s="46"/>
      <c r="H974" s="46">
        <f>IFERROR(TRANSACTIONS!$F974+TRANSACTIONS!$G974,"")</f>
        <v>120000</v>
      </c>
      <c r="I974" s="57" t="s">
        <v>41</v>
      </c>
    </row>
    <row r="975" spans="1:9" x14ac:dyDescent="0.25">
      <c r="A975" s="41">
        <v>45390.676196296299</v>
      </c>
      <c r="B975" s="48">
        <f>IF(A975&lt;&gt;"",DATE(YEAR(TRANSACTIONS!$A975),MONTH(TRANSACTIONS!$A975),DAY(TRANSACTIONS!$A975)),"")</f>
        <v>45390</v>
      </c>
      <c r="C975" s="49">
        <f>IF(A975&lt;&gt;"",TIME(HOUR(TRANSACTIONS!$A975),MINUTE(TRANSACTIONS!$A975),SECOND(TRANSACTIONS!$A975)),"")</f>
        <v>0.6761921296296296</v>
      </c>
      <c r="D975" s="82" t="s">
        <v>62</v>
      </c>
      <c r="E975" s="82" t="s">
        <v>6</v>
      </c>
      <c r="F975" s="94">
        <v>2050</v>
      </c>
      <c r="G975" s="46"/>
      <c r="H975" s="46">
        <f>IFERROR(TRANSACTIONS!$F975+TRANSACTIONS!$G975,"")</f>
        <v>2050</v>
      </c>
      <c r="I975" s="57" t="s">
        <v>41</v>
      </c>
    </row>
    <row r="976" spans="1:9" x14ac:dyDescent="0.25">
      <c r="A976" s="41">
        <v>45390.676208217592</v>
      </c>
      <c r="B976" s="48">
        <f>IF(A976&lt;&gt;"",DATE(YEAR(TRANSACTIONS!$A976),MONTH(TRANSACTIONS!$A976),DAY(TRANSACTIONS!$A976)),"")</f>
        <v>45390</v>
      </c>
      <c r="C976" s="49">
        <f>IF(A976&lt;&gt;"",TIME(HOUR(TRANSACTIONS!$A976),MINUTE(TRANSACTIONS!$A976),SECOND(TRANSACTIONS!$A976)),"")</f>
        <v>0.67620370370370375</v>
      </c>
      <c r="D976" s="82" t="s">
        <v>62</v>
      </c>
      <c r="E976" s="82" t="s">
        <v>6</v>
      </c>
      <c r="F976" s="94">
        <v>10000</v>
      </c>
      <c r="G976" s="46"/>
      <c r="H976" s="46">
        <f>IFERROR(TRANSACTIONS!$F976+TRANSACTIONS!$G976,"")</f>
        <v>10000</v>
      </c>
      <c r="I976" s="57" t="s">
        <v>41</v>
      </c>
    </row>
    <row r="977" spans="1:9" x14ac:dyDescent="0.25">
      <c r="A977" s="41">
        <v>45390.676220023146</v>
      </c>
      <c r="B977" s="48">
        <f>IF(A977&lt;&gt;"",DATE(YEAR(TRANSACTIONS!$A977),MONTH(TRANSACTIONS!$A977),DAY(TRANSACTIONS!$A977)),"")</f>
        <v>45390</v>
      </c>
      <c r="C977" s="49">
        <f>IF(A977&lt;&gt;"",TIME(HOUR(TRANSACTIONS!$A977),MINUTE(TRANSACTIONS!$A977),SECOND(TRANSACTIONS!$A977)),"")</f>
        <v>0.67621527777777779</v>
      </c>
      <c r="D977" s="82" t="s">
        <v>62</v>
      </c>
      <c r="E977" s="82" t="s">
        <v>6</v>
      </c>
      <c r="F977" s="94">
        <v>3000</v>
      </c>
      <c r="G977" s="46"/>
      <c r="H977" s="46">
        <f>IFERROR(TRANSACTIONS!$F977+TRANSACTIONS!$G977,"")</f>
        <v>3000</v>
      </c>
      <c r="I977" s="57" t="s">
        <v>41</v>
      </c>
    </row>
    <row r="978" spans="1:9" x14ac:dyDescent="0.25">
      <c r="A978" s="41">
        <v>45390.676237384258</v>
      </c>
      <c r="B978" s="48">
        <f>IF(A978&lt;&gt;"",DATE(YEAR(TRANSACTIONS!$A978),MONTH(TRANSACTIONS!$A978),DAY(TRANSACTIONS!$A978)),"")</f>
        <v>45390</v>
      </c>
      <c r="C978" s="49">
        <f>IF(A978&lt;&gt;"",TIME(HOUR(TRANSACTIONS!$A978),MINUTE(TRANSACTIONS!$A978),SECOND(TRANSACTIONS!$A978)),"")</f>
        <v>0.67623842592592587</v>
      </c>
      <c r="D978" s="82" t="s">
        <v>62</v>
      </c>
      <c r="E978" s="82" t="s">
        <v>7</v>
      </c>
      <c r="F978" s="94">
        <v>40000</v>
      </c>
      <c r="G978" s="46"/>
      <c r="H978" s="46">
        <f>IFERROR(TRANSACTIONS!$F978+TRANSACTIONS!$G978,"")</f>
        <v>40000</v>
      </c>
      <c r="I978" s="57" t="s">
        <v>41</v>
      </c>
    </row>
    <row r="979" spans="1:9" x14ac:dyDescent="0.25">
      <c r="A979" s="41">
        <v>45390.676284027781</v>
      </c>
      <c r="B979" s="48">
        <f>IF(A979&lt;&gt;"",DATE(YEAR(TRANSACTIONS!$A979),MONTH(TRANSACTIONS!$A979),DAY(TRANSACTIONS!$A979)),"")</f>
        <v>45390</v>
      </c>
      <c r="C979" s="49">
        <f>IF(A979&lt;&gt;"",TIME(HOUR(TRANSACTIONS!$A979),MINUTE(TRANSACTIONS!$A979),SECOND(TRANSACTIONS!$A979)),"")</f>
        <v>0.67628472222222225</v>
      </c>
      <c r="D979" s="82" t="s">
        <v>62</v>
      </c>
      <c r="E979" s="82" t="s">
        <v>6</v>
      </c>
      <c r="F979" s="94">
        <v>200000</v>
      </c>
      <c r="G979" s="46"/>
      <c r="H979" s="46">
        <f>IFERROR(TRANSACTIONS!$F979+TRANSACTIONS!$G979,"")</f>
        <v>200000</v>
      </c>
      <c r="I979" s="57" t="s">
        <v>41</v>
      </c>
    </row>
    <row r="980" spans="1:9" x14ac:dyDescent="0.25">
      <c r="A980" s="41">
        <v>45390.676308796297</v>
      </c>
      <c r="B980" s="48">
        <f>IF(A980&lt;&gt;"",DATE(YEAR(TRANSACTIONS!$A980),MONTH(TRANSACTIONS!$A980),DAY(TRANSACTIONS!$A980)),"")</f>
        <v>45390</v>
      </c>
      <c r="C980" s="49">
        <f>IF(A980&lt;&gt;"",TIME(HOUR(TRANSACTIONS!$A980),MINUTE(TRANSACTIONS!$A980),SECOND(TRANSACTIONS!$A980)),"")</f>
        <v>0.67630787037037043</v>
      </c>
      <c r="D980" s="82" t="s">
        <v>62</v>
      </c>
      <c r="E980" s="82" t="s">
        <v>6</v>
      </c>
      <c r="F980" s="94">
        <v>1500</v>
      </c>
      <c r="G980" s="46"/>
      <c r="H980" s="46">
        <f>IFERROR(TRANSACTIONS!$F980+TRANSACTIONS!$G980,"")</f>
        <v>1500</v>
      </c>
      <c r="I980" s="57" t="s">
        <v>41</v>
      </c>
    </row>
    <row r="981" spans="1:9" x14ac:dyDescent="0.25">
      <c r="A981" s="41">
        <v>45390.676320370367</v>
      </c>
      <c r="B981" s="48">
        <f>IF(A981&lt;&gt;"",DATE(YEAR(TRANSACTIONS!$A981),MONTH(TRANSACTIONS!$A981),DAY(TRANSACTIONS!$A981)),"")</f>
        <v>45390</v>
      </c>
      <c r="C981" s="49">
        <f>IF(A981&lt;&gt;"",TIME(HOUR(TRANSACTIONS!$A981),MINUTE(TRANSACTIONS!$A981),SECOND(TRANSACTIONS!$A981)),"")</f>
        <v>0.67631944444444436</v>
      </c>
      <c r="D981" s="82" t="s">
        <v>62</v>
      </c>
      <c r="E981" s="82" t="s">
        <v>7</v>
      </c>
      <c r="F981" s="94">
        <v>2000</v>
      </c>
      <c r="G981" s="46"/>
      <c r="H981" s="46">
        <f>IFERROR(TRANSACTIONS!$F981+TRANSACTIONS!$G981,"")</f>
        <v>2000</v>
      </c>
      <c r="I981" s="57" t="s">
        <v>41</v>
      </c>
    </row>
    <row r="982" spans="1:9" x14ac:dyDescent="0.25">
      <c r="A982" s="41">
        <v>45390.67633159722</v>
      </c>
      <c r="B982" s="48">
        <f>IF(A982&lt;&gt;"",DATE(YEAR(TRANSACTIONS!$A982),MONTH(TRANSACTIONS!$A982),DAY(TRANSACTIONS!$A982)),"")</f>
        <v>45390</v>
      </c>
      <c r="C982" s="49">
        <f>IF(A982&lt;&gt;"",TIME(HOUR(TRANSACTIONS!$A982),MINUTE(TRANSACTIONS!$A982),SECOND(TRANSACTIONS!$A982)),"")</f>
        <v>0.67633101851851851</v>
      </c>
      <c r="D982" s="82" t="s">
        <v>62</v>
      </c>
      <c r="E982" s="82" t="s">
        <v>7</v>
      </c>
      <c r="F982" s="94">
        <v>500</v>
      </c>
      <c r="G982" s="46"/>
      <c r="H982" s="46">
        <f>IFERROR(TRANSACTIONS!$F982+TRANSACTIONS!$G982,"")</f>
        <v>500</v>
      </c>
      <c r="I982" s="57" t="s">
        <v>41</v>
      </c>
    </row>
    <row r="983" spans="1:9" x14ac:dyDescent="0.25">
      <c r="A983" s="41">
        <v>45390.676342245373</v>
      </c>
      <c r="B983" s="48">
        <f>IF(A983&lt;&gt;"",DATE(YEAR(TRANSACTIONS!$A983),MONTH(TRANSACTIONS!$A983),DAY(TRANSACTIONS!$A983)),"")</f>
        <v>45390</v>
      </c>
      <c r="C983" s="49">
        <f>IF(A983&lt;&gt;"",TIME(HOUR(TRANSACTIONS!$A983),MINUTE(TRANSACTIONS!$A983),SECOND(TRANSACTIONS!$A983)),"")</f>
        <v>0.67634259259259266</v>
      </c>
      <c r="D983" s="82" t="s">
        <v>62</v>
      </c>
      <c r="E983" s="82" t="s">
        <v>7</v>
      </c>
      <c r="F983" s="94">
        <v>5000</v>
      </c>
      <c r="G983" s="46"/>
      <c r="H983" s="46">
        <f>IFERROR(TRANSACTIONS!$F983+TRANSACTIONS!$G983,"")</f>
        <v>5000</v>
      </c>
      <c r="I983" s="57" t="s">
        <v>41</v>
      </c>
    </row>
    <row r="984" spans="1:9" x14ac:dyDescent="0.25">
      <c r="A984" s="41">
        <v>45390.676354745374</v>
      </c>
      <c r="B984" s="48">
        <f>IF(A984&lt;&gt;"",DATE(YEAR(TRANSACTIONS!$A984),MONTH(TRANSACTIONS!$A984),DAY(TRANSACTIONS!$A984)),"")</f>
        <v>45390</v>
      </c>
      <c r="C984" s="49">
        <f>IF(A984&lt;&gt;"",TIME(HOUR(TRANSACTIONS!$A984),MINUTE(TRANSACTIONS!$A984),SECOND(TRANSACTIONS!$A984)),"")</f>
        <v>0.6763541666666667</v>
      </c>
      <c r="D984" s="82" t="s">
        <v>62</v>
      </c>
      <c r="E984" s="82" t="s">
        <v>6</v>
      </c>
      <c r="F984" s="94">
        <v>10000</v>
      </c>
      <c r="G984" s="46"/>
      <c r="H984" s="46">
        <f>IFERROR(TRANSACTIONS!$F984+TRANSACTIONS!$G984,"")</f>
        <v>10000</v>
      </c>
      <c r="I984" s="57" t="s">
        <v>41</v>
      </c>
    </row>
    <row r="985" spans="1:9" x14ac:dyDescent="0.25">
      <c r="A985" s="41">
        <v>45390.676386921295</v>
      </c>
      <c r="B985" s="48">
        <f>IF(A985&lt;&gt;"",DATE(YEAR(TRANSACTIONS!$A985),MONTH(TRANSACTIONS!$A985),DAY(TRANSACTIONS!$A985)),"")</f>
        <v>45390</v>
      </c>
      <c r="C985" s="49">
        <f>IF(A985&lt;&gt;"",TIME(HOUR(TRANSACTIONS!$A985),MINUTE(TRANSACTIONS!$A985),SECOND(TRANSACTIONS!$A985)),"")</f>
        <v>0.67638888888888893</v>
      </c>
      <c r="D985" s="82" t="s">
        <v>62</v>
      </c>
      <c r="E985" s="82" t="s">
        <v>7</v>
      </c>
      <c r="F985" s="82">
        <v>3000</v>
      </c>
      <c r="G985" s="46"/>
      <c r="H985" s="46">
        <f>IFERROR(TRANSACTIONS!$F985+TRANSACTIONS!$G985,"")</f>
        <v>3000</v>
      </c>
      <c r="I985" s="57" t="s">
        <v>41</v>
      </c>
    </row>
    <row r="986" spans="1:9" x14ac:dyDescent="0.25">
      <c r="A986" s="41">
        <v>45390.676409143518</v>
      </c>
      <c r="B986" s="48">
        <f>IF(A986&lt;&gt;"",DATE(YEAR(TRANSACTIONS!$A986),MONTH(TRANSACTIONS!$A986),DAY(TRANSACTIONS!$A986)),"")</f>
        <v>45390</v>
      </c>
      <c r="C986" s="49">
        <f>IF(A986&lt;&gt;"",TIME(HOUR(TRANSACTIONS!$A986),MINUTE(TRANSACTIONS!$A986),SECOND(TRANSACTIONS!$A986)),"")</f>
        <v>0.67641203703703701</v>
      </c>
      <c r="D986" s="82" t="s">
        <v>62</v>
      </c>
      <c r="E986" s="82" t="s">
        <v>7</v>
      </c>
      <c r="F986" s="94">
        <v>7500</v>
      </c>
      <c r="G986" s="46"/>
      <c r="H986" s="46">
        <f>IFERROR(TRANSACTIONS!$F986+TRANSACTIONS!$G986,"")</f>
        <v>7500</v>
      </c>
      <c r="I986" s="57" t="s">
        <v>41</v>
      </c>
    </row>
    <row r="987" spans="1:9" x14ac:dyDescent="0.25">
      <c r="A987" s="41">
        <v>45390.676415856484</v>
      </c>
      <c r="B987" s="48">
        <f>IF(A987&lt;&gt;"",DATE(YEAR(TRANSACTIONS!$A987),MONTH(TRANSACTIONS!$A987),DAY(TRANSACTIONS!$A987)),"")</f>
        <v>45390</v>
      </c>
      <c r="C987" s="49">
        <f>IF(A987&lt;&gt;"",TIME(HOUR(TRANSACTIONS!$A987),MINUTE(TRANSACTIONS!$A987),SECOND(TRANSACTIONS!$A987)),"")</f>
        <v>0.67641203703703701</v>
      </c>
      <c r="D987" s="82" t="s">
        <v>62</v>
      </c>
      <c r="E987" s="82" t="s">
        <v>7</v>
      </c>
      <c r="F987" s="94">
        <v>1000</v>
      </c>
      <c r="G987" s="46"/>
      <c r="H987" s="46">
        <f>IFERROR(TRANSACTIONS!$F987+TRANSACTIONS!$G987,"")</f>
        <v>1000</v>
      </c>
      <c r="I987" s="57" t="s">
        <v>41</v>
      </c>
    </row>
    <row r="988" spans="1:9" x14ac:dyDescent="0.25">
      <c r="A988" s="41">
        <v>45390.678505787037</v>
      </c>
      <c r="B988" s="48">
        <f>IF(A988&lt;&gt;"",DATE(YEAR(TRANSACTIONS!$A988),MONTH(TRANSACTIONS!$A988),DAY(TRANSACTIONS!$A988)),"")</f>
        <v>45390</v>
      </c>
      <c r="C988" s="49">
        <f>IF(A988&lt;&gt;"",TIME(HOUR(TRANSACTIONS!$A988),MINUTE(TRANSACTIONS!$A988),SECOND(TRANSACTIONS!$A988)),"")</f>
        <v>0.67850694444444448</v>
      </c>
      <c r="D988" s="82" t="s">
        <v>62</v>
      </c>
      <c r="E988" s="82" t="s">
        <v>6</v>
      </c>
      <c r="F988" s="94">
        <v>7000</v>
      </c>
      <c r="G988" s="46"/>
      <c r="H988" s="46">
        <f>IFERROR(TRANSACTIONS!$F988+TRANSACTIONS!$G988,"")</f>
        <v>7000</v>
      </c>
      <c r="I988" s="57" t="s">
        <v>41</v>
      </c>
    </row>
    <row r="989" spans="1:9" x14ac:dyDescent="0.25">
      <c r="A989" s="41">
        <v>45390.678614351855</v>
      </c>
      <c r="B989" s="48">
        <f>IF(A989&lt;&gt;"",DATE(YEAR(TRANSACTIONS!$A989),MONTH(TRANSACTIONS!$A989),DAY(TRANSACTIONS!$A989)),"")</f>
        <v>45390</v>
      </c>
      <c r="C989" s="49">
        <f>IF(A989&lt;&gt;"",TIME(HOUR(TRANSACTIONS!$A989),MINUTE(TRANSACTIONS!$A989),SECOND(TRANSACTIONS!$A989)),"")</f>
        <v>0.67861111111111105</v>
      </c>
      <c r="D989" s="82" t="s">
        <v>62</v>
      </c>
      <c r="E989" s="82" t="s">
        <v>7</v>
      </c>
      <c r="F989" s="94">
        <v>3000</v>
      </c>
      <c r="G989" s="46"/>
      <c r="H989" s="46">
        <f>IFERROR(TRANSACTIONS!$F989+TRANSACTIONS!$G989,"")</f>
        <v>3000</v>
      </c>
      <c r="I989" s="57" t="s">
        <v>41</v>
      </c>
    </row>
    <row r="990" spans="1:9" x14ac:dyDescent="0.25">
      <c r="A990" s="41">
        <v>45390.678636458331</v>
      </c>
      <c r="B990" s="48">
        <f>IF(A990&lt;&gt;"",DATE(YEAR(TRANSACTIONS!$A990),MONTH(TRANSACTIONS!$A990),DAY(TRANSACTIONS!$A990)),"")</f>
        <v>45390</v>
      </c>
      <c r="C990" s="49">
        <f>IF(A990&lt;&gt;"",TIME(HOUR(TRANSACTIONS!$A990),MINUTE(TRANSACTIONS!$A990),SECOND(TRANSACTIONS!$A990)),"")</f>
        <v>0.67863425925925924</v>
      </c>
      <c r="D990" s="82" t="s">
        <v>62</v>
      </c>
      <c r="E990" s="82" t="s">
        <v>6</v>
      </c>
      <c r="F990" s="94">
        <v>8100</v>
      </c>
      <c r="G990" s="46"/>
      <c r="H990" s="46">
        <f>IFERROR(TRANSACTIONS!$F990+TRANSACTIONS!$G990,"")</f>
        <v>8100</v>
      </c>
      <c r="I990" s="57" t="s">
        <v>41</v>
      </c>
    </row>
    <row r="991" spans="1:9" x14ac:dyDescent="0.25">
      <c r="A991" s="41">
        <v>45390.678642592589</v>
      </c>
      <c r="B991" s="48">
        <f>IF(A991&lt;&gt;"",DATE(YEAR(TRANSACTIONS!$A991),MONTH(TRANSACTIONS!$A991),DAY(TRANSACTIONS!$A991)),"")</f>
        <v>45390</v>
      </c>
      <c r="C991" s="49">
        <f>IF(A991&lt;&gt;"",TIME(HOUR(TRANSACTIONS!$A991),MINUTE(TRANSACTIONS!$A991),SECOND(TRANSACTIONS!$A991)),"")</f>
        <v>0.67864583333333339</v>
      </c>
      <c r="D991" s="82" t="s">
        <v>62</v>
      </c>
      <c r="E991" s="82" t="s">
        <v>7</v>
      </c>
      <c r="F991" s="94">
        <v>20000</v>
      </c>
      <c r="G991" s="46"/>
      <c r="H991" s="46">
        <f>IFERROR(TRANSACTIONS!$F991+TRANSACTIONS!$G991,"")</f>
        <v>20000</v>
      </c>
      <c r="I991" s="57" t="s">
        <v>41</v>
      </c>
    </row>
    <row r="992" spans="1:9" x14ac:dyDescent="0.25">
      <c r="A992" s="41">
        <v>45390.678651273149</v>
      </c>
      <c r="B992" s="48">
        <f>IF(A992&lt;&gt;"",DATE(YEAR(TRANSACTIONS!$A992),MONTH(TRANSACTIONS!$A992),DAY(TRANSACTIONS!$A992)),"")</f>
        <v>45390</v>
      </c>
      <c r="C992" s="49">
        <f>IF(A992&lt;&gt;"",TIME(HOUR(TRANSACTIONS!$A992),MINUTE(TRANSACTIONS!$A992),SECOND(TRANSACTIONS!$A992)),"")</f>
        <v>0.67864583333333339</v>
      </c>
      <c r="D992" s="82" t="s">
        <v>62</v>
      </c>
      <c r="E992" s="82" t="s">
        <v>6</v>
      </c>
      <c r="F992" s="94">
        <v>48000</v>
      </c>
      <c r="G992" s="46"/>
      <c r="H992" s="46">
        <f>IFERROR(TRANSACTIONS!$F992+TRANSACTIONS!$G992,"")</f>
        <v>48000</v>
      </c>
      <c r="I992" s="57" t="s">
        <v>41</v>
      </c>
    </row>
    <row r="993" spans="1:10" x14ac:dyDescent="0.25">
      <c r="A993" s="41">
        <v>45390.685112500003</v>
      </c>
      <c r="B993" s="48">
        <f>IF(A993&lt;&gt;"",DATE(YEAR(TRANSACTIONS!$A993),MONTH(TRANSACTIONS!$A993),DAY(TRANSACTIONS!$A993)),"")</f>
        <v>45390</v>
      </c>
      <c r="C993" s="49">
        <f>IF(A993&lt;&gt;"",TIME(HOUR(TRANSACTIONS!$A993),MINUTE(TRANSACTIONS!$A993),SECOND(TRANSACTIONS!$A993)),"")</f>
        <v>0.68511574074074078</v>
      </c>
      <c r="D993" s="40" t="s">
        <v>62</v>
      </c>
      <c r="E993" s="40" t="s">
        <v>7</v>
      </c>
      <c r="F993" s="94">
        <v>2000</v>
      </c>
      <c r="G993" s="46"/>
      <c r="H993" s="46">
        <f>IFERROR(TRANSACTIONS!$F993+TRANSACTIONS!$G993,"")</f>
        <v>2000</v>
      </c>
      <c r="I993" s="57" t="s">
        <v>41</v>
      </c>
    </row>
    <row r="994" spans="1:10" x14ac:dyDescent="0.25">
      <c r="A994" s="41">
        <v>45390.687500347223</v>
      </c>
      <c r="B994" s="114">
        <f>IF(A994&lt;&gt;"",DATE(YEAR(TRANSACTIONS!$A994),MONTH(TRANSACTIONS!$A994),DAY(TRANSACTIONS!$A994)),"")</f>
        <v>45390</v>
      </c>
      <c r="C994" s="115">
        <f>IF(A994&lt;&gt;"",TIME(HOUR(TRANSACTIONS!$A994),MINUTE(TRANSACTIONS!$A994),SECOND(TRANSACTIONS!$A994)),"")</f>
        <v>0.6875</v>
      </c>
      <c r="D994" s="40" t="s">
        <v>62</v>
      </c>
      <c r="E994" s="40" t="s">
        <v>6</v>
      </c>
      <c r="F994" s="185">
        <v>10000</v>
      </c>
      <c r="G994" s="117"/>
      <c r="H994" s="117">
        <f>IFERROR(TRANSACTIONS!$F994+TRANSACTIONS!$G994,"")</f>
        <v>10000</v>
      </c>
      <c r="I994" s="123" t="s">
        <v>41</v>
      </c>
      <c r="J994" s="118"/>
    </row>
    <row r="995" spans="1:10" x14ac:dyDescent="0.25">
      <c r="A995" s="41">
        <v>45390.68750497685</v>
      </c>
      <c r="B995" s="48">
        <f>IF(A995&lt;&gt;"",DATE(YEAR(TRANSACTIONS!$A995),MONTH(TRANSACTIONS!$A995),DAY(TRANSACTIONS!$A995)),"")</f>
        <v>45390</v>
      </c>
      <c r="C995" s="49">
        <f>IF(A995&lt;&gt;"",TIME(HOUR(TRANSACTIONS!$A995),MINUTE(TRANSACTIONS!$A995),SECOND(TRANSACTIONS!$A995)),"")</f>
        <v>0.6875</v>
      </c>
      <c r="D995" s="40" t="s">
        <v>62</v>
      </c>
      <c r="E995" s="40" t="s">
        <v>6</v>
      </c>
      <c r="F995" s="94">
        <v>300000</v>
      </c>
      <c r="G995" s="46"/>
      <c r="H995" s="46">
        <f>IFERROR(TRANSACTIONS!$F995+TRANSACTIONS!$G995,"")</f>
        <v>300000</v>
      </c>
      <c r="I995" s="57" t="s">
        <v>41</v>
      </c>
    </row>
    <row r="996" spans="1:10" x14ac:dyDescent="0.25">
      <c r="A996" s="41">
        <v>45390.68751747685</v>
      </c>
      <c r="B996" s="48">
        <f>IF(A996&lt;&gt;"",DATE(YEAR(TRANSACTIONS!$A996),MONTH(TRANSACTIONS!$A996),DAY(TRANSACTIONS!$A996)),"")</f>
        <v>45390</v>
      </c>
      <c r="C996" s="49">
        <f>IF(A996&lt;&gt;"",TIME(HOUR(TRANSACTIONS!$A996),MINUTE(TRANSACTIONS!$A996),SECOND(TRANSACTIONS!$A996)),"")</f>
        <v>0.68752314814814808</v>
      </c>
      <c r="D996" s="40" t="s">
        <v>62</v>
      </c>
      <c r="E996" s="40" t="s">
        <v>6</v>
      </c>
      <c r="F996" s="94">
        <v>30000</v>
      </c>
      <c r="G996" s="46"/>
      <c r="H996" s="46">
        <f>IFERROR(TRANSACTIONS!$F996+TRANSACTIONS!$G996,"")</f>
        <v>30000</v>
      </c>
      <c r="I996" s="57" t="s">
        <v>41</v>
      </c>
    </row>
    <row r="997" spans="1:10" x14ac:dyDescent="0.25">
      <c r="A997" s="41">
        <v>45390.687527199072</v>
      </c>
      <c r="B997" s="48">
        <f>IF(A997&lt;&gt;"",DATE(YEAR(TRANSACTIONS!$A997),MONTH(TRANSACTIONS!$A997),DAY(TRANSACTIONS!$A997)),"")</f>
        <v>45390</v>
      </c>
      <c r="C997" s="49">
        <f>IF(A997&lt;&gt;"",TIME(HOUR(TRANSACTIONS!$A997),MINUTE(TRANSACTIONS!$A997),SECOND(TRANSACTIONS!$A997)),"")</f>
        <v>0.68752314814814808</v>
      </c>
      <c r="D997" s="40" t="s">
        <v>62</v>
      </c>
      <c r="E997" s="40" t="s">
        <v>6</v>
      </c>
      <c r="F997" s="94">
        <v>5000</v>
      </c>
      <c r="G997" s="46"/>
      <c r="H997" s="46">
        <f>IFERROR(TRANSACTIONS!$F997+TRANSACTIONS!$G997,"")</f>
        <v>5000</v>
      </c>
      <c r="I997" s="57" t="s">
        <v>41</v>
      </c>
    </row>
    <row r="998" spans="1:10" x14ac:dyDescent="0.25">
      <c r="A998" s="41">
        <v>45390.68753703704</v>
      </c>
      <c r="B998" s="48">
        <f>IF(A998&lt;&gt;"",DATE(YEAR(TRANSACTIONS!$A998),MONTH(TRANSACTIONS!$A998),DAY(TRANSACTIONS!$A998)),"")</f>
        <v>45390</v>
      </c>
      <c r="C998" s="49">
        <f>IF(A998&lt;&gt;"",TIME(HOUR(TRANSACTIONS!$A998),MINUTE(TRANSACTIONS!$A998),SECOND(TRANSACTIONS!$A998)),"")</f>
        <v>0.68753472222222223</v>
      </c>
      <c r="D998" s="40" t="s">
        <v>62</v>
      </c>
      <c r="E998" s="40" t="s">
        <v>7</v>
      </c>
      <c r="F998" s="94">
        <v>10000</v>
      </c>
      <c r="G998" s="46"/>
      <c r="H998" s="46">
        <f>IFERROR(TRANSACTIONS!$F998+TRANSACTIONS!$G998,"")</f>
        <v>10000</v>
      </c>
      <c r="I998" s="57" t="s">
        <v>41</v>
      </c>
    </row>
    <row r="999" spans="1:10" x14ac:dyDescent="0.25">
      <c r="A999" s="41">
        <v>45390.687546643516</v>
      </c>
      <c r="B999" s="48">
        <f>IF(A999&lt;&gt;"",DATE(YEAR(TRANSACTIONS!$A999),MONTH(TRANSACTIONS!$A999),DAY(TRANSACTIONS!$A999)),"")</f>
        <v>45390</v>
      </c>
      <c r="C999" s="49">
        <f>IF(A999&lt;&gt;"",TIME(HOUR(TRANSACTIONS!$A999),MINUTE(TRANSACTIONS!$A999),SECOND(TRANSACTIONS!$A999)),"")</f>
        <v>0.68754629629629627</v>
      </c>
      <c r="D999" s="40" t="s">
        <v>62</v>
      </c>
      <c r="E999" s="40" t="s">
        <v>7</v>
      </c>
      <c r="F999" s="94">
        <v>25000</v>
      </c>
      <c r="G999" s="46"/>
      <c r="H999" s="46">
        <f>IFERROR(TRANSACTIONS!$F999+TRANSACTIONS!$G999,"")</f>
        <v>25000</v>
      </c>
      <c r="I999" s="57" t="s">
        <v>41</v>
      </c>
    </row>
    <row r="1000" spans="1:10" x14ac:dyDescent="0.25">
      <c r="A1000" s="41">
        <v>45390.690475694442</v>
      </c>
      <c r="B1000" s="48">
        <f>IF(A1000&lt;&gt;"",DATE(YEAR(TRANSACTIONS!$A1000),MONTH(TRANSACTIONS!$A1000),DAY(TRANSACTIONS!$A1000)),"")</f>
        <v>45390</v>
      </c>
      <c r="C1000" s="49">
        <f>IF(A1000&lt;&gt;"",TIME(HOUR(TRANSACTIONS!$A1000),MINUTE(TRANSACTIONS!$A1000),SECOND(TRANSACTIONS!$A1000)),"")</f>
        <v>0.69047453703703709</v>
      </c>
      <c r="D1000" s="40" t="s">
        <v>25</v>
      </c>
      <c r="E1000" s="40" t="s">
        <v>6</v>
      </c>
      <c r="F1000" s="94">
        <v>50000</v>
      </c>
      <c r="G1000" s="46"/>
      <c r="H1000" s="46">
        <f>IFERROR(TRANSACTIONS!$F1000+TRANSACTIONS!$G1000,"")</f>
        <v>50000</v>
      </c>
      <c r="I1000" s="57" t="s">
        <v>41</v>
      </c>
    </row>
    <row r="1001" spans="1:10" x14ac:dyDescent="0.25">
      <c r="A1001" s="41">
        <v>45390.690588310186</v>
      </c>
      <c r="B1001" s="48">
        <f>IF(A1001&lt;&gt;"",DATE(YEAR(TRANSACTIONS!$A1001),MONTH(TRANSACTIONS!$A1001),DAY(TRANSACTIONS!$A1001)),"")</f>
        <v>45390</v>
      </c>
      <c r="C1001" s="49">
        <f>IF(A1001&lt;&gt;"",TIME(HOUR(TRANSACTIONS!$A1001),MINUTE(TRANSACTIONS!$A1001),SECOND(TRANSACTIONS!$A1001)),"")</f>
        <v>0.69059027777777782</v>
      </c>
      <c r="D1001" s="40" t="s">
        <v>25</v>
      </c>
      <c r="E1001" s="40" t="s">
        <v>7</v>
      </c>
      <c r="F1001" s="94">
        <v>5000</v>
      </c>
      <c r="G1001" s="46"/>
      <c r="H1001" s="46">
        <f>IFERROR(TRANSACTIONS!$F1001+TRANSACTIONS!$G1001,"")</f>
        <v>5000</v>
      </c>
      <c r="I1001" s="57" t="s">
        <v>41</v>
      </c>
    </row>
    <row r="1002" spans="1:10" x14ac:dyDescent="0.25">
      <c r="A1002" s="41">
        <v>45390.690599305555</v>
      </c>
      <c r="B1002" s="48">
        <f>IF(A1002&lt;&gt;"",DATE(YEAR(TRANSACTIONS!$A1002),MONTH(TRANSACTIONS!$A1002),DAY(TRANSACTIONS!$A1002)),"")</f>
        <v>45390</v>
      </c>
      <c r="C1002" s="49">
        <f>IF(A1002&lt;&gt;"",TIME(HOUR(TRANSACTIONS!$A1002),MINUTE(TRANSACTIONS!$A1002),SECOND(TRANSACTIONS!$A1002)),"")</f>
        <v>0.69060185185185186</v>
      </c>
      <c r="D1002" s="40" t="s">
        <v>62</v>
      </c>
      <c r="E1002" s="82"/>
      <c r="F1002" s="82"/>
      <c r="G1002" s="46"/>
      <c r="H1002" s="46" t="str">
        <f>IFERROR(TRANSACTIONS!#REF!+TRANSACTIONS!$G1002,"")</f>
        <v/>
      </c>
      <c r="I1002" s="57" t="s">
        <v>41</v>
      </c>
    </row>
    <row r="1003" spans="1:10" x14ac:dyDescent="0.25">
      <c r="A1003" s="41">
        <v>45390.690616203705</v>
      </c>
      <c r="B1003" s="114">
        <f>IF(A1003&lt;&gt;"",DATE(YEAR(TRANSACTIONS!$A1003),MONTH(TRANSACTIONS!$A1003),DAY(TRANSACTIONS!$A1003)),"")</f>
        <v>45390</v>
      </c>
      <c r="C1003" s="115">
        <f>IF(A1003&lt;&gt;"",TIME(HOUR(TRANSACTIONS!$A1003),MINUTE(TRANSACTIONS!$A1003),SECOND(TRANSACTIONS!$A1003)),"")</f>
        <v>0.69061342592592589</v>
      </c>
      <c r="D1003" s="40" t="s">
        <v>62</v>
      </c>
      <c r="E1003" s="116"/>
      <c r="F1003" s="116"/>
      <c r="G1003" s="117"/>
      <c r="H1003" s="117" t="str">
        <f>IFERROR(TRANSACTIONS!#REF!+TRANSACTIONS!$G1003,"")</f>
        <v/>
      </c>
      <c r="I1003" s="123" t="s">
        <v>41</v>
      </c>
    </row>
    <row r="1004" spans="1:10" x14ac:dyDescent="0.25">
      <c r="A1004" s="41">
        <v>45390.690619212961</v>
      </c>
      <c r="B1004" s="91">
        <f>IF(A1004&lt;&gt;"",DATE(YEAR(TRANSACTIONS!$A1004),MONTH(TRANSACTIONS!$A1004),DAY(TRANSACTIONS!$A1004)),"")</f>
        <v>45390</v>
      </c>
      <c r="C1004" s="92">
        <f>IF(A1004&lt;&gt;"",TIME(HOUR(TRANSACTIONS!$A1004),MINUTE(TRANSACTIONS!$A1004),SECOND(TRANSACTIONS!$A1004)),"")</f>
        <v>0.69061342592592589</v>
      </c>
      <c r="E1004" s="82"/>
      <c r="F1004" s="82"/>
      <c r="G1004" s="95"/>
      <c r="H1004" s="95" t="str">
        <f>IFERROR(TRANSACTIONS!#REF!+TRANSACTIONS!$G1004,"")</f>
        <v/>
      </c>
      <c r="I1004" s="96" t="s">
        <v>41</v>
      </c>
    </row>
    <row r="1005" spans="1:10" x14ac:dyDescent="0.25">
      <c r="A1005" s="41"/>
      <c r="B1005" s="48" t="str">
        <f>IF(A1005&lt;&gt;"",DATE(YEAR(TRANSACTIONS!$A1005),MONTH(TRANSACTIONS!$A1005),DAY(TRANSACTIONS!$A1005)),"")</f>
        <v/>
      </c>
      <c r="C1005" s="49" t="str">
        <f>IF(A1005&lt;&gt;"",TIME(HOUR(TRANSACTIONS!$A1005),MINUTE(TRANSACTIONS!$A1005),SECOND(TRANSACTIONS!$A1005)),"")</f>
        <v/>
      </c>
      <c r="E1005" s="82"/>
      <c r="F1005" s="82"/>
      <c r="G1005" s="46"/>
      <c r="H1005" s="46" t="str">
        <f>IFERROR(TRANSACTIONS!#REF!+TRANSACTIONS!$G1005,"")</f>
        <v/>
      </c>
      <c r="I1005" s="57" t="s">
        <v>41</v>
      </c>
    </row>
    <row r="1006" spans="1:10" x14ac:dyDescent="0.25">
      <c r="A1006" s="41"/>
      <c r="B1006" s="48" t="str">
        <f>IF(A1006&lt;&gt;"",DATE(YEAR(TRANSACTIONS!$A1006),MONTH(TRANSACTIONS!$A1006),DAY(TRANSACTIONS!$A1006)),"")</f>
        <v/>
      </c>
      <c r="C1006" s="49" t="str">
        <f>IF(A1006&lt;&gt;"",TIME(HOUR(TRANSACTIONS!$A1006),MINUTE(TRANSACTIONS!$A1006),SECOND(TRANSACTIONS!$A1006)),"")</f>
        <v/>
      </c>
      <c r="E1006" s="82"/>
      <c r="F1006" s="82"/>
      <c r="G1006" s="46"/>
      <c r="H1006" s="46" t="str">
        <f>IFERROR(TRANSACTIONS!#REF!+TRANSACTIONS!$G1006,"")</f>
        <v/>
      </c>
      <c r="I1006" s="57" t="s">
        <v>41</v>
      </c>
    </row>
    <row r="1007" spans="1:10" x14ac:dyDescent="0.25">
      <c r="A1007" s="41"/>
      <c r="B1007" s="48" t="str">
        <f>IF(A1007&lt;&gt;"",DATE(YEAR(TRANSACTIONS!$A1007),MONTH(TRANSACTIONS!$A1007),DAY(TRANSACTIONS!$A1007)),"")</f>
        <v/>
      </c>
      <c r="C1007" s="49" t="str">
        <f>IF(A1007&lt;&gt;"",TIME(HOUR(TRANSACTIONS!$A1007),MINUTE(TRANSACTIONS!$A1007),SECOND(TRANSACTIONS!$A1007)),"")</f>
        <v/>
      </c>
      <c r="E1007" s="82"/>
      <c r="F1007" s="82"/>
      <c r="G1007" s="46"/>
      <c r="H1007" s="46" t="str">
        <f>IFERROR(TRANSACTIONS!#REF!+TRANSACTIONS!$G1007,"")</f>
        <v/>
      </c>
      <c r="I1007" s="57" t="s">
        <v>41</v>
      </c>
    </row>
    <row r="1008" spans="1:10" x14ac:dyDescent="0.25">
      <c r="A1008" s="41"/>
      <c r="B1008" s="48" t="str">
        <f>IF(A1008&lt;&gt;"",DATE(YEAR(TRANSACTIONS!$A1008),MONTH(TRANSACTIONS!$A1008),DAY(TRANSACTIONS!$A1008)),"")</f>
        <v/>
      </c>
      <c r="C1008" s="49" t="str">
        <f>IF(A1008&lt;&gt;"",TIME(HOUR(TRANSACTIONS!$A1008),MINUTE(TRANSACTIONS!$A1008),SECOND(TRANSACTIONS!$A1008)),"")</f>
        <v/>
      </c>
      <c r="E1008" s="82"/>
      <c r="F1008" s="82"/>
      <c r="G1008" s="46"/>
      <c r="H1008" s="46" t="str">
        <f>IFERROR(TRANSACTIONS!#REF!+TRANSACTIONS!$G1008,"")</f>
        <v/>
      </c>
      <c r="I1008" s="57" t="s">
        <v>41</v>
      </c>
    </row>
    <row r="1009" spans="1:10" x14ac:dyDescent="0.25">
      <c r="A1009" s="41">
        <v>45390.70779108796</v>
      </c>
      <c r="B1009" s="48">
        <f>IF(A1009&lt;&gt;"",DATE(YEAR(TRANSACTIONS!$A1009),MONTH(TRANSACTIONS!$A1009),DAY(TRANSACTIONS!$A1009)),"")</f>
        <v>45390</v>
      </c>
      <c r="C1009" s="49">
        <f>IF(A1009&lt;&gt;"",TIME(HOUR(TRANSACTIONS!$A1009),MINUTE(TRANSACTIONS!$A1009),SECOND(TRANSACTIONS!$A1009)),"")</f>
        <v>0.70778935185185177</v>
      </c>
      <c r="E1009" s="82"/>
      <c r="F1009" s="82"/>
      <c r="G1009" s="46"/>
      <c r="H1009" s="46" t="str">
        <f>IFERROR(TRANSACTIONS!#REF!+TRANSACTIONS!$G1009,"")</f>
        <v/>
      </c>
      <c r="I1009" s="57" t="s">
        <v>41</v>
      </c>
    </row>
    <row r="1010" spans="1:10" x14ac:dyDescent="0.25">
      <c r="A1010" s="41"/>
      <c r="B1010" s="48" t="str">
        <f>IF(A1010&lt;&gt;"",DATE(YEAR(TRANSACTIONS!$A1010),MONTH(TRANSACTIONS!$A1010),DAY(TRANSACTIONS!$A1010)),"")</f>
        <v/>
      </c>
      <c r="C1010" s="49" t="str">
        <f>IF(A1010&lt;&gt;"",TIME(HOUR(TRANSACTIONS!$A1010),MINUTE(TRANSACTIONS!$A1010),SECOND(TRANSACTIONS!$A1010)),"")</f>
        <v/>
      </c>
      <c r="E1010" s="82"/>
      <c r="F1010" s="82"/>
      <c r="G1010" s="46"/>
      <c r="H1010" s="46" t="str">
        <f>IFERROR(TRANSACTIONS!#REF!+TRANSACTIONS!$G1010,"")</f>
        <v/>
      </c>
      <c r="I1010" s="57" t="s">
        <v>41</v>
      </c>
    </row>
    <row r="1011" spans="1:10" x14ac:dyDescent="0.25">
      <c r="A1011" s="41"/>
      <c r="B1011" s="161" t="str">
        <f>IF(A1011&lt;&gt;"",DATE(YEAR(TRANSACTIONS!$A1011),MONTH(TRANSACTIONS!$A1011),DAY(TRANSACTIONS!$A1011)),"")</f>
        <v/>
      </c>
      <c r="C1011" s="162" t="str">
        <f>IF(A1011&lt;&gt;"",TIME(HOUR(TRANSACTIONS!$A1011),MINUTE(TRANSACTIONS!$A1011),SECOND(TRANSACTIONS!$A1011)),"")</f>
        <v/>
      </c>
      <c r="E1011" s="82"/>
      <c r="F1011" s="82"/>
      <c r="G1011" s="163"/>
      <c r="H1011" s="163" t="str">
        <f>IFERROR(TRANSACTIONS!#REF!+TRANSACTIONS!$G1011,"")</f>
        <v/>
      </c>
      <c r="I1011" s="164" t="s">
        <v>41</v>
      </c>
      <c r="J1011" s="165"/>
    </row>
    <row r="1012" spans="1:10" x14ac:dyDescent="0.25">
      <c r="A1012" s="41"/>
      <c r="B1012" s="48" t="str">
        <f>IF(A1012&lt;&gt;"",DATE(YEAR(TRANSACTIONS!$A1012),MONTH(TRANSACTIONS!$A1012),DAY(TRANSACTIONS!$A1012)),"")</f>
        <v/>
      </c>
      <c r="C1012" s="49" t="str">
        <f>IF(A1012&lt;&gt;"",TIME(HOUR(TRANSACTIONS!$A1012),MINUTE(TRANSACTIONS!$A1012),SECOND(TRANSACTIONS!$A1012)),"")</f>
        <v/>
      </c>
      <c r="E1012" s="82"/>
      <c r="F1012" s="82"/>
      <c r="G1012" s="46"/>
      <c r="H1012" s="46" t="str">
        <f>IFERROR(TRANSACTIONS!#REF!+TRANSACTIONS!$G1012,"")</f>
        <v/>
      </c>
      <c r="I1012" s="57" t="s">
        <v>41</v>
      </c>
    </row>
    <row r="1013" spans="1:10" x14ac:dyDescent="0.25">
      <c r="A1013" s="41"/>
      <c r="B1013" s="48" t="str">
        <f>IF(A1013&lt;&gt;"",DATE(YEAR(TRANSACTIONS!$A1013),MONTH(TRANSACTIONS!$A1013),DAY(TRANSACTIONS!$A1013)),"")</f>
        <v/>
      </c>
      <c r="C1013" s="49" t="str">
        <f>IF(A1013&lt;&gt;"",TIME(HOUR(TRANSACTIONS!$A1013),MINUTE(TRANSACTIONS!$A1013),SECOND(TRANSACTIONS!$A1013)),"")</f>
        <v/>
      </c>
      <c r="E1013" s="93"/>
      <c r="F1013" s="93"/>
      <c r="G1013" s="46"/>
      <c r="H1013" s="46" t="str">
        <f>IFERROR(TRANSACTIONS!#REF!+TRANSACTIONS!$G1013,"")</f>
        <v/>
      </c>
      <c r="I1013" s="57" t="s">
        <v>41</v>
      </c>
    </row>
    <row r="1014" spans="1:10" x14ac:dyDescent="0.25">
      <c r="A1014" s="41"/>
      <c r="B1014" s="48" t="str">
        <f>IF(A1014&lt;&gt;"",DATE(YEAR(TRANSACTIONS!$A1014),MONTH(TRANSACTIONS!$A1014),DAY(TRANSACTIONS!$A1014)),"")</f>
        <v/>
      </c>
      <c r="C1014" s="49" t="str">
        <f>IF(A1014&lt;&gt;"",TIME(HOUR(TRANSACTIONS!$A1014),MINUTE(TRANSACTIONS!$A1014),SECOND(TRANSACTIONS!$A1014)),"")</f>
        <v/>
      </c>
      <c r="E1014" s="82"/>
      <c r="F1014" s="82"/>
      <c r="G1014" s="46"/>
      <c r="H1014" s="46" t="str">
        <f>IFERROR(TRANSACTIONS!#REF!+TRANSACTIONS!$G1014,"")</f>
        <v/>
      </c>
      <c r="I1014" s="57" t="s">
        <v>41</v>
      </c>
    </row>
    <row r="1015" spans="1:10" x14ac:dyDescent="0.25">
      <c r="A1015" s="41">
        <v>45390.721723958333</v>
      </c>
      <c r="B1015" s="48">
        <f>IF(A1015&lt;&gt;"",DATE(YEAR(TRANSACTIONS!$A1015),MONTH(TRANSACTIONS!$A1015),DAY(TRANSACTIONS!$A1015)),"")</f>
        <v>45390</v>
      </c>
      <c r="C1015" s="49">
        <f>IF(A1015&lt;&gt;"",TIME(HOUR(TRANSACTIONS!$A1015),MINUTE(TRANSACTIONS!$A1015),SECOND(TRANSACTIONS!$A1015)),"")</f>
        <v>0.72172453703703709</v>
      </c>
      <c r="D1015" s="40" t="s">
        <v>62</v>
      </c>
      <c r="E1015" s="82"/>
      <c r="F1015" s="82"/>
      <c r="G1015" s="46"/>
      <c r="H1015" s="46" t="str">
        <f>IFERROR(TRANSACTIONS!#REF!+TRANSACTIONS!$G1015,"")</f>
        <v/>
      </c>
      <c r="I1015" s="57" t="s">
        <v>41</v>
      </c>
    </row>
    <row r="1016" spans="1:10" x14ac:dyDescent="0.25">
      <c r="A1016" s="41"/>
      <c r="B1016" s="48" t="str">
        <f>IF(A1016&lt;&gt;"",DATE(YEAR(TRANSACTIONS!$A1016),MONTH(TRANSACTIONS!$A1016),DAY(TRANSACTIONS!$A1016)),"")</f>
        <v/>
      </c>
      <c r="C1016" s="49" t="str">
        <f>IF(A1016&lt;&gt;"",TIME(HOUR(TRANSACTIONS!$A1016),MINUTE(TRANSACTIONS!$A1016),SECOND(TRANSACTIONS!$A1016)),"")</f>
        <v/>
      </c>
      <c r="E1016" s="82"/>
      <c r="F1016" s="82"/>
      <c r="G1016" s="46"/>
      <c r="H1016" s="46" t="str">
        <f>IFERROR(TRANSACTIONS!#REF!+TRANSACTIONS!$G1016,"")</f>
        <v/>
      </c>
      <c r="I1016" s="57" t="s">
        <v>41</v>
      </c>
    </row>
    <row r="1017" spans="1:10" x14ac:dyDescent="0.25">
      <c r="A1017" s="41"/>
      <c r="B1017" s="48" t="str">
        <f>IF(A1017&lt;&gt;"",DATE(YEAR(TRANSACTIONS!$A1017),MONTH(TRANSACTIONS!$A1017),DAY(TRANSACTIONS!$A1017)),"")</f>
        <v/>
      </c>
      <c r="C1017" s="49" t="str">
        <f>IF(A1017&lt;&gt;"",TIME(HOUR(TRANSACTIONS!$A1017),MINUTE(TRANSACTIONS!$A1017),SECOND(TRANSACTIONS!$A1017)),"")</f>
        <v/>
      </c>
      <c r="E1017" s="82"/>
      <c r="F1017" s="82"/>
      <c r="G1017" s="46"/>
      <c r="H1017" s="46" t="str">
        <f>IFERROR(TRANSACTIONS!#REF!+TRANSACTIONS!$G1017,"")</f>
        <v/>
      </c>
      <c r="I1017" s="57" t="s">
        <v>41</v>
      </c>
    </row>
    <row r="1018" spans="1:10" x14ac:dyDescent="0.25">
      <c r="A1018" s="41"/>
      <c r="B1018" s="48" t="str">
        <f>IF(A1018&lt;&gt;"",DATE(YEAR(TRANSACTIONS!$A1018),MONTH(TRANSACTIONS!$A1018),DAY(TRANSACTIONS!$A1018)),"")</f>
        <v/>
      </c>
      <c r="C1018" s="49" t="str">
        <f>IF(A1018&lt;&gt;"",TIME(HOUR(TRANSACTIONS!$A1018),MINUTE(TRANSACTIONS!$A1018),SECOND(TRANSACTIONS!$A1018)),"")</f>
        <v/>
      </c>
      <c r="E1018" s="82"/>
      <c r="F1018" s="82"/>
      <c r="G1018" s="46"/>
      <c r="H1018" s="46" t="str">
        <f>IFERROR(TRANSACTIONS!#REF!+TRANSACTIONS!$G1018,"")</f>
        <v/>
      </c>
      <c r="I1018" s="57" t="s">
        <v>41</v>
      </c>
    </row>
    <row r="1019" spans="1:10" x14ac:dyDescent="0.25">
      <c r="A1019" s="41"/>
      <c r="B1019" s="48" t="str">
        <f>IF(A1019&lt;&gt;"",DATE(YEAR(TRANSACTIONS!$A1019),MONTH(TRANSACTIONS!$A1019),DAY(TRANSACTIONS!$A1019)),"")</f>
        <v/>
      </c>
      <c r="C1019" s="49" t="str">
        <f>IF(A1019&lt;&gt;"",TIME(HOUR(TRANSACTIONS!$A1019),MINUTE(TRANSACTIONS!$A1019),SECOND(TRANSACTIONS!$A1019)),"")</f>
        <v/>
      </c>
      <c r="E1019" s="82"/>
      <c r="F1019" s="82"/>
      <c r="G1019" s="46"/>
      <c r="H1019" s="46" t="str">
        <f>IFERROR(TRANSACTIONS!#REF!+TRANSACTIONS!$G1019,"")</f>
        <v/>
      </c>
      <c r="I1019" s="57" t="s">
        <v>41</v>
      </c>
    </row>
    <row r="1020" spans="1:10" x14ac:dyDescent="0.25">
      <c r="A1020" s="41"/>
      <c r="B1020" s="48" t="str">
        <f>IF(A1020&lt;&gt;"",DATE(YEAR(TRANSACTIONS!$A1020),MONTH(TRANSACTIONS!$A1020),DAY(TRANSACTIONS!$A1020)),"")</f>
        <v/>
      </c>
      <c r="C1020" s="49" t="str">
        <f>IF(A1020&lt;&gt;"",TIME(HOUR(TRANSACTIONS!$A1020),MINUTE(TRANSACTIONS!$A1020),SECOND(TRANSACTIONS!$A1020)),"")</f>
        <v/>
      </c>
      <c r="E1020" s="82"/>
      <c r="F1020" s="82"/>
      <c r="G1020" s="46"/>
      <c r="H1020" s="46" t="str">
        <f>IFERROR(TRANSACTIONS!#REF!+TRANSACTIONS!$G1020,"")</f>
        <v/>
      </c>
      <c r="I1020" s="57" t="s">
        <v>41</v>
      </c>
    </row>
    <row r="1021" spans="1:10" x14ac:dyDescent="0.25">
      <c r="A1021" s="41"/>
      <c r="B1021" s="48" t="str">
        <f>IF(A1021&lt;&gt;"",DATE(YEAR(TRANSACTIONS!$A1021),MONTH(TRANSACTIONS!$A1021),DAY(TRANSACTIONS!$A1021)),"")</f>
        <v/>
      </c>
      <c r="C1021" s="49" t="str">
        <f>IF(A1021&lt;&gt;"",TIME(HOUR(TRANSACTIONS!$A1021),MINUTE(TRANSACTIONS!$A1021),SECOND(TRANSACTIONS!$A1021)),"")</f>
        <v/>
      </c>
      <c r="E1021" s="82"/>
      <c r="F1021" s="82"/>
      <c r="G1021" s="46"/>
      <c r="H1021" s="46" t="str">
        <f>IFERROR(TRANSACTIONS!#REF!+TRANSACTIONS!$G1021,"")</f>
        <v/>
      </c>
      <c r="I1021" s="57" t="s">
        <v>41</v>
      </c>
    </row>
    <row r="1022" spans="1:10" x14ac:dyDescent="0.25">
      <c r="A1022" s="41"/>
      <c r="B1022" s="48" t="str">
        <f>IF(A1022&lt;&gt;"",DATE(YEAR(TRANSACTIONS!$A1022),MONTH(TRANSACTIONS!$A1022),DAY(TRANSACTIONS!$A1022)),"")</f>
        <v/>
      </c>
      <c r="C1022" s="49" t="str">
        <f>IF(A1022&lt;&gt;"",TIME(HOUR(TRANSACTIONS!$A1022),MINUTE(TRANSACTIONS!$A1022),SECOND(TRANSACTIONS!$A1022)),"")</f>
        <v/>
      </c>
      <c r="E1022" s="82"/>
      <c r="F1022" s="82"/>
      <c r="G1022" s="46"/>
      <c r="H1022" s="46" t="str">
        <f>IFERROR(TRANSACTIONS!#REF!+TRANSACTIONS!$G1022,"")</f>
        <v/>
      </c>
      <c r="I1022" s="57" t="s">
        <v>41</v>
      </c>
    </row>
    <row r="1023" spans="1:10" x14ac:dyDescent="0.25">
      <c r="A1023" s="41"/>
      <c r="B1023" s="48" t="str">
        <f>IF(A1023&lt;&gt;"",DATE(YEAR(TRANSACTIONS!$A1023),MONTH(TRANSACTIONS!$A1023),DAY(TRANSACTIONS!$A1023)),"")</f>
        <v/>
      </c>
      <c r="C1023" s="49" t="str">
        <f>IF(A1023&lt;&gt;"",TIME(HOUR(TRANSACTIONS!$A1023),MINUTE(TRANSACTIONS!$A1023),SECOND(TRANSACTIONS!$A1023)),"")</f>
        <v/>
      </c>
      <c r="E1023" s="82"/>
      <c r="F1023" s="82"/>
      <c r="G1023" s="46"/>
      <c r="H1023" s="46" t="str">
        <f>IFERROR(TRANSACTIONS!#REF!+TRANSACTIONS!$G1023,"")</f>
        <v/>
      </c>
      <c r="I1023" s="57" t="s">
        <v>41</v>
      </c>
    </row>
    <row r="1024" spans="1:10" x14ac:dyDescent="0.25">
      <c r="A1024" s="41"/>
      <c r="B1024" s="48" t="str">
        <f>IF(A1024&lt;&gt;"",DATE(YEAR(TRANSACTIONS!$A1024),MONTH(TRANSACTIONS!$A1024),DAY(TRANSACTIONS!$A1024)),"")</f>
        <v/>
      </c>
      <c r="C1024" s="49" t="str">
        <f>IF(A1024&lt;&gt;"",TIME(HOUR(TRANSACTIONS!$A1024),MINUTE(TRANSACTIONS!$A1024),SECOND(TRANSACTIONS!$A1024)),"")</f>
        <v/>
      </c>
      <c r="E1024" s="82"/>
      <c r="F1024" s="82"/>
      <c r="G1024" s="46"/>
      <c r="H1024" s="46" t="str">
        <f>IFERROR(TRANSACTIONS!#REF!+TRANSACTIONS!$G1024,"")</f>
        <v/>
      </c>
      <c r="I1024" s="57" t="s">
        <v>41</v>
      </c>
    </row>
    <row r="1025" spans="1:9" x14ac:dyDescent="0.25">
      <c r="A1025" s="41"/>
      <c r="B1025" s="48" t="str">
        <f>IF(A1025&lt;&gt;"",DATE(YEAR(TRANSACTIONS!$A1025),MONTH(TRANSACTIONS!$A1025),DAY(TRANSACTIONS!$A1025)),"")</f>
        <v/>
      </c>
      <c r="C1025" s="49" t="str">
        <f>IF(A1025&lt;&gt;"",TIME(HOUR(TRANSACTIONS!$A1025),MINUTE(TRANSACTIONS!$A1025),SECOND(TRANSACTIONS!$A1025)),"")</f>
        <v/>
      </c>
      <c r="E1025" s="82"/>
      <c r="F1025" s="82"/>
      <c r="G1025" s="46"/>
      <c r="H1025" s="46" t="str">
        <f>IFERROR(TRANSACTIONS!#REF!+TRANSACTIONS!$G1025,"")</f>
        <v/>
      </c>
      <c r="I1025" s="57" t="s">
        <v>41</v>
      </c>
    </row>
    <row r="1026" spans="1:9" x14ac:dyDescent="0.25">
      <c r="A1026" s="41"/>
      <c r="B1026" s="114" t="str">
        <f>IF(A1026&lt;&gt;"",DATE(YEAR(TRANSACTIONS!$A1026),MONTH(TRANSACTIONS!$A1026),DAY(TRANSACTIONS!$A1026)),"")</f>
        <v/>
      </c>
      <c r="C1026" s="115" t="str">
        <f>IF(A1026&lt;&gt;"",TIME(HOUR(TRANSACTIONS!$A1026),MINUTE(TRANSACTIONS!$A1026),SECOND(TRANSACTIONS!$A1026)),"")</f>
        <v/>
      </c>
      <c r="E1026" s="82"/>
      <c r="F1026" s="82"/>
      <c r="G1026" s="117"/>
      <c r="H1026" s="117" t="str">
        <f>IFERROR(TRANSACTIONS!#REF!+TRANSACTIONS!$G1026,"")</f>
        <v/>
      </c>
      <c r="I1026" s="123" t="s">
        <v>41</v>
      </c>
    </row>
    <row r="1027" spans="1:9" x14ac:dyDescent="0.25">
      <c r="A1027" s="41"/>
      <c r="B1027" s="48" t="str">
        <f>IF(A1027&lt;&gt;"",DATE(YEAR(TRANSACTIONS!$A1027),MONTH(TRANSACTIONS!$A1027),DAY(TRANSACTIONS!$A1027)),"")</f>
        <v/>
      </c>
      <c r="C1027" s="49" t="str">
        <f>IF(A1027&lt;&gt;"",TIME(HOUR(TRANSACTIONS!$A1027),MINUTE(TRANSACTIONS!$A1027),SECOND(TRANSACTIONS!$A1027)),"")</f>
        <v/>
      </c>
      <c r="E1027" s="82"/>
      <c r="F1027" s="82"/>
      <c r="G1027" s="46"/>
      <c r="H1027" s="46" t="str">
        <f>IFERROR(TRANSACTIONS!#REF!+TRANSACTIONS!$G1027,"")</f>
        <v/>
      </c>
      <c r="I1027" s="57" t="s">
        <v>41</v>
      </c>
    </row>
    <row r="1028" spans="1:9" x14ac:dyDescent="0.25">
      <c r="A1028" s="41"/>
      <c r="B1028" s="48" t="str">
        <f>IF(A1028&lt;&gt;"",DATE(YEAR(TRANSACTIONS!$A1028),MONTH(TRANSACTIONS!$A1028),DAY(TRANSACTIONS!$A1028)),"")</f>
        <v/>
      </c>
      <c r="C1028" s="49" t="str">
        <f>IF(A1028&lt;&gt;"",TIME(HOUR(TRANSACTIONS!$A1028),MINUTE(TRANSACTIONS!$A1028),SECOND(TRANSACTIONS!$A1028)),"")</f>
        <v/>
      </c>
      <c r="E1028" s="82"/>
      <c r="F1028" s="82"/>
      <c r="G1028" s="46"/>
      <c r="H1028" s="46" t="str">
        <f>IFERROR(TRANSACTIONS!#REF!+TRANSACTIONS!$G1028,"")</f>
        <v/>
      </c>
      <c r="I1028" s="57" t="s">
        <v>41</v>
      </c>
    </row>
    <row r="1029" spans="1:9" x14ac:dyDescent="0.25">
      <c r="A1029" s="41"/>
      <c r="B1029" s="48" t="str">
        <f>IF(A1029&lt;&gt;"",DATE(YEAR(TRANSACTIONS!$A1029),MONTH(TRANSACTIONS!$A1029),DAY(TRANSACTIONS!$A1029)),"")</f>
        <v/>
      </c>
      <c r="C1029" s="49" t="str">
        <f>IF(A1029&lt;&gt;"",TIME(HOUR(TRANSACTIONS!$A1029),MINUTE(TRANSACTIONS!$A1029),SECOND(TRANSACTIONS!$A1029)),"")</f>
        <v/>
      </c>
      <c r="E1029" s="82"/>
      <c r="F1029" s="82"/>
      <c r="G1029" s="46"/>
      <c r="H1029" s="46" t="str">
        <f>IFERROR(TRANSACTIONS!#REF!+TRANSACTIONS!$G1029,"")</f>
        <v/>
      </c>
      <c r="I1029" s="57" t="s">
        <v>41</v>
      </c>
    </row>
    <row r="1030" spans="1:9" x14ac:dyDescent="0.25">
      <c r="A1030" s="41"/>
      <c r="B1030" s="48" t="str">
        <f>IF(A1030&lt;&gt;"",DATE(YEAR(TRANSACTIONS!$A1030),MONTH(TRANSACTIONS!$A1030),DAY(TRANSACTIONS!$A1030)),"")</f>
        <v/>
      </c>
      <c r="C1030" s="49" t="str">
        <f>IF(A1030&lt;&gt;"",TIME(HOUR(TRANSACTIONS!$A1030),MINUTE(TRANSACTIONS!$A1030),SECOND(TRANSACTIONS!$A1030)),"")</f>
        <v/>
      </c>
      <c r="E1030" s="82"/>
      <c r="F1030" s="82"/>
      <c r="G1030" s="46"/>
      <c r="H1030" s="46" t="str">
        <f>IFERROR(TRANSACTIONS!#REF!+TRANSACTIONS!$G1030,"")</f>
        <v/>
      </c>
      <c r="I1030" s="57" t="s">
        <v>41</v>
      </c>
    </row>
    <row r="1031" spans="1:9" x14ac:dyDescent="0.25">
      <c r="A1031" s="41"/>
      <c r="B1031" s="48" t="str">
        <f>IF(A1031&lt;&gt;"",DATE(YEAR(TRANSACTIONS!$A1031),MONTH(TRANSACTIONS!$A1031),DAY(TRANSACTIONS!$A1031)),"")</f>
        <v/>
      </c>
      <c r="C1031" s="49" t="str">
        <f>IF(A1031&lt;&gt;"",TIME(HOUR(TRANSACTIONS!$A1031),MINUTE(TRANSACTIONS!$A1031),SECOND(TRANSACTIONS!$A1031)),"")</f>
        <v/>
      </c>
      <c r="E1031" s="82"/>
      <c r="F1031" s="82"/>
      <c r="G1031" s="46"/>
      <c r="H1031" s="46" t="str">
        <f>IFERROR(TRANSACTIONS!#REF!+TRANSACTIONS!$G1031,"")</f>
        <v/>
      </c>
      <c r="I1031" s="57" t="s">
        <v>41</v>
      </c>
    </row>
    <row r="1032" spans="1:9" x14ac:dyDescent="0.25">
      <c r="A1032" s="41"/>
      <c r="B1032" s="48" t="str">
        <f>IF(A1032&lt;&gt;"",DATE(YEAR(TRANSACTIONS!$A1032),MONTH(TRANSACTIONS!$A1032),DAY(TRANSACTIONS!$A1032)),"")</f>
        <v/>
      </c>
      <c r="C1032" s="49" t="str">
        <f>IF(A1032&lt;&gt;"",TIME(HOUR(TRANSACTIONS!$A1032),MINUTE(TRANSACTIONS!$A1032),SECOND(TRANSACTIONS!$A1032)),"")</f>
        <v/>
      </c>
      <c r="E1032" s="82"/>
      <c r="F1032" s="82"/>
      <c r="G1032" s="46"/>
      <c r="H1032" s="46" t="str">
        <f>IFERROR(TRANSACTIONS!#REF!+TRANSACTIONS!$G1032,"")</f>
        <v/>
      </c>
      <c r="I1032" s="57" t="s">
        <v>41</v>
      </c>
    </row>
    <row r="1033" spans="1:9" x14ac:dyDescent="0.25">
      <c r="A1033" s="41"/>
      <c r="B1033" s="83" t="str">
        <f>IF(A1033&lt;&gt;"",DATE(YEAR(TRANSACTIONS!$A1033),MONTH(TRANSACTIONS!$A1033),DAY(TRANSACTIONS!$A1033)),"")</f>
        <v/>
      </c>
      <c r="C1033" s="84" t="str">
        <f>IF(A1033&lt;&gt;"",TIME(HOUR(TRANSACTIONS!$A1033),MINUTE(TRANSACTIONS!$A1033),SECOND(TRANSACTIONS!$A1033)),"")</f>
        <v/>
      </c>
      <c r="E1033" s="82"/>
      <c r="F1033" s="82"/>
      <c r="G1033" s="86"/>
      <c r="H1033" s="86" t="str">
        <f>IFERROR(TRANSACTIONS!#REF!+TRANSACTIONS!$G1033,"")</f>
        <v/>
      </c>
      <c r="I1033" s="87" t="s">
        <v>41</v>
      </c>
    </row>
    <row r="1034" spans="1:9" x14ac:dyDescent="0.25">
      <c r="A1034" s="41"/>
      <c r="B1034" s="48" t="str">
        <f>IF(A1034&lt;&gt;"",DATE(YEAR(TRANSACTIONS!$A1034),MONTH(TRANSACTIONS!$A1034),DAY(TRANSACTIONS!$A1034)),"")</f>
        <v/>
      </c>
      <c r="C1034" s="49" t="str">
        <f>IF(A1034&lt;&gt;"",TIME(HOUR(TRANSACTIONS!$A1034),MINUTE(TRANSACTIONS!$A1034),SECOND(TRANSACTIONS!$A1034)),"")</f>
        <v/>
      </c>
      <c r="E1034" s="82"/>
      <c r="F1034" s="82"/>
      <c r="G1034" s="46"/>
      <c r="H1034" s="46" t="str">
        <f>IFERROR(TRANSACTIONS!#REF!+TRANSACTIONS!$G1034,"")</f>
        <v/>
      </c>
      <c r="I1034" s="57" t="s">
        <v>41</v>
      </c>
    </row>
    <row r="1035" spans="1:9" x14ac:dyDescent="0.25">
      <c r="A1035" s="41"/>
      <c r="B1035" s="48" t="str">
        <f>IF(A1035&lt;&gt;"",DATE(YEAR(TRANSACTIONS!$A1035),MONTH(TRANSACTIONS!$A1035),DAY(TRANSACTIONS!$A1035)),"")</f>
        <v/>
      </c>
      <c r="C1035" s="49" t="str">
        <f>IF(A1035&lt;&gt;"",TIME(HOUR(TRANSACTIONS!$A1035),MINUTE(TRANSACTIONS!$A1035),SECOND(TRANSACTIONS!$A1035)),"")</f>
        <v/>
      </c>
      <c r="E1035" s="82"/>
      <c r="F1035" s="82"/>
      <c r="G1035" s="46"/>
      <c r="H1035" s="46" t="str">
        <f>IFERROR(TRANSACTIONS!#REF!+TRANSACTIONS!$G1035,"")</f>
        <v/>
      </c>
      <c r="I1035" s="57" t="s">
        <v>41</v>
      </c>
    </row>
    <row r="1036" spans="1:9" x14ac:dyDescent="0.25">
      <c r="A1036" s="41"/>
      <c r="B1036" s="48" t="str">
        <f>IF(A1036&lt;&gt;"",DATE(YEAR(TRANSACTIONS!$A1036),MONTH(TRANSACTIONS!$A1036),DAY(TRANSACTIONS!$A1036)),"")</f>
        <v/>
      </c>
      <c r="C1036" s="49" t="str">
        <f>IF(A1036&lt;&gt;"",TIME(HOUR(TRANSACTIONS!$A1036),MINUTE(TRANSACTIONS!$A1036),SECOND(TRANSACTIONS!$A1036)),"")</f>
        <v/>
      </c>
      <c r="E1036" s="82"/>
      <c r="F1036" s="82"/>
      <c r="G1036" s="46"/>
      <c r="H1036" s="46">
        <f>IFERROR(TRANSACTIONS!$F1046+TRANSACTIONS!$G1036,"")</f>
        <v>0</v>
      </c>
      <c r="I1036" s="57" t="s">
        <v>41</v>
      </c>
    </row>
    <row r="1037" spans="1:9" x14ac:dyDescent="0.25">
      <c r="A1037" s="41"/>
      <c r="B1037" s="48" t="str">
        <f>IF(A1037&lt;&gt;"",DATE(YEAR(TRANSACTIONS!$A1037),MONTH(TRANSACTIONS!$A1037),DAY(TRANSACTIONS!$A1037)),"")</f>
        <v/>
      </c>
      <c r="C1037" s="49" t="str">
        <f>IF(A1037&lt;&gt;"",TIME(HOUR(TRANSACTIONS!$A1037),MINUTE(TRANSACTIONS!$A1037),SECOND(TRANSACTIONS!$A1037)),"")</f>
        <v/>
      </c>
      <c r="E1037" s="82"/>
      <c r="F1037" s="82"/>
      <c r="G1037" s="46"/>
      <c r="H1037" s="46" t="str">
        <f>IFERROR(TRANSACTIONS!#REF!+TRANSACTIONS!$G1037,"")</f>
        <v/>
      </c>
      <c r="I1037" s="57" t="s">
        <v>41</v>
      </c>
    </row>
    <row r="1038" spans="1:9" x14ac:dyDescent="0.25">
      <c r="A1038" s="41"/>
      <c r="B1038" s="48" t="str">
        <f>IF(A1038&lt;&gt;"",DATE(YEAR(TRANSACTIONS!$A1038),MONTH(TRANSACTIONS!$A1038),DAY(TRANSACTIONS!$A1038)),"")</f>
        <v/>
      </c>
      <c r="C1038" s="49" t="str">
        <f>IF(A1038&lt;&gt;"",TIME(HOUR(TRANSACTIONS!$A1038),MINUTE(TRANSACTIONS!$A1038),SECOND(TRANSACTIONS!$A1038)),"")</f>
        <v/>
      </c>
      <c r="E1038" s="82"/>
      <c r="F1038" s="82"/>
      <c r="G1038" s="46"/>
      <c r="H1038" s="46" t="str">
        <f>IFERROR(TRANSACTIONS!#REF!+TRANSACTIONS!$G1038,"")</f>
        <v/>
      </c>
      <c r="I1038" s="57" t="s">
        <v>41</v>
      </c>
    </row>
    <row r="1039" spans="1:9" x14ac:dyDescent="0.25">
      <c r="A1039" s="41"/>
      <c r="B1039" s="48" t="str">
        <f>IF(A1039&lt;&gt;"",DATE(YEAR(TRANSACTIONS!$A1039),MONTH(TRANSACTIONS!$A1039),DAY(TRANSACTIONS!$A1039)),"")</f>
        <v/>
      </c>
      <c r="C1039" s="49" t="str">
        <f>IF(A1039&lt;&gt;"",TIME(HOUR(TRANSACTIONS!$A1039),MINUTE(TRANSACTIONS!$A1039),SECOND(TRANSACTIONS!$A1039)),"")</f>
        <v/>
      </c>
      <c r="E1039" s="82"/>
      <c r="F1039" s="82"/>
      <c r="G1039" s="46"/>
      <c r="H1039" s="46" t="str">
        <f>IFERROR(TRANSACTIONS!#REF!+TRANSACTIONS!$G1039,"")</f>
        <v/>
      </c>
      <c r="I1039" s="57" t="s">
        <v>41</v>
      </c>
    </row>
    <row r="1040" spans="1:9" x14ac:dyDescent="0.25">
      <c r="A1040" s="41"/>
      <c r="B1040" s="48" t="str">
        <f>IF(A1040&lt;&gt;"",DATE(YEAR(TRANSACTIONS!$A1040),MONTH(TRANSACTIONS!$A1040),DAY(TRANSACTIONS!$A1040)),"")</f>
        <v/>
      </c>
      <c r="C1040" s="49" t="str">
        <f>IF(A1040&lt;&gt;"",TIME(HOUR(TRANSACTIONS!$A1040),MINUTE(TRANSACTIONS!$A1040),SECOND(TRANSACTIONS!$A1040)),"")</f>
        <v/>
      </c>
      <c r="E1040" s="82"/>
      <c r="F1040" s="82"/>
      <c r="G1040" s="46"/>
      <c r="H1040" s="46" t="str">
        <f>IFERROR(TRANSACTIONS!#REF!+TRANSACTIONS!$G1040,"")</f>
        <v/>
      </c>
      <c r="I1040" s="57" t="s">
        <v>41</v>
      </c>
    </row>
    <row r="1041" spans="1:9" x14ac:dyDescent="0.25">
      <c r="A1041" s="41"/>
      <c r="B1041" s="48" t="str">
        <f>IF(A1041&lt;&gt;"",DATE(YEAR(TRANSACTIONS!$A1041),MONTH(TRANSACTIONS!$A1041),DAY(TRANSACTIONS!$A1041)),"")</f>
        <v/>
      </c>
      <c r="C1041" s="49" t="str">
        <f>IF(A1041&lt;&gt;"",TIME(HOUR(TRANSACTIONS!$A1041),MINUTE(TRANSACTIONS!$A1041),SECOND(TRANSACTIONS!$A1041)),"")</f>
        <v/>
      </c>
      <c r="E1041" s="82"/>
      <c r="F1041" s="82"/>
      <c r="G1041" s="46"/>
      <c r="H1041" s="46" t="str">
        <f>IFERROR(TRANSACTIONS!#REF!+TRANSACTIONS!$G1041,"")</f>
        <v/>
      </c>
      <c r="I1041" s="57" t="s">
        <v>41</v>
      </c>
    </row>
    <row r="1042" spans="1:9" x14ac:dyDescent="0.25">
      <c r="A1042" s="41"/>
      <c r="B1042" s="48" t="str">
        <f>IF(A1042&lt;&gt;"",DATE(YEAR(TRANSACTIONS!$A1042),MONTH(TRANSACTIONS!$A1042),DAY(TRANSACTIONS!$A1042)),"")</f>
        <v/>
      </c>
      <c r="C1042" s="49" t="str">
        <f>IF(A1042&lt;&gt;"",TIME(HOUR(TRANSACTIONS!$A1042),MINUTE(TRANSACTIONS!$A1042),SECOND(TRANSACTIONS!$A1042)),"")</f>
        <v/>
      </c>
      <c r="E1042" s="82"/>
      <c r="F1042" s="82"/>
      <c r="G1042" s="46"/>
      <c r="H1042" s="46" t="str">
        <f>IFERROR(TRANSACTIONS!#REF!+TRANSACTIONS!$G1042,"")</f>
        <v/>
      </c>
      <c r="I1042" s="57" t="s">
        <v>41</v>
      </c>
    </row>
    <row r="1043" spans="1:9" x14ac:dyDescent="0.25">
      <c r="A1043" s="41"/>
      <c r="B1043" s="48" t="str">
        <f>IF(A1043&lt;&gt;"",DATE(YEAR(TRANSACTIONS!$A1043),MONTH(TRANSACTIONS!$A1043),DAY(TRANSACTIONS!$A1043)),"")</f>
        <v/>
      </c>
      <c r="C1043" s="49" t="str">
        <f>IF(A1043&lt;&gt;"",TIME(HOUR(TRANSACTIONS!$A1043),MINUTE(TRANSACTIONS!$A1043),SECOND(TRANSACTIONS!$A1043)),"")</f>
        <v/>
      </c>
      <c r="E1043" s="82"/>
      <c r="F1043" s="82"/>
      <c r="G1043" s="46"/>
      <c r="H1043" s="46" t="str">
        <f>IFERROR(TRANSACTIONS!#REF!+TRANSACTIONS!$G1043,"")</f>
        <v/>
      </c>
      <c r="I1043" s="57" t="s">
        <v>41</v>
      </c>
    </row>
    <row r="1044" spans="1:9" x14ac:dyDescent="0.25">
      <c r="A1044" s="41"/>
      <c r="B1044" s="48" t="str">
        <f>IF(A1044&lt;&gt;"",DATE(YEAR(TRANSACTIONS!$A1044),MONTH(TRANSACTIONS!$A1044),DAY(TRANSACTIONS!$A1044)),"")</f>
        <v/>
      </c>
      <c r="C1044" s="49" t="str">
        <f>IF(A1044&lt;&gt;"",TIME(HOUR(TRANSACTIONS!$A1044),MINUTE(TRANSACTIONS!$A1044),SECOND(TRANSACTIONS!$A1044)),"")</f>
        <v/>
      </c>
      <c r="E1044" s="82"/>
      <c r="F1044" s="82"/>
      <c r="G1044" s="46"/>
      <c r="H1044" s="46" t="str">
        <f>IFERROR(TRANSACTIONS!#REF!+TRANSACTIONS!$G1044,"")</f>
        <v/>
      </c>
      <c r="I1044" s="57" t="s">
        <v>41</v>
      </c>
    </row>
    <row r="1045" spans="1:9" x14ac:dyDescent="0.25">
      <c r="A1045" s="41"/>
      <c r="B1045" s="48" t="str">
        <f>IF(A1045&lt;&gt;"",DATE(YEAR(TRANSACTIONS!$A1045),MONTH(TRANSACTIONS!$A1045),DAY(TRANSACTIONS!$A1045)),"")</f>
        <v/>
      </c>
      <c r="C1045" s="49" t="str">
        <f>IF(A1045&lt;&gt;"",TIME(HOUR(TRANSACTIONS!$A1045),MINUTE(TRANSACTIONS!$A1045),SECOND(TRANSACTIONS!$A1045)),"")</f>
        <v/>
      </c>
      <c r="E1045" s="82"/>
      <c r="F1045" s="82"/>
      <c r="G1045" s="46"/>
      <c r="H1045" s="46" t="str">
        <f>IFERROR(TRANSACTIONS!#REF!+TRANSACTIONS!$G1045,"")</f>
        <v/>
      </c>
      <c r="I1045" s="57" t="s">
        <v>41</v>
      </c>
    </row>
    <row r="1046" spans="1:9" x14ac:dyDescent="0.25">
      <c r="A1046" s="41"/>
      <c r="B1046" s="48" t="str">
        <f>IF(A1046&lt;&gt;"",DATE(YEAR(TRANSACTIONS!$A1046),MONTH(TRANSACTIONS!$A1046),DAY(TRANSACTIONS!$A1046)),"")</f>
        <v/>
      </c>
      <c r="C1046" s="49" t="str">
        <f>IF(A1046&lt;&gt;"",TIME(HOUR(TRANSACTIONS!$A1046),MINUTE(TRANSACTIONS!$A1046),SECOND(TRANSACTIONS!$A1046)),"")</f>
        <v/>
      </c>
      <c r="E1046" s="82"/>
      <c r="F1046" s="94"/>
      <c r="G1046" s="46"/>
      <c r="H1046" s="46" t="str">
        <f>IFERROR(TRANSACTIONS!#REF!+TRANSACTIONS!$G1046,"")</f>
        <v/>
      </c>
      <c r="I1046" s="57" t="s">
        <v>41</v>
      </c>
    </row>
    <row r="1047" spans="1:9" x14ac:dyDescent="0.25">
      <c r="A1047" s="41"/>
      <c r="B1047" s="48" t="str">
        <f>IF(A1047&lt;&gt;"",DATE(YEAR(TRANSACTIONS!$A1047),MONTH(TRANSACTIONS!$A1047),DAY(TRANSACTIONS!$A1047)),"")</f>
        <v/>
      </c>
      <c r="C1047" s="49" t="str">
        <f>IF(A1047&lt;&gt;"",TIME(HOUR(TRANSACTIONS!$A1047),MINUTE(TRANSACTIONS!$A1047),SECOND(TRANSACTIONS!$A1047)),"")</f>
        <v/>
      </c>
      <c r="E1047" s="82"/>
      <c r="F1047" s="82"/>
      <c r="G1047" s="46"/>
      <c r="H1047" s="46" t="str">
        <f>IFERROR(TRANSACTIONS!#REF!+TRANSACTIONS!$G1047,"")</f>
        <v/>
      </c>
      <c r="I1047" s="57" t="s">
        <v>41</v>
      </c>
    </row>
    <row r="1048" spans="1:9" x14ac:dyDescent="0.25">
      <c r="A1048" s="41"/>
      <c r="B1048" s="48" t="str">
        <f>IF(A1048&lt;&gt;"",DATE(YEAR(TRANSACTIONS!$A1048),MONTH(TRANSACTIONS!$A1048),DAY(TRANSACTIONS!$A1048)),"")</f>
        <v/>
      </c>
      <c r="C1048" s="49" t="str">
        <f>IF(A1048&lt;&gt;"",TIME(HOUR(TRANSACTIONS!$A1048),MINUTE(TRANSACTIONS!$A1048),SECOND(TRANSACTIONS!$A1048)),"")</f>
        <v/>
      </c>
      <c r="E1048" s="82"/>
      <c r="F1048" s="82"/>
      <c r="G1048" s="46"/>
      <c r="H1048" s="46" t="str">
        <f>IFERROR(TRANSACTIONS!#REF!+TRANSACTIONS!$G1048,"")</f>
        <v/>
      </c>
      <c r="I1048" s="57" t="s">
        <v>41</v>
      </c>
    </row>
    <row r="1049" spans="1:9" x14ac:dyDescent="0.25">
      <c r="A1049" s="41"/>
      <c r="B1049" s="48" t="str">
        <f>IF(A1049&lt;&gt;"",DATE(YEAR(TRANSACTIONS!$A1049),MONTH(TRANSACTIONS!$A1049),DAY(TRANSACTIONS!$A1049)),"")</f>
        <v/>
      </c>
      <c r="C1049" s="49" t="str">
        <f>IF(A1049&lt;&gt;"",TIME(HOUR(TRANSACTIONS!$A1049),MINUTE(TRANSACTIONS!$A1049),SECOND(TRANSACTIONS!$A1049)),"")</f>
        <v/>
      </c>
      <c r="E1049" s="82"/>
      <c r="F1049" s="82"/>
      <c r="G1049" s="46"/>
      <c r="H1049" s="46" t="str">
        <f>IFERROR(TRANSACTIONS!#REF!+TRANSACTIONS!$G1049,"")</f>
        <v/>
      </c>
      <c r="I1049" s="57" t="s">
        <v>41</v>
      </c>
    </row>
    <row r="1050" spans="1:9" x14ac:dyDescent="0.25">
      <c r="A1050" s="41"/>
      <c r="B1050" s="48" t="str">
        <f>IF(A1050&lt;&gt;"",DATE(YEAR(TRANSACTIONS!$A1050),MONTH(TRANSACTIONS!$A1050),DAY(TRANSACTIONS!$A1050)),"")</f>
        <v/>
      </c>
      <c r="C1050" s="49" t="str">
        <f>IF(A1050&lt;&gt;"",TIME(HOUR(TRANSACTIONS!$A1050),MINUTE(TRANSACTIONS!$A1050),SECOND(TRANSACTIONS!$A1050)),"")</f>
        <v/>
      </c>
      <c r="E1050" s="82"/>
      <c r="F1050" s="82"/>
      <c r="G1050" s="46"/>
      <c r="H1050" s="46" t="str">
        <f>IFERROR(TRANSACTIONS!#REF!+TRANSACTIONS!$G1050,"")</f>
        <v/>
      </c>
      <c r="I1050" s="57" t="s">
        <v>41</v>
      </c>
    </row>
    <row r="1051" spans="1:9" x14ac:dyDescent="0.25">
      <c r="A1051" s="41"/>
      <c r="B1051" s="48" t="str">
        <f>IF(A1051&lt;&gt;"",DATE(YEAR(TRANSACTIONS!$A1051),MONTH(TRANSACTIONS!$A1051),DAY(TRANSACTIONS!$A1051)),"")</f>
        <v/>
      </c>
      <c r="C1051" s="49" t="str">
        <f>IF(A1051&lt;&gt;"",TIME(HOUR(TRANSACTIONS!$A1051),MINUTE(TRANSACTIONS!$A1051),SECOND(TRANSACTIONS!$A1051)),"")</f>
        <v/>
      </c>
      <c r="E1051" s="82"/>
      <c r="F1051" s="82"/>
      <c r="G1051" s="46"/>
      <c r="H1051" s="46" t="str">
        <f>IFERROR(TRANSACTIONS!#REF!+TRANSACTIONS!$G1051,"")</f>
        <v/>
      </c>
      <c r="I1051" s="57" t="s">
        <v>41</v>
      </c>
    </row>
    <row r="1052" spans="1:9" x14ac:dyDescent="0.25">
      <c r="A1052" s="41"/>
      <c r="B1052" s="106" t="str">
        <f>IF(A1052&lt;&gt;"",DATE(YEAR(TRANSACTIONS!$A1052),MONTH(TRANSACTIONS!$A1052),DAY(TRANSACTIONS!$A1052)),"")</f>
        <v/>
      </c>
      <c r="C1052" s="107" t="str">
        <f>IF(A1052&lt;&gt;"",TIME(HOUR(TRANSACTIONS!$A1052),MINUTE(TRANSACTIONS!$A1052),SECOND(TRANSACTIONS!$A1052)),"")</f>
        <v/>
      </c>
      <c r="E1052" s="82"/>
      <c r="F1052" s="82"/>
      <c r="G1052" s="108"/>
      <c r="H1052" s="108" t="str">
        <f>IFERROR(TRANSACTIONS!#REF!+TRANSACTIONS!$G1052,"")</f>
        <v/>
      </c>
      <c r="I1052" s="135" t="s">
        <v>41</v>
      </c>
    </row>
    <row r="1053" spans="1:9" x14ac:dyDescent="0.25">
      <c r="A1053" s="41"/>
      <c r="B1053" s="48" t="str">
        <f>IF(A1053&lt;&gt;"",DATE(YEAR(TRANSACTIONS!$A1053),MONTH(TRANSACTIONS!$A1053),DAY(TRANSACTIONS!$A1053)),"")</f>
        <v/>
      </c>
      <c r="C1053" s="49" t="str">
        <f>IF(A1053&lt;&gt;"",TIME(HOUR(TRANSACTIONS!$A1053),MINUTE(TRANSACTIONS!$A1053),SECOND(TRANSACTIONS!$A1053)),"")</f>
        <v/>
      </c>
      <c r="E1053" s="82"/>
      <c r="F1053" s="82"/>
      <c r="G1053" s="46"/>
      <c r="H1053" s="46" t="str">
        <f>IFERROR(TRANSACTIONS!#REF!+TRANSACTIONS!$G1053,"")</f>
        <v/>
      </c>
      <c r="I1053" s="57" t="s">
        <v>41</v>
      </c>
    </row>
    <row r="1054" spans="1:9" x14ac:dyDescent="0.25">
      <c r="A1054" s="41"/>
      <c r="B1054" s="48" t="str">
        <f>IF(A1054&lt;&gt;"",DATE(YEAR(TRANSACTIONS!$A1054),MONTH(TRANSACTIONS!$A1054),DAY(TRANSACTIONS!$A1054)),"")</f>
        <v/>
      </c>
      <c r="C1054" s="49" t="str">
        <f>IF(A1054&lt;&gt;"",TIME(HOUR(TRANSACTIONS!$A1054),MINUTE(TRANSACTIONS!$A1054),SECOND(TRANSACTIONS!$A1054)),"")</f>
        <v/>
      </c>
      <c r="E1054" s="82"/>
      <c r="F1054" s="82"/>
      <c r="G1054" s="46"/>
      <c r="H1054" s="46" t="str">
        <f>IFERROR(TRANSACTIONS!#REF!+TRANSACTIONS!$G1054,"")</f>
        <v/>
      </c>
      <c r="I1054" s="57" t="s">
        <v>41</v>
      </c>
    </row>
    <row r="1055" spans="1:9" x14ac:dyDescent="0.25">
      <c r="A1055" s="41"/>
      <c r="B1055" s="48" t="str">
        <f>IF(A1055&lt;&gt;"",DATE(YEAR(TRANSACTIONS!$A1055),MONTH(TRANSACTIONS!$A1055),DAY(TRANSACTIONS!$A1055)),"")</f>
        <v/>
      </c>
      <c r="C1055" s="49" t="str">
        <f>IF(A1055&lt;&gt;"",TIME(HOUR(TRANSACTIONS!$A1055),MINUTE(TRANSACTIONS!$A1055),SECOND(TRANSACTIONS!$A1055)),"")</f>
        <v/>
      </c>
      <c r="E1055" s="82"/>
      <c r="F1055" s="82"/>
      <c r="G1055" s="46"/>
      <c r="H1055" s="46" t="str">
        <f>IFERROR(TRANSACTIONS!#REF!+TRANSACTIONS!$G1055,"")</f>
        <v/>
      </c>
      <c r="I1055" s="57" t="s">
        <v>41</v>
      </c>
    </row>
    <row r="1056" spans="1:9" x14ac:dyDescent="0.25">
      <c r="A1056" s="41"/>
      <c r="B1056" s="48" t="str">
        <f>IF(A1056&lt;&gt;"",DATE(YEAR(TRANSACTIONS!$A1056),MONTH(TRANSACTIONS!$A1056),DAY(TRANSACTIONS!$A1056)),"")</f>
        <v/>
      </c>
      <c r="C1056" s="49" t="str">
        <f>IF(A1056&lt;&gt;"",TIME(HOUR(TRANSACTIONS!$A1056),MINUTE(TRANSACTIONS!$A1056),SECOND(TRANSACTIONS!$A1056)),"")</f>
        <v/>
      </c>
      <c r="E1056" s="82"/>
      <c r="F1056" s="82"/>
      <c r="G1056" s="46"/>
      <c r="H1056" s="46" t="str">
        <f>IFERROR(TRANSACTIONS!#REF!+TRANSACTIONS!$G1056,"")</f>
        <v/>
      </c>
      <c r="I1056" s="57" t="s">
        <v>41</v>
      </c>
    </row>
    <row r="1057" spans="1:10" x14ac:dyDescent="0.25">
      <c r="A1057" s="41"/>
      <c r="B1057" s="91" t="str">
        <f>IF(A1057&lt;&gt;"",DATE(YEAR(TRANSACTIONS!$A1057),MONTH(TRANSACTIONS!$A1057),DAY(TRANSACTIONS!$A1057)),"")</f>
        <v/>
      </c>
      <c r="C1057" s="92" t="str">
        <f>IF(A1057&lt;&gt;"",TIME(HOUR(TRANSACTIONS!$A1057),MINUTE(TRANSACTIONS!$A1057),SECOND(TRANSACTIONS!$A1057)),"")</f>
        <v/>
      </c>
      <c r="E1057" s="82"/>
      <c r="F1057" s="82"/>
      <c r="G1057" s="95"/>
      <c r="H1057" s="95" t="str">
        <f>IFERROR(TRANSACTIONS!#REF!+TRANSACTIONS!$G1057,"")</f>
        <v/>
      </c>
      <c r="I1057" s="96" t="s">
        <v>41</v>
      </c>
    </row>
    <row r="1058" spans="1:10" x14ac:dyDescent="0.25">
      <c r="A1058" s="41"/>
      <c r="B1058" s="91" t="str">
        <f>IF(A1058&lt;&gt;"",DATE(YEAR(TRANSACTIONS!$A1058),MONTH(TRANSACTIONS!$A1058),DAY(TRANSACTIONS!$A1058)),"")</f>
        <v/>
      </c>
      <c r="C1058" s="92" t="str">
        <f>IF(A1058&lt;&gt;"",TIME(HOUR(TRANSACTIONS!$A1058),MINUTE(TRANSACTIONS!$A1058),SECOND(TRANSACTIONS!$A1058)),"")</f>
        <v/>
      </c>
      <c r="E1058" s="82"/>
      <c r="F1058" s="82"/>
      <c r="G1058" s="95"/>
      <c r="H1058" s="95" t="str">
        <f>IFERROR(TRANSACTIONS!#REF!+TRANSACTIONS!$G1058,"")</f>
        <v/>
      </c>
      <c r="I1058" s="96" t="s">
        <v>41</v>
      </c>
    </row>
    <row r="1059" spans="1:10" x14ac:dyDescent="0.25">
      <c r="A1059" s="41"/>
      <c r="B1059" s="48" t="str">
        <f>IF(A1059&lt;&gt;"",DATE(YEAR(TRANSACTIONS!$A1059),MONTH(TRANSACTIONS!$A1059),DAY(TRANSACTIONS!$A1059)),"")</f>
        <v/>
      </c>
      <c r="C1059" s="49" t="str">
        <f>IF(A1059&lt;&gt;"",TIME(HOUR(TRANSACTIONS!$A1059),MINUTE(TRANSACTIONS!$A1059),SECOND(TRANSACTIONS!$A1059)),"")</f>
        <v/>
      </c>
      <c r="E1059" s="82"/>
      <c r="F1059" s="82"/>
      <c r="G1059" s="46"/>
      <c r="H1059" s="46" t="str">
        <f>IFERROR(TRANSACTIONS!#REF!+TRANSACTIONS!$G1059,"")</f>
        <v/>
      </c>
      <c r="I1059" s="57" t="s">
        <v>41</v>
      </c>
    </row>
    <row r="1060" spans="1:10" x14ac:dyDescent="0.25">
      <c r="A1060" s="41"/>
      <c r="B1060" s="48" t="str">
        <f>IF(A1060&lt;&gt;"",DATE(YEAR(TRANSACTIONS!$A1060),MONTH(TRANSACTIONS!$A1060),DAY(TRANSACTIONS!$A1060)),"")</f>
        <v/>
      </c>
      <c r="C1060" s="49" t="str">
        <f>IF(A1060&lt;&gt;"",TIME(HOUR(TRANSACTIONS!$A1060),MINUTE(TRANSACTIONS!$A1060),SECOND(TRANSACTIONS!$A1060)),"")</f>
        <v/>
      </c>
      <c r="E1060" s="82"/>
      <c r="F1060" s="82"/>
      <c r="G1060" s="46"/>
      <c r="H1060" s="46" t="str">
        <f>IFERROR(TRANSACTIONS!#REF!+TRANSACTIONS!$G1060,"")</f>
        <v/>
      </c>
      <c r="I1060" s="57" t="s">
        <v>41</v>
      </c>
    </row>
    <row r="1061" spans="1:10" x14ac:dyDescent="0.25">
      <c r="A1061" s="41"/>
      <c r="B1061" s="48" t="str">
        <f>IF(A1061&lt;&gt;"",DATE(YEAR(TRANSACTIONS!$A1061),MONTH(TRANSACTIONS!$A1061),DAY(TRANSACTIONS!$A1061)),"")</f>
        <v/>
      </c>
      <c r="C1061" s="49" t="str">
        <f>IF(A1061&lt;&gt;"",TIME(HOUR(TRANSACTIONS!$A1061),MINUTE(TRANSACTIONS!$A1061),SECOND(TRANSACTIONS!$A1061)),"")</f>
        <v/>
      </c>
      <c r="E1061" s="93"/>
      <c r="F1061" s="93"/>
      <c r="G1061" s="46"/>
      <c r="H1061" s="46" t="str">
        <f>IFERROR(TRANSACTIONS!#REF!+TRANSACTIONS!$G1061,"")</f>
        <v/>
      </c>
      <c r="I1061" s="57" t="s">
        <v>41</v>
      </c>
    </row>
    <row r="1062" spans="1:10" x14ac:dyDescent="0.25">
      <c r="A1062" s="41"/>
      <c r="B1062" s="48" t="str">
        <f>IF(A1062&lt;&gt;"",DATE(YEAR(TRANSACTIONS!$A1062),MONTH(TRANSACTIONS!$A1062),DAY(TRANSACTIONS!$A1062)),"")</f>
        <v/>
      </c>
      <c r="C1062" s="49" t="str">
        <f>IF(A1062&lt;&gt;"",TIME(HOUR(TRANSACTIONS!$A1062),MINUTE(TRANSACTIONS!$A1062),SECOND(TRANSACTIONS!$A1062)),"")</f>
        <v/>
      </c>
      <c r="E1062" s="82"/>
      <c r="F1062" s="82"/>
      <c r="G1062" s="46"/>
      <c r="H1062" s="46" t="str">
        <f>IFERROR(TRANSACTIONS!#REF!+TRANSACTIONS!$G1062,"")</f>
        <v/>
      </c>
      <c r="I1062" s="57" t="s">
        <v>41</v>
      </c>
    </row>
    <row r="1063" spans="1:10" x14ac:dyDescent="0.25">
      <c r="A1063" s="41"/>
      <c r="B1063" s="114" t="str">
        <f>IF(A1063&lt;&gt;"",DATE(YEAR(TRANSACTIONS!$A1063),MONTH(TRANSACTIONS!$A1063),DAY(TRANSACTIONS!$A1063)),"")</f>
        <v/>
      </c>
      <c r="C1063" s="115" t="str">
        <f>IF(A1063&lt;&gt;"",TIME(HOUR(TRANSACTIONS!$A1063),MINUTE(TRANSACTIONS!$A1063),SECOND(TRANSACTIONS!$A1063)),"")</f>
        <v/>
      </c>
      <c r="E1063" s="82"/>
      <c r="F1063" s="82"/>
      <c r="G1063" s="117"/>
      <c r="H1063" s="117" t="str">
        <f>IFERROR(TRANSACTIONS!#REF!+TRANSACTIONS!$G1063,"")</f>
        <v/>
      </c>
      <c r="I1063" s="123" t="s">
        <v>41</v>
      </c>
      <c r="J1063" s="118"/>
    </row>
    <row r="1064" spans="1:10" x14ac:dyDescent="0.25">
      <c r="A1064" s="41"/>
      <c r="B1064" s="48" t="str">
        <f>IF(A1064&lt;&gt;"",DATE(YEAR(TRANSACTIONS!$A1064),MONTH(TRANSACTIONS!$A1064),DAY(TRANSACTIONS!$A1064)),"")</f>
        <v/>
      </c>
      <c r="C1064" s="49" t="str">
        <f>IF(A1064&lt;&gt;"",TIME(HOUR(TRANSACTIONS!$A1064),MINUTE(TRANSACTIONS!$A1064),SECOND(TRANSACTIONS!$A1064)),"")</f>
        <v/>
      </c>
      <c r="E1064" s="82"/>
      <c r="F1064" s="82"/>
      <c r="G1064" s="46"/>
      <c r="H1064" s="46" t="str">
        <f>IFERROR(TRANSACTIONS!#REF!+TRANSACTIONS!$G1064,"")</f>
        <v/>
      </c>
      <c r="I1064" s="57" t="s">
        <v>41</v>
      </c>
    </row>
    <row r="1065" spans="1:10" x14ac:dyDescent="0.25">
      <c r="A1065" s="41"/>
      <c r="B1065" s="48" t="str">
        <f>IF(A1065&lt;&gt;"",DATE(YEAR(TRANSACTIONS!$A1065),MONTH(TRANSACTIONS!$A1065),DAY(TRANSACTIONS!$A1065)),"")</f>
        <v/>
      </c>
      <c r="C1065" s="49" t="str">
        <f>IF(A1065&lt;&gt;"",TIME(HOUR(TRANSACTIONS!$A1065),MINUTE(TRANSACTIONS!$A1065),SECOND(TRANSACTIONS!$A1065)),"")</f>
        <v/>
      </c>
      <c r="E1065" s="82"/>
      <c r="F1065" s="82"/>
      <c r="G1065" s="46"/>
      <c r="H1065" s="46" t="str">
        <f>IFERROR(TRANSACTIONS!#REF!+TRANSACTIONS!$G1065,"")</f>
        <v/>
      </c>
      <c r="I1065" s="57" t="s">
        <v>41</v>
      </c>
    </row>
    <row r="1066" spans="1:10" x14ac:dyDescent="0.25">
      <c r="A1066" s="41"/>
      <c r="B1066" s="48" t="str">
        <f>IF(A1066&lt;&gt;"",DATE(YEAR(TRANSACTIONS!$A1066),MONTH(TRANSACTIONS!$A1066),DAY(TRANSACTIONS!$A1066)),"")</f>
        <v/>
      </c>
      <c r="C1066" s="49" t="str">
        <f>IF(A1066&lt;&gt;"",TIME(HOUR(TRANSACTIONS!$A1066),MINUTE(TRANSACTIONS!$A1066),SECOND(TRANSACTIONS!$A1066)),"")</f>
        <v/>
      </c>
      <c r="E1066" s="93"/>
      <c r="F1066" s="93"/>
      <c r="G1066" s="46"/>
      <c r="H1066" s="46" t="str">
        <f>IFERROR(TRANSACTIONS!#REF!+TRANSACTIONS!$G1066,"")</f>
        <v/>
      </c>
      <c r="I1066" s="57" t="s">
        <v>41</v>
      </c>
    </row>
    <row r="1067" spans="1:10" x14ac:dyDescent="0.25">
      <c r="A1067" s="41"/>
      <c r="B1067" s="48" t="str">
        <f>IF(A1067&lt;&gt;"",DATE(YEAR(TRANSACTIONS!$A1067),MONTH(TRANSACTIONS!$A1067),DAY(TRANSACTIONS!$A1067)),"")</f>
        <v/>
      </c>
      <c r="C1067" s="49" t="str">
        <f>IF(A1067&lt;&gt;"",TIME(HOUR(TRANSACTIONS!$A1067),MINUTE(TRANSACTIONS!$A1067),SECOND(TRANSACTIONS!$A1067)),"")</f>
        <v/>
      </c>
      <c r="E1067" s="93"/>
      <c r="F1067" s="93"/>
      <c r="G1067" s="46"/>
      <c r="H1067" s="46" t="str">
        <f>IFERROR(TRANSACTIONS!#REF!+TRANSACTIONS!$G1067,"")</f>
        <v/>
      </c>
      <c r="I1067" s="57" t="s">
        <v>41</v>
      </c>
    </row>
    <row r="1068" spans="1:10" x14ac:dyDescent="0.25">
      <c r="A1068" s="41"/>
      <c r="B1068" s="48" t="str">
        <f>IF(A1068&lt;&gt;"",DATE(YEAR(TRANSACTIONS!$A1068),MONTH(TRANSACTIONS!$A1068),DAY(TRANSACTIONS!$A1068)),"")</f>
        <v/>
      </c>
      <c r="C1068" s="49" t="str">
        <f>IF(A1068&lt;&gt;"",TIME(HOUR(TRANSACTIONS!$A1068),MINUTE(TRANSACTIONS!$A1068),SECOND(TRANSACTIONS!$A1068)),"")</f>
        <v/>
      </c>
      <c r="E1068" s="82"/>
      <c r="F1068" s="82"/>
      <c r="G1068" s="46"/>
      <c r="H1068" s="46" t="str">
        <f>IFERROR(TRANSACTIONS!#REF!+TRANSACTIONS!$G1068,"")</f>
        <v/>
      </c>
      <c r="I1068" s="57" t="s">
        <v>41</v>
      </c>
    </row>
    <row r="1069" spans="1:10" x14ac:dyDescent="0.25">
      <c r="A1069" s="41"/>
      <c r="B1069" s="48" t="str">
        <f>IF(A1069&lt;&gt;"",DATE(YEAR(TRANSACTIONS!$A1069),MONTH(TRANSACTIONS!$A1069),DAY(TRANSACTIONS!$A1069)),"")</f>
        <v/>
      </c>
      <c r="C1069" s="49" t="str">
        <f>IF(A1069&lt;&gt;"",TIME(HOUR(TRANSACTIONS!$A1069),MINUTE(TRANSACTIONS!$A1069),SECOND(TRANSACTIONS!$A1069)),"")</f>
        <v/>
      </c>
      <c r="E1069" s="82"/>
      <c r="F1069" s="82"/>
      <c r="G1069" s="46"/>
      <c r="H1069" s="46" t="str">
        <f>IFERROR(TRANSACTIONS!#REF!+TRANSACTIONS!$G1069,"")</f>
        <v/>
      </c>
      <c r="I1069" s="57" t="s">
        <v>41</v>
      </c>
    </row>
    <row r="1070" spans="1:10" x14ac:dyDescent="0.25">
      <c r="A1070" s="41"/>
      <c r="B1070" s="48" t="str">
        <f>IF(A1070&lt;&gt;"",DATE(YEAR(TRANSACTIONS!$A1070),MONTH(TRANSACTIONS!$A1070),DAY(TRANSACTIONS!$A1070)),"")</f>
        <v/>
      </c>
      <c r="C1070" s="49" t="str">
        <f>IF(A1070&lt;&gt;"",TIME(HOUR(TRANSACTIONS!$A1070),MINUTE(TRANSACTIONS!$A1070),SECOND(TRANSACTIONS!$A1070)),"")</f>
        <v/>
      </c>
      <c r="E1070" s="82"/>
      <c r="F1070" s="82"/>
      <c r="G1070" s="46"/>
      <c r="H1070" s="46" t="str">
        <f>IFERROR(TRANSACTIONS!#REF!+TRANSACTIONS!$G1070,"")</f>
        <v/>
      </c>
      <c r="I1070" s="57" t="s">
        <v>41</v>
      </c>
    </row>
    <row r="1071" spans="1:10" x14ac:dyDescent="0.25">
      <c r="A1071" s="41"/>
      <c r="B1071" s="48" t="str">
        <f>IF(A1071&lt;&gt;"",DATE(YEAR(TRANSACTIONS!$A1071),MONTH(TRANSACTIONS!$A1071),DAY(TRANSACTIONS!$A1071)),"")</f>
        <v/>
      </c>
      <c r="C1071" s="49" t="str">
        <f>IF(A1071&lt;&gt;"",TIME(HOUR(TRANSACTIONS!$A1071),MINUTE(TRANSACTIONS!$A1071),SECOND(TRANSACTIONS!$A1071)),"")</f>
        <v/>
      </c>
      <c r="E1071" s="82"/>
      <c r="F1071" s="82"/>
      <c r="G1071" s="46"/>
      <c r="H1071" s="46" t="str">
        <f>IFERROR(TRANSACTIONS!#REF!+TRANSACTIONS!$G1071,"")</f>
        <v/>
      </c>
      <c r="I1071" s="57" t="s">
        <v>41</v>
      </c>
    </row>
    <row r="1072" spans="1:10" x14ac:dyDescent="0.25">
      <c r="A1072" s="41"/>
      <c r="B1072" s="48" t="str">
        <f>IF(A1072&lt;&gt;"",DATE(YEAR(TRANSACTIONS!$A1072),MONTH(TRANSACTIONS!$A1072),DAY(TRANSACTIONS!$A1072)),"")</f>
        <v/>
      </c>
      <c r="C1072" s="49" t="str">
        <f>IF(A1072&lt;&gt;"",TIME(HOUR(TRANSACTIONS!$A1072),MINUTE(TRANSACTIONS!$A1072),SECOND(TRANSACTIONS!$A1072)),"")</f>
        <v/>
      </c>
      <c r="E1072" s="116"/>
      <c r="F1072" s="116"/>
      <c r="G1072" s="46"/>
      <c r="H1072" s="46" t="str">
        <f>IFERROR(TRANSACTIONS!#REF!+TRANSACTIONS!$G1072,"")</f>
        <v/>
      </c>
      <c r="I1072" s="57" t="s">
        <v>41</v>
      </c>
    </row>
    <row r="1073" spans="1:10" x14ac:dyDescent="0.25">
      <c r="A1073" s="41"/>
      <c r="B1073" s="48" t="str">
        <f>IF(A1073&lt;&gt;"",DATE(YEAR(TRANSACTIONS!$A1073),MONTH(TRANSACTIONS!$A1073),DAY(TRANSACTIONS!$A1073)),"")</f>
        <v/>
      </c>
      <c r="C1073" s="49" t="str">
        <f>IF(A1073&lt;&gt;"",TIME(HOUR(TRANSACTIONS!$A1073),MINUTE(TRANSACTIONS!$A1073),SECOND(TRANSACTIONS!$A1073)),"")</f>
        <v/>
      </c>
      <c r="E1073" s="82"/>
      <c r="F1073" s="82"/>
      <c r="G1073" s="46"/>
      <c r="H1073" s="46" t="str">
        <f>IFERROR(TRANSACTIONS!#REF!+TRANSACTIONS!$G1073,"")</f>
        <v/>
      </c>
      <c r="I1073" s="57" t="s">
        <v>41</v>
      </c>
    </row>
    <row r="1074" spans="1:10" x14ac:dyDescent="0.25">
      <c r="A1074" s="41"/>
      <c r="B1074" s="48" t="str">
        <f>IF(A1074&lt;&gt;"",DATE(YEAR(TRANSACTIONS!$A1074),MONTH(TRANSACTIONS!$A1074),DAY(TRANSACTIONS!$A1074)),"")</f>
        <v/>
      </c>
      <c r="C1074" s="49" t="str">
        <f>IF(A1074&lt;&gt;"",TIME(HOUR(TRANSACTIONS!$A1074),MINUTE(TRANSACTIONS!$A1074),SECOND(TRANSACTIONS!$A1074)),"")</f>
        <v/>
      </c>
      <c r="E1074" s="82"/>
      <c r="F1074" s="82"/>
      <c r="G1074" s="46"/>
      <c r="H1074" s="46" t="str">
        <f>IFERROR(TRANSACTIONS!#REF!+TRANSACTIONS!$G1074,"")</f>
        <v/>
      </c>
      <c r="I1074" s="57" t="s">
        <v>41</v>
      </c>
    </row>
    <row r="1075" spans="1:10" x14ac:dyDescent="0.25">
      <c r="A1075" s="41"/>
      <c r="B1075" s="48" t="str">
        <f>IF(A1075&lt;&gt;"",DATE(YEAR(TRANSACTIONS!$A1075),MONTH(TRANSACTIONS!$A1075),DAY(TRANSACTIONS!$A1075)),"")</f>
        <v/>
      </c>
      <c r="C1075" s="49" t="str">
        <f>IF(A1075&lt;&gt;"",TIME(HOUR(TRANSACTIONS!$A1075),MINUTE(TRANSACTIONS!$A1075),SECOND(TRANSACTIONS!$A1075)),"")</f>
        <v/>
      </c>
      <c r="E1075" s="82"/>
      <c r="F1075" s="82"/>
      <c r="G1075" s="46"/>
      <c r="H1075" s="46" t="str">
        <f>IFERROR(TRANSACTIONS!#REF!+TRANSACTIONS!$G1075,"")</f>
        <v/>
      </c>
      <c r="I1075" s="57" t="s">
        <v>41</v>
      </c>
    </row>
    <row r="1076" spans="1:10" x14ac:dyDescent="0.25">
      <c r="A1076" s="41"/>
      <c r="B1076" s="48" t="str">
        <f>IF(A1076&lt;&gt;"",DATE(YEAR(TRANSACTIONS!$A1076),MONTH(TRANSACTIONS!$A1076),DAY(TRANSACTIONS!$A1076)),"")</f>
        <v/>
      </c>
      <c r="C1076" s="49" t="str">
        <f>IF(A1076&lt;&gt;"",TIME(HOUR(TRANSACTIONS!$A1076),MINUTE(TRANSACTIONS!$A1076),SECOND(TRANSACTIONS!$A1076)),"")</f>
        <v/>
      </c>
      <c r="E1076" s="82"/>
      <c r="F1076" s="82"/>
      <c r="G1076" s="46"/>
      <c r="H1076" s="46" t="str">
        <f>IFERROR(TRANSACTIONS!#REF!+TRANSACTIONS!$G1076,"")</f>
        <v/>
      </c>
      <c r="I1076" s="57" t="s">
        <v>41</v>
      </c>
    </row>
    <row r="1077" spans="1:10" x14ac:dyDescent="0.25">
      <c r="A1077" s="41"/>
      <c r="B1077" s="48" t="str">
        <f>IF(A1077&lt;&gt;"",DATE(YEAR(TRANSACTIONS!$A1077),MONTH(TRANSACTIONS!$A1077),DAY(TRANSACTIONS!$A1077)),"")</f>
        <v/>
      </c>
      <c r="C1077" s="49" t="str">
        <f>IF(A1077&lt;&gt;"",TIME(HOUR(TRANSACTIONS!$A1077),MINUTE(TRANSACTIONS!$A1077),SECOND(TRANSACTIONS!$A1077)),"")</f>
        <v/>
      </c>
      <c r="E1077" s="82"/>
      <c r="F1077" s="82"/>
      <c r="G1077" s="46"/>
      <c r="H1077" s="46" t="str">
        <f>IFERROR(TRANSACTIONS!#REF!+TRANSACTIONS!$G1077,"")</f>
        <v/>
      </c>
      <c r="I1077" s="57" t="s">
        <v>41</v>
      </c>
    </row>
    <row r="1078" spans="1:10" x14ac:dyDescent="0.25">
      <c r="A1078" s="41"/>
      <c r="B1078" s="48" t="str">
        <f>IF(A1078&lt;&gt;"",DATE(YEAR(TRANSACTIONS!$A1078),MONTH(TRANSACTIONS!$A1078),DAY(TRANSACTIONS!$A1078)),"")</f>
        <v/>
      </c>
      <c r="C1078" s="49" t="str">
        <f>IF(A1078&lt;&gt;"",TIME(HOUR(TRANSACTIONS!$A1078),MINUTE(TRANSACTIONS!$A1078),SECOND(TRANSACTIONS!$A1078)),"")</f>
        <v/>
      </c>
      <c r="E1078" s="82"/>
      <c r="F1078" s="82"/>
      <c r="G1078" s="46"/>
      <c r="H1078" s="46" t="str">
        <f>IFERROR(TRANSACTIONS!#REF!+TRANSACTIONS!$G1078,"")</f>
        <v/>
      </c>
      <c r="I1078" s="57" t="s">
        <v>41</v>
      </c>
    </row>
    <row r="1079" spans="1:10" x14ac:dyDescent="0.25">
      <c r="A1079" s="41"/>
      <c r="B1079" s="48" t="str">
        <f>IF(A1079&lt;&gt;"",DATE(YEAR(TRANSACTIONS!$A1079),MONTH(TRANSACTIONS!$A1079),DAY(TRANSACTIONS!$A1079)),"")</f>
        <v/>
      </c>
      <c r="C1079" s="49" t="str">
        <f>IF(A1079&lt;&gt;"",TIME(HOUR(TRANSACTIONS!$A1079),MINUTE(TRANSACTIONS!$A1079),SECOND(TRANSACTIONS!$A1079)),"")</f>
        <v/>
      </c>
      <c r="E1079" s="82"/>
      <c r="F1079" s="82"/>
      <c r="G1079" s="46"/>
      <c r="H1079" s="46" t="str">
        <f>IFERROR(TRANSACTIONS!#REF!+TRANSACTIONS!$G1079,"")</f>
        <v/>
      </c>
      <c r="I1079" s="57" t="s">
        <v>41</v>
      </c>
    </row>
    <row r="1080" spans="1:10" x14ac:dyDescent="0.25">
      <c r="A1080" s="41"/>
      <c r="B1080" s="48" t="str">
        <f>IF(A1080&lt;&gt;"",DATE(YEAR(TRANSACTIONS!$A1080),MONTH(TRANSACTIONS!$A1080),DAY(TRANSACTIONS!$A1080)),"")</f>
        <v/>
      </c>
      <c r="C1080" s="49" t="str">
        <f>IF(A1080&lt;&gt;"",TIME(HOUR(TRANSACTIONS!$A1080),MINUTE(TRANSACTIONS!$A1080),SECOND(TRANSACTIONS!$A1080)),"")</f>
        <v/>
      </c>
      <c r="E1080" s="82"/>
      <c r="F1080" s="82"/>
      <c r="G1080" s="46"/>
      <c r="H1080" s="46" t="str">
        <f>IFERROR(TRANSACTIONS!#REF!+TRANSACTIONS!$G1080,"")</f>
        <v/>
      </c>
      <c r="I1080" s="57" t="s">
        <v>41</v>
      </c>
    </row>
    <row r="1081" spans="1:10" x14ac:dyDescent="0.25">
      <c r="A1081" s="41"/>
      <c r="B1081" s="48" t="str">
        <f>IF(A1081&lt;&gt;"",DATE(YEAR(TRANSACTIONS!$A1081),MONTH(TRANSACTIONS!$A1081),DAY(TRANSACTIONS!$A1081)),"")</f>
        <v/>
      </c>
      <c r="C1081" s="49" t="str">
        <f>IF(A1081&lt;&gt;"",TIME(HOUR(TRANSACTIONS!$A1081),MINUTE(TRANSACTIONS!$A1081),SECOND(TRANSACTIONS!$A1081)),"")</f>
        <v/>
      </c>
      <c r="E1081" s="82"/>
      <c r="F1081" s="82"/>
      <c r="G1081" s="46"/>
      <c r="H1081" s="46" t="str">
        <f>IFERROR(TRANSACTIONS!#REF!+TRANSACTIONS!$G1081,"")</f>
        <v/>
      </c>
      <c r="I1081" s="57" t="s">
        <v>41</v>
      </c>
    </row>
    <row r="1082" spans="1:10" x14ac:dyDescent="0.25">
      <c r="A1082" s="41"/>
      <c r="B1082" s="48" t="str">
        <f>IF(A1082&lt;&gt;"",DATE(YEAR(TRANSACTIONS!$A1082),MONTH(TRANSACTIONS!$A1082),DAY(TRANSACTIONS!$A1082)),"")</f>
        <v/>
      </c>
      <c r="C1082" s="49" t="str">
        <f>IF(A1082&lt;&gt;"",TIME(HOUR(TRANSACTIONS!$A1082),MINUTE(TRANSACTIONS!$A1082),SECOND(TRANSACTIONS!$A1082)),"")</f>
        <v/>
      </c>
      <c r="E1082" s="82"/>
      <c r="F1082" s="82"/>
      <c r="G1082" s="46"/>
      <c r="H1082" s="46" t="str">
        <f>IFERROR(TRANSACTIONS!#REF!+TRANSACTIONS!$G1082,"")</f>
        <v/>
      </c>
      <c r="I1082" s="57" t="s">
        <v>41</v>
      </c>
    </row>
    <row r="1083" spans="1:10" x14ac:dyDescent="0.25">
      <c r="A1083" s="41"/>
      <c r="B1083" s="106" t="str">
        <f>IF(A1083&lt;&gt;"",DATE(YEAR(TRANSACTIONS!$A1083),MONTH(TRANSACTIONS!$A1083),DAY(TRANSACTIONS!$A1083)),"")</f>
        <v/>
      </c>
      <c r="C1083" s="107" t="str">
        <f>IF(A1083&lt;&gt;"",TIME(HOUR(TRANSACTIONS!$A1083),MINUTE(TRANSACTIONS!$A1083),SECOND(TRANSACTIONS!$A1083)),"")</f>
        <v/>
      </c>
      <c r="E1083" s="82"/>
      <c r="F1083" s="82"/>
      <c r="G1083" s="108"/>
      <c r="H1083" s="108" t="str">
        <f>IFERROR(TRANSACTIONS!#REF!+TRANSACTIONS!$G1083,"")</f>
        <v/>
      </c>
      <c r="I1083" s="135" t="s">
        <v>41</v>
      </c>
      <c r="J1083" s="166"/>
    </row>
    <row r="1084" spans="1:10" x14ac:dyDescent="0.25">
      <c r="A1084" s="41"/>
      <c r="B1084" s="106" t="str">
        <f>IF(A1084&lt;&gt;"",DATE(YEAR(TRANSACTIONS!$A1084),MONTH(TRANSACTIONS!$A1084),DAY(TRANSACTIONS!$A1084)),"")</f>
        <v/>
      </c>
      <c r="C1084" s="107" t="str">
        <f>IF(A1084&lt;&gt;"",TIME(HOUR(TRANSACTIONS!$A1084),MINUTE(TRANSACTIONS!$A1084),SECOND(TRANSACTIONS!$A1084)),"")</f>
        <v/>
      </c>
      <c r="E1084" s="82"/>
      <c r="F1084" s="82"/>
      <c r="G1084" s="108"/>
      <c r="H1084" s="108" t="str">
        <f>IFERROR(TRANSACTIONS!#REF!+TRANSACTIONS!$G1084,"")</f>
        <v/>
      </c>
      <c r="I1084" s="135" t="s">
        <v>41</v>
      </c>
      <c r="J1084" s="166"/>
    </row>
    <row r="1085" spans="1:10" x14ac:dyDescent="0.25">
      <c r="A1085" s="41"/>
      <c r="B1085" s="48" t="str">
        <f>IF(A1085&lt;&gt;"",DATE(YEAR(TRANSACTIONS!$A1085),MONTH(TRANSACTIONS!$A1085),DAY(TRANSACTIONS!$A1085)),"")</f>
        <v/>
      </c>
      <c r="C1085" s="49" t="str">
        <f>IF(A1085&lt;&gt;"",TIME(HOUR(TRANSACTIONS!$A1085),MINUTE(TRANSACTIONS!$A1085),SECOND(TRANSACTIONS!$A1085)),"")</f>
        <v/>
      </c>
      <c r="E1085" s="82"/>
      <c r="F1085" s="82"/>
      <c r="G1085" s="46"/>
      <c r="H1085" s="46" t="str">
        <f>IFERROR(TRANSACTIONS!#REF!+TRANSACTIONS!$G1085,"")</f>
        <v/>
      </c>
      <c r="I1085" s="57" t="s">
        <v>41</v>
      </c>
    </row>
    <row r="1086" spans="1:10" x14ac:dyDescent="0.25">
      <c r="A1086" s="41"/>
      <c r="B1086" s="48" t="str">
        <f>IF(A1086&lt;&gt;"",DATE(YEAR(TRANSACTIONS!$A1086),MONTH(TRANSACTIONS!$A1086),DAY(TRANSACTIONS!$A1086)),"")</f>
        <v/>
      </c>
      <c r="C1086" s="49" t="str">
        <f>IF(A1086&lt;&gt;"",TIME(HOUR(TRANSACTIONS!$A1086),MINUTE(TRANSACTIONS!$A1086),SECOND(TRANSACTIONS!$A1086)),"")</f>
        <v/>
      </c>
      <c r="E1086" s="82"/>
      <c r="F1086" s="82"/>
      <c r="G1086" s="46"/>
      <c r="H1086" s="46" t="str">
        <f>IFERROR(TRANSACTIONS!#REF!+TRANSACTIONS!$G1086,"")</f>
        <v/>
      </c>
      <c r="I1086" s="57" t="s">
        <v>41</v>
      </c>
    </row>
    <row r="1087" spans="1:10" x14ac:dyDescent="0.25">
      <c r="A1087" s="41"/>
      <c r="B1087" s="48" t="str">
        <f>IF(A1087&lt;&gt;"",DATE(YEAR(TRANSACTIONS!$A1087),MONTH(TRANSACTIONS!$A1087),DAY(TRANSACTIONS!$A1087)),"")</f>
        <v/>
      </c>
      <c r="C1087" s="49" t="str">
        <f>IF(A1087&lt;&gt;"",TIME(HOUR(TRANSACTIONS!$A1087),MINUTE(TRANSACTIONS!$A1087),SECOND(TRANSACTIONS!$A1087)),"")</f>
        <v/>
      </c>
      <c r="E1087" s="82"/>
      <c r="F1087" s="82"/>
      <c r="G1087" s="46"/>
      <c r="H1087" s="46" t="str">
        <f>IFERROR(TRANSACTIONS!#REF!+TRANSACTIONS!$G1087,"")</f>
        <v/>
      </c>
      <c r="I1087" s="57" t="s">
        <v>41</v>
      </c>
    </row>
    <row r="1088" spans="1:10" x14ac:dyDescent="0.25">
      <c r="A1088" s="41"/>
      <c r="B1088" s="48" t="str">
        <f>IF(A1088&lt;&gt;"",DATE(YEAR(TRANSACTIONS!$A1088),MONTH(TRANSACTIONS!$A1088),DAY(TRANSACTIONS!$A1088)),"")</f>
        <v/>
      </c>
      <c r="C1088" s="49" t="str">
        <f>IF(A1088&lt;&gt;"",TIME(HOUR(TRANSACTIONS!$A1088),MINUTE(TRANSACTIONS!$A1088),SECOND(TRANSACTIONS!$A1088)),"")</f>
        <v/>
      </c>
      <c r="E1088" s="82"/>
      <c r="F1088" s="82"/>
      <c r="G1088" s="46"/>
      <c r="H1088" s="46" t="str">
        <f>IFERROR(TRANSACTIONS!#REF!+TRANSACTIONS!$G1088,"")</f>
        <v/>
      </c>
      <c r="I1088" s="57" t="s">
        <v>41</v>
      </c>
    </row>
    <row r="1089" spans="1:9" x14ac:dyDescent="0.25">
      <c r="A1089" s="41"/>
      <c r="B1089" s="48" t="str">
        <f>IF(A1089&lt;&gt;"",DATE(YEAR(TRANSACTIONS!$A1089),MONTH(TRANSACTIONS!$A1089),DAY(TRANSACTIONS!$A1089)),"")</f>
        <v/>
      </c>
      <c r="C1089" s="49" t="str">
        <f>IF(A1089&lt;&gt;"",TIME(HOUR(TRANSACTIONS!$A1089),MINUTE(TRANSACTIONS!$A1089),SECOND(TRANSACTIONS!$A1089)),"")</f>
        <v/>
      </c>
      <c r="E1089" s="82"/>
      <c r="F1089" s="82"/>
      <c r="G1089" s="46"/>
      <c r="H1089" s="46" t="str">
        <f>IFERROR(TRANSACTIONS!#REF!+TRANSACTIONS!$G1089,"")</f>
        <v/>
      </c>
      <c r="I1089" s="57" t="s">
        <v>41</v>
      </c>
    </row>
    <row r="1090" spans="1:9" x14ac:dyDescent="0.25">
      <c r="A1090" s="41"/>
      <c r="B1090" s="48" t="str">
        <f>IF(A1090&lt;&gt;"",DATE(YEAR(TRANSACTIONS!$A1090),MONTH(TRANSACTIONS!$A1090),DAY(TRANSACTIONS!$A1090)),"")</f>
        <v/>
      </c>
      <c r="C1090" s="49" t="str">
        <f>IF(A1090&lt;&gt;"",TIME(HOUR(TRANSACTIONS!$A1090),MINUTE(TRANSACTIONS!$A1090),SECOND(TRANSACTIONS!$A1090)),"")</f>
        <v/>
      </c>
      <c r="E1090" s="82"/>
      <c r="F1090" s="82"/>
      <c r="G1090" s="46"/>
      <c r="H1090" s="46" t="str">
        <f>IFERROR(TRANSACTIONS!#REF!+TRANSACTIONS!$G1090,"")</f>
        <v/>
      </c>
      <c r="I1090" s="57" t="s">
        <v>41</v>
      </c>
    </row>
    <row r="1091" spans="1:9" x14ac:dyDescent="0.25">
      <c r="A1091" s="41"/>
      <c r="B1091" s="48" t="str">
        <f>IF(A1091&lt;&gt;"",DATE(YEAR(TRANSACTIONS!$A1091),MONTH(TRANSACTIONS!$A1091),DAY(TRANSACTIONS!$A1091)),"")</f>
        <v/>
      </c>
      <c r="C1091" s="49" t="str">
        <f>IF(A1091&lt;&gt;"",TIME(HOUR(TRANSACTIONS!$A1091),MINUTE(TRANSACTIONS!$A1091),SECOND(TRANSACTIONS!$A1091)),"")</f>
        <v/>
      </c>
      <c r="E1091" s="82"/>
      <c r="F1091" s="82"/>
      <c r="G1091" s="46"/>
      <c r="H1091" s="46" t="str">
        <f>IFERROR(TRANSACTIONS!#REF!+TRANSACTIONS!$G1091,"")</f>
        <v/>
      </c>
      <c r="I1091" s="57" t="s">
        <v>41</v>
      </c>
    </row>
    <row r="1092" spans="1:9" x14ac:dyDescent="0.25">
      <c r="A1092" s="41"/>
      <c r="B1092" s="48" t="str">
        <f>IF(A1092&lt;&gt;"",DATE(YEAR(TRANSACTIONS!$A1092),MONTH(TRANSACTIONS!$A1092),DAY(TRANSACTIONS!$A1092)),"")</f>
        <v/>
      </c>
      <c r="C1092" s="49" t="str">
        <f>IF(A1092&lt;&gt;"",TIME(HOUR(TRANSACTIONS!$A1092),MINUTE(TRANSACTIONS!$A1092),SECOND(TRANSACTIONS!$A1092)),"")</f>
        <v/>
      </c>
      <c r="E1092" s="93"/>
      <c r="F1092" s="93"/>
      <c r="G1092" s="46"/>
      <c r="H1092" s="46" t="str">
        <f>IFERROR(TRANSACTIONS!#REF!+TRANSACTIONS!$G1092,"")</f>
        <v/>
      </c>
      <c r="I1092" s="57" t="s">
        <v>41</v>
      </c>
    </row>
    <row r="1093" spans="1:9" x14ac:dyDescent="0.25">
      <c r="A1093" s="41"/>
      <c r="B1093" s="48" t="str">
        <f>IF(A1093&lt;&gt;"",DATE(YEAR(TRANSACTIONS!$A1093),MONTH(TRANSACTIONS!$A1093),DAY(TRANSACTIONS!$A1093)),"")</f>
        <v/>
      </c>
      <c r="C1093" s="49" t="str">
        <f>IF(A1093&lt;&gt;"",TIME(HOUR(TRANSACTIONS!$A1093),MINUTE(TRANSACTIONS!$A1093),SECOND(TRANSACTIONS!$A1093)),"")</f>
        <v/>
      </c>
      <c r="E1093" s="93"/>
      <c r="F1093" s="93"/>
      <c r="G1093" s="46"/>
      <c r="H1093" s="46" t="str">
        <f>IFERROR(TRANSACTIONS!#REF!+TRANSACTIONS!$G1093,"")</f>
        <v/>
      </c>
      <c r="I1093" s="57" t="s">
        <v>41</v>
      </c>
    </row>
    <row r="1094" spans="1:9" x14ac:dyDescent="0.25">
      <c r="A1094" s="41"/>
      <c r="B1094" s="48" t="str">
        <f>IF(A1094&lt;&gt;"",DATE(YEAR(TRANSACTIONS!$A1094),MONTH(TRANSACTIONS!$A1094),DAY(TRANSACTIONS!$A1094)),"")</f>
        <v/>
      </c>
      <c r="C1094" s="49" t="str">
        <f>IF(A1094&lt;&gt;"",TIME(HOUR(TRANSACTIONS!$A1094),MINUTE(TRANSACTIONS!$A1094),SECOND(TRANSACTIONS!$A1094)),"")</f>
        <v/>
      </c>
      <c r="E1094" s="82"/>
      <c r="F1094" s="82"/>
      <c r="G1094" s="46"/>
      <c r="H1094" s="46" t="str">
        <f>IFERROR(TRANSACTIONS!#REF!+TRANSACTIONS!$G1094,"")</f>
        <v/>
      </c>
      <c r="I1094" s="57" t="s">
        <v>41</v>
      </c>
    </row>
    <row r="1095" spans="1:9" x14ac:dyDescent="0.25">
      <c r="A1095" s="41"/>
      <c r="B1095" s="48" t="str">
        <f>IF(A1095&lt;&gt;"",DATE(YEAR(TRANSACTIONS!$A1095),MONTH(TRANSACTIONS!$A1095),DAY(TRANSACTIONS!$A1095)),"")</f>
        <v/>
      </c>
      <c r="C1095" s="49" t="str">
        <f>IF(A1095&lt;&gt;"",TIME(HOUR(TRANSACTIONS!$A1095),MINUTE(TRANSACTIONS!$A1095),SECOND(TRANSACTIONS!$A1095)),"")</f>
        <v/>
      </c>
      <c r="E1095" s="82"/>
      <c r="F1095" s="82"/>
      <c r="G1095" s="46"/>
      <c r="H1095" s="46" t="str">
        <f>IFERROR(TRANSACTIONS!#REF!+TRANSACTIONS!$G1095,"")</f>
        <v/>
      </c>
      <c r="I1095" s="57" t="s">
        <v>41</v>
      </c>
    </row>
    <row r="1096" spans="1:9" x14ac:dyDescent="0.25">
      <c r="A1096" s="41"/>
      <c r="B1096" s="48" t="str">
        <f>IF(A1096&lt;&gt;"",DATE(YEAR(TRANSACTIONS!$A1096),MONTH(TRANSACTIONS!$A1096),DAY(TRANSACTIONS!$A1096)),"")</f>
        <v/>
      </c>
      <c r="C1096" s="49" t="str">
        <f>IF(A1096&lt;&gt;"",TIME(HOUR(TRANSACTIONS!$A1096),MINUTE(TRANSACTIONS!$A1096),SECOND(TRANSACTIONS!$A1096)),"")</f>
        <v/>
      </c>
      <c r="E1096" s="82"/>
      <c r="F1096" s="82"/>
      <c r="G1096" s="46"/>
      <c r="H1096" s="46" t="str">
        <f>IFERROR(TRANSACTIONS!#REF!+TRANSACTIONS!$G1096,"")</f>
        <v/>
      </c>
      <c r="I1096" s="57" t="s">
        <v>41</v>
      </c>
    </row>
    <row r="1097" spans="1:9" x14ac:dyDescent="0.25">
      <c r="A1097" s="41"/>
      <c r="B1097" s="48" t="str">
        <f>IF(A1097&lt;&gt;"",DATE(YEAR(TRANSACTIONS!$A1097),MONTH(TRANSACTIONS!$A1097),DAY(TRANSACTIONS!$A1097)),"")</f>
        <v/>
      </c>
      <c r="C1097" s="49" t="str">
        <f>IF(A1097&lt;&gt;"",TIME(HOUR(TRANSACTIONS!$A1097),MINUTE(TRANSACTIONS!$A1097),SECOND(TRANSACTIONS!$A1097)),"")</f>
        <v/>
      </c>
      <c r="E1097" s="82"/>
      <c r="F1097" s="82"/>
      <c r="G1097" s="46"/>
      <c r="H1097" s="46" t="str">
        <f>IFERROR(TRANSACTIONS!#REF!+TRANSACTIONS!$G1097,"")</f>
        <v/>
      </c>
      <c r="I1097" s="57" t="s">
        <v>41</v>
      </c>
    </row>
    <row r="1098" spans="1:9" x14ac:dyDescent="0.25">
      <c r="A1098" s="41"/>
      <c r="B1098" s="48" t="str">
        <f>IF(A1098&lt;&gt;"",DATE(YEAR(TRANSACTIONS!$A1098),MONTH(TRANSACTIONS!$A1098),DAY(TRANSACTIONS!$A1098)),"")</f>
        <v/>
      </c>
      <c r="C1098" s="49" t="str">
        <f>IF(A1098&lt;&gt;"",TIME(HOUR(TRANSACTIONS!$A1098),MINUTE(TRANSACTIONS!$A1098),SECOND(TRANSACTIONS!$A1098)),"")</f>
        <v/>
      </c>
      <c r="E1098" s="82"/>
      <c r="F1098" s="82"/>
      <c r="G1098" s="46"/>
      <c r="H1098" s="46" t="str">
        <f>IFERROR(TRANSACTIONS!#REF!+TRANSACTIONS!$G1098,"")</f>
        <v/>
      </c>
      <c r="I1098" s="57" t="s">
        <v>41</v>
      </c>
    </row>
    <row r="1099" spans="1:9" x14ac:dyDescent="0.25">
      <c r="A1099" s="41"/>
      <c r="B1099" s="48" t="str">
        <f>IF(A1099&lt;&gt;"",DATE(YEAR(TRANSACTIONS!$A1099),MONTH(TRANSACTIONS!$A1099),DAY(TRANSACTIONS!$A1099)),"")</f>
        <v/>
      </c>
      <c r="C1099" s="49" t="str">
        <f>IF(A1099&lt;&gt;"",TIME(HOUR(TRANSACTIONS!$A1099),MINUTE(TRANSACTIONS!$A1099),SECOND(TRANSACTIONS!$A1099)),"")</f>
        <v/>
      </c>
      <c r="E1099" s="82"/>
      <c r="F1099" s="82"/>
      <c r="G1099" s="46"/>
      <c r="H1099" s="46" t="str">
        <f>IFERROR(TRANSACTIONS!#REF!+TRANSACTIONS!$G1099,"")</f>
        <v/>
      </c>
      <c r="I1099" s="57" t="s">
        <v>41</v>
      </c>
    </row>
    <row r="1100" spans="1:9" x14ac:dyDescent="0.25">
      <c r="A1100" s="41"/>
      <c r="B1100" s="48" t="str">
        <f>IF(A1100&lt;&gt;"",DATE(YEAR(TRANSACTIONS!$A1100),MONTH(TRANSACTIONS!$A1100),DAY(TRANSACTIONS!$A1100)),"")</f>
        <v/>
      </c>
      <c r="C1100" s="49" t="str">
        <f>IF(A1100&lt;&gt;"",TIME(HOUR(TRANSACTIONS!$A1100),MINUTE(TRANSACTIONS!$A1100),SECOND(TRANSACTIONS!$A1100)),"")</f>
        <v/>
      </c>
      <c r="E1100" s="82"/>
      <c r="F1100" s="82"/>
      <c r="G1100" s="46"/>
      <c r="H1100" s="46" t="str">
        <f>IFERROR(TRANSACTIONS!#REF!+TRANSACTIONS!$G1100,"")</f>
        <v/>
      </c>
      <c r="I1100" s="57" t="s">
        <v>41</v>
      </c>
    </row>
    <row r="1101" spans="1:9" x14ac:dyDescent="0.25">
      <c r="A1101" s="41"/>
      <c r="B1101" s="48" t="str">
        <f>IF(A1101&lt;&gt;"",DATE(YEAR(TRANSACTIONS!$A1101),MONTH(TRANSACTIONS!$A1101),DAY(TRANSACTIONS!$A1101)),"")</f>
        <v/>
      </c>
      <c r="C1101" s="49" t="str">
        <f>IF(A1101&lt;&gt;"",TIME(HOUR(TRANSACTIONS!$A1101),MINUTE(TRANSACTIONS!$A1101),SECOND(TRANSACTIONS!$A1101)),"")</f>
        <v/>
      </c>
      <c r="E1101" s="82"/>
      <c r="F1101" s="82"/>
      <c r="G1101" s="46"/>
      <c r="H1101" s="46" t="str">
        <f>IFERROR(TRANSACTIONS!#REF!+TRANSACTIONS!$G1101,"")</f>
        <v/>
      </c>
      <c r="I1101" s="57" t="s">
        <v>41</v>
      </c>
    </row>
    <row r="1102" spans="1:9" x14ac:dyDescent="0.25">
      <c r="A1102" s="41"/>
      <c r="B1102" s="48" t="str">
        <f>IF(A1102&lt;&gt;"",DATE(YEAR(TRANSACTIONS!$A1102),MONTH(TRANSACTIONS!$A1102),DAY(TRANSACTIONS!$A1102)),"")</f>
        <v/>
      </c>
      <c r="C1102" s="49" t="str">
        <f>IF(A1102&lt;&gt;"",TIME(HOUR(TRANSACTIONS!$A1102),MINUTE(TRANSACTIONS!$A1102),SECOND(TRANSACTIONS!$A1102)),"")</f>
        <v/>
      </c>
      <c r="E1102" s="82"/>
      <c r="F1102" s="82"/>
      <c r="G1102" s="46"/>
      <c r="H1102" s="46" t="str">
        <f>IFERROR(TRANSACTIONS!#REF!+TRANSACTIONS!$G1102,"")</f>
        <v/>
      </c>
      <c r="I1102" s="57" t="s">
        <v>41</v>
      </c>
    </row>
    <row r="1103" spans="1:9" x14ac:dyDescent="0.25">
      <c r="A1103" s="41"/>
      <c r="B1103" s="48" t="str">
        <f>IF(A1103&lt;&gt;"",DATE(YEAR(TRANSACTIONS!$A1103),MONTH(TRANSACTIONS!$A1103),DAY(TRANSACTIONS!$A1103)),"")</f>
        <v/>
      </c>
      <c r="C1103" s="49" t="str">
        <f>IF(A1103&lt;&gt;"",TIME(HOUR(TRANSACTIONS!$A1103),MINUTE(TRANSACTIONS!$A1103),SECOND(TRANSACTIONS!$A1103)),"")</f>
        <v/>
      </c>
      <c r="E1103" s="82"/>
      <c r="F1103" s="82"/>
      <c r="G1103" s="46"/>
      <c r="H1103" s="46" t="str">
        <f>IFERROR(TRANSACTIONS!#REF!+TRANSACTIONS!$G1103,"")</f>
        <v/>
      </c>
      <c r="I1103" s="57" t="s">
        <v>41</v>
      </c>
    </row>
    <row r="1104" spans="1:9" x14ac:dyDescent="0.25">
      <c r="A1104" s="41"/>
      <c r="B1104" s="48" t="str">
        <f>IF(A1104&lt;&gt;"",DATE(YEAR(TRANSACTIONS!$A1104),MONTH(TRANSACTIONS!$A1104),DAY(TRANSACTIONS!$A1104)),"")</f>
        <v/>
      </c>
      <c r="C1104" s="49" t="str">
        <f>IF(A1104&lt;&gt;"",TIME(HOUR(TRANSACTIONS!$A1104),MINUTE(TRANSACTIONS!$A1104),SECOND(TRANSACTIONS!$A1104)),"")</f>
        <v/>
      </c>
      <c r="E1104" s="82"/>
      <c r="F1104" s="82"/>
      <c r="G1104" s="46"/>
      <c r="H1104" s="46" t="str">
        <f>IFERROR(TRANSACTIONS!#REF!+TRANSACTIONS!$G1104,"")</f>
        <v/>
      </c>
      <c r="I1104" s="57" t="s">
        <v>41</v>
      </c>
    </row>
    <row r="1105" spans="1:9" x14ac:dyDescent="0.25">
      <c r="A1105" s="41"/>
      <c r="B1105" s="48" t="str">
        <f>IF(A1105&lt;&gt;"",DATE(YEAR(TRANSACTIONS!$A1105),MONTH(TRANSACTIONS!$A1105),DAY(TRANSACTIONS!$A1105)),"")</f>
        <v/>
      </c>
      <c r="C1105" s="49" t="str">
        <f>IF(A1105&lt;&gt;"",TIME(HOUR(TRANSACTIONS!$A1105),MINUTE(TRANSACTIONS!$A1105),SECOND(TRANSACTIONS!$A1105)),"")</f>
        <v/>
      </c>
      <c r="E1105" s="82"/>
      <c r="F1105" s="82"/>
      <c r="G1105" s="46"/>
      <c r="H1105" s="46" t="str">
        <f>IFERROR(TRANSACTIONS!#REF!+TRANSACTIONS!$G1105,"")</f>
        <v/>
      </c>
      <c r="I1105" s="57" t="s">
        <v>41</v>
      </c>
    </row>
    <row r="1106" spans="1:9" x14ac:dyDescent="0.25">
      <c r="A1106" s="41"/>
      <c r="B1106" s="48" t="str">
        <f>IF(A1106&lt;&gt;"",DATE(YEAR(TRANSACTIONS!$A1106),MONTH(TRANSACTIONS!$A1106),DAY(TRANSACTIONS!$A1106)),"")</f>
        <v/>
      </c>
      <c r="C1106" s="49" t="str">
        <f>IF(A1106&lt;&gt;"",TIME(HOUR(TRANSACTIONS!$A1106),MINUTE(TRANSACTIONS!$A1106),SECOND(TRANSACTIONS!$A1106)),"")</f>
        <v/>
      </c>
      <c r="E1106" s="82"/>
      <c r="F1106" s="82"/>
      <c r="G1106" s="46"/>
      <c r="H1106" s="46" t="str">
        <f>IFERROR(TRANSACTIONS!#REF!+TRANSACTIONS!$G1106,"")</f>
        <v/>
      </c>
      <c r="I1106" s="57" t="s">
        <v>41</v>
      </c>
    </row>
    <row r="1107" spans="1:9" x14ac:dyDescent="0.25">
      <c r="A1107" s="41"/>
      <c r="B1107" s="48" t="str">
        <f>IF(A1107&lt;&gt;"",DATE(YEAR(TRANSACTIONS!$A1107),MONTH(TRANSACTIONS!$A1107),DAY(TRANSACTIONS!$A1107)),"")</f>
        <v/>
      </c>
      <c r="C1107" s="49" t="str">
        <f>IF(A1107&lt;&gt;"",TIME(HOUR(TRANSACTIONS!$A1107),MINUTE(TRANSACTIONS!$A1107),SECOND(TRANSACTIONS!$A1107)),"")</f>
        <v/>
      </c>
      <c r="E1107" s="82"/>
      <c r="F1107" s="82"/>
      <c r="G1107" s="46"/>
      <c r="H1107" s="46" t="str">
        <f>IFERROR(TRANSACTIONS!#REF!+TRANSACTIONS!$G1107,"")</f>
        <v/>
      </c>
      <c r="I1107" s="57" t="s">
        <v>41</v>
      </c>
    </row>
    <row r="1108" spans="1:9" x14ac:dyDescent="0.25">
      <c r="A1108" s="41"/>
      <c r="B1108" s="48" t="str">
        <f>IF(A1108&lt;&gt;"",DATE(YEAR(TRANSACTIONS!$A1108),MONTH(TRANSACTIONS!$A1108),DAY(TRANSACTIONS!$A1108)),"")</f>
        <v/>
      </c>
      <c r="C1108" s="49" t="str">
        <f>IF(A1108&lt;&gt;"",TIME(HOUR(TRANSACTIONS!$A1108),MINUTE(TRANSACTIONS!$A1108),SECOND(TRANSACTIONS!$A1108)),"")</f>
        <v/>
      </c>
      <c r="E1108" s="82"/>
      <c r="F1108" s="82"/>
      <c r="G1108" s="46"/>
      <c r="H1108" s="46" t="str">
        <f>IFERROR(TRANSACTIONS!#REF!+TRANSACTIONS!$G1108,"")</f>
        <v/>
      </c>
      <c r="I1108" s="57" t="s">
        <v>41</v>
      </c>
    </row>
    <row r="1109" spans="1:9" x14ac:dyDescent="0.25">
      <c r="A1109" s="41"/>
      <c r="B1109" s="48" t="str">
        <f>IF(A1109&lt;&gt;"",DATE(YEAR(TRANSACTIONS!$A1109),MONTH(TRANSACTIONS!$A1109),DAY(TRANSACTIONS!$A1109)),"")</f>
        <v/>
      </c>
      <c r="C1109" s="49" t="str">
        <f>IF(A1109&lt;&gt;"",TIME(HOUR(TRANSACTIONS!$A1109),MINUTE(TRANSACTIONS!$A1109),SECOND(TRANSACTIONS!$A1109)),"")</f>
        <v/>
      </c>
      <c r="E1109" s="82"/>
      <c r="F1109" s="82"/>
      <c r="G1109" s="46"/>
      <c r="H1109" s="46" t="str">
        <f>IFERROR(TRANSACTIONS!#REF!+TRANSACTIONS!$G1109,"")</f>
        <v/>
      </c>
      <c r="I1109" s="57" t="s">
        <v>41</v>
      </c>
    </row>
    <row r="1110" spans="1:9" x14ac:dyDescent="0.25">
      <c r="A1110" s="41"/>
      <c r="B1110" s="48" t="str">
        <f>IF(A1110&lt;&gt;"",DATE(YEAR(TRANSACTIONS!$A1110),MONTH(TRANSACTIONS!$A1110),DAY(TRANSACTIONS!$A1110)),"")</f>
        <v/>
      </c>
      <c r="C1110" s="49" t="str">
        <f>IF(A1110&lt;&gt;"",TIME(HOUR(TRANSACTIONS!$A1110),MINUTE(TRANSACTIONS!$A1110),SECOND(TRANSACTIONS!$A1110)),"")</f>
        <v/>
      </c>
      <c r="E1110" s="82"/>
      <c r="F1110" s="82"/>
      <c r="G1110" s="46"/>
      <c r="H1110" s="46" t="str">
        <f>IFERROR(TRANSACTIONS!#REF!+TRANSACTIONS!$G1110,"")</f>
        <v/>
      </c>
      <c r="I1110" s="57" t="s">
        <v>41</v>
      </c>
    </row>
    <row r="1111" spans="1:9" x14ac:dyDescent="0.25">
      <c r="A1111" s="41"/>
      <c r="B1111" s="48" t="str">
        <f>IF(A1111&lt;&gt;"",DATE(YEAR(TRANSACTIONS!$A1111),MONTH(TRANSACTIONS!$A1111),DAY(TRANSACTIONS!$A1111)),"")</f>
        <v/>
      </c>
      <c r="C1111" s="49" t="str">
        <f>IF(A1111&lt;&gt;"",TIME(HOUR(TRANSACTIONS!$A1111),MINUTE(TRANSACTIONS!$A1111),SECOND(TRANSACTIONS!$A1111)),"")</f>
        <v/>
      </c>
      <c r="E1111" s="82"/>
      <c r="F1111" s="82"/>
      <c r="G1111" s="46"/>
      <c r="H1111" s="46" t="str">
        <f>IFERROR(TRANSACTIONS!#REF!+TRANSACTIONS!$G1111,"")</f>
        <v/>
      </c>
      <c r="I1111" s="57" t="s">
        <v>41</v>
      </c>
    </row>
    <row r="1112" spans="1:9" x14ac:dyDescent="0.25">
      <c r="A1112" s="41"/>
      <c r="B1112" s="48" t="str">
        <f>IF(A1112&lt;&gt;"",DATE(YEAR(TRANSACTIONS!$A1112),MONTH(TRANSACTIONS!$A1112),DAY(TRANSACTIONS!$A1112)),"")</f>
        <v/>
      </c>
      <c r="C1112" s="49" t="str">
        <f>IF(A1112&lt;&gt;"",TIME(HOUR(TRANSACTIONS!$A1112),MINUTE(TRANSACTIONS!$A1112),SECOND(TRANSACTIONS!$A1112)),"")</f>
        <v/>
      </c>
      <c r="E1112" s="82"/>
      <c r="F1112" s="82"/>
      <c r="G1112" s="46"/>
      <c r="H1112" s="46" t="str">
        <f>IFERROR(TRANSACTIONS!#REF!+TRANSACTIONS!$G1112,"")</f>
        <v/>
      </c>
      <c r="I1112" s="57" t="s">
        <v>41</v>
      </c>
    </row>
    <row r="1113" spans="1:9" x14ac:dyDescent="0.25">
      <c r="A1113" s="41"/>
      <c r="B1113" s="48" t="str">
        <f>IF(A1113&lt;&gt;"",DATE(YEAR(TRANSACTIONS!$A1113),MONTH(TRANSACTIONS!$A1113),DAY(TRANSACTIONS!$A1113)),"")</f>
        <v/>
      </c>
      <c r="C1113" s="49" t="str">
        <f>IF(A1113&lt;&gt;"",TIME(HOUR(TRANSACTIONS!$A1113),MINUTE(TRANSACTIONS!$A1113),SECOND(TRANSACTIONS!$A1113)),"")</f>
        <v/>
      </c>
      <c r="E1113" s="82"/>
      <c r="F1113" s="82"/>
      <c r="G1113" s="46"/>
      <c r="H1113" s="46" t="str">
        <f>IFERROR(TRANSACTIONS!#REF!+TRANSACTIONS!$G1113,"")</f>
        <v/>
      </c>
      <c r="I1113" s="57" t="s">
        <v>41</v>
      </c>
    </row>
    <row r="1114" spans="1:9" x14ac:dyDescent="0.25">
      <c r="A1114" s="41"/>
      <c r="B1114" s="48" t="str">
        <f>IF(A1114&lt;&gt;"",DATE(YEAR(TRANSACTIONS!$A1114),MONTH(TRANSACTIONS!$A1114),DAY(TRANSACTIONS!$A1114)),"")</f>
        <v/>
      </c>
      <c r="C1114" s="49" t="str">
        <f>IF(A1114&lt;&gt;"",TIME(HOUR(TRANSACTIONS!$A1114),MINUTE(TRANSACTIONS!$A1114),SECOND(TRANSACTIONS!$A1114)),"")</f>
        <v/>
      </c>
      <c r="E1114" s="82"/>
      <c r="F1114" s="82"/>
      <c r="G1114" s="46"/>
      <c r="H1114" s="46" t="str">
        <f>IFERROR(TRANSACTIONS!#REF!+TRANSACTIONS!$G1114,"")</f>
        <v/>
      </c>
      <c r="I1114" s="57" t="s">
        <v>41</v>
      </c>
    </row>
    <row r="1115" spans="1:9" x14ac:dyDescent="0.25">
      <c r="A1115" s="41"/>
      <c r="B1115" s="48" t="str">
        <f>IF(A1115&lt;&gt;"",DATE(YEAR(TRANSACTIONS!$A1115),MONTH(TRANSACTIONS!$A1115),DAY(TRANSACTIONS!$A1115)),"")</f>
        <v/>
      </c>
      <c r="C1115" s="49" t="str">
        <f>IF(A1115&lt;&gt;"",TIME(HOUR(TRANSACTIONS!$A1115),MINUTE(TRANSACTIONS!$A1115),SECOND(TRANSACTIONS!$A1115)),"")</f>
        <v/>
      </c>
      <c r="E1115" s="82"/>
      <c r="F1115" s="82"/>
      <c r="G1115" s="46"/>
      <c r="H1115" s="46" t="str">
        <f>IFERROR(TRANSACTIONS!#REF!+TRANSACTIONS!$G1115,"")</f>
        <v/>
      </c>
      <c r="I1115" s="57" t="s">
        <v>41</v>
      </c>
    </row>
    <row r="1116" spans="1:9" x14ac:dyDescent="0.25">
      <c r="A1116" s="41"/>
      <c r="B1116" s="114" t="str">
        <f>IF(A1116&lt;&gt;"",DATE(YEAR(TRANSACTIONS!$A1116),MONTH(TRANSACTIONS!$A1116),DAY(TRANSACTIONS!$A1116)),"")</f>
        <v/>
      </c>
      <c r="C1116" s="115" t="str">
        <f>IF(A1116&lt;&gt;"",TIME(HOUR(TRANSACTIONS!$A1116),MINUTE(TRANSACTIONS!$A1116),SECOND(TRANSACTIONS!$A1116)),"")</f>
        <v/>
      </c>
      <c r="E1116" s="82"/>
      <c r="F1116" s="82"/>
      <c r="G1116" s="117"/>
      <c r="H1116" s="117" t="str">
        <f>IFERROR(TRANSACTIONS!#REF!+TRANSACTIONS!$G1116,"")</f>
        <v/>
      </c>
      <c r="I1116" s="123" t="s">
        <v>41</v>
      </c>
    </row>
    <row r="1117" spans="1:9" x14ac:dyDescent="0.25">
      <c r="A1117" s="41"/>
      <c r="B1117" s="48" t="str">
        <f>IF(A1117&lt;&gt;"",DATE(YEAR(TRANSACTIONS!$A1117),MONTH(TRANSACTIONS!$A1117),DAY(TRANSACTIONS!$A1117)),"")</f>
        <v/>
      </c>
      <c r="C1117" s="49" t="str">
        <f>IF(A1117&lt;&gt;"",TIME(HOUR(TRANSACTIONS!$A1117),MINUTE(TRANSACTIONS!$A1117),SECOND(TRANSACTIONS!$A1117)),"")</f>
        <v/>
      </c>
      <c r="E1117" s="82"/>
      <c r="F1117" s="82"/>
      <c r="G1117" s="46"/>
      <c r="H1117" s="46" t="str">
        <f>IFERROR(TRANSACTIONS!#REF!+TRANSACTIONS!$G1117,"")</f>
        <v/>
      </c>
      <c r="I1117" s="57" t="s">
        <v>41</v>
      </c>
    </row>
    <row r="1118" spans="1:9" x14ac:dyDescent="0.25">
      <c r="A1118" s="41"/>
      <c r="B1118" s="48" t="str">
        <f>IF(A1118&lt;&gt;"",DATE(YEAR(TRANSACTIONS!$A1118),MONTH(TRANSACTIONS!$A1118),DAY(TRANSACTIONS!$A1118)),"")</f>
        <v/>
      </c>
      <c r="C1118" s="49" t="str">
        <f>IF(A1118&lt;&gt;"",TIME(HOUR(TRANSACTIONS!$A1118),MINUTE(TRANSACTIONS!$A1118),SECOND(TRANSACTIONS!$A1118)),"")</f>
        <v/>
      </c>
      <c r="E1118" s="82"/>
      <c r="F1118" s="82"/>
      <c r="G1118" s="46"/>
      <c r="H1118" s="46" t="str">
        <f>IFERROR(TRANSACTIONS!#REF!+TRANSACTIONS!$G1118,"")</f>
        <v/>
      </c>
      <c r="I1118" s="57" t="s">
        <v>41</v>
      </c>
    </row>
    <row r="1119" spans="1:9" x14ac:dyDescent="0.25">
      <c r="A1119" s="41"/>
      <c r="B1119" s="48" t="str">
        <f>IF(A1119&lt;&gt;"",DATE(YEAR(TRANSACTIONS!$A1119),MONTH(TRANSACTIONS!$A1119),DAY(TRANSACTIONS!$A1119)),"")</f>
        <v/>
      </c>
      <c r="C1119" s="49" t="str">
        <f>IF(A1119&lt;&gt;"",TIME(HOUR(TRANSACTIONS!$A1119),MINUTE(TRANSACTIONS!$A1119),SECOND(TRANSACTIONS!$A1119)),"")</f>
        <v/>
      </c>
      <c r="E1119" s="82"/>
      <c r="F1119" s="82"/>
      <c r="G1119" s="46"/>
      <c r="H1119" s="46" t="str">
        <f>IFERROR(TRANSACTIONS!#REF!+TRANSACTIONS!$G1119,"")</f>
        <v/>
      </c>
      <c r="I1119" s="57" t="s">
        <v>41</v>
      </c>
    </row>
    <row r="1120" spans="1:9" x14ac:dyDescent="0.25">
      <c r="A1120" s="41"/>
      <c r="B1120" s="48" t="str">
        <f>IF(A1120&lt;&gt;"",DATE(YEAR(TRANSACTIONS!$A1120),MONTH(TRANSACTIONS!$A1120),DAY(TRANSACTIONS!$A1120)),"")</f>
        <v/>
      </c>
      <c r="C1120" s="49" t="str">
        <f>IF(A1120&lt;&gt;"",TIME(HOUR(TRANSACTIONS!$A1120),MINUTE(TRANSACTIONS!$A1120),SECOND(TRANSACTIONS!$A1120)),"")</f>
        <v/>
      </c>
      <c r="E1120" s="82"/>
      <c r="F1120" s="82"/>
      <c r="G1120" s="46"/>
      <c r="H1120" s="46" t="str">
        <f>IFERROR(TRANSACTIONS!#REF!+TRANSACTIONS!$G1120,"")</f>
        <v/>
      </c>
      <c r="I1120" s="57" t="s">
        <v>41</v>
      </c>
    </row>
    <row r="1121" spans="1:10" x14ac:dyDescent="0.25">
      <c r="A1121" s="41"/>
      <c r="B1121" s="106" t="str">
        <f>IF(A1121&lt;&gt;"",DATE(YEAR(TRANSACTIONS!$A1121),MONTH(TRANSACTIONS!$A1121),DAY(TRANSACTIONS!$A1121)),"")</f>
        <v/>
      </c>
      <c r="C1121" s="107" t="str">
        <f>IF(A1121&lt;&gt;"",TIME(HOUR(TRANSACTIONS!$A1121),MINUTE(TRANSACTIONS!$A1121),SECOND(TRANSACTIONS!$A1121)),"")</f>
        <v/>
      </c>
      <c r="E1121" s="82"/>
      <c r="F1121" s="82"/>
      <c r="G1121" s="108"/>
      <c r="H1121" s="108" t="str">
        <f>IFERROR(TRANSACTIONS!#REF!+TRANSACTIONS!$G1121,"")</f>
        <v/>
      </c>
      <c r="I1121" s="135" t="s">
        <v>41</v>
      </c>
      <c r="J1121" s="136"/>
    </row>
    <row r="1122" spans="1:10" x14ac:dyDescent="0.25">
      <c r="A1122" s="41"/>
      <c r="B1122" s="48" t="str">
        <f>IF(A1122&lt;&gt;"",DATE(YEAR(TRANSACTIONS!$A1122),MONTH(TRANSACTIONS!$A1122),DAY(TRANSACTIONS!$A1122)),"")</f>
        <v/>
      </c>
      <c r="C1122" s="49" t="str">
        <f>IF(A1122&lt;&gt;"",TIME(HOUR(TRANSACTIONS!$A1122),MINUTE(TRANSACTIONS!$A1122),SECOND(TRANSACTIONS!$A1122)),"")</f>
        <v/>
      </c>
      <c r="E1122" s="82"/>
      <c r="F1122" s="82"/>
      <c r="G1122" s="46"/>
      <c r="H1122" s="46" t="str">
        <f>IFERROR(TRANSACTIONS!#REF!+TRANSACTIONS!$G1122,"")</f>
        <v/>
      </c>
      <c r="I1122" s="57" t="s">
        <v>41</v>
      </c>
    </row>
    <row r="1123" spans="1:10" x14ac:dyDescent="0.25">
      <c r="A1123" s="41"/>
      <c r="B1123" s="48" t="str">
        <f>IF(A1123&lt;&gt;"",DATE(YEAR(TRANSACTIONS!$A1123),MONTH(TRANSACTIONS!$A1123),DAY(TRANSACTIONS!$A1123)),"")</f>
        <v/>
      </c>
      <c r="C1123" s="49" t="str">
        <f>IF(A1123&lt;&gt;"",TIME(HOUR(TRANSACTIONS!$A1123),MINUTE(TRANSACTIONS!$A1123),SECOND(TRANSACTIONS!$A1123)),"")</f>
        <v/>
      </c>
      <c r="E1123" s="82"/>
      <c r="F1123" s="82"/>
      <c r="G1123" s="46"/>
      <c r="H1123" s="46" t="str">
        <f>IFERROR(TRANSACTIONS!#REF!+TRANSACTIONS!$G1123,"")</f>
        <v/>
      </c>
      <c r="I1123" s="57" t="s">
        <v>41</v>
      </c>
    </row>
    <row r="1124" spans="1:10" x14ac:dyDescent="0.25">
      <c r="A1124" s="41"/>
      <c r="B1124" s="48" t="str">
        <f>IF(A1124&lt;&gt;"",DATE(YEAR(TRANSACTIONS!$A1124),MONTH(TRANSACTIONS!$A1124),DAY(TRANSACTIONS!$A1124)),"")</f>
        <v/>
      </c>
      <c r="C1124" s="49" t="str">
        <f>IF(A1124&lt;&gt;"",TIME(HOUR(TRANSACTIONS!$A1124),MINUTE(TRANSACTIONS!$A1124),SECOND(TRANSACTIONS!$A1124)),"")</f>
        <v/>
      </c>
      <c r="E1124" s="82"/>
      <c r="F1124" s="82"/>
      <c r="G1124" s="46"/>
      <c r="H1124" s="46" t="str">
        <f>IFERROR(TRANSACTIONS!#REF!+TRANSACTIONS!$G1124,"")</f>
        <v/>
      </c>
      <c r="I1124" s="57" t="s">
        <v>41</v>
      </c>
    </row>
    <row r="1125" spans="1:10" x14ac:dyDescent="0.25">
      <c r="A1125" s="41"/>
      <c r="B1125" s="48" t="str">
        <f>IF(A1125&lt;&gt;"",DATE(YEAR(TRANSACTIONS!$A1125),MONTH(TRANSACTIONS!$A1125),DAY(TRANSACTIONS!$A1125)),"")</f>
        <v/>
      </c>
      <c r="C1125" s="49" t="str">
        <f>IF(A1125&lt;&gt;"",TIME(HOUR(TRANSACTIONS!$A1125),MINUTE(TRANSACTIONS!$A1125),SECOND(TRANSACTIONS!$A1125)),"")</f>
        <v/>
      </c>
      <c r="E1125" s="82"/>
      <c r="F1125" s="82"/>
      <c r="G1125" s="46"/>
      <c r="H1125" s="46" t="str">
        <f>IFERROR(TRANSACTIONS!#REF!+TRANSACTIONS!$G1125,"")</f>
        <v/>
      </c>
      <c r="I1125" s="57" t="s">
        <v>41</v>
      </c>
    </row>
    <row r="1126" spans="1:10" x14ac:dyDescent="0.25">
      <c r="A1126" s="41"/>
      <c r="B1126" s="48" t="str">
        <f>IF(A1126&lt;&gt;"",DATE(YEAR(TRANSACTIONS!$A1126),MONTH(TRANSACTIONS!$A1126),DAY(TRANSACTIONS!$A1126)),"")</f>
        <v/>
      </c>
      <c r="C1126" s="49" t="str">
        <f>IF(A1126&lt;&gt;"",TIME(HOUR(TRANSACTIONS!$A1126),MINUTE(TRANSACTIONS!$A1126),SECOND(TRANSACTIONS!$A1126)),"")</f>
        <v/>
      </c>
      <c r="E1126" s="82"/>
      <c r="F1126" s="82"/>
      <c r="G1126" s="46"/>
      <c r="H1126" s="46" t="str">
        <f>IFERROR(TRANSACTIONS!#REF!+TRANSACTIONS!$G1126,"")</f>
        <v/>
      </c>
      <c r="I1126" s="57" t="s">
        <v>41</v>
      </c>
    </row>
    <row r="1127" spans="1:10" x14ac:dyDescent="0.25">
      <c r="A1127" s="41"/>
      <c r="B1127" s="48" t="str">
        <f>IF(A1127&lt;&gt;"",DATE(YEAR(TRANSACTIONS!$A1127),MONTH(TRANSACTIONS!$A1127),DAY(TRANSACTIONS!$A1127)),"")</f>
        <v/>
      </c>
      <c r="C1127" s="49" t="str">
        <f>IF(A1127&lt;&gt;"",TIME(HOUR(TRANSACTIONS!$A1127),MINUTE(TRANSACTIONS!$A1127),SECOND(TRANSACTIONS!$A1127)),"")</f>
        <v/>
      </c>
      <c r="E1127" s="82"/>
      <c r="F1127" s="82"/>
      <c r="G1127" s="46"/>
      <c r="H1127" s="46" t="str">
        <f>IFERROR(TRANSACTIONS!#REF!+TRANSACTIONS!$G1127,"")</f>
        <v/>
      </c>
      <c r="I1127" s="57" t="s">
        <v>41</v>
      </c>
    </row>
    <row r="1128" spans="1:10" x14ac:dyDescent="0.25">
      <c r="A1128" s="41"/>
      <c r="B1128" s="83" t="str">
        <f>IF(A1128&lt;&gt;"",DATE(YEAR(TRANSACTIONS!$A1128),MONTH(TRANSACTIONS!$A1128),DAY(TRANSACTIONS!$A1128)),"")</f>
        <v/>
      </c>
      <c r="C1128" s="84" t="str">
        <f>IF(A1128&lt;&gt;"",TIME(HOUR(TRANSACTIONS!$A1128),MINUTE(TRANSACTIONS!$A1128),SECOND(TRANSACTIONS!$A1128)),"")</f>
        <v/>
      </c>
      <c r="E1128" s="82"/>
      <c r="F1128" s="82"/>
      <c r="G1128" s="86"/>
      <c r="H1128" s="86" t="str">
        <f>IFERROR(TRANSACTIONS!#REF!+TRANSACTIONS!$G1128,"")</f>
        <v/>
      </c>
      <c r="I1128" s="87" t="s">
        <v>41</v>
      </c>
      <c r="J1128" s="88"/>
    </row>
    <row r="1129" spans="1:10" x14ac:dyDescent="0.25">
      <c r="A1129" s="41"/>
      <c r="B1129" s="48" t="str">
        <f>IF(A1129&lt;&gt;"",DATE(YEAR(TRANSACTIONS!$A1129),MONTH(TRANSACTIONS!$A1129),DAY(TRANSACTIONS!$A1129)),"")</f>
        <v/>
      </c>
      <c r="C1129" s="49" t="str">
        <f>IF(A1129&lt;&gt;"",TIME(HOUR(TRANSACTIONS!$A1129),MINUTE(TRANSACTIONS!$A1129),SECOND(TRANSACTIONS!$A1129)),"")</f>
        <v/>
      </c>
      <c r="E1129" s="82"/>
      <c r="F1129" s="82"/>
      <c r="G1129" s="46"/>
      <c r="H1129" s="46" t="str">
        <f>IFERROR(TRANSACTIONS!#REF!+TRANSACTIONS!$G1129,"")</f>
        <v/>
      </c>
      <c r="I1129" s="57" t="s">
        <v>41</v>
      </c>
    </row>
    <row r="1130" spans="1:10" x14ac:dyDescent="0.25">
      <c r="A1130" s="41"/>
      <c r="B1130" s="83" t="str">
        <f>IF(A1130&lt;&gt;"",DATE(YEAR(TRANSACTIONS!$A1130),MONTH(TRANSACTIONS!$A1130),DAY(TRANSACTIONS!$A1130)),"")</f>
        <v/>
      </c>
      <c r="C1130" s="84" t="str">
        <f>IF(A1130&lt;&gt;"",TIME(HOUR(TRANSACTIONS!$A1130),MINUTE(TRANSACTIONS!$A1130),SECOND(TRANSACTIONS!$A1130)),"")</f>
        <v/>
      </c>
      <c r="E1130" s="93"/>
      <c r="F1130" s="93"/>
      <c r="G1130" s="86"/>
      <c r="H1130" s="86" t="str">
        <f>IFERROR(TRANSACTIONS!#REF!+TRANSACTIONS!$G1130,"")</f>
        <v/>
      </c>
      <c r="I1130" s="87" t="s">
        <v>41</v>
      </c>
    </row>
    <row r="1131" spans="1:10" x14ac:dyDescent="0.25">
      <c r="A1131" s="41"/>
      <c r="B1131" s="48" t="str">
        <f>IF(A1131&lt;&gt;"",DATE(YEAR(TRANSACTIONS!$A1131),MONTH(TRANSACTIONS!$A1131),DAY(TRANSACTIONS!$A1131)),"")</f>
        <v/>
      </c>
      <c r="C1131" s="49" t="str">
        <f>IF(A1131&lt;&gt;"",TIME(HOUR(TRANSACTIONS!$A1131),MINUTE(TRANSACTIONS!$A1131),SECOND(TRANSACTIONS!$A1131)),"")</f>
        <v/>
      </c>
      <c r="E1131" s="82"/>
      <c r="F1131" s="82"/>
      <c r="G1131" s="46"/>
      <c r="H1131" s="46" t="str">
        <f>IFERROR(TRANSACTIONS!#REF!+TRANSACTIONS!$G1131,"")</f>
        <v/>
      </c>
      <c r="I1131" s="57" t="s">
        <v>41</v>
      </c>
    </row>
    <row r="1132" spans="1:10" x14ac:dyDescent="0.25">
      <c r="A1132" s="41"/>
      <c r="B1132" s="48" t="str">
        <f>IF(A1132&lt;&gt;"",DATE(YEAR(TRANSACTIONS!$A1132),MONTH(TRANSACTIONS!$A1132),DAY(TRANSACTIONS!$A1132)),"")</f>
        <v/>
      </c>
      <c r="C1132" s="49" t="str">
        <f>IF(A1132&lt;&gt;"",TIME(HOUR(TRANSACTIONS!$A1132),MINUTE(TRANSACTIONS!$A1132),SECOND(TRANSACTIONS!$A1132)),"")</f>
        <v/>
      </c>
      <c r="E1132" s="82"/>
      <c r="F1132" s="82"/>
      <c r="G1132" s="46"/>
      <c r="H1132" s="46" t="str">
        <f>IFERROR(TRANSACTIONS!#REF!+TRANSACTIONS!$G1132,"")</f>
        <v/>
      </c>
      <c r="I1132" s="57" t="s">
        <v>41</v>
      </c>
    </row>
    <row r="1133" spans="1:10" x14ac:dyDescent="0.25">
      <c r="A1133" s="41"/>
      <c r="B1133" s="48" t="str">
        <f>IF(A1133&lt;&gt;"",DATE(YEAR(TRANSACTIONS!$A1133),MONTH(TRANSACTIONS!$A1133),DAY(TRANSACTIONS!$A1133)),"")</f>
        <v/>
      </c>
      <c r="C1133" s="49" t="str">
        <f>IF(A1133&lt;&gt;"",TIME(HOUR(TRANSACTIONS!$A1133),MINUTE(TRANSACTIONS!$A1133),SECOND(TRANSACTIONS!$A1133)),"")</f>
        <v/>
      </c>
      <c r="E1133" s="82"/>
      <c r="F1133" s="82"/>
      <c r="G1133" s="46"/>
      <c r="H1133" s="46" t="str">
        <f>IFERROR(TRANSACTIONS!#REF!+TRANSACTIONS!$G1133,"")</f>
        <v/>
      </c>
      <c r="I1133" s="57" t="s">
        <v>41</v>
      </c>
    </row>
    <row r="1134" spans="1:10" x14ac:dyDescent="0.25">
      <c r="A1134" s="41"/>
      <c r="B1134" s="48" t="str">
        <f>IF(A1134&lt;&gt;"",DATE(YEAR(TRANSACTIONS!$A1134),MONTH(TRANSACTIONS!$A1134),DAY(TRANSACTIONS!$A1134)),"")</f>
        <v/>
      </c>
      <c r="C1134" s="49" t="str">
        <f>IF(A1134&lt;&gt;"",TIME(HOUR(TRANSACTIONS!$A1134),MINUTE(TRANSACTIONS!$A1134),SECOND(TRANSACTIONS!$A1134)),"")</f>
        <v/>
      </c>
      <c r="E1134" s="82"/>
      <c r="F1134" s="82"/>
      <c r="G1134" s="46"/>
      <c r="H1134" s="46" t="str">
        <f>IFERROR(TRANSACTIONS!#REF!+TRANSACTIONS!$G1134,"")</f>
        <v/>
      </c>
      <c r="I1134" s="57" t="s">
        <v>41</v>
      </c>
    </row>
    <row r="1135" spans="1:10" x14ac:dyDescent="0.25">
      <c r="A1135" s="41"/>
      <c r="B1135" s="48" t="str">
        <f>IF(A1135&lt;&gt;"",DATE(YEAR(TRANSACTIONS!$A1135),MONTH(TRANSACTIONS!$A1135),DAY(TRANSACTIONS!$A1135)),"")</f>
        <v/>
      </c>
      <c r="C1135" s="49" t="str">
        <f>IF(A1135&lt;&gt;"",TIME(HOUR(TRANSACTIONS!$A1135),MINUTE(TRANSACTIONS!$A1135),SECOND(TRANSACTIONS!$A1135)),"")</f>
        <v/>
      </c>
      <c r="E1135" s="82"/>
      <c r="F1135" s="82"/>
      <c r="G1135" s="46"/>
      <c r="H1135" s="46" t="str">
        <f>IFERROR(TRANSACTIONS!#REF!+TRANSACTIONS!$G1135,"")</f>
        <v/>
      </c>
      <c r="I1135" s="57" t="s">
        <v>41</v>
      </c>
    </row>
    <row r="1136" spans="1:10" x14ac:dyDescent="0.25">
      <c r="A1136" s="41"/>
      <c r="B1136" s="48" t="str">
        <f>IF(A1136&lt;&gt;"",DATE(YEAR(TRANSACTIONS!$A1136),MONTH(TRANSACTIONS!$A1136),DAY(TRANSACTIONS!$A1136)),"")</f>
        <v/>
      </c>
      <c r="C1136" s="49" t="str">
        <f>IF(A1136&lt;&gt;"",TIME(HOUR(TRANSACTIONS!$A1136),MINUTE(TRANSACTIONS!$A1136),SECOND(TRANSACTIONS!$A1136)),"")</f>
        <v/>
      </c>
      <c r="E1136" s="82"/>
      <c r="F1136" s="82"/>
      <c r="G1136" s="46"/>
      <c r="H1136" s="46" t="str">
        <f>IFERROR(TRANSACTIONS!#REF!+TRANSACTIONS!$G1136,"")</f>
        <v/>
      </c>
      <c r="I1136" s="57" t="s">
        <v>41</v>
      </c>
    </row>
    <row r="1137" spans="1:9" x14ac:dyDescent="0.25">
      <c r="A1137" s="41"/>
      <c r="B1137" s="48" t="str">
        <f>IF(A1137&lt;&gt;"",DATE(YEAR(TRANSACTIONS!$A1137),MONTH(TRANSACTIONS!$A1137),DAY(TRANSACTIONS!$A1137)),"")</f>
        <v/>
      </c>
      <c r="C1137" s="49" t="str">
        <f>IF(A1137&lt;&gt;"",TIME(HOUR(TRANSACTIONS!$A1137),MINUTE(TRANSACTIONS!$A1137),SECOND(TRANSACTIONS!$A1137)),"")</f>
        <v/>
      </c>
      <c r="E1137" s="82"/>
      <c r="F1137" s="82"/>
      <c r="G1137" s="46"/>
      <c r="H1137" s="46" t="str">
        <f>IFERROR(TRANSACTIONS!#REF!+TRANSACTIONS!$G1137,"")</f>
        <v/>
      </c>
      <c r="I1137" s="57" t="s">
        <v>41</v>
      </c>
    </row>
    <row r="1138" spans="1:9" x14ac:dyDescent="0.25">
      <c r="A1138" s="41"/>
      <c r="B1138" s="48" t="str">
        <f>IF(A1138&lt;&gt;"",DATE(YEAR(TRANSACTIONS!$A1138),MONTH(TRANSACTIONS!$A1138),DAY(TRANSACTIONS!$A1138)),"")</f>
        <v/>
      </c>
      <c r="C1138" s="49" t="str">
        <f>IF(A1138&lt;&gt;"",TIME(HOUR(TRANSACTIONS!$A1138),MINUTE(TRANSACTIONS!$A1138),SECOND(TRANSACTIONS!$A1138)),"")</f>
        <v/>
      </c>
      <c r="E1138" s="82"/>
      <c r="F1138" s="82"/>
      <c r="G1138" s="46"/>
      <c r="H1138" s="46" t="str">
        <f>IFERROR(TRANSACTIONS!#REF!+TRANSACTIONS!$G1138,"")</f>
        <v/>
      </c>
      <c r="I1138" s="57" t="s">
        <v>41</v>
      </c>
    </row>
    <row r="1139" spans="1:9" x14ac:dyDescent="0.25">
      <c r="A1139" s="41"/>
      <c r="B1139" s="48" t="str">
        <f>IF(A1139&lt;&gt;"",DATE(YEAR(TRANSACTIONS!$A1139),MONTH(TRANSACTIONS!$A1139),DAY(TRANSACTIONS!$A1139)),"")</f>
        <v/>
      </c>
      <c r="C1139" s="49" t="str">
        <f>IF(A1139&lt;&gt;"",TIME(HOUR(TRANSACTIONS!$A1139),MINUTE(TRANSACTIONS!$A1139),SECOND(TRANSACTIONS!$A1139)),"")</f>
        <v/>
      </c>
      <c r="E1139" s="82"/>
      <c r="F1139" s="82"/>
      <c r="G1139" s="46"/>
      <c r="H1139" s="46" t="str">
        <f>IFERROR(TRANSACTIONS!#REF!+TRANSACTIONS!$G1139,"")</f>
        <v/>
      </c>
      <c r="I1139" s="57" t="s">
        <v>41</v>
      </c>
    </row>
    <row r="1140" spans="1:9" x14ac:dyDescent="0.25">
      <c r="A1140" s="41"/>
      <c r="B1140" s="48" t="str">
        <f>IF(A1140&lt;&gt;"",DATE(YEAR(TRANSACTIONS!$A1140),MONTH(TRANSACTIONS!$A1140),DAY(TRANSACTIONS!$A1140)),"")</f>
        <v/>
      </c>
      <c r="C1140" s="49" t="str">
        <f>IF(A1140&lt;&gt;"",TIME(HOUR(TRANSACTIONS!$A1140),MINUTE(TRANSACTIONS!$A1140),SECOND(TRANSACTIONS!$A1140)),"")</f>
        <v/>
      </c>
      <c r="E1140" s="82"/>
      <c r="F1140" s="82"/>
      <c r="G1140" s="46"/>
      <c r="H1140" s="46" t="str">
        <f>IFERROR(TRANSACTIONS!#REF!+TRANSACTIONS!$G1140,"")</f>
        <v/>
      </c>
      <c r="I1140" s="57" t="s">
        <v>41</v>
      </c>
    </row>
    <row r="1141" spans="1:9" x14ac:dyDescent="0.25">
      <c r="A1141" s="41"/>
      <c r="B1141" s="48" t="str">
        <f>IF(A1141&lt;&gt;"",DATE(YEAR(TRANSACTIONS!$A1141),MONTH(TRANSACTIONS!$A1141),DAY(TRANSACTIONS!$A1141)),"")</f>
        <v/>
      </c>
      <c r="C1141" s="49" t="str">
        <f>IF(A1141&lt;&gt;"",TIME(HOUR(TRANSACTIONS!$A1141),MINUTE(TRANSACTIONS!$A1141),SECOND(TRANSACTIONS!$A1141)),"")</f>
        <v/>
      </c>
      <c r="E1141" s="82"/>
      <c r="F1141" s="82"/>
      <c r="G1141" s="46"/>
      <c r="H1141" s="46" t="str">
        <f>IFERROR(TRANSACTIONS!#REF!+TRANSACTIONS!$G1141,"")</f>
        <v/>
      </c>
      <c r="I1141" s="57" t="s">
        <v>41</v>
      </c>
    </row>
    <row r="1142" spans="1:9" x14ac:dyDescent="0.25">
      <c r="A1142" s="41"/>
      <c r="B1142" s="48" t="str">
        <f>IF(A1142&lt;&gt;"",DATE(YEAR(TRANSACTIONS!$A1142),MONTH(TRANSACTIONS!$A1142),DAY(TRANSACTIONS!$A1142)),"")</f>
        <v/>
      </c>
      <c r="C1142" s="49" t="str">
        <f>IF(A1142&lt;&gt;"",TIME(HOUR(TRANSACTIONS!$A1142),MINUTE(TRANSACTIONS!$A1142),SECOND(TRANSACTIONS!$A1142)),"")</f>
        <v/>
      </c>
      <c r="E1142" s="82"/>
      <c r="F1142" s="82"/>
      <c r="G1142" s="46"/>
      <c r="H1142" s="46" t="str">
        <f>IFERROR(TRANSACTIONS!#REF!+TRANSACTIONS!$G1142,"")</f>
        <v/>
      </c>
      <c r="I1142" s="57" t="s">
        <v>41</v>
      </c>
    </row>
    <row r="1143" spans="1:9" x14ac:dyDescent="0.25">
      <c r="A1143" s="41"/>
      <c r="B1143" s="48" t="str">
        <f>IF(A1143&lt;&gt;"",DATE(YEAR(TRANSACTIONS!$A1143),MONTH(TRANSACTIONS!$A1143),DAY(TRANSACTIONS!$A1143)),"")</f>
        <v/>
      </c>
      <c r="C1143" s="49" t="str">
        <f>IF(A1143&lt;&gt;"",TIME(HOUR(TRANSACTIONS!$A1143),MINUTE(TRANSACTIONS!$A1143),SECOND(TRANSACTIONS!$A1143)),"")</f>
        <v/>
      </c>
      <c r="E1143" s="82"/>
      <c r="F1143" s="82"/>
      <c r="G1143" s="46"/>
      <c r="H1143" s="46" t="str">
        <f>IFERROR(TRANSACTIONS!#REF!+TRANSACTIONS!$G1143,"")</f>
        <v/>
      </c>
      <c r="I1143" s="57" t="s">
        <v>41</v>
      </c>
    </row>
    <row r="1144" spans="1:9" x14ac:dyDescent="0.25">
      <c r="A1144" s="41"/>
      <c r="B1144" s="48" t="str">
        <f>IF(A1144&lt;&gt;"",DATE(YEAR(TRANSACTIONS!$A1144),MONTH(TRANSACTIONS!$A1144),DAY(TRANSACTIONS!$A1144)),"")</f>
        <v/>
      </c>
      <c r="C1144" s="49" t="str">
        <f>IF(A1144&lt;&gt;"",TIME(HOUR(TRANSACTIONS!$A1144),MINUTE(TRANSACTIONS!$A1144),SECOND(TRANSACTIONS!$A1144)),"")</f>
        <v/>
      </c>
      <c r="E1144" s="82"/>
      <c r="F1144" s="82"/>
      <c r="G1144" s="46"/>
      <c r="H1144" s="46" t="str">
        <f>IFERROR(TRANSACTIONS!#REF!+TRANSACTIONS!$G1144,"")</f>
        <v/>
      </c>
      <c r="I1144" s="57" t="s">
        <v>41</v>
      </c>
    </row>
    <row r="1145" spans="1:9" x14ac:dyDescent="0.25">
      <c r="A1145" s="41"/>
      <c r="B1145" s="48" t="str">
        <f>IF(A1145&lt;&gt;"",DATE(YEAR(TRANSACTIONS!$A1145),MONTH(TRANSACTIONS!$A1145),DAY(TRANSACTIONS!$A1145)),"")</f>
        <v/>
      </c>
      <c r="C1145" s="49" t="str">
        <f>IF(A1145&lt;&gt;"",TIME(HOUR(TRANSACTIONS!$A1145),MINUTE(TRANSACTIONS!$A1145),SECOND(TRANSACTIONS!$A1145)),"")</f>
        <v/>
      </c>
      <c r="E1145" s="82"/>
      <c r="F1145" s="82"/>
      <c r="G1145" s="46"/>
      <c r="H1145" s="46" t="str">
        <f>IFERROR(TRANSACTIONS!#REF!+TRANSACTIONS!$G1145,"")</f>
        <v/>
      </c>
      <c r="I1145" s="57" t="s">
        <v>41</v>
      </c>
    </row>
    <row r="1146" spans="1:9" x14ac:dyDescent="0.25">
      <c r="A1146" s="41"/>
      <c r="B1146" s="48" t="str">
        <f>IF(A1146&lt;&gt;"",DATE(YEAR(TRANSACTIONS!$A1146),MONTH(TRANSACTIONS!$A1146),DAY(TRANSACTIONS!$A1146)),"")</f>
        <v/>
      </c>
      <c r="C1146" s="49" t="str">
        <f>IF(A1146&lt;&gt;"",TIME(HOUR(TRANSACTIONS!$A1146),MINUTE(TRANSACTIONS!$A1146),SECOND(TRANSACTIONS!$A1146)),"")</f>
        <v/>
      </c>
      <c r="E1146" s="82"/>
      <c r="F1146" s="82"/>
      <c r="G1146" s="46"/>
      <c r="H1146" s="46" t="str">
        <f>IFERROR(TRANSACTIONS!#REF!+TRANSACTIONS!$G1146,"")</f>
        <v/>
      </c>
      <c r="I1146" s="57" t="s">
        <v>41</v>
      </c>
    </row>
    <row r="1147" spans="1:9" x14ac:dyDescent="0.25">
      <c r="A1147" s="41"/>
      <c r="B1147" s="48" t="str">
        <f>IF(A1147&lt;&gt;"",DATE(YEAR(TRANSACTIONS!$A1147),MONTH(TRANSACTIONS!$A1147),DAY(TRANSACTIONS!$A1147)),"")</f>
        <v/>
      </c>
      <c r="C1147" s="49" t="str">
        <f>IF(A1147&lt;&gt;"",TIME(HOUR(TRANSACTIONS!$A1147),MINUTE(TRANSACTIONS!$A1147),SECOND(TRANSACTIONS!$A1147)),"")</f>
        <v/>
      </c>
      <c r="E1147" s="82"/>
      <c r="F1147" s="82"/>
      <c r="G1147" s="46"/>
      <c r="H1147" s="46" t="str">
        <f>IFERROR(TRANSACTIONS!#REF!+TRANSACTIONS!$G1147,"")</f>
        <v/>
      </c>
      <c r="I1147" s="57" t="s">
        <v>41</v>
      </c>
    </row>
    <row r="1148" spans="1:9" x14ac:dyDescent="0.25">
      <c r="A1148" s="41"/>
      <c r="B1148" s="48" t="str">
        <f>IF(A1148&lt;&gt;"",DATE(YEAR(TRANSACTIONS!$A1148),MONTH(TRANSACTIONS!$A1148),DAY(TRANSACTIONS!$A1148)),"")</f>
        <v/>
      </c>
      <c r="C1148" s="49" t="str">
        <f>IF(A1148&lt;&gt;"",TIME(HOUR(TRANSACTIONS!$A1148),MINUTE(TRANSACTIONS!$A1148),SECOND(TRANSACTIONS!$A1148)),"")</f>
        <v/>
      </c>
      <c r="E1148" s="82"/>
      <c r="F1148" s="82"/>
      <c r="G1148" s="46"/>
      <c r="H1148" s="46" t="str">
        <f>IFERROR(TRANSACTIONS!#REF!+TRANSACTIONS!$G1148,"")</f>
        <v/>
      </c>
      <c r="I1148" s="57" t="s">
        <v>41</v>
      </c>
    </row>
    <row r="1149" spans="1:9" x14ac:dyDescent="0.25">
      <c r="A1149" s="41"/>
      <c r="B1149" s="48" t="str">
        <f>IF(A1149&lt;&gt;"",DATE(YEAR(TRANSACTIONS!$A1149),MONTH(TRANSACTIONS!$A1149),DAY(TRANSACTIONS!$A1149)),"")</f>
        <v/>
      </c>
      <c r="C1149" s="49" t="str">
        <f>IF(A1149&lt;&gt;"",TIME(HOUR(TRANSACTIONS!$A1149),MINUTE(TRANSACTIONS!$A1149),SECOND(TRANSACTIONS!$A1149)),"")</f>
        <v/>
      </c>
      <c r="E1149" s="82"/>
      <c r="F1149" s="82"/>
      <c r="G1149" s="46"/>
      <c r="H1149" s="46" t="str">
        <f>IFERROR(TRANSACTIONS!#REF!+TRANSACTIONS!$G1149,"")</f>
        <v/>
      </c>
      <c r="I1149" s="57" t="s">
        <v>41</v>
      </c>
    </row>
    <row r="1150" spans="1:9" x14ac:dyDescent="0.25">
      <c r="A1150" s="41"/>
      <c r="B1150" s="48" t="str">
        <f>IF(A1150&lt;&gt;"",DATE(YEAR(TRANSACTIONS!$A1150),MONTH(TRANSACTIONS!$A1150),DAY(TRANSACTIONS!$A1150)),"")</f>
        <v/>
      </c>
      <c r="C1150" s="49" t="str">
        <f>IF(A1150&lt;&gt;"",TIME(HOUR(TRANSACTIONS!$A1150),MINUTE(TRANSACTIONS!$A1150),SECOND(TRANSACTIONS!$A1150)),"")</f>
        <v/>
      </c>
      <c r="E1150" s="82"/>
      <c r="F1150" s="82"/>
      <c r="G1150" s="46"/>
      <c r="H1150" s="46" t="str">
        <f>IFERROR(TRANSACTIONS!#REF!+TRANSACTIONS!$G1150,"")</f>
        <v/>
      </c>
      <c r="I1150" s="57" t="s">
        <v>41</v>
      </c>
    </row>
    <row r="1151" spans="1:9" x14ac:dyDescent="0.25">
      <c r="A1151" s="41"/>
      <c r="B1151" s="48" t="str">
        <f>IF(A1151&lt;&gt;"",DATE(YEAR(TRANSACTIONS!$A1151),MONTH(TRANSACTIONS!$A1151),DAY(TRANSACTIONS!$A1151)),"")</f>
        <v/>
      </c>
      <c r="C1151" s="49" t="str">
        <f>IF(A1151&lt;&gt;"",TIME(HOUR(TRANSACTIONS!$A1151),MINUTE(TRANSACTIONS!$A1151),SECOND(TRANSACTIONS!$A1151)),"")</f>
        <v/>
      </c>
      <c r="E1151" s="82"/>
      <c r="F1151" s="82"/>
      <c r="G1151" s="46"/>
      <c r="H1151" s="46" t="str">
        <f>IFERROR(TRANSACTIONS!#REF!+TRANSACTIONS!$G1151,"")</f>
        <v/>
      </c>
      <c r="I1151" s="57" t="s">
        <v>41</v>
      </c>
    </row>
    <row r="1152" spans="1:9" x14ac:dyDescent="0.25">
      <c r="A1152" s="41"/>
      <c r="B1152" s="48" t="str">
        <f>IF(A1152&lt;&gt;"",DATE(YEAR(TRANSACTIONS!$A1152),MONTH(TRANSACTIONS!$A1152),DAY(TRANSACTIONS!$A1152)),"")</f>
        <v/>
      </c>
      <c r="C1152" s="49" t="str">
        <f>IF(A1152&lt;&gt;"",TIME(HOUR(TRANSACTIONS!$A1152),MINUTE(TRANSACTIONS!$A1152),SECOND(TRANSACTIONS!$A1152)),"")</f>
        <v/>
      </c>
      <c r="E1152" s="82"/>
      <c r="F1152" s="82"/>
      <c r="G1152" s="46"/>
      <c r="H1152" s="46" t="str">
        <f>IFERROR(TRANSACTIONS!#REF!+TRANSACTIONS!$G1152,"")</f>
        <v/>
      </c>
      <c r="I1152" s="57" t="s">
        <v>41</v>
      </c>
    </row>
    <row r="1153" spans="1:10" x14ac:dyDescent="0.25">
      <c r="A1153" s="41"/>
      <c r="B1153" s="48" t="str">
        <f>IF(A1153&lt;&gt;"",DATE(YEAR(TRANSACTIONS!$A1153),MONTH(TRANSACTIONS!$A1153),DAY(TRANSACTIONS!$A1153)),"")</f>
        <v/>
      </c>
      <c r="C1153" s="49" t="str">
        <f>IF(A1153&lt;&gt;"",TIME(HOUR(TRANSACTIONS!$A1153),MINUTE(TRANSACTIONS!$A1153),SECOND(TRANSACTIONS!$A1153)),"")</f>
        <v/>
      </c>
      <c r="E1153" s="82"/>
      <c r="F1153" s="82"/>
      <c r="G1153" s="46"/>
      <c r="H1153" s="46" t="str">
        <f>IFERROR(TRANSACTIONS!#REF!+TRANSACTIONS!$G1153,"")</f>
        <v/>
      </c>
      <c r="I1153" s="57" t="s">
        <v>41</v>
      </c>
    </row>
    <row r="1154" spans="1:10" x14ac:dyDescent="0.25">
      <c r="A1154" s="41"/>
      <c r="B1154" s="48" t="str">
        <f>IF(A1154&lt;&gt;"",DATE(YEAR(TRANSACTIONS!$A1154),MONTH(TRANSACTIONS!$A1154),DAY(TRANSACTIONS!$A1154)),"")</f>
        <v/>
      </c>
      <c r="C1154" s="49" t="str">
        <f>IF(A1154&lt;&gt;"",TIME(HOUR(TRANSACTIONS!$A1154),MINUTE(TRANSACTIONS!$A1154),SECOND(TRANSACTIONS!$A1154)),"")</f>
        <v/>
      </c>
      <c r="E1154" s="82"/>
      <c r="F1154" s="82"/>
      <c r="G1154" s="46"/>
      <c r="H1154" s="46" t="str">
        <f>IFERROR(TRANSACTIONS!#REF!+TRANSACTIONS!$G1154,"")</f>
        <v/>
      </c>
      <c r="I1154" s="57" t="s">
        <v>41</v>
      </c>
    </row>
    <row r="1155" spans="1:10" x14ac:dyDescent="0.25">
      <c r="A1155" s="41"/>
      <c r="B1155" s="48" t="str">
        <f>IF(A1155&lt;&gt;"",DATE(YEAR(TRANSACTIONS!$A1155),MONTH(TRANSACTIONS!$A1155),DAY(TRANSACTIONS!$A1155)),"")</f>
        <v/>
      </c>
      <c r="C1155" s="49" t="str">
        <f>IF(A1155&lt;&gt;"",TIME(HOUR(TRANSACTIONS!$A1155),MINUTE(TRANSACTIONS!$A1155),SECOND(TRANSACTIONS!$A1155)),"")</f>
        <v/>
      </c>
      <c r="E1155" s="82"/>
      <c r="F1155" s="82"/>
      <c r="G1155" s="46"/>
      <c r="H1155" s="46" t="str">
        <f>IFERROR(TRANSACTIONS!#REF!+TRANSACTIONS!$G1155,"")</f>
        <v/>
      </c>
      <c r="I1155" s="57" t="s">
        <v>41</v>
      </c>
    </row>
    <row r="1156" spans="1:10" x14ac:dyDescent="0.25">
      <c r="A1156" s="41"/>
      <c r="B1156" s="83" t="str">
        <f>IF(A1156&lt;&gt;"",DATE(YEAR(TRANSACTIONS!$A1156),MONTH(TRANSACTIONS!$A1156),DAY(TRANSACTIONS!$A1156)),"")</f>
        <v/>
      </c>
      <c r="C1156" s="84" t="str">
        <f>IF(A1156&lt;&gt;"",TIME(HOUR(TRANSACTIONS!$A1156),MINUTE(TRANSACTIONS!$A1156),SECOND(TRANSACTIONS!$A1156)),"")</f>
        <v/>
      </c>
      <c r="E1156" s="82"/>
      <c r="F1156" s="82"/>
      <c r="G1156" s="86"/>
      <c r="H1156" s="86" t="str">
        <f>IFERROR(TRANSACTIONS!#REF!+TRANSACTIONS!$G1156,"")</f>
        <v/>
      </c>
      <c r="I1156" s="87" t="s">
        <v>41</v>
      </c>
      <c r="J1156" s="88"/>
    </row>
    <row r="1157" spans="1:10" x14ac:dyDescent="0.25">
      <c r="A1157" s="41"/>
      <c r="B1157" s="48" t="str">
        <f>IF(A1157&lt;&gt;"",DATE(YEAR(TRANSACTIONS!$A1157),MONTH(TRANSACTIONS!$A1157),DAY(TRANSACTIONS!$A1157)),"")</f>
        <v/>
      </c>
      <c r="C1157" s="49" t="str">
        <f>IF(A1157&lt;&gt;"",TIME(HOUR(TRANSACTIONS!$A1157),MINUTE(TRANSACTIONS!$A1157),SECOND(TRANSACTIONS!$A1157)),"")</f>
        <v/>
      </c>
      <c r="E1157" s="82"/>
      <c r="F1157" s="82"/>
      <c r="G1157" s="46"/>
      <c r="H1157" s="46" t="str">
        <f>IFERROR(TRANSACTIONS!#REF!+TRANSACTIONS!$G1157,"")</f>
        <v/>
      </c>
      <c r="I1157" s="57" t="s">
        <v>41</v>
      </c>
    </row>
    <row r="1158" spans="1:10" x14ac:dyDescent="0.25">
      <c r="A1158" s="41"/>
      <c r="B1158" s="106" t="str">
        <f>IF(A1158&lt;&gt;"",DATE(YEAR(TRANSACTIONS!$A1158),MONTH(TRANSACTIONS!$A1158),DAY(TRANSACTIONS!$A1158)),"")</f>
        <v/>
      </c>
      <c r="C1158" s="107" t="str">
        <f>IF(A1158&lt;&gt;"",TIME(HOUR(TRANSACTIONS!$A1158),MINUTE(TRANSACTIONS!$A1158),SECOND(TRANSACTIONS!$A1158)),"")</f>
        <v/>
      </c>
      <c r="E1158" s="82"/>
      <c r="F1158" s="82"/>
      <c r="G1158" s="108"/>
      <c r="H1158" s="108" t="str">
        <f>IFERROR(TRANSACTIONS!#REF!+TRANSACTIONS!$G1158,"")</f>
        <v/>
      </c>
      <c r="I1158" s="135" t="s">
        <v>41</v>
      </c>
      <c r="J1158" s="137"/>
    </row>
    <row r="1159" spans="1:10" x14ac:dyDescent="0.25">
      <c r="A1159" s="41"/>
      <c r="B1159" s="48" t="str">
        <f>IF(A1159&lt;&gt;"",DATE(YEAR(TRANSACTIONS!$A1159),MONTH(TRANSACTIONS!$A1159),DAY(TRANSACTIONS!$A1159)),"")</f>
        <v/>
      </c>
      <c r="C1159" s="49" t="str">
        <f>IF(A1159&lt;&gt;"",TIME(HOUR(TRANSACTIONS!$A1159),MINUTE(TRANSACTIONS!$A1159),SECOND(TRANSACTIONS!$A1159)),"")</f>
        <v/>
      </c>
      <c r="E1159" s="82"/>
      <c r="F1159" s="82"/>
      <c r="G1159" s="46"/>
      <c r="H1159" s="46" t="str">
        <f>IFERROR(TRANSACTIONS!#REF!+TRANSACTIONS!$G1159,"")</f>
        <v/>
      </c>
      <c r="I1159" s="57" t="s">
        <v>41</v>
      </c>
    </row>
    <row r="1160" spans="1:10" x14ac:dyDescent="0.25">
      <c r="A1160" s="41"/>
      <c r="B1160" s="48" t="str">
        <f>IF(A1160&lt;&gt;"",DATE(YEAR(TRANSACTIONS!$A1160),MONTH(TRANSACTIONS!$A1160),DAY(TRANSACTIONS!$A1160)),"")</f>
        <v/>
      </c>
      <c r="C1160" s="49" t="str">
        <f>IF(A1160&lt;&gt;"",TIME(HOUR(TRANSACTIONS!$A1160),MINUTE(TRANSACTIONS!$A1160),SECOND(TRANSACTIONS!$A1160)),"")</f>
        <v/>
      </c>
      <c r="E1160" s="82"/>
      <c r="F1160" s="82"/>
      <c r="G1160" s="46"/>
      <c r="H1160" s="46" t="str">
        <f>IFERROR(TRANSACTIONS!#REF!+TRANSACTIONS!$G1160,"")</f>
        <v/>
      </c>
      <c r="I1160" s="57" t="s">
        <v>41</v>
      </c>
    </row>
    <row r="1161" spans="1:10" x14ac:dyDescent="0.25">
      <c r="A1161" s="41"/>
      <c r="B1161" s="48" t="str">
        <f>IF(A1161&lt;&gt;"",DATE(YEAR(TRANSACTIONS!$A1161),MONTH(TRANSACTIONS!$A1161),DAY(TRANSACTIONS!$A1161)),"")</f>
        <v/>
      </c>
      <c r="C1161" s="49" t="str">
        <f>IF(A1161&lt;&gt;"",TIME(HOUR(TRANSACTIONS!$A1161),MINUTE(TRANSACTIONS!$A1161),SECOND(TRANSACTIONS!$A1161)),"")</f>
        <v/>
      </c>
      <c r="E1161" s="82"/>
      <c r="F1161" s="82"/>
      <c r="G1161" s="46"/>
      <c r="H1161" s="46" t="str">
        <f>IFERROR(TRANSACTIONS!#REF!+TRANSACTIONS!$G1161,"")</f>
        <v/>
      </c>
      <c r="I1161" s="57" t="s">
        <v>41</v>
      </c>
    </row>
    <row r="1162" spans="1:10" x14ac:dyDescent="0.25">
      <c r="A1162" s="41"/>
      <c r="B1162" s="48" t="str">
        <f>IF(A1162&lt;&gt;"",DATE(YEAR(TRANSACTIONS!$A1162),MONTH(TRANSACTIONS!$A1162),DAY(TRANSACTIONS!$A1162)),"")</f>
        <v/>
      </c>
      <c r="C1162" s="49" t="str">
        <f>IF(A1162&lt;&gt;"",TIME(HOUR(TRANSACTIONS!$A1162),MINUTE(TRANSACTIONS!$A1162),SECOND(TRANSACTIONS!$A1162)),"")</f>
        <v/>
      </c>
      <c r="E1162" s="82"/>
      <c r="F1162" s="82"/>
      <c r="G1162" s="46"/>
      <c r="H1162" s="46" t="str">
        <f>IFERROR(TRANSACTIONS!#REF!+TRANSACTIONS!$G1162,"")</f>
        <v/>
      </c>
      <c r="I1162" s="57" t="s">
        <v>41</v>
      </c>
    </row>
    <row r="1163" spans="1:10" x14ac:dyDescent="0.25">
      <c r="A1163" s="41"/>
      <c r="B1163" s="48" t="str">
        <f>IF(A1163&lt;&gt;"",DATE(YEAR(TRANSACTIONS!$A1163),MONTH(TRANSACTIONS!$A1163),DAY(TRANSACTIONS!$A1163)),"")</f>
        <v/>
      </c>
      <c r="C1163" s="49" t="str">
        <f>IF(A1163&lt;&gt;"",TIME(HOUR(TRANSACTIONS!$A1163),MINUTE(TRANSACTIONS!$A1163),SECOND(TRANSACTIONS!$A1163)),"")</f>
        <v/>
      </c>
      <c r="E1163" s="82"/>
      <c r="F1163" s="82"/>
      <c r="G1163" s="46"/>
      <c r="H1163" s="46" t="str">
        <f>IFERROR(TRANSACTIONS!#REF!+TRANSACTIONS!$G1163,"")</f>
        <v/>
      </c>
      <c r="I1163" s="57" t="s">
        <v>41</v>
      </c>
    </row>
    <row r="1164" spans="1:10" x14ac:dyDescent="0.25">
      <c r="A1164" s="81"/>
      <c r="B1164" s="83" t="str">
        <f>IF(A1164&lt;&gt;"",DATE(YEAR(TRANSACTIONS!$A1164),MONTH(TRANSACTIONS!$A1164),DAY(TRANSACTIONS!$A1164)),"")</f>
        <v/>
      </c>
      <c r="C1164" s="84" t="str">
        <f>IF(A1164&lt;&gt;"",TIME(HOUR(TRANSACTIONS!$A1164),MINUTE(TRANSACTIONS!$A1164),SECOND(TRANSACTIONS!$A1164)),"")</f>
        <v/>
      </c>
      <c r="D1164" s="88"/>
      <c r="E1164" s="82"/>
      <c r="F1164" s="82"/>
      <c r="G1164" s="86"/>
      <c r="H1164" s="86" t="str">
        <f>IFERROR(TRANSACTIONS!#REF!+TRANSACTIONS!$G1164,"")</f>
        <v/>
      </c>
      <c r="I1164" s="87" t="s">
        <v>41</v>
      </c>
    </row>
    <row r="1165" spans="1:10" x14ac:dyDescent="0.25">
      <c r="A1165" s="41"/>
      <c r="B1165" s="48" t="str">
        <f>IF(A1165&lt;&gt;"",DATE(YEAR(TRANSACTIONS!$A1165),MONTH(TRANSACTIONS!$A1165),DAY(TRANSACTIONS!$A1165)),"")</f>
        <v/>
      </c>
      <c r="C1165" s="49" t="str">
        <f>IF(A1165&lt;&gt;"",TIME(HOUR(TRANSACTIONS!$A1165),MINUTE(TRANSACTIONS!$A1165),SECOND(TRANSACTIONS!$A1165)),"")</f>
        <v/>
      </c>
      <c r="E1165" s="82"/>
      <c r="F1165" s="82"/>
      <c r="G1165" s="46"/>
      <c r="H1165" s="46" t="str">
        <f>IFERROR(TRANSACTIONS!#REF!+TRANSACTIONS!$G1165,"")</f>
        <v/>
      </c>
      <c r="I1165" s="57" t="s">
        <v>41</v>
      </c>
    </row>
    <row r="1166" spans="1:10" x14ac:dyDescent="0.25">
      <c r="A1166" s="41"/>
      <c r="B1166" s="48" t="str">
        <f>IF(A1166&lt;&gt;"",DATE(YEAR(TRANSACTIONS!$A1166),MONTH(TRANSACTIONS!$A1166),DAY(TRANSACTIONS!$A1166)),"")</f>
        <v/>
      </c>
      <c r="C1166" s="49" t="str">
        <f>IF(A1166&lt;&gt;"",TIME(HOUR(TRANSACTIONS!$A1166),MINUTE(TRANSACTIONS!$A1166),SECOND(TRANSACTIONS!$A1166)),"")</f>
        <v/>
      </c>
      <c r="E1166" s="82"/>
      <c r="F1166" s="82"/>
      <c r="G1166" s="46"/>
      <c r="H1166" s="46" t="str">
        <f>IFERROR(TRANSACTIONS!#REF!+TRANSACTIONS!$G1166,"")</f>
        <v/>
      </c>
      <c r="I1166" s="57" t="s">
        <v>41</v>
      </c>
    </row>
    <row r="1167" spans="1:10" x14ac:dyDescent="0.25">
      <c r="A1167" s="41"/>
      <c r="B1167" s="48" t="str">
        <f>IF(A1167&lt;&gt;"",DATE(YEAR(TRANSACTIONS!$A1167),MONTH(TRANSACTIONS!$A1167),DAY(TRANSACTIONS!$A1167)),"")</f>
        <v/>
      </c>
      <c r="C1167" s="49" t="str">
        <f>IF(A1167&lt;&gt;"",TIME(HOUR(TRANSACTIONS!$A1167),MINUTE(TRANSACTIONS!$A1167),SECOND(TRANSACTIONS!$A1167)),"")</f>
        <v/>
      </c>
      <c r="E1167" s="93"/>
      <c r="F1167" s="93"/>
      <c r="G1167" s="46"/>
      <c r="H1167" s="46" t="str">
        <f>IFERROR(TRANSACTIONS!#REF!+TRANSACTIONS!$G1167,"")</f>
        <v/>
      </c>
      <c r="I1167" s="57" t="s">
        <v>41</v>
      </c>
    </row>
    <row r="1168" spans="1:10" x14ac:dyDescent="0.25">
      <c r="A1168" s="41"/>
      <c r="B1168" s="48" t="str">
        <f>IF(A1168&lt;&gt;"",DATE(YEAR(TRANSACTIONS!$A1168),MONTH(TRANSACTIONS!$A1168),DAY(TRANSACTIONS!$A1168)),"")</f>
        <v/>
      </c>
      <c r="C1168" s="49" t="str">
        <f>IF(A1168&lt;&gt;"",TIME(HOUR(TRANSACTIONS!$A1168),MINUTE(TRANSACTIONS!$A1168),SECOND(TRANSACTIONS!$A1168)),"")</f>
        <v/>
      </c>
      <c r="E1168" s="82"/>
      <c r="F1168" s="82"/>
      <c r="G1168" s="46"/>
      <c r="H1168" s="46" t="str">
        <f>IFERROR(TRANSACTIONS!#REF!+TRANSACTIONS!$G1168,"")</f>
        <v/>
      </c>
      <c r="I1168" s="57" t="s">
        <v>41</v>
      </c>
    </row>
    <row r="1169" spans="1:9" x14ac:dyDescent="0.25">
      <c r="A1169" s="41"/>
      <c r="B1169" s="48" t="str">
        <f>IF(A1169&lt;&gt;"",DATE(YEAR(TRANSACTIONS!$A1169),MONTH(TRANSACTIONS!$A1169),DAY(TRANSACTIONS!$A1169)),"")</f>
        <v/>
      </c>
      <c r="C1169" s="49" t="str">
        <f>IF(A1169&lt;&gt;"",TIME(HOUR(TRANSACTIONS!$A1169),MINUTE(TRANSACTIONS!$A1169),SECOND(TRANSACTIONS!$A1169)),"")</f>
        <v/>
      </c>
      <c r="E1169" s="82"/>
      <c r="F1169" s="82"/>
      <c r="G1169" s="46"/>
      <c r="H1169" s="46" t="str">
        <f>IFERROR(TRANSACTIONS!#REF!+TRANSACTIONS!$G1169,"")</f>
        <v/>
      </c>
      <c r="I1169" s="57" t="s">
        <v>41</v>
      </c>
    </row>
    <row r="1170" spans="1:9" x14ac:dyDescent="0.25">
      <c r="A1170" s="41"/>
      <c r="B1170" s="48" t="str">
        <f>IF(A1170&lt;&gt;"",DATE(YEAR(TRANSACTIONS!$A1170),MONTH(TRANSACTIONS!$A1170),DAY(TRANSACTIONS!$A1170)),"")</f>
        <v/>
      </c>
      <c r="C1170" s="49" t="str">
        <f>IF(A1170&lt;&gt;"",TIME(HOUR(TRANSACTIONS!$A1170),MINUTE(TRANSACTIONS!$A1170),SECOND(TRANSACTIONS!$A1170)),"")</f>
        <v/>
      </c>
      <c r="E1170" s="82"/>
      <c r="F1170" s="82"/>
      <c r="G1170" s="46"/>
      <c r="H1170" s="46" t="str">
        <f>IFERROR(TRANSACTIONS!#REF!+TRANSACTIONS!$G1170,"")</f>
        <v/>
      </c>
      <c r="I1170" s="57" t="s">
        <v>41</v>
      </c>
    </row>
    <row r="1171" spans="1:9" x14ac:dyDescent="0.25">
      <c r="A1171" s="41"/>
      <c r="B1171" s="48" t="str">
        <f>IF(A1171&lt;&gt;"",DATE(YEAR(TRANSACTIONS!$A1171),MONTH(TRANSACTIONS!$A1171),DAY(TRANSACTIONS!$A1171)),"")</f>
        <v/>
      </c>
      <c r="C1171" s="49" t="str">
        <f>IF(A1171&lt;&gt;"",TIME(HOUR(TRANSACTIONS!$A1171),MINUTE(TRANSACTIONS!$A1171),SECOND(TRANSACTIONS!$A1171)),"")</f>
        <v/>
      </c>
      <c r="E1171" s="82"/>
      <c r="F1171" s="82"/>
      <c r="G1171" s="46"/>
      <c r="H1171" s="46" t="str">
        <f>IFERROR(TRANSACTIONS!#REF!+TRANSACTIONS!$G1171,"")</f>
        <v/>
      </c>
      <c r="I1171" s="57" t="s">
        <v>41</v>
      </c>
    </row>
    <row r="1172" spans="1:9" x14ac:dyDescent="0.25">
      <c r="A1172" s="41"/>
      <c r="B1172" s="48" t="str">
        <f>IF(A1172&lt;&gt;"",DATE(YEAR(TRANSACTIONS!$A1172),MONTH(TRANSACTIONS!$A1172),DAY(TRANSACTIONS!$A1172)),"")</f>
        <v/>
      </c>
      <c r="C1172" s="49" t="str">
        <f>IF(A1172&lt;&gt;"",TIME(HOUR(TRANSACTIONS!$A1172),MINUTE(TRANSACTIONS!$A1172),SECOND(TRANSACTIONS!$A1172)),"")</f>
        <v/>
      </c>
      <c r="E1172" s="82"/>
      <c r="F1172" s="82"/>
      <c r="G1172" s="46"/>
      <c r="H1172" s="46" t="str">
        <f>IFERROR(TRANSACTIONS!#REF!+TRANSACTIONS!$G1172,"")</f>
        <v/>
      </c>
      <c r="I1172" s="57" t="s">
        <v>41</v>
      </c>
    </row>
    <row r="1173" spans="1:9" x14ac:dyDescent="0.25">
      <c r="A1173" s="41"/>
      <c r="B1173" s="48" t="str">
        <f>IF(A1173&lt;&gt;"",DATE(YEAR(TRANSACTIONS!$A1173),MONTH(TRANSACTIONS!$A1173),DAY(TRANSACTIONS!$A1173)),"")</f>
        <v/>
      </c>
      <c r="C1173" s="49" t="str">
        <f>IF(A1173&lt;&gt;"",TIME(HOUR(TRANSACTIONS!$A1173),MINUTE(TRANSACTIONS!$A1173),SECOND(TRANSACTIONS!$A1173)),"")</f>
        <v/>
      </c>
      <c r="D1173" s="88"/>
      <c r="E1173" s="82"/>
      <c r="F1173" s="82"/>
      <c r="G1173" s="46"/>
      <c r="H1173" s="46" t="str">
        <f>IFERROR(TRANSACTIONS!#REF!+TRANSACTIONS!$G1173,"")</f>
        <v/>
      </c>
      <c r="I1173" s="57" t="s">
        <v>41</v>
      </c>
    </row>
    <row r="1174" spans="1:9" x14ac:dyDescent="0.25">
      <c r="A1174" s="41"/>
      <c r="B1174" s="48" t="str">
        <f>IF(A1174&lt;&gt;"",DATE(YEAR(TRANSACTIONS!$A1174),MONTH(TRANSACTIONS!$A1174),DAY(TRANSACTIONS!$A1174)),"")</f>
        <v/>
      </c>
      <c r="C1174" s="49" t="str">
        <f>IF(A1174&lt;&gt;"",TIME(HOUR(TRANSACTIONS!$A1174),MINUTE(TRANSACTIONS!$A1174),SECOND(TRANSACTIONS!$A1174)),"")</f>
        <v/>
      </c>
      <c r="D1174" s="88"/>
      <c r="E1174" s="82"/>
      <c r="F1174" s="82"/>
      <c r="G1174" s="46"/>
      <c r="H1174" s="46" t="str">
        <f>IFERROR(TRANSACTIONS!#REF!+TRANSACTIONS!$G1174,"")</f>
        <v/>
      </c>
      <c r="I1174" s="57" t="s">
        <v>41</v>
      </c>
    </row>
    <row r="1175" spans="1:9" x14ac:dyDescent="0.25">
      <c r="A1175" s="41"/>
      <c r="B1175" s="48" t="str">
        <f>IF(A1175&lt;&gt;"",DATE(YEAR(TRANSACTIONS!$A1175),MONTH(TRANSACTIONS!$A1175),DAY(TRANSACTIONS!$A1175)),"")</f>
        <v/>
      </c>
      <c r="C1175" s="49" t="str">
        <f>IF(A1175&lt;&gt;"",TIME(HOUR(TRANSACTIONS!$A1175),MINUTE(TRANSACTIONS!$A1175),SECOND(TRANSACTIONS!$A1175)),"")</f>
        <v/>
      </c>
      <c r="D1175" s="88"/>
      <c r="E1175" s="82"/>
      <c r="F1175" s="82"/>
      <c r="G1175" s="46"/>
      <c r="H1175" s="46" t="str">
        <f>IFERROR(TRANSACTIONS!#REF!+TRANSACTIONS!$G1175,"")</f>
        <v/>
      </c>
      <c r="I1175" s="57" t="s">
        <v>41</v>
      </c>
    </row>
    <row r="1176" spans="1:9" x14ac:dyDescent="0.25">
      <c r="A1176" s="41"/>
      <c r="B1176" s="48" t="str">
        <f>IF(A1176&lt;&gt;"",DATE(YEAR(TRANSACTIONS!$A1176),MONTH(TRANSACTIONS!$A1176),DAY(TRANSACTIONS!$A1176)),"")</f>
        <v/>
      </c>
      <c r="C1176" s="49" t="str">
        <f>IF(A1176&lt;&gt;"",TIME(HOUR(TRANSACTIONS!$A1176),MINUTE(TRANSACTIONS!$A1176),SECOND(TRANSACTIONS!$A1176)),"")</f>
        <v/>
      </c>
      <c r="E1176" s="82"/>
      <c r="F1176" s="82"/>
      <c r="G1176" s="46"/>
      <c r="H1176" s="46" t="str">
        <f>IFERROR(TRANSACTIONS!#REF!+TRANSACTIONS!$G1176,"")</f>
        <v/>
      </c>
      <c r="I1176" s="57" t="s">
        <v>41</v>
      </c>
    </row>
    <row r="1177" spans="1:9" x14ac:dyDescent="0.25">
      <c r="A1177" s="41"/>
      <c r="B1177" s="48" t="str">
        <f>IF(A1177&lt;&gt;"",DATE(YEAR(TRANSACTIONS!$A1177),MONTH(TRANSACTIONS!$A1177),DAY(TRANSACTIONS!$A1177)),"")</f>
        <v/>
      </c>
      <c r="C1177" s="49" t="str">
        <f>IF(A1177&lt;&gt;"",TIME(HOUR(TRANSACTIONS!$A1177),MINUTE(TRANSACTIONS!$A1177),SECOND(TRANSACTIONS!$A1177)),"")</f>
        <v/>
      </c>
      <c r="E1177" s="82"/>
      <c r="F1177" s="82"/>
      <c r="G1177" s="46"/>
      <c r="H1177" s="46" t="str">
        <f>IFERROR(TRANSACTIONS!#REF!+TRANSACTIONS!$G1177,"")</f>
        <v/>
      </c>
      <c r="I1177" s="57" t="s">
        <v>41</v>
      </c>
    </row>
    <row r="1178" spans="1:9" x14ac:dyDescent="0.25">
      <c r="A1178" s="41"/>
      <c r="B1178" s="48" t="str">
        <f>IF(A1178&lt;&gt;"",DATE(YEAR(TRANSACTIONS!$A1178),MONTH(TRANSACTIONS!$A1178),DAY(TRANSACTIONS!$A1178)),"")</f>
        <v/>
      </c>
      <c r="C1178" s="49" t="str">
        <f>IF(A1178&lt;&gt;"",TIME(HOUR(TRANSACTIONS!$A1178),MINUTE(TRANSACTIONS!$A1178),SECOND(TRANSACTIONS!$A1178)),"")</f>
        <v/>
      </c>
      <c r="E1178" s="82"/>
      <c r="F1178" s="82"/>
      <c r="G1178" s="46"/>
      <c r="H1178" s="46" t="str">
        <f>IFERROR(TRANSACTIONS!#REF!+TRANSACTIONS!$G1178,"")</f>
        <v/>
      </c>
      <c r="I1178" s="57" t="s">
        <v>41</v>
      </c>
    </row>
    <row r="1179" spans="1:9" x14ac:dyDescent="0.25">
      <c r="A1179" s="41"/>
      <c r="B1179" s="48" t="str">
        <f>IF(A1179&lt;&gt;"",DATE(YEAR(TRANSACTIONS!$A1179),MONTH(TRANSACTIONS!$A1179),DAY(TRANSACTIONS!$A1179)),"")</f>
        <v/>
      </c>
      <c r="C1179" s="49" t="str">
        <f>IF(A1179&lt;&gt;"",TIME(HOUR(TRANSACTIONS!$A1179),MINUTE(TRANSACTIONS!$A1179),SECOND(TRANSACTIONS!$A1179)),"")</f>
        <v/>
      </c>
      <c r="E1179" s="82"/>
      <c r="F1179" s="82"/>
      <c r="G1179" s="46"/>
      <c r="H1179" s="46" t="str">
        <f>IFERROR(TRANSACTIONS!#REF!+TRANSACTIONS!$G1179,"")</f>
        <v/>
      </c>
      <c r="I1179" s="57" t="s">
        <v>41</v>
      </c>
    </row>
    <row r="1180" spans="1:9" x14ac:dyDescent="0.25">
      <c r="A1180" s="41"/>
      <c r="B1180" s="48" t="str">
        <f>IF(A1180&lt;&gt;"",DATE(YEAR(TRANSACTIONS!$A1180),MONTH(TRANSACTIONS!$A1180),DAY(TRANSACTIONS!$A1180)),"")</f>
        <v/>
      </c>
      <c r="C1180" s="49" t="str">
        <f>IF(A1180&lt;&gt;"",TIME(HOUR(TRANSACTIONS!$A1180),MINUTE(TRANSACTIONS!$A1180),SECOND(TRANSACTIONS!$A1180)),"")</f>
        <v/>
      </c>
      <c r="E1180" s="82"/>
      <c r="F1180" s="82"/>
      <c r="G1180" s="46"/>
      <c r="H1180" s="46" t="str">
        <f>IFERROR(TRANSACTIONS!#REF!+TRANSACTIONS!$G1180,"")</f>
        <v/>
      </c>
      <c r="I1180" s="57" t="s">
        <v>41</v>
      </c>
    </row>
    <row r="1181" spans="1:9" x14ac:dyDescent="0.25">
      <c r="A1181" s="41"/>
      <c r="B1181" s="48" t="str">
        <f>IF(A1181&lt;&gt;"",DATE(YEAR(TRANSACTIONS!$A1181),MONTH(TRANSACTIONS!$A1181),DAY(TRANSACTIONS!$A1181)),"")</f>
        <v/>
      </c>
      <c r="C1181" s="49" t="str">
        <f>IF(A1181&lt;&gt;"",TIME(HOUR(TRANSACTIONS!$A1181),MINUTE(TRANSACTIONS!$A1181),SECOND(TRANSACTIONS!$A1181)),"")</f>
        <v/>
      </c>
      <c r="E1181" s="82"/>
      <c r="F1181" s="82"/>
      <c r="G1181" s="46"/>
      <c r="H1181" s="46" t="str">
        <f>IFERROR(TRANSACTIONS!#REF!+TRANSACTIONS!$G1181,"")</f>
        <v/>
      </c>
      <c r="I1181" s="57" t="s">
        <v>41</v>
      </c>
    </row>
    <row r="1182" spans="1:9" x14ac:dyDescent="0.25">
      <c r="A1182" s="41"/>
      <c r="B1182" s="48" t="str">
        <f>IF(A1182&lt;&gt;"",DATE(YEAR(TRANSACTIONS!$A1182),MONTH(TRANSACTIONS!$A1182),DAY(TRANSACTIONS!$A1182)),"")</f>
        <v/>
      </c>
      <c r="C1182" s="49" t="str">
        <f>IF(A1182&lt;&gt;"",TIME(HOUR(TRANSACTIONS!$A1182),MINUTE(TRANSACTIONS!$A1182),SECOND(TRANSACTIONS!$A1182)),"")</f>
        <v/>
      </c>
      <c r="E1182" s="82"/>
      <c r="F1182" s="82"/>
      <c r="G1182" s="46"/>
      <c r="H1182" s="46" t="str">
        <f>IFERROR(TRANSACTIONS!#REF!+TRANSACTIONS!$G1182,"")</f>
        <v/>
      </c>
      <c r="I1182" s="57" t="s">
        <v>41</v>
      </c>
    </row>
    <row r="1183" spans="1:9" x14ac:dyDescent="0.25">
      <c r="A1183" s="41"/>
      <c r="B1183" s="48" t="str">
        <f>IF(A1183&lt;&gt;"",DATE(YEAR(TRANSACTIONS!$A1183),MONTH(TRANSACTIONS!$A1183),DAY(TRANSACTIONS!$A1183)),"")</f>
        <v/>
      </c>
      <c r="C1183" s="49" t="str">
        <f>IF(A1183&lt;&gt;"",TIME(HOUR(TRANSACTIONS!$A1183),MINUTE(TRANSACTIONS!$A1183),SECOND(TRANSACTIONS!$A1183)),"")</f>
        <v/>
      </c>
      <c r="E1183" s="82"/>
      <c r="F1183" s="82"/>
      <c r="G1183" s="46"/>
      <c r="H1183" s="46" t="str">
        <f>IFERROR(TRANSACTIONS!#REF!+TRANSACTIONS!$G1183,"")</f>
        <v/>
      </c>
      <c r="I1183" s="57" t="s">
        <v>41</v>
      </c>
    </row>
    <row r="1184" spans="1:9" x14ac:dyDescent="0.25">
      <c r="A1184" s="41"/>
      <c r="B1184" s="48" t="str">
        <f>IF(A1184&lt;&gt;"",DATE(YEAR(TRANSACTIONS!$A1184),MONTH(TRANSACTIONS!$A1184),DAY(TRANSACTIONS!$A1184)),"")</f>
        <v/>
      </c>
      <c r="C1184" s="49" t="str">
        <f>IF(A1184&lt;&gt;"",TIME(HOUR(TRANSACTIONS!$A1184),MINUTE(TRANSACTIONS!$A1184),SECOND(TRANSACTIONS!$A1184)),"")</f>
        <v/>
      </c>
      <c r="E1184" s="82"/>
      <c r="F1184" s="82"/>
      <c r="G1184" s="46"/>
      <c r="H1184" s="46" t="str">
        <f>IFERROR(TRANSACTIONS!#REF!+TRANSACTIONS!$G1184,"")</f>
        <v/>
      </c>
      <c r="I1184" s="57" t="s">
        <v>41</v>
      </c>
    </row>
    <row r="1185" spans="1:9" x14ac:dyDescent="0.25">
      <c r="A1185" s="41"/>
      <c r="B1185" s="48" t="str">
        <f>IF(A1185&lt;&gt;"",DATE(YEAR(TRANSACTIONS!$A1185),MONTH(TRANSACTIONS!$A1185),DAY(TRANSACTIONS!$A1185)),"")</f>
        <v/>
      </c>
      <c r="C1185" s="49" t="str">
        <f>IF(A1185&lt;&gt;"",TIME(HOUR(TRANSACTIONS!$A1185),MINUTE(TRANSACTIONS!$A1185),SECOND(TRANSACTIONS!$A1185)),"")</f>
        <v/>
      </c>
      <c r="E1185" s="82"/>
      <c r="F1185" s="82"/>
      <c r="G1185" s="46"/>
      <c r="H1185" s="46" t="str">
        <f>IFERROR(TRANSACTIONS!#REF!+TRANSACTIONS!$G1185,"")</f>
        <v/>
      </c>
      <c r="I1185" s="57" t="s">
        <v>41</v>
      </c>
    </row>
    <row r="1186" spans="1:9" x14ac:dyDescent="0.25">
      <c r="A1186" s="41"/>
      <c r="B1186" s="48" t="str">
        <f>IF(A1186&lt;&gt;"",DATE(YEAR(TRANSACTIONS!$A1186),MONTH(TRANSACTIONS!$A1186),DAY(TRANSACTIONS!$A1186)),"")</f>
        <v/>
      </c>
      <c r="C1186" s="49" t="str">
        <f>IF(A1186&lt;&gt;"",TIME(HOUR(TRANSACTIONS!$A1186),MINUTE(TRANSACTIONS!$A1186),SECOND(TRANSACTIONS!$A1186)),"")</f>
        <v/>
      </c>
      <c r="E1186" s="82"/>
      <c r="F1186" s="82"/>
      <c r="G1186" s="46"/>
      <c r="H1186" s="46" t="str">
        <f>IFERROR(TRANSACTIONS!#REF!+TRANSACTIONS!$G1186,"")</f>
        <v/>
      </c>
      <c r="I1186" s="57" t="s">
        <v>41</v>
      </c>
    </row>
    <row r="1187" spans="1:9" x14ac:dyDescent="0.25">
      <c r="A1187" s="41"/>
      <c r="B1187" s="48" t="str">
        <f>IF(A1187&lt;&gt;"",DATE(YEAR(TRANSACTIONS!$A1187),MONTH(TRANSACTIONS!$A1187),DAY(TRANSACTIONS!$A1187)),"")</f>
        <v/>
      </c>
      <c r="C1187" s="49" t="str">
        <f>IF(A1187&lt;&gt;"",TIME(HOUR(TRANSACTIONS!$A1187),MINUTE(TRANSACTIONS!$A1187),SECOND(TRANSACTIONS!$A1187)),"")</f>
        <v/>
      </c>
      <c r="E1187" s="82"/>
      <c r="F1187" s="82"/>
      <c r="G1187" s="46"/>
      <c r="H1187" s="46" t="str">
        <f>IFERROR(TRANSACTIONS!#REF!+TRANSACTIONS!$G1187,"")</f>
        <v/>
      </c>
      <c r="I1187" s="57" t="s">
        <v>41</v>
      </c>
    </row>
    <row r="1188" spans="1:9" x14ac:dyDescent="0.25">
      <c r="A1188" s="41"/>
      <c r="B1188" s="48" t="str">
        <f>IF(A1188&lt;&gt;"",DATE(YEAR(TRANSACTIONS!$A1188),MONTH(TRANSACTIONS!$A1188),DAY(TRANSACTIONS!$A1188)),"")</f>
        <v/>
      </c>
      <c r="C1188" s="49" t="str">
        <f>IF(A1188&lt;&gt;"",TIME(HOUR(TRANSACTIONS!$A1188),MINUTE(TRANSACTIONS!$A1188),SECOND(TRANSACTIONS!$A1188)),"")</f>
        <v/>
      </c>
      <c r="E1188" s="82"/>
      <c r="F1188" s="82"/>
      <c r="G1188" s="46"/>
      <c r="H1188" s="46" t="str">
        <f>IFERROR(TRANSACTIONS!#REF!+TRANSACTIONS!$G1188,"")</f>
        <v/>
      </c>
      <c r="I1188" s="57" t="s">
        <v>41</v>
      </c>
    </row>
    <row r="1189" spans="1:9" x14ac:dyDescent="0.25">
      <c r="A1189" s="41"/>
      <c r="B1189" s="48" t="str">
        <f>IF(A1189&lt;&gt;"",DATE(YEAR(TRANSACTIONS!$A1189),MONTH(TRANSACTIONS!$A1189),DAY(TRANSACTIONS!$A1189)),"")</f>
        <v/>
      </c>
      <c r="C1189" s="49" t="str">
        <f>IF(A1189&lt;&gt;"",TIME(HOUR(TRANSACTIONS!$A1189),MINUTE(TRANSACTIONS!$A1189),SECOND(TRANSACTIONS!$A1189)),"")</f>
        <v/>
      </c>
      <c r="E1189" s="82"/>
      <c r="F1189" s="82"/>
      <c r="G1189" s="46"/>
      <c r="H1189" s="46" t="str">
        <f>IFERROR(TRANSACTIONS!#REF!+TRANSACTIONS!$G1189,"")</f>
        <v/>
      </c>
      <c r="I1189" s="57" t="s">
        <v>41</v>
      </c>
    </row>
    <row r="1190" spans="1:9" x14ac:dyDescent="0.25">
      <c r="A1190" s="41"/>
      <c r="B1190" s="48" t="str">
        <f>IF(A1190&lt;&gt;"",DATE(YEAR(TRANSACTIONS!$A1190),MONTH(TRANSACTIONS!$A1190),DAY(TRANSACTIONS!$A1190)),"")</f>
        <v/>
      </c>
      <c r="C1190" s="49" t="str">
        <f>IF(A1190&lt;&gt;"",TIME(HOUR(TRANSACTIONS!$A1190),MINUTE(TRANSACTIONS!$A1190),SECOND(TRANSACTIONS!$A1190)),"")</f>
        <v/>
      </c>
      <c r="E1190" s="82"/>
      <c r="F1190" s="82"/>
      <c r="G1190" s="46"/>
      <c r="H1190" s="46" t="str">
        <f>IFERROR(TRANSACTIONS!#REF!+TRANSACTIONS!$G1190,"")</f>
        <v/>
      </c>
      <c r="I1190" s="57" t="s">
        <v>41</v>
      </c>
    </row>
    <row r="1191" spans="1:9" x14ac:dyDescent="0.25">
      <c r="A1191" s="41"/>
      <c r="B1191" s="48" t="str">
        <f>IF(A1191&lt;&gt;"",DATE(YEAR(TRANSACTIONS!$A1191),MONTH(TRANSACTIONS!$A1191),DAY(TRANSACTIONS!$A1191)),"")</f>
        <v/>
      </c>
      <c r="C1191" s="49" t="str">
        <f>IF(A1191&lt;&gt;"",TIME(HOUR(TRANSACTIONS!$A1191),MINUTE(TRANSACTIONS!$A1191),SECOND(TRANSACTIONS!$A1191)),"")</f>
        <v/>
      </c>
      <c r="E1191" s="82"/>
      <c r="F1191" s="82"/>
      <c r="G1191" s="46"/>
      <c r="H1191" s="46" t="str">
        <f>IFERROR(TRANSACTIONS!#REF!+TRANSACTIONS!$G1191,"")</f>
        <v/>
      </c>
      <c r="I1191" s="57" t="s">
        <v>41</v>
      </c>
    </row>
    <row r="1192" spans="1:9" x14ac:dyDescent="0.25">
      <c r="A1192" s="41"/>
      <c r="B1192" s="48" t="str">
        <f>IF(A1192&lt;&gt;"",DATE(YEAR(TRANSACTIONS!$A1192),MONTH(TRANSACTIONS!$A1192),DAY(TRANSACTIONS!$A1192)),"")</f>
        <v/>
      </c>
      <c r="C1192" s="49" t="str">
        <f>IF(A1192&lt;&gt;"",TIME(HOUR(TRANSACTIONS!$A1192),MINUTE(TRANSACTIONS!$A1192),SECOND(TRANSACTIONS!$A1192)),"")</f>
        <v/>
      </c>
      <c r="E1192" s="82"/>
      <c r="F1192" s="82"/>
      <c r="G1192" s="46"/>
      <c r="H1192" s="46" t="str">
        <f>IFERROR(TRANSACTIONS!#REF!+TRANSACTIONS!$G1192,"")</f>
        <v/>
      </c>
      <c r="I1192" s="57" t="s">
        <v>41</v>
      </c>
    </row>
    <row r="1193" spans="1:9" x14ac:dyDescent="0.25">
      <c r="A1193" s="41"/>
      <c r="B1193" s="48" t="str">
        <f>IF(A1193&lt;&gt;"",DATE(YEAR(TRANSACTIONS!$A1193),MONTH(TRANSACTIONS!$A1193),DAY(TRANSACTIONS!$A1193)),"")</f>
        <v/>
      </c>
      <c r="C1193" s="49" t="str">
        <f>IF(A1193&lt;&gt;"",TIME(HOUR(TRANSACTIONS!$A1193),MINUTE(TRANSACTIONS!$A1193),SECOND(TRANSACTIONS!$A1193)),"")</f>
        <v/>
      </c>
      <c r="E1193" s="82"/>
      <c r="F1193" s="82"/>
      <c r="G1193" s="46"/>
      <c r="H1193" s="46" t="str">
        <f>IFERROR(TRANSACTIONS!#REF!+TRANSACTIONS!$G1193,"")</f>
        <v/>
      </c>
      <c r="I1193" s="57" t="s">
        <v>41</v>
      </c>
    </row>
    <row r="1194" spans="1:9" x14ac:dyDescent="0.25">
      <c r="A1194" s="41"/>
      <c r="B1194" s="48" t="str">
        <f>IF(A1194&lt;&gt;"",DATE(YEAR(TRANSACTIONS!$A1194),MONTH(TRANSACTIONS!$A1194),DAY(TRANSACTIONS!$A1194)),"")</f>
        <v/>
      </c>
      <c r="C1194" s="49" t="str">
        <f>IF(A1194&lt;&gt;"",TIME(HOUR(TRANSACTIONS!$A1194),MINUTE(TRANSACTIONS!$A1194),SECOND(TRANSACTIONS!$A1194)),"")</f>
        <v/>
      </c>
      <c r="E1194" s="82"/>
      <c r="F1194" s="82"/>
      <c r="G1194" s="46"/>
      <c r="H1194" s="46" t="str">
        <f>IFERROR(TRANSACTIONS!#REF!+TRANSACTIONS!$G1194,"")</f>
        <v/>
      </c>
      <c r="I1194" s="57" t="s">
        <v>41</v>
      </c>
    </row>
    <row r="1195" spans="1:9" x14ac:dyDescent="0.25">
      <c r="A1195" s="41"/>
      <c r="B1195" s="114" t="str">
        <f>IF(A1195&lt;&gt;"",DATE(YEAR(TRANSACTIONS!$A1195),MONTH(TRANSACTIONS!$A1195),DAY(TRANSACTIONS!$A1195)),"")</f>
        <v/>
      </c>
      <c r="C1195" s="115" t="str">
        <f>IF(A1195&lt;&gt;"",TIME(HOUR(TRANSACTIONS!$A1195),MINUTE(TRANSACTIONS!$A1195),SECOND(TRANSACTIONS!$A1195)),"")</f>
        <v/>
      </c>
      <c r="E1195" s="82"/>
      <c r="F1195" s="82"/>
      <c r="G1195" s="117"/>
      <c r="H1195" s="117" t="str">
        <f>IFERROR(TRANSACTIONS!#REF!+TRANSACTIONS!$G1195,"")</f>
        <v/>
      </c>
      <c r="I1195" s="123" t="s">
        <v>41</v>
      </c>
    </row>
    <row r="1196" spans="1:9" x14ac:dyDescent="0.25">
      <c r="A1196" s="41"/>
      <c r="B1196" s="114" t="str">
        <f>IF(A1196&lt;&gt;"",DATE(YEAR(TRANSACTIONS!$A1196),MONTH(TRANSACTIONS!$A1196),DAY(TRANSACTIONS!$A1196)),"")</f>
        <v/>
      </c>
      <c r="C1196" s="115" t="str">
        <f>IF(A1196&lt;&gt;"",TIME(HOUR(TRANSACTIONS!$A1196),MINUTE(TRANSACTIONS!$A1196),SECOND(TRANSACTIONS!$A1196)),"")</f>
        <v/>
      </c>
      <c r="E1196" s="82"/>
      <c r="F1196" s="82"/>
      <c r="G1196" s="117"/>
      <c r="H1196" s="117" t="str">
        <f>IFERROR(TRANSACTIONS!#REF!+TRANSACTIONS!$G1196,"")</f>
        <v/>
      </c>
      <c r="I1196" s="123" t="s">
        <v>41</v>
      </c>
    </row>
    <row r="1197" spans="1:9" x14ac:dyDescent="0.25">
      <c r="A1197" s="41"/>
      <c r="B1197" s="114" t="str">
        <f>IF(A1197&lt;&gt;"",DATE(YEAR(TRANSACTIONS!$A1197),MONTH(TRANSACTIONS!$A1197),DAY(TRANSACTIONS!$A1197)),"")</f>
        <v/>
      </c>
      <c r="C1197" s="115" t="str">
        <f>IF(A1197&lt;&gt;"",TIME(HOUR(TRANSACTIONS!$A1197),MINUTE(TRANSACTIONS!$A1197),SECOND(TRANSACTIONS!$A1197)),"")</f>
        <v/>
      </c>
      <c r="E1197" s="82"/>
      <c r="F1197" s="82"/>
      <c r="G1197" s="46"/>
      <c r="H1197" s="46" t="str">
        <f>IFERROR(TRANSACTIONS!#REF!+TRANSACTIONS!$G1197,"")</f>
        <v/>
      </c>
      <c r="I1197" s="57" t="s">
        <v>41</v>
      </c>
    </row>
    <row r="1198" spans="1:9" x14ac:dyDescent="0.25">
      <c r="A1198" s="41"/>
      <c r="B1198" s="114" t="str">
        <f>IF(A1198&lt;&gt;"",DATE(YEAR(TRANSACTIONS!$A1198),MONTH(TRANSACTIONS!$A1198),DAY(TRANSACTIONS!$A1198)),"")</f>
        <v/>
      </c>
      <c r="C1198" s="115" t="str">
        <f>IF(A1198&lt;&gt;"",TIME(HOUR(TRANSACTIONS!$A1198),MINUTE(TRANSACTIONS!$A1198),SECOND(TRANSACTIONS!$A1198)),"")</f>
        <v/>
      </c>
      <c r="E1198" s="82"/>
      <c r="F1198" s="82"/>
      <c r="G1198" s="46"/>
      <c r="H1198" s="46" t="str">
        <f>IFERROR(TRANSACTIONS!#REF!+TRANSACTIONS!$G1198,"")</f>
        <v/>
      </c>
      <c r="I1198" s="57" t="s">
        <v>41</v>
      </c>
    </row>
    <row r="1199" spans="1:9" x14ac:dyDescent="0.25">
      <c r="A1199" s="41"/>
      <c r="B1199" s="114" t="str">
        <f>IF(A1199&lt;&gt;"",DATE(YEAR(TRANSACTIONS!$A1199),MONTH(TRANSACTIONS!$A1199),DAY(TRANSACTIONS!$A1199)),"")</f>
        <v/>
      </c>
      <c r="C1199" s="115" t="str">
        <f>IF(A1199&lt;&gt;"",TIME(HOUR(TRANSACTIONS!$A1199),MINUTE(TRANSACTIONS!$A1199),SECOND(TRANSACTIONS!$A1199)),"")</f>
        <v/>
      </c>
      <c r="E1199" s="82"/>
      <c r="F1199" s="82"/>
      <c r="G1199" s="46"/>
      <c r="H1199" s="46" t="str">
        <f>IFERROR(TRANSACTIONS!#REF!+TRANSACTIONS!$G1199,"")</f>
        <v/>
      </c>
      <c r="I1199" s="57" t="s">
        <v>41</v>
      </c>
    </row>
    <row r="1200" spans="1:9" x14ac:dyDescent="0.25">
      <c r="A1200" s="41"/>
      <c r="B1200" s="114" t="str">
        <f>IF(A1200&lt;&gt;"",DATE(YEAR(TRANSACTIONS!$A1200),MONTH(TRANSACTIONS!$A1200),DAY(TRANSACTIONS!$A1200)),"")</f>
        <v/>
      </c>
      <c r="C1200" s="115" t="str">
        <f>IF(A1200&lt;&gt;"",TIME(HOUR(TRANSACTIONS!$A1200),MINUTE(TRANSACTIONS!$A1200),SECOND(TRANSACTIONS!$A1200)),"")</f>
        <v/>
      </c>
      <c r="E1200" s="82"/>
      <c r="F1200" s="82"/>
      <c r="G1200" s="46"/>
      <c r="H1200" s="46" t="str">
        <f>IFERROR(TRANSACTIONS!#REF!+TRANSACTIONS!$G1200,"")</f>
        <v/>
      </c>
      <c r="I1200" s="57" t="s">
        <v>41</v>
      </c>
    </row>
    <row r="1201" spans="1:9" x14ac:dyDescent="0.25">
      <c r="A1201" s="41"/>
      <c r="B1201" s="114" t="str">
        <f>IF(A1201&lt;&gt;"",DATE(YEAR(TRANSACTIONS!$A1201),MONTH(TRANSACTIONS!$A1201),DAY(TRANSACTIONS!$A1201)),"")</f>
        <v/>
      </c>
      <c r="C1201" s="115" t="str">
        <f>IF(A1201&lt;&gt;"",TIME(HOUR(TRANSACTIONS!$A1201),MINUTE(TRANSACTIONS!$A1201),SECOND(TRANSACTIONS!$A1201)),"")</f>
        <v/>
      </c>
      <c r="E1201" s="82"/>
      <c r="F1201" s="82"/>
      <c r="G1201" s="46"/>
      <c r="H1201" s="46" t="str">
        <f>IFERROR(TRANSACTIONS!#REF!+TRANSACTIONS!$G1201,"")</f>
        <v/>
      </c>
      <c r="I1201" s="57" t="s">
        <v>41</v>
      </c>
    </row>
    <row r="1202" spans="1:9" x14ac:dyDescent="0.25">
      <c r="A1202" s="41"/>
      <c r="B1202" s="114" t="str">
        <f>IF(A1202&lt;&gt;"",DATE(YEAR(TRANSACTIONS!$A1202),MONTH(TRANSACTIONS!$A1202),DAY(TRANSACTIONS!$A1202)),"")</f>
        <v/>
      </c>
      <c r="C1202" s="115" t="str">
        <f>IF(A1202&lt;&gt;"",TIME(HOUR(TRANSACTIONS!$A1202),MINUTE(TRANSACTIONS!$A1202),SECOND(TRANSACTIONS!$A1202)),"")</f>
        <v/>
      </c>
      <c r="E1202" s="82"/>
      <c r="F1202" s="82"/>
      <c r="G1202" s="46"/>
      <c r="H1202" s="46" t="str">
        <f>IFERROR(TRANSACTIONS!#REF!+TRANSACTIONS!$G1202,"")</f>
        <v/>
      </c>
      <c r="I1202" s="57" t="s">
        <v>41</v>
      </c>
    </row>
    <row r="1203" spans="1:9" x14ac:dyDescent="0.25">
      <c r="A1203" s="41"/>
      <c r="B1203" s="114" t="str">
        <f>IF(A1203&lt;&gt;"",DATE(YEAR(TRANSACTIONS!$A1203),MONTH(TRANSACTIONS!$A1203),DAY(TRANSACTIONS!$A1203)),"")</f>
        <v/>
      </c>
      <c r="C1203" s="115" t="str">
        <f>IF(A1203&lt;&gt;"",TIME(HOUR(TRANSACTIONS!$A1203),MINUTE(TRANSACTIONS!$A1203),SECOND(TRANSACTIONS!$A1203)),"")</f>
        <v/>
      </c>
      <c r="E1203" s="82"/>
      <c r="F1203" s="82"/>
      <c r="G1203" s="46"/>
      <c r="H1203" s="46" t="str">
        <f>IFERROR(TRANSACTIONS!#REF!+TRANSACTIONS!$G1203,"")</f>
        <v/>
      </c>
      <c r="I1203" s="57" t="s">
        <v>41</v>
      </c>
    </row>
    <row r="1204" spans="1:9" x14ac:dyDescent="0.25">
      <c r="A1204" s="41"/>
      <c r="B1204" s="114" t="str">
        <f>IF(A1204&lt;&gt;"",DATE(YEAR(TRANSACTIONS!$A1204),MONTH(TRANSACTIONS!$A1204),DAY(TRANSACTIONS!$A1204)),"")</f>
        <v/>
      </c>
      <c r="C1204" s="115" t="str">
        <f>IF(A1204&lt;&gt;"",TIME(HOUR(TRANSACTIONS!$A1204),MINUTE(TRANSACTIONS!$A1204),SECOND(TRANSACTIONS!$A1204)),"")</f>
        <v/>
      </c>
      <c r="E1204" s="82"/>
      <c r="F1204" s="82"/>
      <c r="G1204" s="46"/>
      <c r="H1204" s="46" t="str">
        <f>IFERROR(TRANSACTIONS!#REF!+TRANSACTIONS!$G1204,"")</f>
        <v/>
      </c>
      <c r="I1204" s="57" t="s">
        <v>41</v>
      </c>
    </row>
    <row r="1205" spans="1:9" x14ac:dyDescent="0.25">
      <c r="A1205" s="41"/>
      <c r="B1205" s="114" t="str">
        <f>IF(A1205&lt;&gt;"",DATE(YEAR(TRANSACTIONS!$A1205),MONTH(TRANSACTIONS!$A1205),DAY(TRANSACTIONS!$A1205)),"")</f>
        <v/>
      </c>
      <c r="C1205" s="115" t="str">
        <f>IF(A1205&lt;&gt;"",TIME(HOUR(TRANSACTIONS!$A1205),MINUTE(TRANSACTIONS!$A1205),SECOND(TRANSACTIONS!$A1205)),"")</f>
        <v/>
      </c>
      <c r="E1205" s="82"/>
      <c r="F1205" s="82"/>
      <c r="G1205" s="46"/>
      <c r="H1205" s="46" t="str">
        <f>IFERROR(TRANSACTIONS!#REF!+TRANSACTIONS!$G1205,"")</f>
        <v/>
      </c>
      <c r="I1205" s="57" t="s">
        <v>41</v>
      </c>
    </row>
    <row r="1206" spans="1:9" x14ac:dyDescent="0.25">
      <c r="A1206" s="41"/>
      <c r="B1206" s="114" t="str">
        <f>IF(A1206&lt;&gt;"",DATE(YEAR(TRANSACTIONS!$A1206),MONTH(TRANSACTIONS!$A1206),DAY(TRANSACTIONS!$A1206)),"")</f>
        <v/>
      </c>
      <c r="C1206" s="115" t="str">
        <f>IF(A1206&lt;&gt;"",TIME(HOUR(TRANSACTIONS!$A1206),MINUTE(TRANSACTIONS!$A1206),SECOND(TRANSACTIONS!$A1206)),"")</f>
        <v/>
      </c>
      <c r="E1206" s="82"/>
      <c r="F1206" s="82"/>
      <c r="G1206" s="46"/>
      <c r="H1206" s="46" t="str">
        <f>IFERROR(TRANSACTIONS!#REF!+TRANSACTIONS!$G1206,"")</f>
        <v/>
      </c>
      <c r="I1206" s="57" t="s">
        <v>41</v>
      </c>
    </row>
    <row r="1207" spans="1:9" x14ac:dyDescent="0.25">
      <c r="A1207" s="41"/>
      <c r="B1207" s="114" t="str">
        <f>IF(A1207&lt;&gt;"",DATE(YEAR(TRANSACTIONS!$A1207),MONTH(TRANSACTIONS!$A1207),DAY(TRANSACTIONS!$A1207)),"")</f>
        <v/>
      </c>
      <c r="C1207" s="115" t="str">
        <f>IF(A1207&lt;&gt;"",TIME(HOUR(TRANSACTIONS!$A1207),MINUTE(TRANSACTIONS!$A1207),SECOND(TRANSACTIONS!$A1207)),"")</f>
        <v/>
      </c>
      <c r="E1207" s="82"/>
      <c r="F1207" s="82"/>
      <c r="G1207" s="46"/>
      <c r="H1207" s="46" t="str">
        <f>IFERROR(TRANSACTIONS!#REF!+TRANSACTIONS!$G1207,"")</f>
        <v/>
      </c>
      <c r="I1207" s="57" t="s">
        <v>41</v>
      </c>
    </row>
    <row r="1208" spans="1:9" x14ac:dyDescent="0.25">
      <c r="A1208" s="41"/>
      <c r="B1208" s="114" t="str">
        <f>IF(A1208&lt;&gt;"",DATE(YEAR(TRANSACTIONS!$A1208),MONTH(TRANSACTIONS!$A1208),DAY(TRANSACTIONS!$A1208)),"")</f>
        <v/>
      </c>
      <c r="C1208" s="115" t="str">
        <f>IF(A1208&lt;&gt;"",TIME(HOUR(TRANSACTIONS!$A1208),MINUTE(TRANSACTIONS!$A1208),SECOND(TRANSACTIONS!$A1208)),"")</f>
        <v/>
      </c>
      <c r="E1208" s="82"/>
      <c r="F1208" s="82"/>
      <c r="G1208" s="46"/>
      <c r="H1208" s="46" t="str">
        <f>IFERROR(TRANSACTIONS!#REF!+TRANSACTIONS!$G1208,"")</f>
        <v/>
      </c>
      <c r="I1208" s="57" t="s">
        <v>41</v>
      </c>
    </row>
    <row r="1209" spans="1:9" x14ac:dyDescent="0.25">
      <c r="A1209" s="41"/>
      <c r="B1209" s="114" t="str">
        <f>IF(A1209&lt;&gt;"",DATE(YEAR(TRANSACTIONS!$A1209),MONTH(TRANSACTIONS!$A1209),DAY(TRANSACTIONS!$A1209)),"")</f>
        <v/>
      </c>
      <c r="C1209" s="115" t="str">
        <f>IF(A1209&lt;&gt;"",TIME(HOUR(TRANSACTIONS!$A1209),MINUTE(TRANSACTIONS!$A1209),SECOND(TRANSACTIONS!$A1209)),"")</f>
        <v/>
      </c>
      <c r="E1209" s="82"/>
      <c r="F1209" s="82"/>
      <c r="G1209" s="46"/>
      <c r="H1209" s="46" t="str">
        <f>IFERROR(TRANSACTIONS!#REF!+TRANSACTIONS!$G1209,"")</f>
        <v/>
      </c>
      <c r="I1209" s="57" t="s">
        <v>41</v>
      </c>
    </row>
    <row r="1210" spans="1:9" x14ac:dyDescent="0.25">
      <c r="A1210" s="41"/>
      <c r="B1210" s="114" t="str">
        <f>IF(A1210&lt;&gt;"",DATE(YEAR(TRANSACTIONS!$A1210),MONTH(TRANSACTIONS!$A1210),DAY(TRANSACTIONS!$A1210)),"")</f>
        <v/>
      </c>
      <c r="C1210" s="115" t="str">
        <f>IF(A1210&lt;&gt;"",TIME(HOUR(TRANSACTIONS!$A1210),MINUTE(TRANSACTIONS!$A1210),SECOND(TRANSACTIONS!$A1210)),"")</f>
        <v/>
      </c>
      <c r="E1210" s="82"/>
      <c r="F1210" s="82"/>
      <c r="G1210" s="46"/>
      <c r="H1210" s="46" t="str">
        <f>IFERROR(TRANSACTIONS!#REF!+TRANSACTIONS!$G1210,"")</f>
        <v/>
      </c>
      <c r="I1210" s="57" t="s">
        <v>41</v>
      </c>
    </row>
    <row r="1211" spans="1:9" x14ac:dyDescent="0.25">
      <c r="A1211" s="41"/>
      <c r="B1211" s="114" t="str">
        <f>IF(A1211&lt;&gt;"",DATE(YEAR(TRANSACTIONS!$A1211),MONTH(TRANSACTIONS!$A1211),DAY(TRANSACTIONS!$A1211)),"")</f>
        <v/>
      </c>
      <c r="C1211" s="115" t="str">
        <f>IF(A1211&lt;&gt;"",TIME(HOUR(TRANSACTIONS!$A1211),MINUTE(TRANSACTIONS!$A1211),SECOND(TRANSACTIONS!$A1211)),"")</f>
        <v/>
      </c>
      <c r="E1211" s="82"/>
      <c r="F1211" s="82"/>
      <c r="G1211" s="46"/>
      <c r="H1211" s="46" t="str">
        <f>IFERROR(TRANSACTIONS!#REF!+TRANSACTIONS!$G1211,"")</f>
        <v/>
      </c>
      <c r="I1211" s="57" t="s">
        <v>41</v>
      </c>
    </row>
    <row r="1212" spans="1:9" x14ac:dyDescent="0.25">
      <c r="A1212" s="41"/>
      <c r="B1212" s="114" t="str">
        <f>IF(A1212&lt;&gt;"",DATE(YEAR(TRANSACTIONS!$A1212),MONTH(TRANSACTIONS!$A1212),DAY(TRANSACTIONS!$A1212)),"")</f>
        <v/>
      </c>
      <c r="C1212" s="115" t="str">
        <f>IF(A1212&lt;&gt;"",TIME(HOUR(TRANSACTIONS!$A1212),MINUTE(TRANSACTIONS!$A1212),SECOND(TRANSACTIONS!$A1212)),"")</f>
        <v/>
      </c>
      <c r="E1212" s="82"/>
      <c r="F1212" s="82"/>
      <c r="G1212" s="46"/>
      <c r="H1212" s="46" t="str">
        <f>IFERROR(TRANSACTIONS!#REF!+TRANSACTIONS!$G1212,"")</f>
        <v/>
      </c>
      <c r="I1212" s="57" t="s">
        <v>41</v>
      </c>
    </row>
    <row r="1213" spans="1:9" x14ac:dyDescent="0.25">
      <c r="A1213" s="41"/>
      <c r="B1213" s="114" t="str">
        <f>IF(A1213&lt;&gt;"",DATE(YEAR(TRANSACTIONS!$A1213),MONTH(TRANSACTIONS!$A1213),DAY(TRANSACTIONS!$A1213)),"")</f>
        <v/>
      </c>
      <c r="C1213" s="115" t="str">
        <f>IF(A1213&lt;&gt;"",TIME(HOUR(TRANSACTIONS!$A1213),MINUTE(TRANSACTIONS!$A1213),SECOND(TRANSACTIONS!$A1213)),"")</f>
        <v/>
      </c>
      <c r="E1213" s="82"/>
      <c r="F1213" s="82"/>
      <c r="G1213" s="46"/>
      <c r="H1213" s="46" t="str">
        <f>IFERROR(TRANSACTIONS!#REF!+TRANSACTIONS!$G1213,"")</f>
        <v/>
      </c>
      <c r="I1213" s="57" t="s">
        <v>41</v>
      </c>
    </row>
    <row r="1214" spans="1:9" x14ac:dyDescent="0.25">
      <c r="A1214" s="41"/>
      <c r="B1214" s="83" t="str">
        <f>IF(A1214&lt;&gt;"",DATE(YEAR(TRANSACTIONS!$A1214),MONTH(TRANSACTIONS!$A1214),DAY(TRANSACTIONS!$A1214)),"")</f>
        <v/>
      </c>
      <c r="C1214" s="84" t="str">
        <f>IF(A1214&lt;&gt;"",TIME(HOUR(TRANSACTIONS!$A1214),MINUTE(TRANSACTIONS!$A1214),SECOND(TRANSACTIONS!$A1214)),"")</f>
        <v/>
      </c>
      <c r="E1214" s="82"/>
      <c r="F1214" s="82"/>
      <c r="G1214" s="46"/>
      <c r="H1214" s="46" t="str">
        <f>IFERROR(TRANSACTIONS!#REF!+TRANSACTIONS!$G1214,"")</f>
        <v/>
      </c>
      <c r="I1214" s="57" t="s">
        <v>41</v>
      </c>
    </row>
    <row r="1215" spans="1:9" x14ac:dyDescent="0.25">
      <c r="A1215" s="41"/>
      <c r="B1215" s="83" t="str">
        <f>IF(A1215&lt;&gt;"",DATE(YEAR(TRANSACTIONS!$A1215),MONTH(TRANSACTIONS!$A1215),DAY(TRANSACTIONS!$A1215)),"")</f>
        <v/>
      </c>
      <c r="C1215" s="84" t="str">
        <f>IF(A1215&lt;&gt;"",TIME(HOUR(TRANSACTIONS!$A1215),MINUTE(TRANSACTIONS!$A1215),SECOND(TRANSACTIONS!$A1215)),"")</f>
        <v/>
      </c>
      <c r="E1215" s="82"/>
      <c r="F1215" s="82"/>
      <c r="G1215" s="46"/>
      <c r="H1215" s="46" t="str">
        <f>IFERROR(TRANSACTIONS!#REF!+TRANSACTIONS!$G1215,"")</f>
        <v/>
      </c>
      <c r="I1215" s="57" t="s">
        <v>41</v>
      </c>
    </row>
    <row r="1216" spans="1:9" x14ac:dyDescent="0.25">
      <c r="A1216" s="41"/>
      <c r="B1216" s="83" t="str">
        <f>IF(A1216&lt;&gt;"",DATE(YEAR(TRANSACTIONS!$A1216),MONTH(TRANSACTIONS!$A1216),DAY(TRANSACTIONS!$A1216)),"")</f>
        <v/>
      </c>
      <c r="C1216" s="84" t="str">
        <f>IF(A1216&lt;&gt;"",TIME(HOUR(TRANSACTIONS!$A1216),MINUTE(TRANSACTIONS!$A1216),SECOND(TRANSACTIONS!$A1216)),"")</f>
        <v/>
      </c>
      <c r="E1216" s="82"/>
      <c r="F1216" s="82"/>
      <c r="G1216" s="46"/>
      <c r="H1216" s="46" t="str">
        <f>IFERROR(TRANSACTIONS!#REF!+TRANSACTIONS!$G1216,"")</f>
        <v/>
      </c>
      <c r="I1216" s="57" t="s">
        <v>41</v>
      </c>
    </row>
    <row r="1217" spans="1:11" x14ac:dyDescent="0.25">
      <c r="A1217" s="41"/>
      <c r="B1217" s="83" t="str">
        <f>IF(A1217&lt;&gt;"",DATE(YEAR(TRANSACTIONS!$A1217),MONTH(TRANSACTIONS!$A1217),DAY(TRANSACTIONS!$A1217)),"")</f>
        <v/>
      </c>
      <c r="C1217" s="84" t="str">
        <f>IF(A1217&lt;&gt;"",TIME(HOUR(TRANSACTIONS!$A1217),MINUTE(TRANSACTIONS!$A1217),SECOND(TRANSACTIONS!$A1217)),"")</f>
        <v/>
      </c>
      <c r="E1217" s="82"/>
      <c r="F1217" s="82"/>
      <c r="G1217" s="86"/>
      <c r="H1217" s="86" t="str">
        <f>IFERROR(TRANSACTIONS!#REF!+TRANSACTIONS!$G1217,"")</f>
        <v/>
      </c>
      <c r="I1217" s="87" t="s">
        <v>41</v>
      </c>
      <c r="J1217" s="88"/>
      <c r="K1217" s="88"/>
    </row>
    <row r="1218" spans="1:11" x14ac:dyDescent="0.25">
      <c r="A1218" s="41"/>
      <c r="B1218" s="83" t="str">
        <f>IF(A1218&lt;&gt;"",DATE(YEAR(TRANSACTIONS!$A1218),MONTH(TRANSACTIONS!$A1218),DAY(TRANSACTIONS!$A1218)),"")</f>
        <v/>
      </c>
      <c r="C1218" s="84" t="str">
        <f>IF(A1218&lt;&gt;"",TIME(HOUR(TRANSACTIONS!$A1218),MINUTE(TRANSACTIONS!$A1218),SECOND(TRANSACTIONS!$A1218)),"")</f>
        <v/>
      </c>
      <c r="E1218" s="82"/>
      <c r="F1218" s="82"/>
      <c r="G1218" s="86"/>
      <c r="H1218" s="86" t="str">
        <f>IFERROR(TRANSACTIONS!#REF!+TRANSACTIONS!$G1218,"")</f>
        <v/>
      </c>
      <c r="I1218" s="87" t="s">
        <v>41</v>
      </c>
      <c r="J1218" s="88"/>
      <c r="K1218" s="88"/>
    </row>
    <row r="1219" spans="1:11" x14ac:dyDescent="0.25">
      <c r="A1219" s="41"/>
      <c r="B1219" s="114" t="str">
        <f>IF(A1219&lt;&gt;"",DATE(YEAR(TRANSACTIONS!$A1219),MONTH(TRANSACTIONS!$A1219),DAY(TRANSACTIONS!$A1219)),"")</f>
        <v/>
      </c>
      <c r="C1219" s="115" t="str">
        <f>IF(A1219&lt;&gt;"",TIME(HOUR(TRANSACTIONS!$A1219),MINUTE(TRANSACTIONS!$A1219),SECOND(TRANSACTIONS!$A1219)),"")</f>
        <v/>
      </c>
      <c r="E1219" s="82"/>
      <c r="F1219" s="82"/>
      <c r="G1219" s="46"/>
      <c r="H1219" s="46" t="str">
        <f>IFERROR(TRANSACTIONS!#REF!+TRANSACTIONS!$G1219,"")</f>
        <v/>
      </c>
      <c r="I1219" s="57" t="s">
        <v>41</v>
      </c>
    </row>
    <row r="1220" spans="1:11" x14ac:dyDescent="0.25">
      <c r="A1220" s="41"/>
      <c r="B1220" s="114" t="str">
        <f>IF(A1220&lt;&gt;"",DATE(YEAR(TRANSACTIONS!$A1220),MONTH(TRANSACTIONS!$A1220),DAY(TRANSACTIONS!$A1220)),"")</f>
        <v/>
      </c>
      <c r="C1220" s="115" t="str">
        <f>IF(A1220&lt;&gt;"",TIME(HOUR(TRANSACTIONS!$A1220),MINUTE(TRANSACTIONS!$A1220),SECOND(TRANSACTIONS!$A1220)),"")</f>
        <v/>
      </c>
      <c r="E1220" s="82"/>
      <c r="F1220" s="82"/>
      <c r="G1220" s="46"/>
      <c r="H1220" s="46" t="str">
        <f>IFERROR(TRANSACTIONS!#REF!+TRANSACTIONS!$G1220,"")</f>
        <v/>
      </c>
      <c r="I1220" s="57" t="s">
        <v>41</v>
      </c>
    </row>
    <row r="1221" spans="1:11" x14ac:dyDescent="0.25">
      <c r="A1221" s="41"/>
      <c r="B1221" s="114" t="str">
        <f>IF(A1221&lt;&gt;"",DATE(YEAR(TRANSACTIONS!$A1221),MONTH(TRANSACTIONS!$A1221),DAY(TRANSACTIONS!$A1221)),"")</f>
        <v/>
      </c>
      <c r="C1221" s="115" t="str">
        <f>IF(A1221&lt;&gt;"",TIME(HOUR(TRANSACTIONS!$A1221),MINUTE(TRANSACTIONS!$A1221),SECOND(TRANSACTIONS!$A1221)),"")</f>
        <v/>
      </c>
      <c r="E1221" s="82"/>
      <c r="F1221" s="82"/>
      <c r="G1221" s="46"/>
      <c r="H1221" s="46" t="str">
        <f>IFERROR(TRANSACTIONS!#REF!+TRANSACTIONS!$G1221,"")</f>
        <v/>
      </c>
      <c r="I1221" s="57" t="s">
        <v>41</v>
      </c>
    </row>
    <row r="1222" spans="1:11" x14ac:dyDescent="0.25">
      <c r="A1222" s="41"/>
      <c r="B1222" s="114" t="str">
        <f>IF(A1222&lt;&gt;"",DATE(YEAR(TRANSACTIONS!$A1222),MONTH(TRANSACTIONS!$A1222),DAY(TRANSACTIONS!$A1222)),"")</f>
        <v/>
      </c>
      <c r="C1222" s="115" t="str">
        <f>IF(A1222&lt;&gt;"",TIME(HOUR(TRANSACTIONS!$A1222),MINUTE(TRANSACTIONS!$A1222),SECOND(TRANSACTIONS!$A1222)),"")</f>
        <v/>
      </c>
      <c r="E1222" s="82"/>
      <c r="F1222" s="82"/>
      <c r="G1222" s="46"/>
      <c r="H1222" s="46" t="str">
        <f>IFERROR(TRANSACTIONS!#REF!+TRANSACTIONS!$G1222,"")</f>
        <v/>
      </c>
      <c r="I1222" s="57" t="s">
        <v>41</v>
      </c>
    </row>
    <row r="1223" spans="1:11" x14ac:dyDescent="0.25">
      <c r="A1223" s="41"/>
      <c r="B1223" s="114" t="str">
        <f>IF(A1223&lt;&gt;"",DATE(YEAR(TRANSACTIONS!$A1223),MONTH(TRANSACTIONS!$A1223),DAY(TRANSACTIONS!$A1223)),"")</f>
        <v/>
      </c>
      <c r="C1223" s="115" t="str">
        <f>IF(A1223&lt;&gt;"",TIME(HOUR(TRANSACTIONS!$A1223),MINUTE(TRANSACTIONS!$A1223),SECOND(TRANSACTIONS!$A1223)),"")</f>
        <v/>
      </c>
      <c r="E1223" s="82"/>
      <c r="F1223" s="82"/>
      <c r="G1223" s="46"/>
      <c r="H1223" s="46" t="str">
        <f>IFERROR(TRANSACTIONS!#REF!+TRANSACTIONS!$G1223,"")</f>
        <v/>
      </c>
      <c r="I1223" s="57" t="s">
        <v>41</v>
      </c>
    </row>
    <row r="1224" spans="1:11" x14ac:dyDescent="0.25">
      <c r="A1224" s="41"/>
      <c r="B1224" s="114" t="str">
        <f>IF(A1224&lt;&gt;"",DATE(YEAR(TRANSACTIONS!$A1224),MONTH(TRANSACTIONS!$A1224),DAY(TRANSACTIONS!$A1224)),"")</f>
        <v/>
      </c>
      <c r="C1224" s="115" t="str">
        <f>IF(A1224&lt;&gt;"",TIME(HOUR(TRANSACTIONS!$A1224),MINUTE(TRANSACTIONS!$A1224),SECOND(TRANSACTIONS!$A1224)),"")</f>
        <v/>
      </c>
      <c r="E1224" s="82"/>
      <c r="F1224" s="82"/>
      <c r="G1224" s="46"/>
      <c r="H1224" s="46" t="str">
        <f>IFERROR(TRANSACTIONS!#REF!+TRANSACTIONS!$G1224,"")</f>
        <v/>
      </c>
      <c r="I1224" s="57" t="s">
        <v>41</v>
      </c>
    </row>
    <row r="1225" spans="1:11" x14ac:dyDescent="0.25">
      <c r="A1225" s="41"/>
      <c r="B1225" s="114" t="str">
        <f>IF(A1225&lt;&gt;"",DATE(YEAR(TRANSACTIONS!$A1225),MONTH(TRANSACTIONS!$A1225),DAY(TRANSACTIONS!$A1225)),"")</f>
        <v/>
      </c>
      <c r="C1225" s="115" t="str">
        <f>IF(A1225&lt;&gt;"",TIME(HOUR(TRANSACTIONS!$A1225),MINUTE(TRANSACTIONS!$A1225),SECOND(TRANSACTIONS!$A1225)),"")</f>
        <v/>
      </c>
      <c r="E1225" s="82"/>
      <c r="F1225" s="82"/>
      <c r="G1225" s="46"/>
      <c r="H1225" s="46" t="str">
        <f>IFERROR(TRANSACTIONS!#REF!+TRANSACTIONS!$G1225,"")</f>
        <v/>
      </c>
      <c r="I1225" s="57" t="s">
        <v>41</v>
      </c>
    </row>
    <row r="1226" spans="1:11" x14ac:dyDescent="0.25">
      <c r="A1226" s="41"/>
      <c r="B1226" s="114" t="str">
        <f>IF(A1226&lt;&gt;"",DATE(YEAR(TRANSACTIONS!$A1226),MONTH(TRANSACTIONS!$A1226),DAY(TRANSACTIONS!$A1226)),"")</f>
        <v/>
      </c>
      <c r="C1226" s="115" t="str">
        <f>IF(A1226&lt;&gt;"",TIME(HOUR(TRANSACTIONS!$A1226),MINUTE(TRANSACTIONS!$A1226),SECOND(TRANSACTIONS!$A1226)),"")</f>
        <v/>
      </c>
      <c r="E1226" s="82"/>
      <c r="F1226" s="82"/>
      <c r="G1226" s="46"/>
      <c r="H1226" s="46" t="str">
        <f>IFERROR(TRANSACTIONS!#REF!+TRANSACTIONS!$G1226,"")</f>
        <v/>
      </c>
      <c r="I1226" s="57" t="s">
        <v>41</v>
      </c>
    </row>
    <row r="1227" spans="1:11" x14ac:dyDescent="0.25">
      <c r="A1227" s="41"/>
      <c r="B1227" s="114" t="str">
        <f>IF(A1227&lt;&gt;"",DATE(YEAR(TRANSACTIONS!$A1227),MONTH(TRANSACTIONS!$A1227),DAY(TRANSACTIONS!$A1227)),"")</f>
        <v/>
      </c>
      <c r="C1227" s="115" t="str">
        <f>IF(A1227&lt;&gt;"",TIME(HOUR(TRANSACTIONS!$A1227),MINUTE(TRANSACTIONS!$A1227),SECOND(TRANSACTIONS!$A1227)),"")</f>
        <v/>
      </c>
      <c r="E1227" s="82"/>
      <c r="F1227" s="82"/>
      <c r="G1227" s="46"/>
      <c r="H1227" s="46" t="str">
        <f>IFERROR(TRANSACTIONS!#REF!+TRANSACTIONS!$G1227,"")</f>
        <v/>
      </c>
      <c r="I1227" s="57" t="s">
        <v>41</v>
      </c>
    </row>
    <row r="1228" spans="1:11" x14ac:dyDescent="0.25">
      <c r="A1228" s="41"/>
      <c r="B1228" s="114" t="str">
        <f>IF(A1228&lt;&gt;"",DATE(YEAR(TRANSACTIONS!$A1228),MONTH(TRANSACTIONS!$A1228),DAY(TRANSACTIONS!$A1228)),"")</f>
        <v/>
      </c>
      <c r="C1228" s="115" t="str">
        <f>IF(A1228&lt;&gt;"",TIME(HOUR(TRANSACTIONS!$A1228),MINUTE(TRANSACTIONS!$A1228),SECOND(TRANSACTIONS!$A1228)),"")</f>
        <v/>
      </c>
      <c r="E1228" s="82"/>
      <c r="F1228" s="82"/>
      <c r="G1228" s="46"/>
      <c r="H1228" s="46" t="str">
        <f>IFERROR(TRANSACTIONS!#REF!+TRANSACTIONS!$G1228,"")</f>
        <v/>
      </c>
      <c r="I1228" s="57" t="s">
        <v>41</v>
      </c>
    </row>
    <row r="1229" spans="1:11" x14ac:dyDescent="0.25">
      <c r="A1229" s="41"/>
      <c r="B1229" s="114" t="str">
        <f>IF(A1229&lt;&gt;"",DATE(YEAR(TRANSACTIONS!$A1229),MONTH(TRANSACTIONS!$A1229),DAY(TRANSACTIONS!$A1229)),"")</f>
        <v/>
      </c>
      <c r="C1229" s="115" t="str">
        <f>IF(A1229&lt;&gt;"",TIME(HOUR(TRANSACTIONS!$A1229),MINUTE(TRANSACTIONS!$A1229),SECOND(TRANSACTIONS!$A1229)),"")</f>
        <v/>
      </c>
      <c r="E1229" s="82"/>
      <c r="F1229" s="82"/>
      <c r="G1229" s="46"/>
      <c r="H1229" s="46" t="str">
        <f>IFERROR(TRANSACTIONS!#REF!+TRANSACTIONS!$G1229,"")</f>
        <v/>
      </c>
      <c r="I1229" s="57" t="s">
        <v>41</v>
      </c>
    </row>
    <row r="1230" spans="1:11" x14ac:dyDescent="0.25">
      <c r="A1230" s="41"/>
      <c r="B1230" s="114" t="str">
        <f>IF(A1230&lt;&gt;"",DATE(YEAR(TRANSACTIONS!$A1230),MONTH(TRANSACTIONS!$A1230),DAY(TRANSACTIONS!$A1230)),"")</f>
        <v/>
      </c>
      <c r="C1230" s="115" t="str">
        <f>IF(A1230&lt;&gt;"",TIME(HOUR(TRANSACTIONS!$A1230),MINUTE(TRANSACTIONS!$A1230),SECOND(TRANSACTIONS!$A1230)),"")</f>
        <v/>
      </c>
      <c r="E1230" s="82"/>
      <c r="F1230" s="82"/>
      <c r="G1230" s="46"/>
      <c r="H1230" s="46" t="str">
        <f>IFERROR(TRANSACTIONS!#REF!+TRANSACTIONS!$G1230,"")</f>
        <v/>
      </c>
      <c r="I1230" s="57" t="s">
        <v>41</v>
      </c>
    </row>
    <row r="1231" spans="1:11" x14ac:dyDescent="0.25">
      <c r="A1231" s="41"/>
      <c r="B1231" s="114" t="str">
        <f>IF(A1231&lt;&gt;"",DATE(YEAR(TRANSACTIONS!$A1231),MONTH(TRANSACTIONS!$A1231),DAY(TRANSACTIONS!$A1231)),"")</f>
        <v/>
      </c>
      <c r="C1231" s="115" t="str">
        <f>IF(A1231&lt;&gt;"",TIME(HOUR(TRANSACTIONS!$A1231),MINUTE(TRANSACTIONS!$A1231),SECOND(TRANSACTIONS!$A1231)),"")</f>
        <v/>
      </c>
      <c r="E1231" s="82"/>
      <c r="F1231" s="82"/>
      <c r="G1231" s="46"/>
      <c r="H1231" s="46" t="str">
        <f>IFERROR(TRANSACTIONS!#REF!+TRANSACTIONS!$G1231,"")</f>
        <v/>
      </c>
      <c r="I1231" s="57" t="s">
        <v>41</v>
      </c>
    </row>
    <row r="1232" spans="1:11" x14ac:dyDescent="0.25">
      <c r="A1232" s="41"/>
      <c r="B1232" s="48" t="str">
        <f>IF(A1232&lt;&gt;"",DATE(YEAR(TRANSACTIONS!$A1232),MONTH(TRANSACTIONS!$A1232),DAY(TRANSACTIONS!$A1232)),"")</f>
        <v/>
      </c>
      <c r="C1232" s="49" t="str">
        <f>IF(A1232&lt;&gt;"",TIME(HOUR(TRANSACTIONS!$A1232),MINUTE(TRANSACTIONS!$A1232),SECOND(TRANSACTIONS!$A1232)),"")</f>
        <v/>
      </c>
      <c r="E1232" s="82"/>
      <c r="F1232" s="82"/>
      <c r="G1232" s="46"/>
      <c r="H1232" s="46" t="str">
        <f>IFERROR(TRANSACTIONS!#REF!+TRANSACTIONS!$G1232,"")</f>
        <v/>
      </c>
      <c r="I1232" s="57" t="s">
        <v>41</v>
      </c>
    </row>
    <row r="1233" spans="1:10" x14ac:dyDescent="0.25">
      <c r="A1233" s="41"/>
      <c r="B1233" s="83" t="str">
        <f>IF(A1233&lt;&gt;"",DATE(YEAR(TRANSACTIONS!$A1233),MONTH(TRANSACTIONS!$A1233),DAY(TRANSACTIONS!$A1233)),"")</f>
        <v/>
      </c>
      <c r="C1233" s="84" t="str">
        <f>IF(A1233&lt;&gt;"",TIME(HOUR(TRANSACTIONS!$A1233),MINUTE(TRANSACTIONS!$A1233),SECOND(TRANSACTIONS!$A1233)),"")</f>
        <v/>
      </c>
      <c r="E1233" s="82"/>
      <c r="F1233" s="82"/>
      <c r="G1233" s="86"/>
      <c r="H1233" s="86" t="str">
        <f>IFERROR(TRANSACTIONS!#REF!+TRANSACTIONS!$G1233,"")</f>
        <v/>
      </c>
      <c r="I1233" s="87" t="s">
        <v>41</v>
      </c>
      <c r="J1233" s="88"/>
    </row>
    <row r="1234" spans="1:10" x14ac:dyDescent="0.25">
      <c r="A1234" s="41"/>
      <c r="B1234" s="48" t="str">
        <f>IF(A1234&lt;&gt;"",DATE(YEAR(TRANSACTIONS!$A1234),MONTH(TRANSACTIONS!$A1234),DAY(TRANSACTIONS!$A1234)),"")</f>
        <v/>
      </c>
      <c r="C1234" s="49" t="str">
        <f>IF(A1234&lt;&gt;"",TIME(HOUR(TRANSACTIONS!$A1234),MINUTE(TRANSACTIONS!$A1234),SECOND(TRANSACTIONS!$A1234)),"")</f>
        <v/>
      </c>
      <c r="E1234" s="82"/>
      <c r="F1234" s="82"/>
      <c r="G1234" s="46"/>
      <c r="H1234" s="46" t="str">
        <f>IFERROR(TRANSACTIONS!#REF!+TRANSACTIONS!$G1234,"")</f>
        <v/>
      </c>
      <c r="I1234" s="57" t="s">
        <v>41</v>
      </c>
    </row>
    <row r="1235" spans="1:10" x14ac:dyDescent="0.25">
      <c r="A1235" s="41"/>
      <c r="B1235" s="48" t="str">
        <f>IF(A1235&lt;&gt;"",DATE(YEAR(TRANSACTIONS!$A1235),MONTH(TRANSACTIONS!$A1235),DAY(TRANSACTIONS!$A1235)),"")</f>
        <v/>
      </c>
      <c r="C1235" s="49" t="str">
        <f>IF(A1235&lt;&gt;"",TIME(HOUR(TRANSACTIONS!$A1235),MINUTE(TRANSACTIONS!$A1235),SECOND(TRANSACTIONS!$A1235)),"")</f>
        <v/>
      </c>
      <c r="E1235" s="82"/>
      <c r="F1235" s="82"/>
      <c r="G1235" s="46"/>
      <c r="H1235" s="46" t="str">
        <f>IFERROR(TRANSACTIONS!#REF!+TRANSACTIONS!$G1235,"")</f>
        <v/>
      </c>
      <c r="I1235" s="57" t="s">
        <v>41</v>
      </c>
    </row>
    <row r="1236" spans="1:10" x14ac:dyDescent="0.25">
      <c r="A1236" s="41"/>
      <c r="B1236" s="48" t="str">
        <f>IF(A1236&lt;&gt;"",DATE(YEAR(TRANSACTIONS!$A1236),MONTH(TRANSACTIONS!$A1236),DAY(TRANSACTIONS!$A1236)),"")</f>
        <v/>
      </c>
      <c r="C1236" s="49" t="str">
        <f>IF(A1236&lt;&gt;"",TIME(HOUR(TRANSACTIONS!$A1236),MINUTE(TRANSACTIONS!$A1236),SECOND(TRANSACTIONS!$A1236)),"")</f>
        <v/>
      </c>
      <c r="E1236" s="82"/>
      <c r="F1236" s="82"/>
      <c r="G1236" s="46"/>
      <c r="H1236" s="46" t="str">
        <f>IFERROR(TRANSACTIONS!#REF!+TRANSACTIONS!$G1236,"")</f>
        <v/>
      </c>
      <c r="I1236" s="57" t="s">
        <v>41</v>
      </c>
    </row>
    <row r="1237" spans="1:10" x14ac:dyDescent="0.25">
      <c r="A1237" s="41"/>
      <c r="B1237" s="114" t="str">
        <f>IF(A1237&lt;&gt;"",DATE(YEAR(TRANSACTIONS!$A1237),MONTH(TRANSACTIONS!$A1237),DAY(TRANSACTIONS!$A1237)),"")</f>
        <v/>
      </c>
      <c r="C1237" s="115" t="str">
        <f>IF(A1237&lt;&gt;"",TIME(HOUR(TRANSACTIONS!$A1237),MINUTE(TRANSACTIONS!$A1237),SECOND(TRANSACTIONS!$A1237)),"")</f>
        <v/>
      </c>
      <c r="E1237" s="82"/>
      <c r="F1237" s="82"/>
      <c r="G1237" s="117"/>
      <c r="H1237" s="117" t="str">
        <f>IFERROR(TRANSACTIONS!#REF!+TRANSACTIONS!$G1237,"")</f>
        <v/>
      </c>
      <c r="I1237" s="123" t="s">
        <v>41</v>
      </c>
    </row>
    <row r="1238" spans="1:10" x14ac:dyDescent="0.25">
      <c r="A1238" s="41"/>
      <c r="B1238" s="48" t="str">
        <f>IF(A1238&lt;&gt;"",DATE(YEAR(TRANSACTIONS!$A1238),MONTH(TRANSACTIONS!$A1238),DAY(TRANSACTIONS!$A1238)),"")</f>
        <v/>
      </c>
      <c r="C1238" s="49" t="str">
        <f>IF(A1238&lt;&gt;"",TIME(HOUR(TRANSACTIONS!$A1238),MINUTE(TRANSACTIONS!$A1238),SECOND(TRANSACTIONS!$A1238)),"")</f>
        <v/>
      </c>
      <c r="E1238" s="82"/>
      <c r="F1238" s="82"/>
      <c r="G1238" s="46"/>
      <c r="H1238" s="46" t="str">
        <f>IFERROR(TRANSACTIONS!#REF!+TRANSACTIONS!$G1238,"")</f>
        <v/>
      </c>
      <c r="I1238" s="57" t="s">
        <v>41</v>
      </c>
    </row>
    <row r="1239" spans="1:10" x14ac:dyDescent="0.25">
      <c r="A1239" s="41"/>
      <c r="B1239" s="48" t="str">
        <f>IF(A1239&lt;&gt;"",DATE(YEAR(TRANSACTIONS!$A1239),MONTH(TRANSACTIONS!$A1239),DAY(TRANSACTIONS!$A1239)),"")</f>
        <v/>
      </c>
      <c r="C1239" s="49" t="str">
        <f>IF(A1239&lt;&gt;"",TIME(HOUR(TRANSACTIONS!$A1239),MINUTE(TRANSACTIONS!$A1239),SECOND(TRANSACTIONS!$A1239)),"")</f>
        <v/>
      </c>
      <c r="E1239" s="82"/>
      <c r="F1239" s="82"/>
      <c r="G1239" s="46"/>
      <c r="H1239" s="46" t="str">
        <f>IFERROR(TRANSACTIONS!#REF!+TRANSACTIONS!$G1239,"")</f>
        <v/>
      </c>
      <c r="I1239" s="57" t="s">
        <v>41</v>
      </c>
    </row>
    <row r="1240" spans="1:10" x14ac:dyDescent="0.25">
      <c r="A1240" s="41"/>
      <c r="B1240" s="48" t="str">
        <f>IF(A1240&lt;&gt;"",DATE(YEAR(TRANSACTIONS!$A1240),MONTH(TRANSACTIONS!$A1240),DAY(TRANSACTIONS!$A1240)),"")</f>
        <v/>
      </c>
      <c r="C1240" s="49" t="str">
        <f>IF(A1240&lt;&gt;"",TIME(HOUR(TRANSACTIONS!$A1240),MINUTE(TRANSACTIONS!$A1240),SECOND(TRANSACTIONS!$A1240)),"")</f>
        <v/>
      </c>
      <c r="E1240" s="82"/>
      <c r="F1240" s="82"/>
      <c r="G1240" s="46"/>
      <c r="H1240" s="46" t="str">
        <f>IFERROR(TRANSACTIONS!#REF!+TRANSACTIONS!$G1240,"")</f>
        <v/>
      </c>
      <c r="I1240" s="57" t="s">
        <v>41</v>
      </c>
    </row>
    <row r="1241" spans="1:10" x14ac:dyDescent="0.25">
      <c r="A1241" s="41"/>
      <c r="B1241" s="48" t="str">
        <f>IF(A1241&lt;&gt;"",DATE(YEAR(TRANSACTIONS!$A1241),MONTH(TRANSACTIONS!$A1241),DAY(TRANSACTIONS!$A1241)),"")</f>
        <v/>
      </c>
      <c r="C1241" s="49" t="str">
        <f>IF(A1241&lt;&gt;"",TIME(HOUR(TRANSACTIONS!$A1241),MINUTE(TRANSACTIONS!$A1241),SECOND(TRANSACTIONS!$A1241)),"")</f>
        <v/>
      </c>
      <c r="E1241" s="82"/>
      <c r="F1241" s="82"/>
      <c r="G1241" s="46"/>
      <c r="H1241" s="46" t="str">
        <f>IFERROR(TRANSACTIONS!#REF!+TRANSACTIONS!$G1241,"")</f>
        <v/>
      </c>
      <c r="I1241" s="57" t="s">
        <v>41</v>
      </c>
    </row>
    <row r="1242" spans="1:10" x14ac:dyDescent="0.25">
      <c r="A1242" s="41"/>
      <c r="B1242" s="48" t="str">
        <f>IF(A1242&lt;&gt;"",DATE(YEAR(TRANSACTIONS!$A1242),MONTH(TRANSACTIONS!$A1242),DAY(TRANSACTIONS!$A1242)),"")</f>
        <v/>
      </c>
      <c r="C1242" s="49" t="str">
        <f>IF(A1242&lt;&gt;"",TIME(HOUR(TRANSACTIONS!$A1242),MINUTE(TRANSACTIONS!$A1242),SECOND(TRANSACTIONS!$A1242)),"")</f>
        <v/>
      </c>
      <c r="E1242" s="82"/>
      <c r="F1242" s="82"/>
      <c r="G1242" s="46"/>
      <c r="H1242" s="46" t="str">
        <f>IFERROR(TRANSACTIONS!#REF!+TRANSACTIONS!$G1242,"")</f>
        <v/>
      </c>
      <c r="I1242" s="57" t="s">
        <v>41</v>
      </c>
    </row>
    <row r="1243" spans="1:10" x14ac:dyDescent="0.25">
      <c r="A1243" s="41"/>
      <c r="B1243" s="48" t="str">
        <f>IF(A1243&lt;&gt;"",DATE(YEAR(TRANSACTIONS!$A1243),MONTH(TRANSACTIONS!$A1243),DAY(TRANSACTIONS!$A1243)),"")</f>
        <v/>
      </c>
      <c r="C1243" s="49" t="str">
        <f>IF(A1243&lt;&gt;"",TIME(HOUR(TRANSACTIONS!$A1243),MINUTE(TRANSACTIONS!$A1243),SECOND(TRANSACTIONS!$A1243)),"")</f>
        <v/>
      </c>
      <c r="E1243" s="82"/>
      <c r="F1243" s="82"/>
      <c r="G1243" s="46"/>
      <c r="H1243" s="46" t="str">
        <f>IFERROR(TRANSACTIONS!#REF!+TRANSACTIONS!$G1243,"")</f>
        <v/>
      </c>
      <c r="I1243" s="57" t="s">
        <v>41</v>
      </c>
    </row>
    <row r="1244" spans="1:10" x14ac:dyDescent="0.25">
      <c r="A1244" s="41"/>
      <c r="B1244" s="48" t="str">
        <f>IF(A1244&lt;&gt;"",DATE(YEAR(TRANSACTIONS!$A1244),MONTH(TRANSACTIONS!$A1244),DAY(TRANSACTIONS!$A1244)),"")</f>
        <v/>
      </c>
      <c r="C1244" s="49" t="str">
        <f>IF(A1244&lt;&gt;"",TIME(HOUR(TRANSACTIONS!$A1244),MINUTE(TRANSACTIONS!$A1244),SECOND(TRANSACTIONS!$A1244)),"")</f>
        <v/>
      </c>
      <c r="E1244" s="82"/>
      <c r="F1244" s="82"/>
      <c r="G1244" s="46"/>
      <c r="H1244" s="46" t="str">
        <f>IFERROR(TRANSACTIONS!#REF!+TRANSACTIONS!$G1244,"")</f>
        <v/>
      </c>
      <c r="I1244" s="57" t="s">
        <v>41</v>
      </c>
    </row>
    <row r="1245" spans="1:10" x14ac:dyDescent="0.25">
      <c r="A1245" s="41"/>
      <c r="B1245" s="48" t="str">
        <f>IF(A1245&lt;&gt;"",DATE(YEAR(TRANSACTIONS!$A1245),MONTH(TRANSACTIONS!$A1245),DAY(TRANSACTIONS!$A1245)),"")</f>
        <v/>
      </c>
      <c r="C1245" s="49" t="str">
        <f>IF(A1245&lt;&gt;"",TIME(HOUR(TRANSACTIONS!$A1245),MINUTE(TRANSACTIONS!$A1245),SECOND(TRANSACTIONS!$A1245)),"")</f>
        <v/>
      </c>
      <c r="E1245" s="82"/>
      <c r="F1245" s="82"/>
      <c r="G1245" s="46"/>
      <c r="H1245" s="46" t="str">
        <f>IFERROR(TRANSACTIONS!#REF!+TRANSACTIONS!$G1245,"")</f>
        <v/>
      </c>
      <c r="I1245" s="57" t="s">
        <v>41</v>
      </c>
    </row>
    <row r="1246" spans="1:10" x14ac:dyDescent="0.25">
      <c r="A1246" s="41"/>
      <c r="B1246" s="48" t="str">
        <f>IF(A1246&lt;&gt;"",DATE(YEAR(TRANSACTIONS!$A1246),MONTH(TRANSACTIONS!$A1246),DAY(TRANSACTIONS!$A1246)),"")</f>
        <v/>
      </c>
      <c r="C1246" s="49" t="str">
        <f>IF(A1246&lt;&gt;"",TIME(HOUR(TRANSACTIONS!$A1246),MINUTE(TRANSACTIONS!$A1246),SECOND(TRANSACTIONS!$A1246)),"")</f>
        <v/>
      </c>
      <c r="E1246" s="82"/>
      <c r="F1246" s="82"/>
      <c r="G1246" s="46"/>
      <c r="H1246" s="46" t="str">
        <f>IFERROR(TRANSACTIONS!#REF!+TRANSACTIONS!$G1246,"")</f>
        <v/>
      </c>
      <c r="I1246" s="57" t="s">
        <v>41</v>
      </c>
    </row>
    <row r="1247" spans="1:10" x14ac:dyDescent="0.25">
      <c r="A1247" s="41"/>
      <c r="B1247" s="114" t="str">
        <f>IF(A1247&lt;&gt;"",DATE(YEAR(TRANSACTIONS!$A1247),MONTH(TRANSACTIONS!$A1247),DAY(TRANSACTIONS!$A1247)),"")</f>
        <v/>
      </c>
      <c r="C1247" s="115" t="str">
        <f>IF(A1247&lt;&gt;"",TIME(HOUR(TRANSACTIONS!$A1247),MINUTE(TRANSACTIONS!$A1247),SECOND(TRANSACTIONS!$A1247)),"")</f>
        <v/>
      </c>
      <c r="E1247" s="82"/>
      <c r="F1247" s="82"/>
      <c r="G1247" s="117"/>
      <c r="H1247" s="117" t="str">
        <f>IFERROR(TRANSACTIONS!#REF!+TRANSACTIONS!$G1247,"")</f>
        <v/>
      </c>
      <c r="I1247" s="123" t="s">
        <v>41</v>
      </c>
      <c r="J1247" s="118"/>
    </row>
    <row r="1248" spans="1:10" x14ac:dyDescent="0.25">
      <c r="A1248" s="41"/>
      <c r="B1248" s="48" t="str">
        <f>IF(A1248&lt;&gt;"",DATE(YEAR(TRANSACTIONS!$A1248),MONTH(TRANSACTIONS!$A1248),DAY(TRANSACTIONS!$A1248)),"")</f>
        <v/>
      </c>
      <c r="C1248" s="49" t="str">
        <f>IF(A1248&lt;&gt;"",TIME(HOUR(TRANSACTIONS!$A1248),MINUTE(TRANSACTIONS!$A1248),SECOND(TRANSACTIONS!$A1248)),"")</f>
        <v/>
      </c>
      <c r="E1248" s="82"/>
      <c r="F1248" s="82"/>
      <c r="G1248" s="46"/>
      <c r="H1248" s="46" t="str">
        <f>IFERROR(TRANSACTIONS!#REF!+TRANSACTIONS!$G1248,"")</f>
        <v/>
      </c>
      <c r="I1248" s="57" t="s">
        <v>41</v>
      </c>
    </row>
    <row r="1249" spans="1:9" x14ac:dyDescent="0.25">
      <c r="A1249" s="41"/>
      <c r="B1249" s="48" t="str">
        <f>IF(A1249&lt;&gt;"",DATE(YEAR(TRANSACTIONS!$A1249),MONTH(TRANSACTIONS!$A1249),DAY(TRANSACTIONS!$A1249)),"")</f>
        <v/>
      </c>
      <c r="C1249" s="49" t="str">
        <f>IF(A1249&lt;&gt;"",TIME(HOUR(TRANSACTIONS!$A1249),MINUTE(TRANSACTIONS!$A1249),SECOND(TRANSACTIONS!$A1249)),"")</f>
        <v/>
      </c>
      <c r="E1249" s="82"/>
      <c r="F1249" s="82"/>
      <c r="G1249" s="46"/>
      <c r="H1249" s="46" t="str">
        <f>IFERROR(TRANSACTIONS!#REF!+TRANSACTIONS!$G1249,"")</f>
        <v/>
      </c>
      <c r="I1249" s="57" t="s">
        <v>41</v>
      </c>
    </row>
    <row r="1250" spans="1:9" x14ac:dyDescent="0.25">
      <c r="A1250" s="41"/>
      <c r="B1250" s="48" t="str">
        <f>IF(A1250&lt;&gt;"",DATE(YEAR(TRANSACTIONS!$A1250),MONTH(TRANSACTIONS!$A1250),DAY(TRANSACTIONS!$A1250)),"")</f>
        <v/>
      </c>
      <c r="C1250" s="49" t="str">
        <f>IF(A1250&lt;&gt;"",TIME(HOUR(TRANSACTIONS!$A1250),MINUTE(TRANSACTIONS!$A1250),SECOND(TRANSACTIONS!$A1250)),"")</f>
        <v/>
      </c>
      <c r="E1250" s="82"/>
      <c r="F1250" s="82"/>
      <c r="G1250" s="46"/>
      <c r="H1250" s="46" t="str">
        <f>IFERROR(TRANSACTIONS!#REF!+TRANSACTIONS!$G1250,"")</f>
        <v/>
      </c>
      <c r="I1250" s="57" t="s">
        <v>41</v>
      </c>
    </row>
    <row r="1251" spans="1:9" x14ac:dyDescent="0.25">
      <c r="A1251" s="41"/>
      <c r="B1251" s="48" t="str">
        <f>IF(A1251&lt;&gt;"",DATE(YEAR(TRANSACTIONS!$A1251),MONTH(TRANSACTIONS!$A1251),DAY(TRANSACTIONS!$A1251)),"")</f>
        <v/>
      </c>
      <c r="C1251" s="49" t="str">
        <f>IF(A1251&lt;&gt;"",TIME(HOUR(TRANSACTIONS!$A1251),MINUTE(TRANSACTIONS!$A1251),SECOND(TRANSACTIONS!$A1251)),"")</f>
        <v/>
      </c>
      <c r="E1251" s="82"/>
      <c r="F1251" s="82"/>
      <c r="G1251" s="46"/>
      <c r="H1251" s="46" t="str">
        <f>IFERROR(TRANSACTIONS!#REF!+TRANSACTIONS!$G1251,"")</f>
        <v/>
      </c>
      <c r="I1251" s="57" t="s">
        <v>41</v>
      </c>
    </row>
    <row r="1252" spans="1:9" x14ac:dyDescent="0.25">
      <c r="A1252" s="41"/>
      <c r="B1252" s="48" t="str">
        <f>IF(A1252&lt;&gt;"",DATE(YEAR(TRANSACTIONS!$A1252),MONTH(TRANSACTIONS!$A1252),DAY(TRANSACTIONS!$A1252)),"")</f>
        <v/>
      </c>
      <c r="C1252" s="49" t="str">
        <f>IF(A1252&lt;&gt;"",TIME(HOUR(TRANSACTIONS!$A1252),MINUTE(TRANSACTIONS!$A1252),SECOND(TRANSACTIONS!$A1252)),"")</f>
        <v/>
      </c>
      <c r="E1252" s="82"/>
      <c r="F1252" s="82"/>
      <c r="G1252" s="46"/>
      <c r="H1252" s="46" t="str">
        <f>IFERROR(TRANSACTIONS!#REF!+TRANSACTIONS!$G1252,"")</f>
        <v/>
      </c>
      <c r="I1252" s="57" t="s">
        <v>41</v>
      </c>
    </row>
    <row r="1253" spans="1:9" x14ac:dyDescent="0.25">
      <c r="A1253" s="41"/>
      <c r="B1253" s="48" t="str">
        <f>IF(A1253&lt;&gt;"",DATE(YEAR(TRANSACTIONS!$A1253),MONTH(TRANSACTIONS!$A1253),DAY(TRANSACTIONS!$A1253)),"")</f>
        <v/>
      </c>
      <c r="C1253" s="49" t="str">
        <f>IF(A1253&lt;&gt;"",TIME(HOUR(TRANSACTIONS!$A1253),MINUTE(TRANSACTIONS!$A1253),SECOND(TRANSACTIONS!$A1253)),"")</f>
        <v/>
      </c>
      <c r="E1253" s="82"/>
      <c r="F1253" s="82"/>
      <c r="G1253" s="46"/>
      <c r="H1253" s="46" t="str">
        <f>IFERROR(TRANSACTIONS!#REF!+TRANSACTIONS!$G1253,"")</f>
        <v/>
      </c>
      <c r="I1253" s="57" t="s">
        <v>41</v>
      </c>
    </row>
    <row r="1254" spans="1:9" x14ac:dyDescent="0.25">
      <c r="A1254" s="41"/>
      <c r="B1254" s="48" t="str">
        <f>IF(A1254&lt;&gt;"",DATE(YEAR(TRANSACTIONS!$A1254),MONTH(TRANSACTIONS!$A1254),DAY(TRANSACTIONS!$A1254)),"")</f>
        <v/>
      </c>
      <c r="C1254" s="49" t="str">
        <f>IF(A1254&lt;&gt;"",TIME(HOUR(TRANSACTIONS!$A1254),MINUTE(TRANSACTIONS!$A1254),SECOND(TRANSACTIONS!$A1254)),"")</f>
        <v/>
      </c>
      <c r="E1254" s="82"/>
      <c r="F1254" s="82"/>
      <c r="G1254" s="46"/>
      <c r="H1254" s="46" t="str">
        <f>IFERROR(TRANSACTIONS!#REF!+TRANSACTIONS!$G1254,"")</f>
        <v/>
      </c>
      <c r="I1254" s="57" t="s">
        <v>41</v>
      </c>
    </row>
    <row r="1255" spans="1:9" x14ac:dyDescent="0.25">
      <c r="A1255" s="41"/>
      <c r="B1255" s="48" t="str">
        <f>IF(A1255&lt;&gt;"",DATE(YEAR(TRANSACTIONS!$A1255),MONTH(TRANSACTIONS!$A1255),DAY(TRANSACTIONS!$A1255)),"")</f>
        <v/>
      </c>
      <c r="C1255" s="49" t="str">
        <f>IF(A1255&lt;&gt;"",TIME(HOUR(TRANSACTIONS!$A1255),MINUTE(TRANSACTIONS!$A1255),SECOND(TRANSACTIONS!$A1255)),"")</f>
        <v/>
      </c>
      <c r="E1255" s="82"/>
      <c r="F1255" s="82"/>
      <c r="G1255" s="46"/>
      <c r="H1255" s="46" t="str">
        <f>IFERROR(TRANSACTIONS!#REF!+TRANSACTIONS!$G1255,"")</f>
        <v/>
      </c>
      <c r="I1255" s="57" t="s">
        <v>41</v>
      </c>
    </row>
    <row r="1256" spans="1:9" x14ac:dyDescent="0.25">
      <c r="A1256" s="41"/>
      <c r="B1256" s="48" t="str">
        <f>IF(A1256&lt;&gt;"",DATE(YEAR(TRANSACTIONS!$A1256),MONTH(TRANSACTIONS!$A1256),DAY(TRANSACTIONS!$A1256)),"")</f>
        <v/>
      </c>
      <c r="C1256" s="49" t="str">
        <f>IF(A1256&lt;&gt;"",TIME(HOUR(TRANSACTIONS!$A1256),MINUTE(TRANSACTIONS!$A1256),SECOND(TRANSACTIONS!$A1256)),"")</f>
        <v/>
      </c>
      <c r="E1256" s="116"/>
      <c r="F1256" s="116"/>
      <c r="G1256" s="46"/>
      <c r="H1256" s="46" t="str">
        <f>IFERROR(TRANSACTIONS!#REF!+TRANSACTIONS!$G1256,"")</f>
        <v/>
      </c>
      <c r="I1256" s="57" t="s">
        <v>41</v>
      </c>
    </row>
    <row r="1257" spans="1:9" x14ac:dyDescent="0.25">
      <c r="A1257" s="41"/>
      <c r="B1257" s="48" t="str">
        <f>IF(A1257&lt;&gt;"",DATE(YEAR(TRANSACTIONS!$A1257),MONTH(TRANSACTIONS!$A1257),DAY(TRANSACTIONS!$A1257)),"")</f>
        <v/>
      </c>
      <c r="C1257" s="49" t="str">
        <f>IF(A1257&lt;&gt;"",TIME(HOUR(TRANSACTIONS!$A1257),MINUTE(TRANSACTIONS!$A1257),SECOND(TRANSACTIONS!$A1257)),"")</f>
        <v/>
      </c>
      <c r="E1257" s="82"/>
      <c r="F1257" s="82"/>
      <c r="G1257" s="46"/>
      <c r="H1257" s="46" t="str">
        <f>IFERROR(TRANSACTIONS!#REF!+TRANSACTIONS!$G1257,"")</f>
        <v/>
      </c>
      <c r="I1257" s="57" t="s">
        <v>41</v>
      </c>
    </row>
    <row r="1258" spans="1:9" x14ac:dyDescent="0.25">
      <c r="A1258" s="41"/>
      <c r="B1258" s="48" t="str">
        <f>IF(A1258&lt;&gt;"",DATE(YEAR(TRANSACTIONS!$A1258),MONTH(TRANSACTIONS!$A1258),DAY(TRANSACTIONS!$A1258)),"")</f>
        <v/>
      </c>
      <c r="C1258" s="49" t="str">
        <f>IF(A1258&lt;&gt;"",TIME(HOUR(TRANSACTIONS!$A1258),MINUTE(TRANSACTIONS!$A1258),SECOND(TRANSACTIONS!$A1258)),"")</f>
        <v/>
      </c>
      <c r="E1258" s="82"/>
      <c r="F1258" s="82"/>
      <c r="G1258" s="46"/>
      <c r="H1258" s="46" t="str">
        <f>IFERROR(TRANSACTIONS!#REF!+TRANSACTIONS!$G1258,"")</f>
        <v/>
      </c>
      <c r="I1258" s="57" t="s">
        <v>41</v>
      </c>
    </row>
    <row r="1259" spans="1:9" x14ac:dyDescent="0.25">
      <c r="A1259" s="41"/>
      <c r="B1259" s="48" t="str">
        <f>IF(A1259&lt;&gt;"",DATE(YEAR(TRANSACTIONS!$A1259),MONTH(TRANSACTIONS!$A1259),DAY(TRANSACTIONS!$A1259)),"")</f>
        <v/>
      </c>
      <c r="C1259" s="49" t="str">
        <f>IF(A1259&lt;&gt;"",TIME(HOUR(TRANSACTIONS!$A1259),MINUTE(TRANSACTIONS!$A1259),SECOND(TRANSACTIONS!$A1259)),"")</f>
        <v/>
      </c>
      <c r="E1259" s="82"/>
      <c r="F1259" s="82"/>
      <c r="G1259" s="46"/>
      <c r="H1259" s="46" t="str">
        <f>IFERROR(TRANSACTIONS!#REF!+TRANSACTIONS!$G1259,"")</f>
        <v/>
      </c>
      <c r="I1259" s="57" t="s">
        <v>41</v>
      </c>
    </row>
    <row r="1260" spans="1:9" x14ac:dyDescent="0.25">
      <c r="A1260" s="41"/>
      <c r="B1260" s="83" t="str">
        <f>IF(A1260&lt;&gt;"",DATE(YEAR(TRANSACTIONS!$A1260),MONTH(TRANSACTIONS!$A1260),DAY(TRANSACTIONS!$A1260)),"")</f>
        <v/>
      </c>
      <c r="C1260" s="84" t="str">
        <f>IF(A1260&lt;&gt;"",TIME(HOUR(TRANSACTIONS!$A1260),MINUTE(TRANSACTIONS!$A1260),SECOND(TRANSACTIONS!$A1260)),"")</f>
        <v/>
      </c>
      <c r="E1260" s="82"/>
      <c r="F1260" s="82"/>
      <c r="G1260" s="86"/>
      <c r="H1260" s="86" t="str">
        <f>IFERROR(TRANSACTIONS!#REF!+TRANSACTIONS!$G1260,"")</f>
        <v/>
      </c>
      <c r="I1260" s="87" t="s">
        <v>41</v>
      </c>
    </row>
    <row r="1261" spans="1:9" x14ac:dyDescent="0.25">
      <c r="A1261" s="41"/>
      <c r="B1261" s="83" t="str">
        <f>IF(A1261&lt;&gt;"",DATE(YEAR(TRANSACTIONS!$A1261),MONTH(TRANSACTIONS!$A1261),DAY(TRANSACTIONS!$A1261)),"")</f>
        <v/>
      </c>
      <c r="C1261" s="84" t="str">
        <f>IF(A1261&lt;&gt;"",TIME(HOUR(TRANSACTIONS!$A1261),MINUTE(TRANSACTIONS!$A1261),SECOND(TRANSACTIONS!$A1261)),"")</f>
        <v/>
      </c>
      <c r="E1261" s="82"/>
      <c r="F1261" s="82"/>
      <c r="G1261" s="86"/>
      <c r="H1261" s="86" t="str">
        <f>IFERROR(TRANSACTIONS!#REF!+TRANSACTIONS!$G1261,"")</f>
        <v/>
      </c>
      <c r="I1261" s="87" t="s">
        <v>41</v>
      </c>
    </row>
    <row r="1262" spans="1:9" x14ac:dyDescent="0.25">
      <c r="A1262" s="41"/>
      <c r="B1262" s="48" t="str">
        <f>IF(A1262&lt;&gt;"",DATE(YEAR(TRANSACTIONS!$A1262),MONTH(TRANSACTIONS!$A1262),DAY(TRANSACTIONS!$A1262)),"")</f>
        <v/>
      </c>
      <c r="C1262" s="49" t="str">
        <f>IF(A1262&lt;&gt;"",TIME(HOUR(TRANSACTIONS!$A1262),MINUTE(TRANSACTIONS!$A1262),SECOND(TRANSACTIONS!$A1262)),"")</f>
        <v/>
      </c>
      <c r="E1262" s="82"/>
      <c r="F1262" s="82"/>
      <c r="G1262" s="46"/>
      <c r="H1262" s="46" t="str">
        <f>IFERROR(TRANSACTIONS!#REF!+TRANSACTIONS!$G1262,"")</f>
        <v/>
      </c>
      <c r="I1262" s="57" t="s">
        <v>41</v>
      </c>
    </row>
    <row r="1263" spans="1:9" x14ac:dyDescent="0.25">
      <c r="A1263" s="41"/>
      <c r="B1263" s="48" t="str">
        <f>IF(A1263&lt;&gt;"",DATE(YEAR(TRANSACTIONS!$A1263),MONTH(TRANSACTIONS!$A1263),DAY(TRANSACTIONS!$A1263)),"")</f>
        <v/>
      </c>
      <c r="C1263" s="49" t="str">
        <f>IF(A1263&lt;&gt;"",TIME(HOUR(TRANSACTIONS!$A1263),MINUTE(TRANSACTIONS!$A1263),SECOND(TRANSACTIONS!$A1263)),"")</f>
        <v/>
      </c>
      <c r="E1263" s="82"/>
      <c r="F1263" s="82"/>
      <c r="G1263" s="46"/>
      <c r="H1263" s="46" t="str">
        <f>IFERROR(TRANSACTIONS!#REF!+TRANSACTIONS!$G1263,"")</f>
        <v/>
      </c>
      <c r="I1263" s="57" t="s">
        <v>41</v>
      </c>
    </row>
    <row r="1264" spans="1:9" x14ac:dyDescent="0.25">
      <c r="A1264" s="41"/>
      <c r="B1264" s="48" t="str">
        <f>IF(A1264&lt;&gt;"",DATE(YEAR(TRANSACTIONS!$A1264),MONTH(TRANSACTIONS!$A1264),DAY(TRANSACTIONS!$A1264)),"")</f>
        <v/>
      </c>
      <c r="C1264" s="49" t="str">
        <f>IF(A1264&lt;&gt;"",TIME(HOUR(TRANSACTIONS!$A1264),MINUTE(TRANSACTIONS!$A1264),SECOND(TRANSACTIONS!$A1264)),"")</f>
        <v/>
      </c>
      <c r="E1264" s="82"/>
      <c r="F1264" s="82"/>
      <c r="G1264" s="46"/>
      <c r="H1264" s="46" t="str">
        <f>IFERROR(TRANSACTIONS!#REF!+TRANSACTIONS!$G1264,"")</f>
        <v/>
      </c>
      <c r="I1264" s="57" t="s">
        <v>41</v>
      </c>
    </row>
    <row r="1265" spans="1:10" x14ac:dyDescent="0.25">
      <c r="A1265" s="41"/>
      <c r="B1265" s="48" t="str">
        <f>IF(A1265&lt;&gt;"",DATE(YEAR(TRANSACTIONS!$A1265),MONTH(TRANSACTIONS!$A1265),DAY(TRANSACTIONS!$A1265)),"")</f>
        <v/>
      </c>
      <c r="C1265" s="49" t="str">
        <f>IF(A1265&lt;&gt;"",TIME(HOUR(TRANSACTIONS!$A1265),MINUTE(TRANSACTIONS!$A1265),SECOND(TRANSACTIONS!$A1265)),"")</f>
        <v/>
      </c>
      <c r="E1265" s="82"/>
      <c r="F1265" s="82"/>
      <c r="G1265" s="46"/>
      <c r="H1265" s="46" t="str">
        <f>IFERROR(TRANSACTIONS!#REF!+TRANSACTIONS!$G1265,"")</f>
        <v/>
      </c>
      <c r="I1265" s="57" t="s">
        <v>41</v>
      </c>
    </row>
    <row r="1266" spans="1:10" x14ac:dyDescent="0.25">
      <c r="A1266" s="41"/>
      <c r="B1266" s="48" t="str">
        <f>IF(A1266&lt;&gt;"",DATE(YEAR(TRANSACTIONS!$A1266),MONTH(TRANSACTIONS!$A1266),DAY(TRANSACTIONS!$A1266)),"")</f>
        <v/>
      </c>
      <c r="C1266" s="49" t="str">
        <f>IF(A1266&lt;&gt;"",TIME(HOUR(TRANSACTIONS!$A1266),MINUTE(TRANSACTIONS!$A1266),SECOND(TRANSACTIONS!$A1266)),"")</f>
        <v/>
      </c>
      <c r="E1266" s="82"/>
      <c r="F1266" s="82"/>
      <c r="G1266" s="46"/>
      <c r="H1266" s="46" t="str">
        <f>IFERROR(TRANSACTIONS!#REF!+TRANSACTIONS!$G1266,"")</f>
        <v/>
      </c>
      <c r="I1266" s="57" t="s">
        <v>41</v>
      </c>
    </row>
    <row r="1267" spans="1:10" x14ac:dyDescent="0.25">
      <c r="A1267" s="41"/>
      <c r="B1267" s="48" t="str">
        <f>IF(A1267&lt;&gt;"",DATE(YEAR(TRANSACTIONS!$A1267),MONTH(TRANSACTIONS!$A1267),DAY(TRANSACTIONS!$A1267)),"")</f>
        <v/>
      </c>
      <c r="C1267" s="49" t="str">
        <f>IF(A1267&lt;&gt;"",TIME(HOUR(TRANSACTIONS!$A1267),MINUTE(TRANSACTIONS!$A1267),SECOND(TRANSACTIONS!$A1267)),"")</f>
        <v/>
      </c>
      <c r="E1267" s="82"/>
      <c r="F1267" s="82"/>
      <c r="G1267" s="46"/>
      <c r="H1267" s="46" t="str">
        <f>IFERROR(TRANSACTIONS!#REF!+TRANSACTIONS!$G1267,"")</f>
        <v/>
      </c>
      <c r="I1267" s="57" t="s">
        <v>41</v>
      </c>
    </row>
    <row r="1268" spans="1:10" x14ac:dyDescent="0.25">
      <c r="A1268" s="41"/>
      <c r="B1268" s="48" t="str">
        <f>IF(A1268&lt;&gt;"",DATE(YEAR(TRANSACTIONS!$A1268),MONTH(TRANSACTIONS!$A1268),DAY(TRANSACTIONS!$A1268)),"")</f>
        <v/>
      </c>
      <c r="C1268" s="49" t="str">
        <f>IF(A1268&lt;&gt;"",TIME(HOUR(TRANSACTIONS!$A1268),MINUTE(TRANSACTIONS!$A1268),SECOND(TRANSACTIONS!$A1268)),"")</f>
        <v/>
      </c>
      <c r="E1268" s="82"/>
      <c r="F1268" s="82"/>
      <c r="G1268" s="46"/>
      <c r="H1268" s="46" t="str">
        <f>IFERROR(TRANSACTIONS!#REF!+TRANSACTIONS!$G1268,"")</f>
        <v/>
      </c>
      <c r="I1268" s="57" t="s">
        <v>41</v>
      </c>
    </row>
    <row r="1269" spans="1:10" x14ac:dyDescent="0.25">
      <c r="A1269" s="41"/>
      <c r="B1269" s="48" t="str">
        <f>IF(A1269&lt;&gt;"",DATE(YEAR(TRANSACTIONS!$A1269),MONTH(TRANSACTIONS!$A1269),DAY(TRANSACTIONS!$A1269)),"")</f>
        <v/>
      </c>
      <c r="C1269" s="49" t="str">
        <f>IF(A1269&lt;&gt;"",TIME(HOUR(TRANSACTIONS!$A1269),MINUTE(TRANSACTIONS!$A1269),SECOND(TRANSACTIONS!$A1269)),"")</f>
        <v/>
      </c>
      <c r="D1269" s="82"/>
      <c r="E1269" s="82"/>
      <c r="F1269" s="82"/>
      <c r="G1269" s="46"/>
      <c r="H1269" s="46" t="str">
        <f>IFERROR(TRANSACTIONS!#REF!+TRANSACTIONS!$G1269,"")</f>
        <v/>
      </c>
      <c r="I1269" s="57" t="s">
        <v>41</v>
      </c>
    </row>
    <row r="1270" spans="1:10" ht="14.25" customHeight="1" x14ac:dyDescent="0.25">
      <c r="A1270" s="41"/>
      <c r="B1270" s="114" t="str">
        <f>IF(A1270&lt;&gt;"",DATE(YEAR(TRANSACTIONS!$A1270),MONTH(TRANSACTIONS!$A1270),DAY(TRANSACTIONS!$A1270)),"")</f>
        <v/>
      </c>
      <c r="C1270" s="115" t="str">
        <f>IF(A1270&lt;&gt;"",TIME(HOUR(TRANSACTIONS!$A1270),MINUTE(TRANSACTIONS!$A1270),SECOND(TRANSACTIONS!$A1270)),"")</f>
        <v/>
      </c>
      <c r="D1270" s="82"/>
      <c r="E1270" s="82"/>
      <c r="F1270" s="82"/>
      <c r="G1270" s="117"/>
      <c r="H1270" s="117" t="str">
        <f>IFERROR(TRANSACTIONS!#REF!+TRANSACTIONS!$G1270,"")</f>
        <v/>
      </c>
      <c r="I1270" s="123" t="s">
        <v>41</v>
      </c>
      <c r="J1270" s="134"/>
    </row>
    <row r="1271" spans="1:10" x14ac:dyDescent="0.25">
      <c r="A1271" s="81"/>
      <c r="B1271" s="83" t="str">
        <f>IF(A1271&lt;&gt;"",DATE(YEAR(TRANSACTIONS!$A1271),MONTH(TRANSACTIONS!$A1271),DAY(TRANSACTIONS!$A1271)),"")</f>
        <v/>
      </c>
      <c r="C1271" s="84" t="str">
        <f>IF(A1271&lt;&gt;"",TIME(HOUR(TRANSACTIONS!$A1271),MINUTE(TRANSACTIONS!$A1271),SECOND(TRANSACTIONS!$A1271)),"")</f>
        <v/>
      </c>
      <c r="D1271" s="82"/>
      <c r="E1271" s="82"/>
      <c r="F1271" s="82"/>
      <c r="G1271" s="86"/>
      <c r="H1271" s="86" t="str">
        <f>IFERROR(TRANSACTIONS!#REF!+TRANSACTIONS!$G1271,"")</f>
        <v/>
      </c>
      <c r="I1271" s="87" t="s">
        <v>41</v>
      </c>
    </row>
    <row r="1272" spans="1:10" x14ac:dyDescent="0.25">
      <c r="A1272" s="41"/>
      <c r="B1272" s="48" t="str">
        <f>IF(A1272&lt;&gt;"",DATE(YEAR(TRANSACTIONS!$A1272),MONTH(TRANSACTIONS!$A1272),DAY(TRANSACTIONS!$A1272)),"")</f>
        <v/>
      </c>
      <c r="C1272" s="49" t="str">
        <f>IF(A1272&lt;&gt;"",TIME(HOUR(TRANSACTIONS!$A1272),MINUTE(TRANSACTIONS!$A1272),SECOND(TRANSACTIONS!$A1272)),"")</f>
        <v/>
      </c>
      <c r="D1272" s="82"/>
      <c r="E1272" s="82"/>
      <c r="F1272" s="82"/>
      <c r="G1272" s="46"/>
      <c r="H1272" s="46" t="str">
        <f>IFERROR(TRANSACTIONS!#REF!+TRANSACTIONS!$G1272,"")</f>
        <v/>
      </c>
      <c r="I1272" s="57" t="s">
        <v>41</v>
      </c>
    </row>
    <row r="1273" spans="1:10" x14ac:dyDescent="0.25">
      <c r="A1273" s="41"/>
      <c r="B1273" s="48" t="str">
        <f>IF(A1273&lt;&gt;"",DATE(YEAR(TRANSACTIONS!$A1273),MONTH(TRANSACTIONS!$A1273),DAY(TRANSACTIONS!$A1273)),"")</f>
        <v/>
      </c>
      <c r="C1273" s="49" t="str">
        <f>IF(A1273&lt;&gt;"",TIME(HOUR(TRANSACTIONS!$A1273),MINUTE(TRANSACTIONS!$A1273),SECOND(TRANSACTIONS!$A1273)),"")</f>
        <v/>
      </c>
      <c r="D1273" s="82"/>
      <c r="E1273" s="82"/>
      <c r="F1273" s="82"/>
      <c r="G1273" s="46"/>
      <c r="H1273" s="46" t="str">
        <f>IFERROR(TRANSACTIONS!#REF!+TRANSACTIONS!$G1273,"")</f>
        <v/>
      </c>
      <c r="I1273" s="57" t="s">
        <v>41</v>
      </c>
    </row>
    <row r="1274" spans="1:10" x14ac:dyDescent="0.25">
      <c r="A1274" s="41"/>
      <c r="B1274" s="48" t="str">
        <f>IF(A1274&lt;&gt;"",DATE(YEAR(TRANSACTIONS!$A1274),MONTH(TRANSACTIONS!$A1274),DAY(TRANSACTIONS!$A1274)),"")</f>
        <v/>
      </c>
      <c r="C1274" s="49" t="str">
        <f>IF(A1274&lt;&gt;"",TIME(HOUR(TRANSACTIONS!$A1274),MINUTE(TRANSACTIONS!$A1274),SECOND(TRANSACTIONS!$A1274)),"")</f>
        <v/>
      </c>
      <c r="D1274" s="82"/>
      <c r="E1274" s="82"/>
      <c r="F1274" s="82"/>
      <c r="G1274" s="46"/>
      <c r="H1274" s="46" t="str">
        <f>IFERROR(TRANSACTIONS!#REF!+TRANSACTIONS!$G1274,"")</f>
        <v/>
      </c>
      <c r="I1274" s="57" t="s">
        <v>41</v>
      </c>
    </row>
    <row r="1275" spans="1:10" x14ac:dyDescent="0.25">
      <c r="A1275" s="41"/>
      <c r="B1275" s="48" t="str">
        <f>IF(A1275&lt;&gt;"",DATE(YEAR(TRANSACTIONS!$A1275),MONTH(TRANSACTIONS!$A1275),DAY(TRANSACTIONS!$A1275)),"")</f>
        <v/>
      </c>
      <c r="C1275" s="49" t="str">
        <f>IF(A1275&lt;&gt;"",TIME(HOUR(TRANSACTIONS!$A1275),MINUTE(TRANSACTIONS!$A1275),SECOND(TRANSACTIONS!$A1275)),"")</f>
        <v/>
      </c>
      <c r="D1275" s="82"/>
      <c r="E1275" s="82"/>
      <c r="F1275" s="82"/>
      <c r="G1275" s="46"/>
      <c r="H1275" s="46" t="str">
        <f>IFERROR(TRANSACTIONS!#REF!+TRANSACTIONS!$G1275,"")</f>
        <v/>
      </c>
      <c r="I1275" s="57" t="s">
        <v>41</v>
      </c>
    </row>
    <row r="1276" spans="1:10" x14ac:dyDescent="0.25">
      <c r="A1276" s="41"/>
      <c r="B1276" s="48" t="str">
        <f>IF(A1276&lt;&gt;"",DATE(YEAR(TRANSACTIONS!$A1276),MONTH(TRANSACTIONS!$A1276),DAY(TRANSACTIONS!$A1276)),"")</f>
        <v/>
      </c>
      <c r="C1276" s="49" t="str">
        <f>IF(A1276&lt;&gt;"",TIME(HOUR(TRANSACTIONS!$A1276),MINUTE(TRANSACTIONS!$A1276),SECOND(TRANSACTIONS!$A1276)),"")</f>
        <v/>
      </c>
      <c r="D1276" s="82"/>
      <c r="E1276" s="82"/>
      <c r="F1276" s="82"/>
      <c r="G1276" s="46"/>
      <c r="H1276" s="46" t="str">
        <f>IFERROR(TRANSACTIONS!#REF!+TRANSACTIONS!$G1276,"")</f>
        <v/>
      </c>
      <c r="I1276" s="57" t="s">
        <v>41</v>
      </c>
    </row>
    <row r="1277" spans="1:10" x14ac:dyDescent="0.25">
      <c r="A1277" s="41"/>
      <c r="B1277" s="48" t="str">
        <f>IF(A1277&lt;&gt;"",DATE(YEAR(TRANSACTIONS!$A1277),MONTH(TRANSACTIONS!$A1277),DAY(TRANSACTIONS!$A1277)),"")</f>
        <v/>
      </c>
      <c r="C1277" s="49" t="str">
        <f>IF(A1277&lt;&gt;"",TIME(HOUR(TRANSACTIONS!$A1277),MINUTE(TRANSACTIONS!$A1277),SECOND(TRANSACTIONS!$A1277)),"")</f>
        <v/>
      </c>
      <c r="D1277" s="82"/>
      <c r="E1277" s="82"/>
      <c r="G1277" s="46"/>
      <c r="H1277" s="46" t="str">
        <f>IFERROR(TRANSACTIONS!#REF!+TRANSACTIONS!$G1277,"")</f>
        <v/>
      </c>
      <c r="I1277" s="57" t="s">
        <v>41</v>
      </c>
    </row>
    <row r="1278" spans="1:10" x14ac:dyDescent="0.25">
      <c r="A1278" s="41"/>
      <c r="B1278" s="48" t="str">
        <f>IF(A1278&lt;&gt;"",DATE(YEAR(TRANSACTIONS!$A1278),MONTH(TRANSACTIONS!$A1278),DAY(TRANSACTIONS!$A1278)),"")</f>
        <v/>
      </c>
      <c r="C1278" s="49" t="str">
        <f>IF(A1278&lt;&gt;"",TIME(HOUR(TRANSACTIONS!$A1278),MINUTE(TRANSACTIONS!$A1278),SECOND(TRANSACTIONS!$A1278)),"")</f>
        <v/>
      </c>
      <c r="D1278" s="82"/>
      <c r="E1278" s="82"/>
      <c r="G1278" s="46"/>
      <c r="H1278" s="46">
        <f>IFERROR(TRANSACTIONS!$F1279+TRANSACTIONS!$G1278,"")</f>
        <v>0</v>
      </c>
      <c r="I1278" s="57" t="s">
        <v>41</v>
      </c>
    </row>
    <row r="1279" spans="1:10" x14ac:dyDescent="0.25">
      <c r="A1279" s="41"/>
      <c r="B1279" s="114" t="str">
        <f>IF(A1279&lt;&gt;"",DATE(YEAR(TRANSACTIONS!$A1279),MONTH(TRANSACTIONS!$A1279),DAY(TRANSACTIONS!$A1279)),"")</f>
        <v/>
      </c>
      <c r="C1279" s="115" t="str">
        <f>IF(A1279&lt;&gt;"",TIME(HOUR(TRANSACTIONS!$A1279),MINUTE(TRANSACTIONS!$A1279),SECOND(TRANSACTIONS!$A1279)),"")</f>
        <v/>
      </c>
      <c r="D1279" s="82"/>
      <c r="E1279" s="82"/>
      <c r="F1279" s="94"/>
      <c r="G1279" s="117"/>
      <c r="H1279" s="117" t="str">
        <f>IFERROR(TRANSACTIONS!#REF!+TRANSACTIONS!$G1279,"")</f>
        <v/>
      </c>
      <c r="I1279" s="123" t="s">
        <v>41</v>
      </c>
    </row>
    <row r="1280" spans="1:10" x14ac:dyDescent="0.25">
      <c r="A1280" s="41"/>
      <c r="B1280" s="48" t="str">
        <f>IF(A1280&lt;&gt;"",DATE(YEAR(TRANSACTIONS!$A1280),MONTH(TRANSACTIONS!$A1280),DAY(TRANSACTIONS!$A1280)),"")</f>
        <v/>
      </c>
      <c r="C1280" s="49" t="str">
        <f>IF(A1280&lt;&gt;"",TIME(HOUR(TRANSACTIONS!$A1280),MINUTE(TRANSACTIONS!$A1280),SECOND(TRANSACTIONS!$A1280)),"")</f>
        <v/>
      </c>
      <c r="D1280" s="82"/>
      <c r="E1280" s="82"/>
      <c r="G1280" s="46"/>
      <c r="H1280" s="46" t="str">
        <f>IFERROR(TRANSACTIONS!#REF!+TRANSACTIONS!$G1280,"")</f>
        <v/>
      </c>
      <c r="I1280" s="57" t="s">
        <v>41</v>
      </c>
    </row>
    <row r="1281" spans="1:10" x14ac:dyDescent="0.25">
      <c r="A1281" s="41"/>
      <c r="B1281" s="48" t="str">
        <f>IF(A1281&lt;&gt;"",DATE(YEAR(TRANSACTIONS!$A1281),MONTH(TRANSACTIONS!$A1281),DAY(TRANSACTIONS!$A1281)),"")</f>
        <v/>
      </c>
      <c r="C1281" s="49" t="str">
        <f>IF(A1281&lt;&gt;"",TIME(HOUR(TRANSACTIONS!$A1281),MINUTE(TRANSACTIONS!$A1281),SECOND(TRANSACTIONS!$A1281)),"")</f>
        <v/>
      </c>
      <c r="D1281" s="82"/>
      <c r="E1281" s="82"/>
      <c r="G1281" s="46"/>
      <c r="H1281" s="46">
        <f>IFERROR(TRANSACTIONS!$F1284+TRANSACTIONS!$G1281,"")</f>
        <v>0</v>
      </c>
      <c r="I1281" s="57" t="s">
        <v>41</v>
      </c>
    </row>
    <row r="1282" spans="1:10" x14ac:dyDescent="0.25">
      <c r="A1282" s="41"/>
      <c r="B1282" s="48" t="str">
        <f>IF(A1282&lt;&gt;"",DATE(YEAR(TRANSACTIONS!$A1282),MONTH(TRANSACTIONS!$A1282),DAY(TRANSACTIONS!$A1282)),"")</f>
        <v/>
      </c>
      <c r="C1282" s="49" t="str">
        <f>IF(A1282&lt;&gt;"",TIME(HOUR(TRANSACTIONS!$A1282),MINUTE(TRANSACTIONS!$A1282),SECOND(TRANSACTIONS!$A1282)),"")</f>
        <v/>
      </c>
      <c r="D1282" s="82"/>
      <c r="E1282" s="82"/>
      <c r="G1282" s="46"/>
      <c r="H1282" s="46" t="str">
        <f>IFERROR(TRANSACTIONS!#REF!+TRANSACTIONS!$G1282,"")</f>
        <v/>
      </c>
      <c r="I1282" s="57" t="s">
        <v>41</v>
      </c>
    </row>
    <row r="1283" spans="1:10" x14ac:dyDescent="0.25">
      <c r="A1283" s="41"/>
      <c r="B1283" s="114" t="str">
        <f>IF(A1283&lt;&gt;"",DATE(YEAR(TRANSACTIONS!$A1283),MONTH(TRANSACTIONS!$A1283),DAY(TRANSACTIONS!$A1283)),"")</f>
        <v/>
      </c>
      <c r="C1283" s="115" t="str">
        <f>IF(A1283&lt;&gt;"",TIME(HOUR(TRANSACTIONS!$A1283),MINUTE(TRANSACTIONS!$A1283),SECOND(TRANSACTIONS!$A1283)),"")</f>
        <v/>
      </c>
      <c r="D1283" s="82"/>
      <c r="E1283" s="82"/>
      <c r="G1283" s="117"/>
      <c r="H1283" s="117" t="str">
        <f>IFERROR(TRANSACTIONS!#REF!+TRANSACTIONS!$G1283,"")</f>
        <v/>
      </c>
      <c r="I1283" s="123" t="s">
        <v>41</v>
      </c>
    </row>
    <row r="1284" spans="1:10" x14ac:dyDescent="0.25">
      <c r="A1284" s="41"/>
      <c r="B1284" s="48" t="str">
        <f>IF(A1284&lt;&gt;"",DATE(YEAR(TRANSACTIONS!$A1284),MONTH(TRANSACTIONS!$A1284),DAY(TRANSACTIONS!$A1284)),"")</f>
        <v/>
      </c>
      <c r="C1284" s="49" t="str">
        <f>IF(A1284&lt;&gt;"",TIME(HOUR(TRANSACTIONS!$A1284),MINUTE(TRANSACTIONS!$A1284),SECOND(TRANSACTIONS!$A1284)),"")</f>
        <v/>
      </c>
      <c r="D1284" s="82"/>
      <c r="E1284" s="82"/>
      <c r="F1284" s="94"/>
      <c r="G1284" s="46"/>
      <c r="H1284" s="46" t="str">
        <f>IFERROR(TRANSACTIONS!#REF!+TRANSACTIONS!$G1284,"")</f>
        <v/>
      </c>
      <c r="I1284" s="57" t="s">
        <v>41</v>
      </c>
    </row>
    <row r="1285" spans="1:10" x14ac:dyDescent="0.25">
      <c r="A1285" s="81">
        <v>45338.696074537038</v>
      </c>
      <c r="B1285" s="83">
        <f>IF(A1285&lt;&gt;"",DATE(YEAR(TRANSACTIONS!$A1285),MONTH(TRANSACTIONS!$A1285),DAY(TRANSACTIONS!$A1285)),"")</f>
        <v>45338</v>
      </c>
      <c r="C1285" s="84">
        <f>IF(A1285&lt;&gt;"",TIME(HOUR(TRANSACTIONS!$A1285),MINUTE(TRANSACTIONS!$A1285),SECOND(TRANSACTIONS!$A1285)),"")</f>
        <v>0.6960763888888889</v>
      </c>
      <c r="D1285" s="82" t="s">
        <v>62</v>
      </c>
      <c r="E1285" s="82" t="s">
        <v>7</v>
      </c>
      <c r="F1285" s="94">
        <v>2000</v>
      </c>
      <c r="G1285" s="86"/>
      <c r="H1285" s="86">
        <f>IFERROR(TRANSACTIONS!$F1285+TRANSACTIONS!$G1285,"")</f>
        <v>2000</v>
      </c>
      <c r="I1285" s="87" t="s">
        <v>41</v>
      </c>
      <c r="J1285" s="88"/>
    </row>
    <row r="1286" spans="1:10" x14ac:dyDescent="0.25">
      <c r="A1286" s="41">
        <v>45338.689338773147</v>
      </c>
      <c r="B1286" s="48">
        <f>IF(A1286&lt;&gt;"",DATE(YEAR(TRANSACTIONS!$A1286),MONTH(TRANSACTIONS!$A1286),DAY(TRANSACTIONS!$A1286)),"")</f>
        <v>45338</v>
      </c>
      <c r="C1286" s="49">
        <f>IF(A1286&lt;&gt;"",TIME(HOUR(TRANSACTIONS!$A1286),MINUTE(TRANSACTIONS!$A1286),SECOND(TRANSACTIONS!$A1286)),"")</f>
        <v>0.68934027777777773</v>
      </c>
      <c r="D1286" s="82" t="s">
        <v>62</v>
      </c>
      <c r="E1286" s="82" t="s">
        <v>7</v>
      </c>
      <c r="F1286" s="94">
        <v>7500</v>
      </c>
      <c r="G1286" s="46"/>
      <c r="H1286" s="46">
        <f>IFERROR(TRANSACTIONS!$F1286+TRANSACTIONS!$G1286,"")</f>
        <v>7500</v>
      </c>
      <c r="I1286" s="57" t="s">
        <v>41</v>
      </c>
    </row>
    <row r="1287" spans="1:10" x14ac:dyDescent="0.25">
      <c r="A1287" s="41">
        <v>45338.689872222225</v>
      </c>
      <c r="B1287" s="48">
        <f>IF(A1287&lt;&gt;"",DATE(YEAR(TRANSACTIONS!$A1287),MONTH(TRANSACTIONS!$A1287),DAY(TRANSACTIONS!$A1287)),"")</f>
        <v>45338</v>
      </c>
      <c r="C1287" s="49">
        <f>IF(A1287&lt;&gt;"",TIME(HOUR(TRANSACTIONS!$A1287),MINUTE(TRANSACTIONS!$A1287),SECOND(TRANSACTIONS!$A1287)),"")</f>
        <v>0.68987268518518519</v>
      </c>
      <c r="D1287" s="82" t="s">
        <v>62</v>
      </c>
      <c r="E1287" s="82" t="s">
        <v>6</v>
      </c>
      <c r="F1287" s="94">
        <v>500000</v>
      </c>
      <c r="G1287" s="46"/>
      <c r="H1287" s="46">
        <f>IFERROR(TRANSACTIONS!$F1287+TRANSACTIONS!$G1287,"")</f>
        <v>500000</v>
      </c>
      <c r="I1287" s="57" t="s">
        <v>41</v>
      </c>
    </row>
    <row r="1288" spans="1:10" x14ac:dyDescent="0.25">
      <c r="A1288" s="41">
        <v>45338.68987534722</v>
      </c>
      <c r="B1288" s="48">
        <f>IF(A1288&lt;&gt;"",DATE(YEAR(TRANSACTIONS!$A1288),MONTH(TRANSACTIONS!$A1288),DAY(TRANSACTIONS!$A1288)),"")</f>
        <v>45338</v>
      </c>
      <c r="C1288" s="49">
        <f>IF(A1288&lt;&gt;"",TIME(HOUR(TRANSACTIONS!$A1288),MINUTE(TRANSACTIONS!$A1288),SECOND(TRANSACTIONS!$A1288)),"")</f>
        <v>0.68987268518518519</v>
      </c>
      <c r="D1288" s="82" t="s">
        <v>62</v>
      </c>
      <c r="E1288" s="82" t="s">
        <v>6</v>
      </c>
      <c r="F1288" s="94">
        <v>250000</v>
      </c>
      <c r="G1288" s="46"/>
      <c r="H1288" s="46">
        <f>IFERROR(TRANSACTIONS!$F1288+TRANSACTIONS!$G1288,"")</f>
        <v>250000</v>
      </c>
      <c r="I1288" s="57" t="s">
        <v>41</v>
      </c>
    </row>
    <row r="1289" spans="1:10" x14ac:dyDescent="0.25">
      <c r="A1289" s="41">
        <v>45338.689883449071</v>
      </c>
      <c r="B1289" s="48">
        <f>IF(A1289&lt;&gt;"",DATE(YEAR(TRANSACTIONS!$A1289),MONTH(TRANSACTIONS!$A1289),DAY(TRANSACTIONS!$A1289)),"")</f>
        <v>45338</v>
      </c>
      <c r="C1289" s="49">
        <f>IF(A1289&lt;&gt;"",TIME(HOUR(TRANSACTIONS!$A1289),MINUTE(TRANSACTIONS!$A1289),SECOND(TRANSACTIONS!$A1289)),"")</f>
        <v>0.68988425925925922</v>
      </c>
      <c r="D1289" s="82" t="s">
        <v>62</v>
      </c>
      <c r="E1289" s="82" t="s">
        <v>7</v>
      </c>
      <c r="F1289" s="94">
        <v>50000</v>
      </c>
      <c r="G1289" s="46"/>
      <c r="H1289" s="46">
        <f>IFERROR(TRANSACTIONS!$F1289+TRANSACTIONS!$G1289,"")</f>
        <v>50000</v>
      </c>
      <c r="I1289" s="57" t="s">
        <v>41</v>
      </c>
    </row>
    <row r="1290" spans="1:10" x14ac:dyDescent="0.25">
      <c r="A1290" s="41">
        <v>45338.689897453703</v>
      </c>
      <c r="B1290" s="48">
        <f>IF(A1290&lt;&gt;"",DATE(YEAR(TRANSACTIONS!$A1290),MONTH(TRANSACTIONS!$A1290),DAY(TRANSACTIONS!$A1290)),"")</f>
        <v>45338</v>
      </c>
      <c r="C1290" s="49">
        <f>IF(A1290&lt;&gt;"",TIME(HOUR(TRANSACTIONS!$A1290),MINUTE(TRANSACTIONS!$A1290),SECOND(TRANSACTIONS!$A1290)),"")</f>
        <v>0.68989583333333337</v>
      </c>
      <c r="D1290" s="82" t="s">
        <v>62</v>
      </c>
      <c r="E1290" s="82" t="s">
        <v>6</v>
      </c>
      <c r="F1290" s="94">
        <v>6000</v>
      </c>
      <c r="G1290" s="46"/>
      <c r="H1290" s="46">
        <f>IFERROR(TRANSACTIONS!$F1290+TRANSACTIONS!$G1290,"")</f>
        <v>6000</v>
      </c>
      <c r="I1290" s="57" t="s">
        <v>41</v>
      </c>
    </row>
    <row r="1291" spans="1:10" x14ac:dyDescent="0.25">
      <c r="A1291" s="41">
        <v>45338.689905324078</v>
      </c>
      <c r="B1291" s="48">
        <f>IF(A1291&lt;&gt;"",DATE(YEAR(TRANSACTIONS!$A1291),MONTH(TRANSACTIONS!$A1291),DAY(TRANSACTIONS!$A1291)),"")</f>
        <v>45338</v>
      </c>
      <c r="C1291" s="49">
        <f>IF(A1291&lt;&gt;"",TIME(HOUR(TRANSACTIONS!$A1291),MINUTE(TRANSACTIONS!$A1291),SECOND(TRANSACTIONS!$A1291)),"")</f>
        <v>0.6899074074074073</v>
      </c>
      <c r="D1291" s="82" t="s">
        <v>62</v>
      </c>
      <c r="E1291" s="82" t="s">
        <v>7</v>
      </c>
      <c r="F1291" s="94">
        <v>1500</v>
      </c>
      <c r="G1291" s="46"/>
      <c r="H1291" s="46">
        <f>IFERROR(TRANSACTIONS!$F1291+TRANSACTIONS!$G1291,"")</f>
        <v>1500</v>
      </c>
      <c r="I1291" s="57" t="s">
        <v>41</v>
      </c>
    </row>
    <row r="1292" spans="1:10" x14ac:dyDescent="0.25">
      <c r="A1292" s="41">
        <v>45338.689912037036</v>
      </c>
      <c r="B1292" s="48">
        <f>IF(A1292&lt;&gt;"",DATE(YEAR(TRANSACTIONS!$A1292),MONTH(TRANSACTIONS!$A1292),DAY(TRANSACTIONS!$A1292)),"")</f>
        <v>45338</v>
      </c>
      <c r="C1292" s="49">
        <f>IF(A1292&lt;&gt;"",TIME(HOUR(TRANSACTIONS!$A1292),MINUTE(TRANSACTIONS!$A1292),SECOND(TRANSACTIONS!$A1292)),"")</f>
        <v>0.6899074074074073</v>
      </c>
      <c r="D1292" s="82" t="s">
        <v>62</v>
      </c>
      <c r="E1292" s="82" t="s">
        <v>6</v>
      </c>
      <c r="F1292" s="94">
        <v>1000</v>
      </c>
      <c r="G1292" s="46"/>
      <c r="H1292" s="46">
        <f>IFERROR(TRANSACTIONS!$F1292+TRANSACTIONS!$G1292,"")</f>
        <v>1000</v>
      </c>
      <c r="I1292" s="57" t="s">
        <v>41</v>
      </c>
    </row>
    <row r="1293" spans="1:10" x14ac:dyDescent="0.25">
      <c r="A1293" s="41">
        <v>45338.689919097225</v>
      </c>
      <c r="B1293" s="48">
        <f>IF(A1293&lt;&gt;"",DATE(YEAR(TRANSACTIONS!$A1293),MONTH(TRANSACTIONS!$A1293),DAY(TRANSACTIONS!$A1293)),"")</f>
        <v>45338</v>
      </c>
      <c r="C1293" s="49">
        <f>IF(A1293&lt;&gt;"",TIME(HOUR(TRANSACTIONS!$A1293),MINUTE(TRANSACTIONS!$A1293),SECOND(TRANSACTIONS!$A1293)),"")</f>
        <v>0.68991898148148145</v>
      </c>
      <c r="D1293" s="82" t="s">
        <v>62</v>
      </c>
      <c r="E1293" s="82" t="s">
        <v>7</v>
      </c>
      <c r="F1293" s="94">
        <v>9500</v>
      </c>
      <c r="G1293" s="46"/>
      <c r="H1293" s="46">
        <f>IFERROR(TRANSACTIONS!$F1293+TRANSACTIONS!$G1293,"")</f>
        <v>9500</v>
      </c>
      <c r="I1293" s="57" t="s">
        <v>41</v>
      </c>
    </row>
    <row r="1294" spans="1:10" x14ac:dyDescent="0.25">
      <c r="A1294" s="41">
        <v>45338.689934259259</v>
      </c>
      <c r="B1294" s="48">
        <f>IF(A1294&lt;&gt;"",DATE(YEAR(TRANSACTIONS!$A1294),MONTH(TRANSACTIONS!$A1294),DAY(TRANSACTIONS!$A1294)),"")</f>
        <v>45338</v>
      </c>
      <c r="C1294" s="49">
        <f>IF(A1294&lt;&gt;"",TIME(HOUR(TRANSACTIONS!$A1294),MINUTE(TRANSACTIONS!$A1294),SECOND(TRANSACTIONS!$A1294)),"")</f>
        <v>0.6899305555555556</v>
      </c>
      <c r="D1294" s="82" t="s">
        <v>62</v>
      </c>
      <c r="E1294" s="82" t="s">
        <v>6</v>
      </c>
      <c r="F1294" s="94">
        <v>100500</v>
      </c>
      <c r="G1294" s="46"/>
      <c r="H1294" s="46">
        <f>IFERROR(TRANSACTIONS!$F1294+TRANSACTIONS!$G1294,"")</f>
        <v>100500</v>
      </c>
      <c r="I1294" s="57" t="s">
        <v>41</v>
      </c>
    </row>
    <row r="1295" spans="1:10" x14ac:dyDescent="0.25">
      <c r="A1295" s="41">
        <v>45338.689965046295</v>
      </c>
      <c r="B1295" s="48">
        <f>IF(A1295&lt;&gt;"",DATE(YEAR(TRANSACTIONS!$A1295),MONTH(TRANSACTIONS!$A1295),DAY(TRANSACTIONS!$A1295)),"")</f>
        <v>45338</v>
      </c>
      <c r="C1295" s="49">
        <f>IF(A1295&lt;&gt;"",TIME(HOUR(TRANSACTIONS!$A1295),MINUTE(TRANSACTIONS!$A1295),SECOND(TRANSACTIONS!$A1295)),"")</f>
        <v>0.68996527777777772</v>
      </c>
      <c r="D1295" s="82" t="s">
        <v>62</v>
      </c>
      <c r="E1295" s="82" t="s">
        <v>7</v>
      </c>
      <c r="F1295" s="94">
        <v>6900</v>
      </c>
      <c r="G1295" s="46"/>
      <c r="H1295" s="46">
        <f>IFERROR(TRANSACTIONS!$F1295+TRANSACTIONS!$G1295,"")</f>
        <v>6900</v>
      </c>
      <c r="I1295" s="57" t="s">
        <v>41</v>
      </c>
    </row>
    <row r="1296" spans="1:10" x14ac:dyDescent="0.25">
      <c r="A1296" s="41">
        <v>45338.689972569446</v>
      </c>
      <c r="B1296" s="48">
        <f>IF(A1296&lt;&gt;"",DATE(YEAR(TRANSACTIONS!$A1296),MONTH(TRANSACTIONS!$A1296),DAY(TRANSACTIONS!$A1296)),"")</f>
        <v>45338</v>
      </c>
      <c r="C1296" s="49">
        <f>IF(A1296&lt;&gt;"",TIME(HOUR(TRANSACTIONS!$A1296),MINUTE(TRANSACTIONS!$A1296),SECOND(TRANSACTIONS!$A1296)),"")</f>
        <v>0.68997685185185187</v>
      </c>
      <c r="D1296" s="82" t="s">
        <v>62</v>
      </c>
      <c r="E1296" s="82" t="s">
        <v>6</v>
      </c>
      <c r="F1296" s="94">
        <v>3000</v>
      </c>
      <c r="G1296" s="46"/>
      <c r="H1296" s="46">
        <f>IFERROR(TRANSACTIONS!$F1296+TRANSACTIONS!$G1296,"")</f>
        <v>3000</v>
      </c>
      <c r="I1296" s="57" t="s">
        <v>41</v>
      </c>
    </row>
    <row r="1297" spans="1:10" x14ac:dyDescent="0.25">
      <c r="A1297" s="41">
        <v>45338.689980092589</v>
      </c>
      <c r="B1297" s="48">
        <f>IF(A1297&lt;&gt;"",DATE(YEAR(TRANSACTIONS!$A1297),MONTH(TRANSACTIONS!$A1297),DAY(TRANSACTIONS!$A1297)),"")</f>
        <v>45338</v>
      </c>
      <c r="C1297" s="49">
        <f>IF(A1297&lt;&gt;"",TIME(HOUR(TRANSACTIONS!$A1297),MINUTE(TRANSACTIONS!$A1297),SECOND(TRANSACTIONS!$A1297)),"")</f>
        <v>0.68997685185185187</v>
      </c>
      <c r="D1297" s="82" t="s">
        <v>62</v>
      </c>
      <c r="E1297" s="82" t="s">
        <v>6</v>
      </c>
      <c r="F1297" s="94">
        <v>45000</v>
      </c>
      <c r="G1297" s="46"/>
      <c r="H1297" s="46">
        <f>IFERROR(TRANSACTIONS!$F1297+TRANSACTIONS!$G1297,"")</f>
        <v>45000</v>
      </c>
      <c r="I1297" s="57" t="s">
        <v>41</v>
      </c>
    </row>
    <row r="1298" spans="1:10" x14ac:dyDescent="0.25">
      <c r="A1298" s="41">
        <v>45338.689987847225</v>
      </c>
      <c r="B1298" s="48">
        <f>IF(A1298&lt;&gt;"",DATE(YEAR(TRANSACTIONS!$A1298),MONTH(TRANSACTIONS!$A1298),DAY(TRANSACTIONS!$A1298)),"")</f>
        <v>45338</v>
      </c>
      <c r="C1298" s="49">
        <f>IF(A1298&lt;&gt;"",TIME(HOUR(TRANSACTIONS!$A1298),MINUTE(TRANSACTIONS!$A1298),SECOND(TRANSACTIONS!$A1298)),"")</f>
        <v>0.68998842592592602</v>
      </c>
      <c r="D1298" s="82" t="s">
        <v>62</v>
      </c>
      <c r="E1298" s="82" t="s">
        <v>7</v>
      </c>
      <c r="F1298" s="94">
        <v>28000</v>
      </c>
      <c r="G1298" s="46"/>
      <c r="H1298" s="46">
        <f>IFERROR(TRANSACTIONS!$F1298+TRANSACTIONS!$G1298,"")</f>
        <v>28000</v>
      </c>
      <c r="I1298" s="57" t="s">
        <v>41</v>
      </c>
    </row>
    <row r="1299" spans="1:10" x14ac:dyDescent="0.25">
      <c r="A1299" s="41">
        <v>45338.69000023148</v>
      </c>
      <c r="B1299" s="48">
        <f>IF(A1299&lt;&gt;"",DATE(YEAR(TRANSACTIONS!$A1299),MONTH(TRANSACTIONS!$A1299),DAY(TRANSACTIONS!$A1299)),"")</f>
        <v>45338</v>
      </c>
      <c r="C1299" s="49">
        <f>IF(A1299&lt;&gt;"",TIME(HOUR(TRANSACTIONS!$A1299),MINUTE(TRANSACTIONS!$A1299),SECOND(TRANSACTIONS!$A1299)),"")</f>
        <v>0.69</v>
      </c>
      <c r="D1299" s="82" t="s">
        <v>62</v>
      </c>
      <c r="E1299" s="82" t="s">
        <v>6</v>
      </c>
      <c r="F1299" s="94">
        <v>1000</v>
      </c>
      <c r="G1299" s="46"/>
      <c r="H1299" s="46">
        <f>IFERROR(TRANSACTIONS!$F1299+TRANSACTIONS!$G1299,"")</f>
        <v>1000</v>
      </c>
      <c r="I1299" s="57" t="s">
        <v>41</v>
      </c>
    </row>
    <row r="1300" spans="1:10" x14ac:dyDescent="0.25">
      <c r="A1300" s="41">
        <v>45338.69000949074</v>
      </c>
      <c r="B1300" s="48">
        <f>IF(A1300&lt;&gt;"",DATE(YEAR(TRANSACTIONS!$A1300),MONTH(TRANSACTIONS!$A1300),DAY(TRANSACTIONS!$A1300)),"")</f>
        <v>45338</v>
      </c>
      <c r="C1300" s="49">
        <f>IF(A1300&lt;&gt;"",TIME(HOUR(TRANSACTIONS!$A1300),MINUTE(TRANSACTIONS!$A1300),SECOND(TRANSACTIONS!$A1300)),"")</f>
        <v>0.6900115740740741</v>
      </c>
      <c r="D1300" s="82" t="s">
        <v>62</v>
      </c>
      <c r="E1300" s="82" t="s">
        <v>7</v>
      </c>
      <c r="F1300" s="94">
        <v>1000</v>
      </c>
      <c r="G1300" s="46"/>
      <c r="H1300" s="46">
        <f>IFERROR(TRANSACTIONS!$F1300+TRANSACTIONS!$G1300,"")</f>
        <v>1000</v>
      </c>
      <c r="I1300" s="57" t="s">
        <v>41</v>
      </c>
    </row>
    <row r="1301" spans="1:10" x14ac:dyDescent="0.25">
      <c r="A1301" s="41">
        <v>45338.690017129629</v>
      </c>
      <c r="B1301" s="48">
        <f>IF(A1301&lt;&gt;"",DATE(YEAR(TRANSACTIONS!$A1301),MONTH(TRANSACTIONS!$A1301),DAY(TRANSACTIONS!$A1301)),"")</f>
        <v>45338</v>
      </c>
      <c r="C1301" s="49">
        <f>IF(A1301&lt;&gt;"",TIME(HOUR(TRANSACTIONS!$A1301),MINUTE(TRANSACTIONS!$A1301),SECOND(TRANSACTIONS!$A1301)),"")</f>
        <v>0.6900115740740741</v>
      </c>
      <c r="D1301" s="82" t="s">
        <v>62</v>
      </c>
      <c r="E1301" s="82" t="s">
        <v>6</v>
      </c>
      <c r="F1301" s="94">
        <v>1500</v>
      </c>
      <c r="G1301" s="46"/>
      <c r="H1301" s="46">
        <f>IFERROR(TRANSACTIONS!$F1301+TRANSACTIONS!$G1301,"")</f>
        <v>1500</v>
      </c>
      <c r="I1301" s="57" t="s">
        <v>41</v>
      </c>
    </row>
    <row r="1302" spans="1:10" x14ac:dyDescent="0.25">
      <c r="A1302" s="41">
        <v>45338.690025810189</v>
      </c>
      <c r="B1302" s="83">
        <f>IF(A1302&lt;&gt;"",DATE(YEAR(TRANSACTIONS!$A1302),MONTH(TRANSACTIONS!$A1302),DAY(TRANSACTIONS!$A1302)),"")</f>
        <v>45338</v>
      </c>
      <c r="C1302" s="84">
        <f>IF(A1302&lt;&gt;"",TIME(HOUR(TRANSACTIONS!$A1302),MINUTE(TRANSACTIONS!$A1302),SECOND(TRANSACTIONS!$A1302)),"")</f>
        <v>0.69002314814814814</v>
      </c>
      <c r="D1302" s="82" t="s">
        <v>62</v>
      </c>
      <c r="E1302" s="82" t="s">
        <v>7</v>
      </c>
      <c r="F1302" s="265">
        <v>2000</v>
      </c>
      <c r="G1302" s="86"/>
      <c r="H1302" s="86">
        <f>IFERROR(TRANSACTIONS!$F1302+TRANSACTIONS!$G1302,"")</f>
        <v>2000</v>
      </c>
      <c r="I1302" s="87" t="s">
        <v>41</v>
      </c>
      <c r="J1302" s="88"/>
    </row>
    <row r="1303" spans="1:10" x14ac:dyDescent="0.25">
      <c r="A1303" s="41">
        <v>45338.690058333334</v>
      </c>
      <c r="B1303" s="48">
        <f>IF(A1303&lt;&gt;"",DATE(YEAR(TRANSACTIONS!$A1303),MONTH(TRANSACTIONS!$A1303),DAY(TRANSACTIONS!$A1303)),"")</f>
        <v>45338</v>
      </c>
      <c r="C1303" s="49">
        <f>IF(A1303&lt;&gt;"",TIME(HOUR(TRANSACTIONS!$A1303),MINUTE(TRANSACTIONS!$A1303),SECOND(TRANSACTIONS!$A1303)),"")</f>
        <v>0.69005787037037036</v>
      </c>
      <c r="D1303" s="82" t="s">
        <v>62</v>
      </c>
      <c r="E1303" s="82" t="s">
        <v>6</v>
      </c>
      <c r="F1303" s="94">
        <v>5000</v>
      </c>
      <c r="G1303" s="46"/>
      <c r="H1303" s="46">
        <f>IFERROR(TRANSACTIONS!$F1303+TRANSACTIONS!$G1303,"")</f>
        <v>5000</v>
      </c>
      <c r="I1303" s="57" t="s">
        <v>41</v>
      </c>
    </row>
    <row r="1304" spans="1:10" x14ac:dyDescent="0.25">
      <c r="A1304" s="41">
        <v>45338.690067939817</v>
      </c>
      <c r="B1304" s="48">
        <f>IF(A1304&lt;&gt;"",DATE(YEAR(TRANSACTIONS!$A1304),MONTH(TRANSACTIONS!$A1304),DAY(TRANSACTIONS!$A1304)),"")</f>
        <v>45338</v>
      </c>
      <c r="C1304" s="49">
        <f>IF(A1304&lt;&gt;"",TIME(HOUR(TRANSACTIONS!$A1304),MINUTE(TRANSACTIONS!$A1304),SECOND(TRANSACTIONS!$A1304)),"")</f>
        <v>0.69006944444444451</v>
      </c>
      <c r="D1304" s="82" t="s">
        <v>62</v>
      </c>
      <c r="E1304" s="82" t="s">
        <v>6</v>
      </c>
      <c r="F1304" s="94">
        <v>5000</v>
      </c>
      <c r="G1304" s="46"/>
      <c r="H1304" s="46">
        <f>IFERROR(TRANSACTIONS!$F1304+TRANSACTIONS!$G1304,"")</f>
        <v>5000</v>
      </c>
      <c r="I1304" s="57" t="s">
        <v>41</v>
      </c>
    </row>
    <row r="1305" spans="1:10" x14ac:dyDescent="0.25">
      <c r="A1305" s="41">
        <v>45338.690075462961</v>
      </c>
      <c r="B1305" s="48">
        <f>IF(A1305&lt;&gt;"",DATE(YEAR(TRANSACTIONS!$A1305),MONTH(TRANSACTIONS!$A1305),DAY(TRANSACTIONS!$A1305)),"")</f>
        <v>45338</v>
      </c>
      <c r="C1305" s="49">
        <f>IF(A1305&lt;&gt;"",TIME(HOUR(TRANSACTIONS!$A1305),MINUTE(TRANSACTIONS!$A1305),SECOND(TRANSACTIONS!$A1305)),"")</f>
        <v>0.69008101851851855</v>
      </c>
      <c r="D1305" s="82" t="s">
        <v>62</v>
      </c>
      <c r="E1305" s="82" t="s">
        <v>7</v>
      </c>
      <c r="F1305" s="94">
        <v>1000</v>
      </c>
      <c r="G1305" s="46"/>
      <c r="H1305" s="46">
        <f>IFERROR(TRANSACTIONS!$F1305+TRANSACTIONS!$G1305,"")</f>
        <v>1000</v>
      </c>
      <c r="I1305" s="57" t="s">
        <v>41</v>
      </c>
    </row>
    <row r="1306" spans="1:10" x14ac:dyDescent="0.25">
      <c r="A1306" s="41">
        <v>45338.690083217596</v>
      </c>
      <c r="B1306" s="48">
        <f>IF(A1306&lt;&gt;"",DATE(YEAR(TRANSACTIONS!$A1306),MONTH(TRANSACTIONS!$A1306),DAY(TRANSACTIONS!$A1306)),"")</f>
        <v>45338</v>
      </c>
      <c r="C1306" s="49">
        <f>IF(A1306&lt;&gt;"",TIME(HOUR(TRANSACTIONS!$A1306),MINUTE(TRANSACTIONS!$A1306),SECOND(TRANSACTIONS!$A1306)),"")</f>
        <v>0.69008101851851855</v>
      </c>
      <c r="D1306" s="82" t="s">
        <v>62</v>
      </c>
      <c r="E1306" s="82" t="s">
        <v>6</v>
      </c>
      <c r="F1306" s="94">
        <v>5050</v>
      </c>
      <c r="G1306" s="46"/>
      <c r="H1306" s="46">
        <f>IFERROR(TRANSACTIONS!$F1306+TRANSACTIONS!$G1306,"")</f>
        <v>5050</v>
      </c>
      <c r="I1306" s="57" t="s">
        <v>41</v>
      </c>
    </row>
    <row r="1307" spans="1:10" x14ac:dyDescent="0.25">
      <c r="A1307" s="41">
        <v>45338.690103356479</v>
      </c>
      <c r="B1307" s="48">
        <f>IF(A1307&lt;&gt;"",DATE(YEAR(TRANSACTIONS!$A1307),MONTH(TRANSACTIONS!$A1307),DAY(TRANSACTIONS!$A1307)),"")</f>
        <v>45338</v>
      </c>
      <c r="C1307" s="49">
        <f>IF(A1307&lt;&gt;"",TIME(HOUR(TRANSACTIONS!$A1307),MINUTE(TRANSACTIONS!$A1307),SECOND(TRANSACTIONS!$A1307)),"")</f>
        <v>0.69010416666666663</v>
      </c>
      <c r="D1307" s="82" t="s">
        <v>62</v>
      </c>
      <c r="E1307" s="82" t="s">
        <v>6</v>
      </c>
      <c r="F1307" s="94">
        <v>3000</v>
      </c>
      <c r="G1307" s="46"/>
      <c r="H1307" s="46">
        <f>IFERROR(TRANSACTIONS!$F1307+TRANSACTIONS!$G1307,"")</f>
        <v>3000</v>
      </c>
      <c r="I1307" s="57" t="s">
        <v>41</v>
      </c>
    </row>
    <row r="1308" spans="1:10" x14ac:dyDescent="0.25">
      <c r="A1308" s="41">
        <v>45338.690111458331</v>
      </c>
      <c r="B1308" s="48">
        <f>IF(A1308&lt;&gt;"",DATE(YEAR(TRANSACTIONS!$A1308),MONTH(TRANSACTIONS!$A1308),DAY(TRANSACTIONS!$A1308)),"")</f>
        <v>45338</v>
      </c>
      <c r="C1308" s="49">
        <f>IF(A1308&lt;&gt;"",TIME(HOUR(TRANSACTIONS!$A1308),MINUTE(TRANSACTIONS!$A1308),SECOND(TRANSACTIONS!$A1308)),"")</f>
        <v>0.69011574074074078</v>
      </c>
      <c r="D1308" s="82" t="s">
        <v>62</v>
      </c>
      <c r="E1308" s="94" t="s">
        <v>6</v>
      </c>
      <c r="F1308" s="40">
        <v>15000</v>
      </c>
      <c r="G1308" s="46"/>
      <c r="H1308" s="46" t="str">
        <f>IFERROR(TRANSACTIONS!$E1308+TRANSACTIONS!$G1308,"")</f>
        <v/>
      </c>
      <c r="I1308" s="57" t="s">
        <v>41</v>
      </c>
    </row>
    <row r="1309" spans="1:10" x14ac:dyDescent="0.25">
      <c r="A1309" s="41">
        <v>45338.69011851852</v>
      </c>
      <c r="B1309" s="48">
        <f>IF(A1309&lt;&gt;"",DATE(YEAR(TRANSACTIONS!$A1309),MONTH(TRANSACTIONS!$A1309),DAY(TRANSACTIONS!$A1309)),"")</f>
        <v>45338</v>
      </c>
      <c r="C1309" s="49">
        <f>IF(A1309&lt;&gt;"",TIME(HOUR(TRANSACTIONS!$A1309),MINUTE(TRANSACTIONS!$A1309),SECOND(TRANSACTIONS!$A1309)),"")</f>
        <v>0.69011574074074078</v>
      </c>
      <c r="D1309" s="82" t="s">
        <v>62</v>
      </c>
      <c r="E1309" s="82" t="s">
        <v>6</v>
      </c>
      <c r="F1309" s="94">
        <v>15000</v>
      </c>
      <c r="G1309" s="46"/>
      <c r="H1309" s="46">
        <f>IFERROR(TRANSACTIONS!$F1309+TRANSACTIONS!$G1309,"")</f>
        <v>15000</v>
      </c>
      <c r="I1309" s="57" t="s">
        <v>41</v>
      </c>
    </row>
    <row r="1310" spans="1:10" x14ac:dyDescent="0.25">
      <c r="A1310" s="41">
        <v>45338.690125925925</v>
      </c>
      <c r="B1310" s="48">
        <f>IF(A1310&lt;&gt;"",DATE(YEAR(TRANSACTIONS!$A1310),MONTH(TRANSACTIONS!$A1310),DAY(TRANSACTIONS!$A1310)),"")</f>
        <v>45338</v>
      </c>
      <c r="C1310" s="49">
        <f>IF(A1310&lt;&gt;"",TIME(HOUR(TRANSACTIONS!$A1310),MINUTE(TRANSACTIONS!$A1310),SECOND(TRANSACTIONS!$A1310)),"")</f>
        <v>0.69012731481481471</v>
      </c>
      <c r="D1310" s="82" t="s">
        <v>62</v>
      </c>
      <c r="E1310" s="82" t="s">
        <v>7</v>
      </c>
      <c r="F1310" s="94">
        <v>8000</v>
      </c>
      <c r="G1310" s="46"/>
      <c r="H1310" s="46">
        <f>IFERROR(TRANSACTIONS!$F1310+TRANSACTIONS!$G1310,"")</f>
        <v>8000</v>
      </c>
      <c r="I1310" s="57" t="s">
        <v>41</v>
      </c>
    </row>
    <row r="1311" spans="1:10" x14ac:dyDescent="0.25">
      <c r="A1311" s="41">
        <v>45338.690132870368</v>
      </c>
      <c r="B1311" s="83">
        <f>IF(A1311&lt;&gt;"",DATE(YEAR(TRANSACTIONS!$A1311),MONTH(TRANSACTIONS!$A1311),DAY(TRANSACTIONS!$A1311)),"")</f>
        <v>45338</v>
      </c>
      <c r="C1311" s="84">
        <f>IF(A1311&lt;&gt;"",TIME(HOUR(TRANSACTIONS!$A1311),MINUTE(TRANSACTIONS!$A1311),SECOND(TRANSACTIONS!$A1311)),"")</f>
        <v>0.69012731481481471</v>
      </c>
      <c r="D1311" s="82" t="s">
        <v>62</v>
      </c>
      <c r="E1311" s="82" t="s">
        <v>7</v>
      </c>
      <c r="F1311" s="94">
        <v>17000</v>
      </c>
      <c r="G1311" s="86"/>
      <c r="H1311" s="86">
        <f>IFERROR(TRANSACTIONS!$F1311+TRANSACTIONS!$G1311,"")</f>
        <v>17000</v>
      </c>
      <c r="I1311" s="87" t="s">
        <v>41</v>
      </c>
      <c r="J1311" s="88"/>
    </row>
    <row r="1312" spans="1:10" x14ac:dyDescent="0.25">
      <c r="A1312" s="41">
        <v>45338.69014027778</v>
      </c>
      <c r="B1312" s="48">
        <f>IF(A1312&lt;&gt;"",DATE(YEAR(TRANSACTIONS!$A1312),MONTH(TRANSACTIONS!$A1312),DAY(TRANSACTIONS!$A1312)),"")</f>
        <v>45338</v>
      </c>
      <c r="C1312" s="49">
        <f>IF(A1312&lt;&gt;"",TIME(HOUR(TRANSACTIONS!$A1312),MINUTE(TRANSACTIONS!$A1312),SECOND(TRANSACTIONS!$A1312)),"")</f>
        <v>0.69013888888888886</v>
      </c>
      <c r="D1312" s="82" t="s">
        <v>62</v>
      </c>
      <c r="E1312" s="82" t="s">
        <v>7</v>
      </c>
      <c r="F1312" s="94">
        <v>1000</v>
      </c>
      <c r="G1312" s="46"/>
      <c r="H1312" s="46">
        <f>IFERROR(TRANSACTIONS!$F1312+TRANSACTIONS!$G1312,"")</f>
        <v>1000</v>
      </c>
      <c r="I1312" s="57" t="s">
        <v>41</v>
      </c>
    </row>
    <row r="1313" spans="1:9" x14ac:dyDescent="0.25">
      <c r="A1313" s="41">
        <v>45338.690148148147</v>
      </c>
      <c r="B1313" s="48">
        <f>IF(A1313&lt;&gt;"",DATE(YEAR(TRANSACTIONS!$A1313),MONTH(TRANSACTIONS!$A1313),DAY(TRANSACTIONS!$A1313)),"")</f>
        <v>45338</v>
      </c>
      <c r="C1313" s="49">
        <f>IF(A1313&lt;&gt;"",TIME(HOUR(TRANSACTIONS!$A1313),MINUTE(TRANSACTIONS!$A1313),SECOND(TRANSACTIONS!$A1313)),"")</f>
        <v>0.69015046296296301</v>
      </c>
      <c r="D1313" s="82" t="s">
        <v>62</v>
      </c>
      <c r="E1313" s="82" t="s">
        <v>6</v>
      </c>
      <c r="F1313" s="94">
        <v>500</v>
      </c>
      <c r="G1313" s="46"/>
      <c r="H1313" s="46">
        <f>IFERROR(TRANSACTIONS!$F1313+TRANSACTIONS!$G1313,"")</f>
        <v>500</v>
      </c>
      <c r="I1313" s="57" t="s">
        <v>41</v>
      </c>
    </row>
    <row r="1314" spans="1:9" x14ac:dyDescent="0.25">
      <c r="A1314" s="41">
        <v>45338.690155555552</v>
      </c>
      <c r="B1314" s="48">
        <f>IF(A1314&lt;&gt;"",DATE(YEAR(TRANSACTIONS!$A1314),MONTH(TRANSACTIONS!$A1314),DAY(TRANSACTIONS!$A1314)),"")</f>
        <v>45338</v>
      </c>
      <c r="C1314" s="49">
        <f>IF(A1314&lt;&gt;"",TIME(HOUR(TRANSACTIONS!$A1314),MINUTE(TRANSACTIONS!$A1314),SECOND(TRANSACTIONS!$A1314)),"")</f>
        <v>0.69015046296296301</v>
      </c>
      <c r="D1314" s="82" t="s">
        <v>62</v>
      </c>
      <c r="E1314" s="82" t="s">
        <v>6</v>
      </c>
      <c r="F1314" s="94">
        <v>25000</v>
      </c>
      <c r="G1314" s="46"/>
      <c r="H1314" s="46">
        <f>IFERROR(TRANSACTIONS!$F1314+TRANSACTIONS!$G1314,"")</f>
        <v>25000</v>
      </c>
      <c r="I1314" s="57" t="s">
        <v>41</v>
      </c>
    </row>
    <row r="1315" spans="1:9" x14ac:dyDescent="0.25">
      <c r="A1315" s="41">
        <v>45338.690163425927</v>
      </c>
      <c r="B1315" s="48">
        <f>IF(A1315&lt;&gt;"",DATE(YEAR(TRANSACTIONS!$A1315),MONTH(TRANSACTIONS!$A1315),DAY(TRANSACTIONS!$A1315)),"")</f>
        <v>45338</v>
      </c>
      <c r="C1315" s="49">
        <f>IF(A1315&lt;&gt;"",TIME(HOUR(TRANSACTIONS!$A1315),MINUTE(TRANSACTIONS!$A1315),SECOND(TRANSACTIONS!$A1315)),"")</f>
        <v>0.69016203703703705</v>
      </c>
      <c r="D1315" s="82" t="s">
        <v>64</v>
      </c>
      <c r="E1315" s="82" t="s">
        <v>7</v>
      </c>
      <c r="F1315" s="94">
        <v>200000</v>
      </c>
      <c r="G1315" s="46"/>
      <c r="H1315" s="46">
        <f>IFERROR(TRANSACTIONS!$F1315+TRANSACTIONS!$G1315,"")</f>
        <v>200000</v>
      </c>
      <c r="I1315" s="57" t="s">
        <v>41</v>
      </c>
    </row>
    <row r="1316" spans="1:9" x14ac:dyDescent="0.25">
      <c r="A1316" s="41">
        <v>45338.690171180555</v>
      </c>
      <c r="B1316" s="48">
        <f>IF(A1316&lt;&gt;"",DATE(YEAR(TRANSACTIONS!$A1316),MONTH(TRANSACTIONS!$A1316),DAY(TRANSACTIONS!$A1316)),"")</f>
        <v>45338</v>
      </c>
      <c r="C1316" s="49">
        <f>IF(A1316&lt;&gt;"",TIME(HOUR(TRANSACTIONS!$A1316),MINUTE(TRANSACTIONS!$A1316),SECOND(TRANSACTIONS!$A1316)),"")</f>
        <v>0.69017361111111108</v>
      </c>
      <c r="D1316" s="82" t="s">
        <v>25</v>
      </c>
      <c r="E1316" s="82" t="s">
        <v>7</v>
      </c>
      <c r="F1316" s="94">
        <v>700</v>
      </c>
      <c r="G1316" s="46"/>
      <c r="H1316" s="46">
        <f>IFERROR(TRANSACTIONS!$F1316+TRANSACTIONS!$G1316,"")</f>
        <v>700</v>
      </c>
      <c r="I1316" s="57" t="s">
        <v>41</v>
      </c>
    </row>
    <row r="1317" spans="1:9" x14ac:dyDescent="0.25">
      <c r="A1317" s="41"/>
      <c r="B1317" s="48" t="str">
        <f>IF(A1317&lt;&gt;"",DATE(YEAR(TRANSACTIONS!$A1317),MONTH(TRANSACTIONS!$A1317),DAY(TRANSACTIONS!$A1317)),"")</f>
        <v/>
      </c>
      <c r="C1317" s="49" t="str">
        <f>IF(A1317&lt;&gt;"",TIME(HOUR(TRANSACTIONS!$A1317),MINUTE(TRANSACTIONS!$A1317),SECOND(TRANSACTIONS!$A1317)),"")</f>
        <v/>
      </c>
      <c r="D1317" s="82"/>
      <c r="E1317" s="82"/>
      <c r="F1317" s="94"/>
      <c r="G1317" s="46"/>
      <c r="H1317" s="46">
        <f>IFERROR(TRANSACTIONS!$F1317+TRANSACTIONS!$G1317,"")</f>
        <v>0</v>
      </c>
      <c r="I1317" s="57" t="s">
        <v>41</v>
      </c>
    </row>
    <row r="1318" spans="1:9" x14ac:dyDescent="0.25">
      <c r="A1318" s="41">
        <v>45339.552755439814</v>
      </c>
      <c r="B1318" s="48">
        <f>IF(A1318&lt;&gt;"",DATE(YEAR(TRANSACTIONS!$A1318),MONTH(TRANSACTIONS!$A1318),DAY(TRANSACTIONS!$A1318)),"")</f>
        <v>45339</v>
      </c>
      <c r="C1318" s="49">
        <f>IF(A1318&lt;&gt;"",TIME(HOUR(TRANSACTIONS!$A1318),MINUTE(TRANSACTIONS!$A1318),SECOND(TRANSACTIONS!$A1318)),"")</f>
        <v>0.55275462962962962</v>
      </c>
      <c r="D1318" s="82" t="s">
        <v>62</v>
      </c>
      <c r="E1318" s="82" t="s">
        <v>6</v>
      </c>
      <c r="F1318" s="94">
        <v>2000</v>
      </c>
      <c r="G1318" s="46"/>
      <c r="H1318" s="46">
        <f>IFERROR(TRANSACTIONS!$F1318+TRANSACTIONS!$G1318,"")</f>
        <v>2000</v>
      </c>
      <c r="I1318" s="57" t="s">
        <v>41</v>
      </c>
    </row>
    <row r="1319" spans="1:9" x14ac:dyDescent="0.25">
      <c r="A1319" s="41">
        <v>45339.552764814813</v>
      </c>
      <c r="B1319" s="48">
        <f>IF(A1319&lt;&gt;"",DATE(YEAR(TRANSACTIONS!$A1319),MONTH(TRANSACTIONS!$A1319),DAY(TRANSACTIONS!$A1319)),"")</f>
        <v>45339</v>
      </c>
      <c r="C1319" s="49">
        <f>IF(A1319&lt;&gt;"",TIME(HOUR(TRANSACTIONS!$A1319),MINUTE(TRANSACTIONS!$A1319),SECOND(TRANSACTIONS!$A1319)),"")</f>
        <v>0.55276620370370366</v>
      </c>
      <c r="D1319" s="82" t="s">
        <v>62</v>
      </c>
      <c r="E1319" s="82" t="s">
        <v>7</v>
      </c>
      <c r="F1319" s="94">
        <v>2000</v>
      </c>
      <c r="G1319" s="46"/>
      <c r="H1319" s="46">
        <f>IFERROR(TRANSACTIONS!$F1319+TRANSACTIONS!$G1319,"")</f>
        <v>2000</v>
      </c>
      <c r="I1319" s="57" t="s">
        <v>41</v>
      </c>
    </row>
    <row r="1320" spans="1:9" x14ac:dyDescent="0.25">
      <c r="A1320" s="41">
        <v>45339.552585879632</v>
      </c>
      <c r="B1320" s="48">
        <f>IF(A1320&lt;&gt;"",DATE(YEAR(TRANSACTIONS!$A1320),MONTH(TRANSACTIONS!$A1320),DAY(TRANSACTIONS!$A1320)),"")</f>
        <v>45339</v>
      </c>
      <c r="C1320" s="49">
        <f>IF(A1320&lt;&gt;"",TIME(HOUR(TRANSACTIONS!$A1320),MINUTE(TRANSACTIONS!$A1320),SECOND(TRANSACTIONS!$A1320)),"")</f>
        <v>0.55258101851851849</v>
      </c>
      <c r="D1320" s="82" t="s">
        <v>62</v>
      </c>
      <c r="E1320" s="82" t="s">
        <v>7</v>
      </c>
      <c r="F1320" s="94">
        <v>5000</v>
      </c>
      <c r="G1320" s="46"/>
      <c r="H1320" s="46">
        <f>IFERROR(TRANSACTIONS!$F1320+TRANSACTIONS!$G1320,"")</f>
        <v>5000</v>
      </c>
      <c r="I1320" s="57" t="s">
        <v>41</v>
      </c>
    </row>
    <row r="1321" spans="1:9" x14ac:dyDescent="0.25">
      <c r="A1321" s="41">
        <v>45339.555854398146</v>
      </c>
      <c r="B1321" s="48">
        <f>IF(A1321&lt;&gt;"",DATE(YEAR(TRANSACTIONS!$A1321),MONTH(TRANSACTIONS!$A1321),DAY(TRANSACTIONS!$A1321)),"")</f>
        <v>45339</v>
      </c>
      <c r="C1321" s="49">
        <f>IF(A1321&lt;&gt;"",TIME(HOUR(TRANSACTIONS!$A1321),MINUTE(TRANSACTIONS!$A1321),SECOND(TRANSACTIONS!$A1321)),"")</f>
        <v>0.55585648148148148</v>
      </c>
      <c r="D1321" s="82" t="s">
        <v>62</v>
      </c>
      <c r="E1321" s="82" t="s">
        <v>7</v>
      </c>
      <c r="F1321" s="94">
        <v>8000</v>
      </c>
      <c r="G1321" s="46"/>
      <c r="H1321" s="46">
        <f>IFERROR(TRANSACTIONS!$F1321+TRANSACTIONS!$G1321,"")</f>
        <v>8000</v>
      </c>
      <c r="I1321" s="57" t="s">
        <v>41</v>
      </c>
    </row>
    <row r="1322" spans="1:9" x14ac:dyDescent="0.25">
      <c r="A1322" s="41">
        <v>45339.555865162038</v>
      </c>
      <c r="B1322" s="48">
        <f>IF(A1322&lt;&gt;"",DATE(YEAR(TRANSACTIONS!$A1322),MONTH(TRANSACTIONS!$A1322),DAY(TRANSACTIONS!$A1322)),"")</f>
        <v>45339</v>
      </c>
      <c r="C1322" s="49">
        <f>IF(A1322&lt;&gt;"",TIME(HOUR(TRANSACTIONS!$A1322),MINUTE(TRANSACTIONS!$A1322),SECOND(TRANSACTIONS!$A1322)),"")</f>
        <v>0.55586805555555552</v>
      </c>
      <c r="D1322" s="82" t="s">
        <v>62</v>
      </c>
      <c r="E1322" s="82" t="s">
        <v>7</v>
      </c>
      <c r="F1322" s="94">
        <v>50000</v>
      </c>
      <c r="G1322" s="46"/>
      <c r="H1322" s="46">
        <f>IFERROR(TRANSACTIONS!$F1322+TRANSACTIONS!$G1322,"")</f>
        <v>50000</v>
      </c>
      <c r="I1322" s="57" t="s">
        <v>41</v>
      </c>
    </row>
    <row r="1323" spans="1:9" x14ac:dyDescent="0.25">
      <c r="A1323" s="41">
        <v>45339.555898032406</v>
      </c>
      <c r="B1323" s="48">
        <f>IF(A1323&lt;&gt;"",DATE(YEAR(TRANSACTIONS!$A1323),MONTH(TRANSACTIONS!$A1323),DAY(TRANSACTIONS!$A1323)),"")</f>
        <v>45339</v>
      </c>
      <c r="C1323" s="49">
        <f>IF(A1323&lt;&gt;"",TIME(HOUR(TRANSACTIONS!$A1323),MINUTE(TRANSACTIONS!$A1323),SECOND(TRANSACTIONS!$A1323)),"")</f>
        <v>0.55590277777777775</v>
      </c>
      <c r="D1323" s="82" t="s">
        <v>62</v>
      </c>
      <c r="E1323" s="82" t="s">
        <v>7</v>
      </c>
      <c r="F1323" s="94">
        <v>1500</v>
      </c>
      <c r="G1323" s="46"/>
      <c r="H1323" s="46">
        <f>IFERROR(TRANSACTIONS!$F1323+TRANSACTIONS!$G1323,"")</f>
        <v>1500</v>
      </c>
      <c r="I1323" s="57" t="s">
        <v>41</v>
      </c>
    </row>
    <row r="1324" spans="1:9" x14ac:dyDescent="0.25">
      <c r="A1324" s="41">
        <v>45339.555909259259</v>
      </c>
      <c r="B1324" s="48">
        <f>IF(A1324&lt;&gt;"",DATE(YEAR(TRANSACTIONS!$A1324),MONTH(TRANSACTIONS!$A1324),DAY(TRANSACTIONS!$A1324)),"")</f>
        <v>45339</v>
      </c>
      <c r="C1324" s="49">
        <f>IF(A1324&lt;&gt;"",TIME(HOUR(TRANSACTIONS!$A1324),MINUTE(TRANSACTIONS!$A1324),SECOND(TRANSACTIONS!$A1324)),"")</f>
        <v>0.55591435185185178</v>
      </c>
      <c r="D1324" s="82" t="s">
        <v>62</v>
      </c>
      <c r="E1324" s="82" t="s">
        <v>7</v>
      </c>
      <c r="F1324" s="94">
        <v>2000</v>
      </c>
      <c r="G1324" s="46"/>
      <c r="H1324" s="46">
        <f>IFERROR(TRANSACTIONS!$F1324+TRANSACTIONS!$G1324,"")</f>
        <v>2000</v>
      </c>
      <c r="I1324" s="57" t="s">
        <v>41</v>
      </c>
    </row>
    <row r="1325" spans="1:9" x14ac:dyDescent="0.25">
      <c r="A1325" s="41">
        <v>45339.555917708334</v>
      </c>
      <c r="B1325" s="48">
        <f>IF(A1325&lt;&gt;"",DATE(YEAR(TRANSACTIONS!$A1325),MONTH(TRANSACTIONS!$A1325),DAY(TRANSACTIONS!$A1325)),"")</f>
        <v>45339</v>
      </c>
      <c r="C1325" s="49">
        <f>IF(A1325&lt;&gt;"",TIME(HOUR(TRANSACTIONS!$A1325),MINUTE(TRANSACTIONS!$A1325),SECOND(TRANSACTIONS!$A1325)),"")</f>
        <v>0.55591435185185178</v>
      </c>
      <c r="D1325" s="82" t="s">
        <v>62</v>
      </c>
      <c r="E1325" s="82" t="s">
        <v>7</v>
      </c>
      <c r="F1325" s="94">
        <v>1500</v>
      </c>
      <c r="G1325" s="46"/>
      <c r="H1325" s="46">
        <f>IFERROR(TRANSACTIONS!$F1325+TRANSACTIONS!$G1325,"")</f>
        <v>1500</v>
      </c>
      <c r="I1325" s="57" t="s">
        <v>41</v>
      </c>
    </row>
    <row r="1326" spans="1:9" x14ac:dyDescent="0.25">
      <c r="A1326" s="41">
        <v>45339.555933449075</v>
      </c>
      <c r="B1326" s="48">
        <f>IF(A1326&lt;&gt;"",DATE(YEAR(TRANSACTIONS!$A1326),MONTH(TRANSACTIONS!$A1326),DAY(TRANSACTIONS!$A1326)),"")</f>
        <v>45339</v>
      </c>
      <c r="C1326" s="49">
        <f>IF(A1326&lt;&gt;"",TIME(HOUR(TRANSACTIONS!$A1326),MINUTE(TRANSACTIONS!$A1326),SECOND(TRANSACTIONS!$A1326)),"")</f>
        <v>0.55593749999999997</v>
      </c>
      <c r="D1326" s="82" t="s">
        <v>62</v>
      </c>
      <c r="E1326" s="82" t="s">
        <v>7</v>
      </c>
      <c r="F1326" s="94">
        <v>2000</v>
      </c>
      <c r="G1326" s="46"/>
      <c r="H1326" s="46">
        <f>IFERROR(TRANSACTIONS!$F1326+TRANSACTIONS!$G1326,"")</f>
        <v>2000</v>
      </c>
      <c r="I1326" s="57" t="s">
        <v>41</v>
      </c>
    </row>
    <row r="1327" spans="1:9" x14ac:dyDescent="0.25">
      <c r="A1327" s="41">
        <v>45339.555945370368</v>
      </c>
      <c r="B1327" s="48">
        <f>IF(A1327&lt;&gt;"",DATE(YEAR(TRANSACTIONS!$A1327),MONTH(TRANSACTIONS!$A1327),DAY(TRANSACTIONS!$A1327)),"")</f>
        <v>45339</v>
      </c>
      <c r="C1327" s="49">
        <f>IF(A1327&lt;&gt;"",TIME(HOUR(TRANSACTIONS!$A1327),MINUTE(TRANSACTIONS!$A1327),SECOND(TRANSACTIONS!$A1327)),"")</f>
        <v>0.55594907407407412</v>
      </c>
      <c r="D1327" s="82" t="s">
        <v>62</v>
      </c>
      <c r="E1327" s="82" t="s">
        <v>7</v>
      </c>
      <c r="F1327" s="94">
        <v>2000</v>
      </c>
      <c r="G1327" s="46"/>
      <c r="H1327" s="46">
        <f>IFERROR(TRANSACTIONS!$F1327+TRANSACTIONS!$G1327,"")</f>
        <v>2000</v>
      </c>
      <c r="I1327" s="57" t="s">
        <v>41</v>
      </c>
    </row>
    <row r="1328" spans="1:9" x14ac:dyDescent="0.25">
      <c r="A1328" s="41">
        <v>45339.555953356481</v>
      </c>
      <c r="B1328" s="48">
        <f>IF(A1328&lt;&gt;"",DATE(YEAR(TRANSACTIONS!$A1328),MONTH(TRANSACTIONS!$A1328),DAY(TRANSACTIONS!$A1328)),"")</f>
        <v>45339</v>
      </c>
      <c r="C1328" s="49">
        <f>IF(A1328&lt;&gt;"",TIME(HOUR(TRANSACTIONS!$A1328),MINUTE(TRANSACTIONS!$A1328),SECOND(TRANSACTIONS!$A1328)),"")</f>
        <v>0.55594907407407412</v>
      </c>
      <c r="D1328" s="82" t="s">
        <v>62</v>
      </c>
      <c r="E1328" s="82" t="s">
        <v>7</v>
      </c>
      <c r="F1328" s="94">
        <v>10000</v>
      </c>
      <c r="G1328" s="46"/>
      <c r="H1328" s="46">
        <f>IFERROR(TRANSACTIONS!$F1328+TRANSACTIONS!$G1328,"")</f>
        <v>10000</v>
      </c>
      <c r="I1328" s="57" t="s">
        <v>41</v>
      </c>
    </row>
    <row r="1329" spans="1:10" x14ac:dyDescent="0.25">
      <c r="A1329" s="41">
        <v>45339.555996064817</v>
      </c>
      <c r="B1329" s="48">
        <f>IF(A1329&lt;&gt;"",DATE(YEAR(TRANSACTIONS!$A1329),MONTH(TRANSACTIONS!$A1329),DAY(TRANSACTIONS!$A1329)),"")</f>
        <v>45339</v>
      </c>
      <c r="C1329" s="49">
        <f>IF(A1329&lt;&gt;"",TIME(HOUR(TRANSACTIONS!$A1329),MINUTE(TRANSACTIONS!$A1329),SECOND(TRANSACTIONS!$A1329)),"")</f>
        <v>0.55599537037037039</v>
      </c>
      <c r="D1329" s="82" t="s">
        <v>62</v>
      </c>
      <c r="E1329" s="82" t="s">
        <v>7</v>
      </c>
      <c r="F1329" s="94">
        <v>1500</v>
      </c>
      <c r="G1329" s="46"/>
      <c r="H1329" s="46">
        <f>IFERROR(TRANSACTIONS!$F1329+TRANSACTIONS!$G1329,"")</f>
        <v>1500</v>
      </c>
      <c r="I1329" s="57" t="s">
        <v>41</v>
      </c>
    </row>
    <row r="1330" spans="1:10" x14ac:dyDescent="0.25">
      <c r="A1330" s="41">
        <v>45339.556003935184</v>
      </c>
      <c r="B1330" s="48">
        <f>IF(A1330&lt;&gt;"",DATE(YEAR(TRANSACTIONS!$A1330),MONTH(TRANSACTIONS!$A1330),DAY(TRANSACTIONS!$A1330)),"")</f>
        <v>45339</v>
      </c>
      <c r="C1330" s="49">
        <f>IF(A1330&lt;&gt;"",TIME(HOUR(TRANSACTIONS!$A1330),MINUTE(TRANSACTIONS!$A1330),SECOND(TRANSACTIONS!$A1330)),"")</f>
        <v>0.55600694444444443</v>
      </c>
      <c r="D1330" s="82" t="s">
        <v>62</v>
      </c>
      <c r="E1330" s="82" t="s">
        <v>7</v>
      </c>
      <c r="F1330" s="94">
        <v>500</v>
      </c>
      <c r="G1330" s="46"/>
      <c r="H1330" s="46">
        <f>IFERROR(TRANSACTIONS!$F1330+TRANSACTIONS!$G1330,"")</f>
        <v>500</v>
      </c>
      <c r="I1330" s="57" t="s">
        <v>41</v>
      </c>
    </row>
    <row r="1331" spans="1:10" x14ac:dyDescent="0.25">
      <c r="A1331" s="41">
        <v>45339.556165624999</v>
      </c>
      <c r="B1331" s="48">
        <f>IF(A1331&lt;&gt;"",DATE(YEAR(TRANSACTIONS!$A1331),MONTH(TRANSACTIONS!$A1331),DAY(TRANSACTIONS!$A1331)),"")</f>
        <v>45339</v>
      </c>
      <c r="C1331" s="49">
        <f>IF(A1331&lt;&gt;"",TIME(HOUR(TRANSACTIONS!$A1331),MINUTE(TRANSACTIONS!$A1331),SECOND(TRANSACTIONS!$A1331)),"")</f>
        <v>0.55616898148148153</v>
      </c>
      <c r="D1331" s="82" t="s">
        <v>62</v>
      </c>
      <c r="E1331" s="82" t="s">
        <v>6</v>
      </c>
      <c r="F1331" s="94">
        <v>2000</v>
      </c>
      <c r="G1331" s="46"/>
      <c r="H1331" s="46">
        <f>IFERROR(TRANSACTIONS!$F1331+TRANSACTIONS!$G1331,"")</f>
        <v>2000</v>
      </c>
      <c r="I1331" s="57" t="s">
        <v>41</v>
      </c>
    </row>
    <row r="1332" spans="1:10" x14ac:dyDescent="0.25">
      <c r="A1332" s="41">
        <v>45339.556173958335</v>
      </c>
      <c r="B1332" s="48">
        <f>IF(A1332&lt;&gt;"",DATE(YEAR(TRANSACTIONS!$A1332),MONTH(TRANSACTIONS!$A1332),DAY(TRANSACTIONS!$A1332)),"")</f>
        <v>45339</v>
      </c>
      <c r="C1332" s="49">
        <f>IF(A1332&lt;&gt;"",TIME(HOUR(TRANSACTIONS!$A1332),MINUTE(TRANSACTIONS!$A1332),SECOND(TRANSACTIONS!$A1332)),"")</f>
        <v>0.55616898148148153</v>
      </c>
      <c r="D1332" s="82" t="s">
        <v>62</v>
      </c>
      <c r="E1332" s="82" t="s">
        <v>7</v>
      </c>
      <c r="F1332" s="94">
        <v>7000</v>
      </c>
      <c r="G1332" s="46"/>
      <c r="H1332" s="46">
        <f>IFERROR(TRANSACTIONS!$F1332+TRANSACTIONS!$G1332,"")</f>
        <v>7000</v>
      </c>
      <c r="I1332" s="57" t="s">
        <v>41</v>
      </c>
    </row>
    <row r="1333" spans="1:10" x14ac:dyDescent="0.25">
      <c r="A1333" s="41">
        <v>45339.556212268515</v>
      </c>
      <c r="B1333" s="48">
        <f>IF(A1333&lt;&gt;"",DATE(YEAR(TRANSACTIONS!$A1333),MONTH(TRANSACTIONS!$A1333),DAY(TRANSACTIONS!$A1333)),"")</f>
        <v>45339</v>
      </c>
      <c r="C1333" s="49">
        <f>IF(A1333&lt;&gt;"",TIME(HOUR(TRANSACTIONS!$A1333),MINUTE(TRANSACTIONS!$A1333),SECOND(TRANSACTIONS!$A1333)),"")</f>
        <v>0.55621527777777779</v>
      </c>
      <c r="D1333" s="82" t="s">
        <v>62</v>
      </c>
      <c r="E1333" s="82" t="s">
        <v>7</v>
      </c>
      <c r="F1333" s="94">
        <v>5000</v>
      </c>
      <c r="G1333" s="46"/>
      <c r="H1333" s="46">
        <f>IFERROR(TRANSACTIONS!$F1333+TRANSACTIONS!$G1333,"")</f>
        <v>5000</v>
      </c>
      <c r="I1333" s="57" t="s">
        <v>41</v>
      </c>
    </row>
    <row r="1334" spans="1:10" x14ac:dyDescent="0.25">
      <c r="A1334" s="41">
        <v>45339.556198842591</v>
      </c>
      <c r="B1334" s="48">
        <f>IF(A1334&lt;&gt;"",DATE(YEAR(TRANSACTIONS!$A1334),MONTH(TRANSACTIONS!$A1334),DAY(TRANSACTIONS!$A1334)),"")</f>
        <v>45339</v>
      </c>
      <c r="C1334" s="49">
        <f>IF(A1334&lt;&gt;"",TIME(HOUR(TRANSACTIONS!$A1334),MINUTE(TRANSACTIONS!$A1334),SECOND(TRANSACTIONS!$A1334)),"")</f>
        <v>0.55620370370370364</v>
      </c>
      <c r="D1334" s="82" t="s">
        <v>62</v>
      </c>
      <c r="E1334" s="82" t="s">
        <v>6</v>
      </c>
      <c r="F1334" s="94">
        <v>23000</v>
      </c>
      <c r="G1334" s="46"/>
      <c r="H1334" s="46">
        <f>IFERROR(TRANSACTIONS!$F1334+TRANSACTIONS!$G1334,"")</f>
        <v>23000</v>
      </c>
      <c r="I1334" s="57" t="s">
        <v>41</v>
      </c>
    </row>
    <row r="1335" spans="1:10" x14ac:dyDescent="0.25">
      <c r="A1335" s="41">
        <v>45339.556239814818</v>
      </c>
      <c r="B1335" s="114">
        <f>IF(A1335&lt;&gt;"",DATE(YEAR(TRANSACTIONS!$A1335),MONTH(TRANSACTIONS!$A1335),DAY(TRANSACTIONS!$A1335)),"")</f>
        <v>45339</v>
      </c>
      <c r="C1335" s="115">
        <f>IF(A1335&lt;&gt;"",TIME(HOUR(TRANSACTIONS!$A1335),MINUTE(TRANSACTIONS!$A1335),SECOND(TRANSACTIONS!$A1335)),"")</f>
        <v>0.55623842592592598</v>
      </c>
      <c r="D1335" s="82" t="s">
        <v>62</v>
      </c>
      <c r="E1335" s="82" t="s">
        <v>7</v>
      </c>
      <c r="F1335" s="94">
        <v>3000</v>
      </c>
      <c r="G1335" s="117"/>
      <c r="H1335" s="117">
        <f>IFERROR(TRANSACTIONS!$F1335+TRANSACTIONS!$G1335,"")</f>
        <v>3000</v>
      </c>
      <c r="I1335" s="123" t="s">
        <v>41</v>
      </c>
      <c r="J1335" s="136"/>
    </row>
    <row r="1336" spans="1:10" x14ac:dyDescent="0.25">
      <c r="A1336" s="41">
        <v>45339.556248263892</v>
      </c>
      <c r="B1336" s="48">
        <f>IF(A1336&lt;&gt;"",DATE(YEAR(TRANSACTIONS!$A1336),MONTH(TRANSACTIONS!$A1336),DAY(TRANSACTIONS!$A1336)),"")</f>
        <v>45339</v>
      </c>
      <c r="C1336" s="49">
        <f>IF(A1336&lt;&gt;"",TIME(HOUR(TRANSACTIONS!$A1336),MINUTE(TRANSACTIONS!$A1336),SECOND(TRANSACTIONS!$A1336)),"")</f>
        <v>0.55625000000000002</v>
      </c>
      <c r="D1336" s="82" t="s">
        <v>62</v>
      </c>
      <c r="E1336" s="82" t="s">
        <v>6</v>
      </c>
      <c r="F1336" s="94">
        <v>1000</v>
      </c>
      <c r="G1336" s="46"/>
      <c r="H1336" s="46">
        <f>IFERROR(TRANSACTIONS!$F1336+TRANSACTIONS!$G1336,"")</f>
        <v>1000</v>
      </c>
      <c r="I1336" s="57" t="s">
        <v>41</v>
      </c>
    </row>
    <row r="1337" spans="1:10" x14ac:dyDescent="0.25">
      <c r="A1337" s="41">
        <v>45339.556255671298</v>
      </c>
      <c r="B1337" s="48">
        <f>IF(A1337&lt;&gt;"",DATE(YEAR(TRANSACTIONS!$A1337),MONTH(TRANSACTIONS!$A1337),DAY(TRANSACTIONS!$A1337)),"")</f>
        <v>45339</v>
      </c>
      <c r="C1337" s="49">
        <f>IF(A1337&lt;&gt;"",TIME(HOUR(TRANSACTIONS!$A1337),MINUTE(TRANSACTIONS!$A1337),SECOND(TRANSACTIONS!$A1337)),"")</f>
        <v>0.55625000000000002</v>
      </c>
      <c r="D1337" s="82" t="s">
        <v>62</v>
      </c>
      <c r="E1337" s="82" t="s">
        <v>7</v>
      </c>
      <c r="F1337" s="94">
        <v>4000</v>
      </c>
      <c r="G1337" s="46"/>
      <c r="H1337" s="46">
        <f>IFERROR(TRANSACTIONS!$F1337+TRANSACTIONS!$G1337,"")</f>
        <v>4000</v>
      </c>
      <c r="I1337" s="57" t="s">
        <v>41</v>
      </c>
    </row>
    <row r="1338" spans="1:10" x14ac:dyDescent="0.25">
      <c r="A1338" s="41">
        <v>45339.556264699073</v>
      </c>
      <c r="B1338" s="48">
        <f>IF(A1338&lt;&gt;"",DATE(YEAR(TRANSACTIONS!$A1338),MONTH(TRANSACTIONS!$A1338),DAY(TRANSACTIONS!$A1338)),"")</f>
        <v>45339</v>
      </c>
      <c r="C1338" s="49">
        <f>IF(A1338&lt;&gt;"",TIME(HOUR(TRANSACTIONS!$A1338),MINUTE(TRANSACTIONS!$A1338),SECOND(TRANSACTIONS!$A1338)),"")</f>
        <v>0.55626157407407406</v>
      </c>
      <c r="D1338" s="82" t="s">
        <v>62</v>
      </c>
      <c r="E1338" s="82" t="s">
        <v>7</v>
      </c>
      <c r="F1338" s="94">
        <v>1000</v>
      </c>
      <c r="G1338" s="46"/>
      <c r="H1338" s="46">
        <f>IFERROR(TRANSACTIONS!$F1338+TRANSACTIONS!$G1338,"")</f>
        <v>1000</v>
      </c>
      <c r="I1338" s="57" t="s">
        <v>41</v>
      </c>
    </row>
    <row r="1339" spans="1:10" x14ac:dyDescent="0.25">
      <c r="A1339" s="41">
        <v>45339.556271759262</v>
      </c>
      <c r="B1339" s="114">
        <f>IF(A1339&lt;&gt;"",DATE(YEAR(TRANSACTIONS!$A1339),MONTH(TRANSACTIONS!$A1339),DAY(TRANSACTIONS!$A1339)),"")</f>
        <v>45339</v>
      </c>
      <c r="C1339" s="115">
        <f>IF(A1339&lt;&gt;"",TIME(HOUR(TRANSACTIONS!$A1339),MINUTE(TRANSACTIONS!$A1339),SECOND(TRANSACTIONS!$A1339)),"")</f>
        <v>0.5562731481481481</v>
      </c>
      <c r="D1339" s="82" t="s">
        <v>62</v>
      </c>
      <c r="E1339" s="82" t="s">
        <v>7</v>
      </c>
      <c r="F1339" s="94">
        <v>6000</v>
      </c>
      <c r="G1339" s="117"/>
      <c r="H1339" s="117">
        <f>IFERROR(TRANSACTIONS!$F1339+TRANSACTIONS!$G1339,"")</f>
        <v>6000</v>
      </c>
      <c r="I1339" s="123" t="s">
        <v>41</v>
      </c>
    </row>
    <row r="1340" spans="1:10" x14ac:dyDescent="0.25">
      <c r="A1340" s="41">
        <v>45339.556278935182</v>
      </c>
      <c r="B1340" s="48">
        <f>IF(A1340&lt;&gt;"",DATE(YEAR(TRANSACTIONS!$A1340),MONTH(TRANSACTIONS!$A1340),DAY(TRANSACTIONS!$A1340)),"")</f>
        <v>45339</v>
      </c>
      <c r="C1340" s="49">
        <f>IF(A1340&lt;&gt;"",TIME(HOUR(TRANSACTIONS!$A1340),MINUTE(TRANSACTIONS!$A1340),SECOND(TRANSACTIONS!$A1340)),"")</f>
        <v>0.5562731481481481</v>
      </c>
      <c r="D1340" s="82" t="s">
        <v>62</v>
      </c>
      <c r="E1340" s="82" t="s">
        <v>7</v>
      </c>
      <c r="F1340" s="94">
        <v>85000</v>
      </c>
      <c r="G1340" s="46"/>
      <c r="H1340" s="46">
        <f>IFERROR(TRANSACTIONS!$F1340+TRANSACTIONS!$G1340,"")</f>
        <v>85000</v>
      </c>
      <c r="I1340" s="57" t="s">
        <v>41</v>
      </c>
    </row>
    <row r="1341" spans="1:10" x14ac:dyDescent="0.25">
      <c r="A1341" s="41">
        <v>45339.55628611111</v>
      </c>
      <c r="B1341" s="48">
        <f>IF(A1341&lt;&gt;"",DATE(YEAR(TRANSACTIONS!$A1341),MONTH(TRANSACTIONS!$A1341),DAY(TRANSACTIONS!$A1341)),"")</f>
        <v>45339</v>
      </c>
      <c r="C1341" s="49">
        <f>IF(A1341&lt;&gt;"",TIME(HOUR(TRANSACTIONS!$A1341),MINUTE(TRANSACTIONS!$A1341),SECOND(TRANSACTIONS!$A1341)),"")</f>
        <v>0.55628472222222225</v>
      </c>
      <c r="D1341" s="82" t="s">
        <v>62</v>
      </c>
      <c r="E1341" s="82" t="s">
        <v>6</v>
      </c>
      <c r="F1341" s="94">
        <v>10000</v>
      </c>
      <c r="G1341" s="46"/>
      <c r="H1341" s="46">
        <f>IFERROR(TRANSACTIONS!$F1341+TRANSACTIONS!$G1341,"")</f>
        <v>10000</v>
      </c>
      <c r="I1341" s="57" t="s">
        <v>41</v>
      </c>
    </row>
    <row r="1342" spans="1:10" x14ac:dyDescent="0.25">
      <c r="A1342" s="41">
        <v>45339.5562943287</v>
      </c>
      <c r="B1342" s="48">
        <f>IF(A1342&lt;&gt;"",DATE(YEAR(TRANSACTIONS!$A1342),MONTH(TRANSACTIONS!$A1342),DAY(TRANSACTIONS!$A1342)),"")</f>
        <v>45339</v>
      </c>
      <c r="C1342" s="49">
        <f>IF(A1342&lt;&gt;"",TIME(HOUR(TRANSACTIONS!$A1342),MINUTE(TRANSACTIONS!$A1342),SECOND(TRANSACTIONS!$A1342)),"")</f>
        <v>0.55629629629629629</v>
      </c>
      <c r="D1342" s="82" t="s">
        <v>62</v>
      </c>
      <c r="E1342" s="82" t="s">
        <v>6</v>
      </c>
      <c r="F1342" s="180">
        <v>30000</v>
      </c>
      <c r="G1342" s="46"/>
      <c r="H1342" s="46">
        <f>IFERROR(TRANSACTIONS!$F1342+TRANSACTIONS!$G1342,"")</f>
        <v>30000</v>
      </c>
      <c r="I1342" s="57" t="s">
        <v>41</v>
      </c>
    </row>
    <row r="1343" spans="1:10" x14ac:dyDescent="0.25">
      <c r="A1343" s="41">
        <v>45339.556315277776</v>
      </c>
      <c r="B1343" s="48">
        <f>IF(A1343&lt;&gt;"",DATE(YEAR(TRANSACTIONS!$A1343),MONTH(TRANSACTIONS!$A1343),DAY(TRANSACTIONS!$A1343)),"")</f>
        <v>45339</v>
      </c>
      <c r="C1343" s="49">
        <f>IF(A1343&lt;&gt;"",TIME(HOUR(TRANSACTIONS!$A1343),MINUTE(TRANSACTIONS!$A1343),SECOND(TRANSACTIONS!$A1343)),"")</f>
        <v>0.55631944444444448</v>
      </c>
      <c r="D1343" s="82" t="s">
        <v>62</v>
      </c>
      <c r="E1343" s="82" t="s">
        <v>7</v>
      </c>
      <c r="F1343" s="94">
        <v>1000</v>
      </c>
      <c r="G1343" s="46"/>
      <c r="H1343" s="46">
        <f>IFERROR(TRANSACTIONS!$F1343+TRANSACTIONS!$G1343,"")</f>
        <v>1000</v>
      </c>
      <c r="I1343" s="57" t="s">
        <v>41</v>
      </c>
    </row>
    <row r="1344" spans="1:10" x14ac:dyDescent="0.25">
      <c r="A1344" s="41">
        <v>45339.556340509262</v>
      </c>
      <c r="B1344" s="48">
        <f>IF(A1344&lt;&gt;"",DATE(YEAR(TRANSACTIONS!$A1344),MONTH(TRANSACTIONS!$A1344),DAY(TRANSACTIONS!$A1344)),"")</f>
        <v>45339</v>
      </c>
      <c r="C1344" s="49">
        <f>IF(A1344&lt;&gt;"",TIME(HOUR(TRANSACTIONS!$A1344),MINUTE(TRANSACTIONS!$A1344),SECOND(TRANSACTIONS!$A1344)),"")</f>
        <v>0.55634259259259256</v>
      </c>
      <c r="D1344" s="82" t="s">
        <v>62</v>
      </c>
      <c r="E1344" s="82" t="s">
        <v>7</v>
      </c>
      <c r="F1344" s="94">
        <v>10000</v>
      </c>
      <c r="G1344" s="46"/>
      <c r="H1344" s="46">
        <f>IFERROR(TRANSACTIONS!$F1344+TRANSACTIONS!$G1344,"")</f>
        <v>10000</v>
      </c>
      <c r="I1344" s="57" t="s">
        <v>41</v>
      </c>
    </row>
    <row r="1345" spans="1:9" x14ac:dyDescent="0.25">
      <c r="A1345" s="41">
        <v>45339.556349189814</v>
      </c>
      <c r="B1345" s="48">
        <f>IF(A1345&lt;&gt;"",DATE(YEAR(TRANSACTIONS!$A1345),MONTH(TRANSACTIONS!$A1345),DAY(TRANSACTIONS!$A1345)),"")</f>
        <v>45339</v>
      </c>
      <c r="C1345" s="49">
        <f>IF(A1345&lt;&gt;"",TIME(HOUR(TRANSACTIONS!$A1345),MINUTE(TRANSACTIONS!$A1345),SECOND(TRANSACTIONS!$A1345)),"")</f>
        <v>0.55635416666666659</v>
      </c>
      <c r="D1345" s="82" t="s">
        <v>62</v>
      </c>
      <c r="E1345" s="82" t="s">
        <v>7</v>
      </c>
      <c r="F1345" s="94">
        <v>25000</v>
      </c>
      <c r="G1345" s="46"/>
      <c r="H1345" s="46">
        <f>IFERROR(TRANSACTIONS!$F1345+TRANSACTIONS!$G1345,"")</f>
        <v>25000</v>
      </c>
      <c r="I1345" s="57" t="s">
        <v>41</v>
      </c>
    </row>
    <row r="1346" spans="1:9" x14ac:dyDescent="0.25">
      <c r="A1346" s="41">
        <v>45339.55635752315</v>
      </c>
      <c r="B1346" s="48">
        <f>IF(A1346&lt;&gt;"",DATE(YEAR(TRANSACTIONS!$A1346),MONTH(TRANSACTIONS!$A1346),DAY(TRANSACTIONS!$A1346)),"")</f>
        <v>45339</v>
      </c>
      <c r="C1346" s="49">
        <f>IF(A1346&lt;&gt;"",TIME(HOUR(TRANSACTIONS!$A1346),MINUTE(TRANSACTIONS!$A1346),SECOND(TRANSACTIONS!$A1346)),"")</f>
        <v>0.55635416666666659</v>
      </c>
      <c r="D1346" s="82" t="s">
        <v>62</v>
      </c>
      <c r="E1346" s="82" t="s">
        <v>6</v>
      </c>
      <c r="F1346" s="94">
        <v>2000</v>
      </c>
      <c r="G1346" s="46"/>
      <c r="H1346" s="46">
        <f>IFERROR(TRANSACTIONS!$F1346+TRANSACTIONS!$G1346,"")</f>
        <v>2000</v>
      </c>
      <c r="I1346" s="57" t="s">
        <v>41</v>
      </c>
    </row>
    <row r="1347" spans="1:9" x14ac:dyDescent="0.25">
      <c r="A1347" s="41">
        <v>45339.556367824072</v>
      </c>
      <c r="B1347" s="48">
        <f>IF(A1347&lt;&gt;"",DATE(YEAR(TRANSACTIONS!$A1347),MONTH(TRANSACTIONS!$A1347),DAY(TRANSACTIONS!$A1347)),"")</f>
        <v>45339</v>
      </c>
      <c r="C1347" s="49">
        <f>IF(A1347&lt;&gt;"",TIME(HOUR(TRANSACTIONS!$A1347),MINUTE(TRANSACTIONS!$A1347),SECOND(TRANSACTIONS!$A1347)),"")</f>
        <v>0.55636574074074074</v>
      </c>
      <c r="D1347" s="82" t="s">
        <v>62</v>
      </c>
      <c r="E1347" s="82" t="s">
        <v>7</v>
      </c>
      <c r="F1347" s="94">
        <v>6000</v>
      </c>
      <c r="G1347" s="46"/>
      <c r="H1347" s="46">
        <f>IFERROR(TRANSACTIONS!$F1347+TRANSACTIONS!$G1347,"")</f>
        <v>6000</v>
      </c>
      <c r="I1347" s="57" t="s">
        <v>41</v>
      </c>
    </row>
    <row r="1348" spans="1:9" x14ac:dyDescent="0.25">
      <c r="A1348" s="41">
        <v>45339.556376388886</v>
      </c>
      <c r="B1348" s="48">
        <f>IF(A1348&lt;&gt;"",DATE(YEAR(TRANSACTIONS!$A1348),MONTH(TRANSACTIONS!$A1348),DAY(TRANSACTIONS!$A1348)),"")</f>
        <v>45339</v>
      </c>
      <c r="C1348" s="49">
        <f>IF(A1348&lt;&gt;"",TIME(HOUR(TRANSACTIONS!$A1348),MINUTE(TRANSACTIONS!$A1348),SECOND(TRANSACTIONS!$A1348)),"")</f>
        <v>0.55637731481481478</v>
      </c>
      <c r="D1348" s="82" t="s">
        <v>62</v>
      </c>
      <c r="E1348" s="82" t="s">
        <v>7</v>
      </c>
      <c r="F1348" s="94">
        <v>5000</v>
      </c>
      <c r="G1348" s="46"/>
      <c r="H1348" s="46">
        <f>IFERROR(TRANSACTIONS!$F1348+TRANSACTIONS!$G1348,"")</f>
        <v>5000</v>
      </c>
      <c r="I1348" s="57" t="s">
        <v>41</v>
      </c>
    </row>
    <row r="1349" spans="1:9" x14ac:dyDescent="0.25">
      <c r="A1349" s="41">
        <v>45339.556415393519</v>
      </c>
      <c r="B1349" s="48">
        <f>IF(A1349&lt;&gt;"",DATE(YEAR(TRANSACTIONS!$A1349),MONTH(TRANSACTIONS!$A1349),DAY(TRANSACTIONS!$A1349)),"")</f>
        <v>45339</v>
      </c>
      <c r="C1349" s="49">
        <f>IF(A1349&lt;&gt;"",TIME(HOUR(TRANSACTIONS!$A1349),MINUTE(TRANSACTIONS!$A1349),SECOND(TRANSACTIONS!$A1349)),"")</f>
        <v>0.55641203703703701</v>
      </c>
      <c r="D1349" s="82" t="s">
        <v>62</v>
      </c>
      <c r="E1349" s="82" t="s">
        <v>6</v>
      </c>
      <c r="F1349" s="94">
        <v>1000</v>
      </c>
      <c r="G1349" s="46"/>
      <c r="H1349" s="46">
        <f>IFERROR(TRANSACTIONS!$F1349+TRANSACTIONS!$G1349,"")</f>
        <v>1000</v>
      </c>
      <c r="I1349" s="57" t="s">
        <v>41</v>
      </c>
    </row>
    <row r="1350" spans="1:9" x14ac:dyDescent="0.25">
      <c r="A1350" s="41">
        <v>45339.556472685188</v>
      </c>
      <c r="B1350" s="114">
        <f>IF(A1350&lt;&gt;"",DATE(YEAR(TRANSACTIONS!$A1350),MONTH(TRANSACTIONS!$A1350),DAY(TRANSACTIONS!$A1350)),"")</f>
        <v>45339</v>
      </c>
      <c r="C1350" s="115">
        <f>IF(A1350&lt;&gt;"",TIME(HOUR(TRANSACTIONS!$A1350),MINUTE(TRANSACTIONS!$A1350),SECOND(TRANSACTIONS!$A1350)),"")</f>
        <v>0.55646990740740743</v>
      </c>
      <c r="D1350" s="82" t="s">
        <v>62</v>
      </c>
      <c r="E1350" s="82" t="s">
        <v>7</v>
      </c>
      <c r="F1350" s="94">
        <v>50000</v>
      </c>
      <c r="G1350" s="117"/>
      <c r="H1350" s="117">
        <f>IFERROR(TRANSACTIONS!$F1350+TRANSACTIONS!$G1350,"")</f>
        <v>50000</v>
      </c>
      <c r="I1350" s="123" t="s">
        <v>41</v>
      </c>
    </row>
    <row r="1351" spans="1:9" x14ac:dyDescent="0.25">
      <c r="A1351" s="41">
        <v>45339.556485416666</v>
      </c>
      <c r="B1351" s="48">
        <f>IF(A1351&lt;&gt;"",DATE(YEAR(TRANSACTIONS!$A1351),MONTH(TRANSACTIONS!$A1351),DAY(TRANSACTIONS!$A1351)),"")</f>
        <v>45339</v>
      </c>
      <c r="C1351" s="49">
        <f>IF(A1351&lt;&gt;"",TIME(HOUR(TRANSACTIONS!$A1351),MINUTE(TRANSACTIONS!$A1351),SECOND(TRANSACTIONS!$A1351)),"")</f>
        <v>0.55648148148148147</v>
      </c>
      <c r="D1351" s="82" t="s">
        <v>62</v>
      </c>
      <c r="E1351" s="82" t="s">
        <v>6</v>
      </c>
      <c r="F1351" s="94">
        <v>6000</v>
      </c>
      <c r="G1351" s="46"/>
      <c r="H1351" s="46">
        <f>IFERROR(TRANSACTIONS!$F1351+TRANSACTIONS!$G1351,"")</f>
        <v>6000</v>
      </c>
      <c r="I1351" s="57" t="s">
        <v>41</v>
      </c>
    </row>
    <row r="1352" spans="1:9" x14ac:dyDescent="0.25">
      <c r="A1352" s="41">
        <v>45339.556494560187</v>
      </c>
      <c r="B1352" s="48">
        <f>IF(A1352&lt;&gt;"",DATE(YEAR(TRANSACTIONS!$A1352),MONTH(TRANSACTIONS!$A1352),DAY(TRANSACTIONS!$A1352)),"")</f>
        <v>45339</v>
      </c>
      <c r="C1352" s="49">
        <f>IF(A1352&lt;&gt;"",TIME(HOUR(TRANSACTIONS!$A1352),MINUTE(TRANSACTIONS!$A1352),SECOND(TRANSACTIONS!$A1352)),"")</f>
        <v>0.5564930555555555</v>
      </c>
      <c r="D1352" s="82" t="s">
        <v>62</v>
      </c>
      <c r="E1352" s="82" t="s">
        <v>6</v>
      </c>
      <c r="F1352" s="94">
        <v>10500</v>
      </c>
      <c r="G1352" s="46"/>
      <c r="H1352" s="46">
        <f>IFERROR(TRANSACTIONS!$F1352+TRANSACTIONS!$G1352,"")</f>
        <v>10500</v>
      </c>
      <c r="I1352" s="57" t="s">
        <v>41</v>
      </c>
    </row>
    <row r="1353" spans="1:9" x14ac:dyDescent="0.25">
      <c r="A1353" s="41">
        <v>45339.556501967592</v>
      </c>
      <c r="B1353" s="48">
        <f>IF(A1353&lt;&gt;"",DATE(YEAR(TRANSACTIONS!$A1353),MONTH(TRANSACTIONS!$A1353),DAY(TRANSACTIONS!$A1353)),"")</f>
        <v>45339</v>
      </c>
      <c r="C1353" s="49">
        <f>IF(A1353&lt;&gt;"",TIME(HOUR(TRANSACTIONS!$A1353),MINUTE(TRANSACTIONS!$A1353),SECOND(TRANSACTIONS!$A1353)),"")</f>
        <v>0.55650462962962965</v>
      </c>
      <c r="D1353" s="82" t="s">
        <v>62</v>
      </c>
      <c r="E1353" s="82" t="s">
        <v>7</v>
      </c>
      <c r="F1353" s="94">
        <v>2000</v>
      </c>
      <c r="G1353" s="46"/>
      <c r="H1353" s="46">
        <f>IFERROR(TRANSACTIONS!$F1353+TRANSACTIONS!$G1353,"")</f>
        <v>2000</v>
      </c>
      <c r="I1353" s="57" t="s">
        <v>41</v>
      </c>
    </row>
    <row r="1354" spans="1:9" x14ac:dyDescent="0.25">
      <c r="A1354" s="41">
        <v>45339.556514351854</v>
      </c>
      <c r="B1354" s="48">
        <f>IF(A1354&lt;&gt;"",DATE(YEAR(TRANSACTIONS!$A1354),MONTH(TRANSACTIONS!$A1354),DAY(TRANSACTIONS!$A1354)),"")</f>
        <v>45339</v>
      </c>
      <c r="C1354" s="49">
        <f>IF(A1354&lt;&gt;"",TIME(HOUR(TRANSACTIONS!$A1354),MINUTE(TRANSACTIONS!$A1354),SECOND(TRANSACTIONS!$A1354)),"")</f>
        <v>0.55651620370370369</v>
      </c>
      <c r="D1354" s="82" t="s">
        <v>62</v>
      </c>
      <c r="E1354" s="82" t="s">
        <v>7</v>
      </c>
      <c r="F1354" s="94">
        <v>13000</v>
      </c>
      <c r="G1354" s="46"/>
      <c r="H1354" s="46">
        <f>IFERROR(TRANSACTIONS!$F1354+TRANSACTIONS!$G1354,"")</f>
        <v>13000</v>
      </c>
      <c r="I1354" s="57" t="s">
        <v>41</v>
      </c>
    </row>
    <row r="1355" spans="1:9" x14ac:dyDescent="0.25">
      <c r="A1355" s="41">
        <v>45339.556528240741</v>
      </c>
      <c r="B1355" s="48">
        <f>IF(A1355&lt;&gt;"",DATE(YEAR(TRANSACTIONS!$A1355),MONTH(TRANSACTIONS!$A1355),DAY(TRANSACTIONS!$A1355)),"")</f>
        <v>45339</v>
      </c>
      <c r="C1355" s="49">
        <f>IF(A1355&lt;&gt;"",TIME(HOUR(TRANSACTIONS!$A1355),MINUTE(TRANSACTIONS!$A1355),SECOND(TRANSACTIONS!$A1355)),"")</f>
        <v>0.55652777777777784</v>
      </c>
      <c r="D1355" s="82" t="s">
        <v>62</v>
      </c>
      <c r="E1355" s="82" t="s">
        <v>7</v>
      </c>
      <c r="F1355" s="94">
        <v>1000</v>
      </c>
      <c r="G1355" s="46"/>
      <c r="H1355" s="46">
        <f>IFERROR(TRANSACTIONS!$F1355+TRANSACTIONS!$G1355,"")</f>
        <v>1000</v>
      </c>
      <c r="I1355" s="57" t="s">
        <v>41</v>
      </c>
    </row>
    <row r="1356" spans="1:9" x14ac:dyDescent="0.25">
      <c r="A1356" s="41">
        <v>45339.55653587963</v>
      </c>
      <c r="B1356" s="48">
        <f>IF(A1356&lt;&gt;"",DATE(YEAR(TRANSACTIONS!$A1356),MONTH(TRANSACTIONS!$A1356),DAY(TRANSACTIONS!$A1356)),"")</f>
        <v>45339</v>
      </c>
      <c r="C1356" s="49">
        <f>IF(A1356&lt;&gt;"",TIME(HOUR(TRANSACTIONS!$A1356),MINUTE(TRANSACTIONS!$A1356),SECOND(TRANSACTIONS!$A1356)),"")</f>
        <v>0.55653935185185188</v>
      </c>
      <c r="D1356" s="82" t="s">
        <v>25</v>
      </c>
      <c r="E1356" s="82" t="s">
        <v>6</v>
      </c>
      <c r="F1356" s="94">
        <v>1000</v>
      </c>
      <c r="G1356" s="46"/>
      <c r="H1356" s="46">
        <f>IFERROR(TRANSACTIONS!$F1356+TRANSACTIONS!$G1356,"")</f>
        <v>1000</v>
      </c>
      <c r="I1356" s="57" t="s">
        <v>41</v>
      </c>
    </row>
    <row r="1357" spans="1:9" x14ac:dyDescent="0.25">
      <c r="A1357" s="41">
        <v>45339.556550462963</v>
      </c>
      <c r="B1357" s="48">
        <f>IF(A1357&lt;&gt;"",DATE(YEAR(TRANSACTIONS!$A1357),MONTH(TRANSACTIONS!$A1357),DAY(TRANSACTIONS!$A1357)),"")</f>
        <v>45339</v>
      </c>
      <c r="C1357" s="49">
        <f>IF(A1357&lt;&gt;"",TIME(HOUR(TRANSACTIONS!$A1357),MINUTE(TRANSACTIONS!$A1357),SECOND(TRANSACTIONS!$A1357)),"")</f>
        <v>0.55655092592592592</v>
      </c>
      <c r="D1357" s="82" t="s">
        <v>25</v>
      </c>
      <c r="E1357" s="82" t="s">
        <v>7</v>
      </c>
      <c r="F1357" s="94">
        <v>22000</v>
      </c>
      <c r="G1357" s="46"/>
      <c r="H1357" s="46">
        <f>IFERROR(TRANSACTIONS!$F1357+TRANSACTIONS!$G1357,"")</f>
        <v>22000</v>
      </c>
      <c r="I1357" s="57" t="s">
        <v>41</v>
      </c>
    </row>
    <row r="1358" spans="1:9" x14ac:dyDescent="0.25">
      <c r="A1358" s="41">
        <v>45339.556571643516</v>
      </c>
      <c r="B1358" s="48">
        <f>IF(A1358&lt;&gt;"",DATE(YEAR(TRANSACTIONS!$A1358),MONTH(TRANSACTIONS!$A1358),DAY(TRANSACTIONS!$A1358)),"")</f>
        <v>45339</v>
      </c>
      <c r="C1358" s="49">
        <f>IF(A1358&lt;&gt;"",TIME(HOUR(TRANSACTIONS!$A1358),MINUTE(TRANSACTIONS!$A1358),SECOND(TRANSACTIONS!$A1358)),"")</f>
        <v>0.556574074074074</v>
      </c>
      <c r="D1358" s="82" t="s">
        <v>25</v>
      </c>
      <c r="E1358" s="82" t="s">
        <v>6</v>
      </c>
      <c r="F1358" s="94">
        <v>6050</v>
      </c>
      <c r="G1358" s="46"/>
      <c r="H1358" s="46">
        <f>IFERROR(TRANSACTIONS!$F1358+TRANSACTIONS!$G1358,"")</f>
        <v>6050</v>
      </c>
      <c r="I1358" s="57" t="s">
        <v>41</v>
      </c>
    </row>
    <row r="1359" spans="1:9" x14ac:dyDescent="0.25">
      <c r="A1359" s="41">
        <v>45339.556579398151</v>
      </c>
      <c r="B1359" s="48">
        <f>IF(A1359&lt;&gt;"",DATE(YEAR(TRANSACTIONS!$A1359),MONTH(TRANSACTIONS!$A1359),DAY(TRANSACTIONS!$A1359)),"")</f>
        <v>45339</v>
      </c>
      <c r="C1359" s="49">
        <f>IF(A1359&lt;&gt;"",TIME(HOUR(TRANSACTIONS!$A1359),MINUTE(TRANSACTIONS!$A1359),SECOND(TRANSACTIONS!$A1359)),"")</f>
        <v>0.556574074074074</v>
      </c>
      <c r="D1359" s="82" t="s">
        <v>25</v>
      </c>
      <c r="E1359" s="82" t="s">
        <v>6</v>
      </c>
      <c r="F1359" s="94">
        <v>500</v>
      </c>
      <c r="G1359" s="46"/>
      <c r="H1359" s="46">
        <f>IFERROR(TRANSACTIONS!$F1359+TRANSACTIONS!$G1359,"")</f>
        <v>500</v>
      </c>
      <c r="I1359" s="57" t="s">
        <v>41</v>
      </c>
    </row>
    <row r="1360" spans="1:9" x14ac:dyDescent="0.25">
      <c r="A1360" s="41">
        <v>45339.55658715278</v>
      </c>
      <c r="B1360" s="48">
        <f>IF(A1360&lt;&gt;"",DATE(YEAR(TRANSACTIONS!$A1360),MONTH(TRANSACTIONS!$A1360),DAY(TRANSACTIONS!$A1360)),"")</f>
        <v>45339</v>
      </c>
      <c r="C1360" s="49">
        <f>IF(A1360&lt;&gt;"",TIME(HOUR(TRANSACTIONS!$A1360),MINUTE(TRANSACTIONS!$A1360),SECOND(TRANSACTIONS!$A1360)),"")</f>
        <v>0.55658564814814815</v>
      </c>
      <c r="D1360" s="82" t="s">
        <v>25</v>
      </c>
      <c r="E1360" s="82" t="s">
        <v>7</v>
      </c>
      <c r="F1360" s="94">
        <v>2500</v>
      </c>
      <c r="G1360" s="46"/>
      <c r="H1360" s="46">
        <f>IFERROR(TRANSACTIONS!$F1360+TRANSACTIONS!$G1360,"")</f>
        <v>2500</v>
      </c>
      <c r="I1360" s="57" t="s">
        <v>41</v>
      </c>
    </row>
    <row r="1361" spans="1:10" x14ac:dyDescent="0.25">
      <c r="A1361" s="41">
        <v>45339.557709259258</v>
      </c>
      <c r="B1361" s="48">
        <f>IF(A1361&lt;&gt;"",DATE(YEAR(TRANSACTIONS!$A1361),MONTH(TRANSACTIONS!$A1361),DAY(TRANSACTIONS!$A1361)),"")</f>
        <v>45339</v>
      </c>
      <c r="C1361" s="49">
        <f>IF(A1361&lt;&gt;"",TIME(HOUR(TRANSACTIONS!$A1361),MINUTE(TRANSACTIONS!$A1361),SECOND(TRANSACTIONS!$A1361)),"")</f>
        <v>0.55770833333333336</v>
      </c>
      <c r="D1361" s="82" t="s">
        <v>25</v>
      </c>
      <c r="E1361" s="82" t="s">
        <v>7</v>
      </c>
      <c r="F1361" s="94">
        <v>5000</v>
      </c>
      <c r="G1361" s="46"/>
      <c r="H1361" s="46">
        <f>IFERROR(TRANSACTIONS!$F1361+TRANSACTIONS!$G1361,"")</f>
        <v>5000</v>
      </c>
      <c r="I1361" s="57" t="s">
        <v>41</v>
      </c>
    </row>
    <row r="1362" spans="1:10" x14ac:dyDescent="0.25">
      <c r="A1362" s="41">
        <v>45339.557805208337</v>
      </c>
      <c r="B1362" s="114">
        <f>IF(A1362&lt;&gt;"",DATE(YEAR(TRANSACTIONS!$A1362),MONTH(TRANSACTIONS!$A1362),DAY(TRANSACTIONS!$A1362)),"")</f>
        <v>45339</v>
      </c>
      <c r="C1362" s="115">
        <f>IF(A1362&lt;&gt;"",TIME(HOUR(TRANSACTIONS!$A1362),MINUTE(TRANSACTIONS!$A1362),SECOND(TRANSACTIONS!$A1362)),"")</f>
        <v>0.55780092592592589</v>
      </c>
      <c r="D1362" s="116" t="s">
        <v>25</v>
      </c>
      <c r="E1362" s="116" t="s">
        <v>7</v>
      </c>
      <c r="F1362" s="94">
        <v>10000</v>
      </c>
      <c r="G1362" s="117"/>
      <c r="H1362" s="117">
        <f>IFERROR(TRANSACTIONS!$F1362+TRANSACTIONS!$G1362,"")</f>
        <v>10000</v>
      </c>
      <c r="I1362" s="123" t="s">
        <v>41</v>
      </c>
      <c r="J1362" s="118"/>
    </row>
    <row r="1363" spans="1:10" x14ac:dyDescent="0.25">
      <c r="A1363" s="41">
        <v>45339.557934375</v>
      </c>
      <c r="B1363" s="48">
        <f>IF(A1363&lt;&gt;"",DATE(YEAR(TRANSACTIONS!$A1363),MONTH(TRANSACTIONS!$A1363),DAY(TRANSACTIONS!$A1363)),"")</f>
        <v>45339</v>
      </c>
      <c r="C1363" s="49">
        <f>IF(A1363&lt;&gt;"",TIME(HOUR(TRANSACTIONS!$A1363),MINUTE(TRANSACTIONS!$A1363),SECOND(TRANSACTIONS!$A1363)),"")</f>
        <v>0.55793981481481481</v>
      </c>
      <c r="D1363" s="82" t="s">
        <v>25</v>
      </c>
      <c r="E1363" s="82" t="s">
        <v>7</v>
      </c>
      <c r="F1363" s="94">
        <v>9500</v>
      </c>
      <c r="G1363" s="46"/>
      <c r="H1363" s="46">
        <f>IFERROR(TRANSACTIONS!$F1363+TRANSACTIONS!$G1363,"")</f>
        <v>9500</v>
      </c>
      <c r="I1363" s="57" t="s">
        <v>41</v>
      </c>
    </row>
    <row r="1364" spans="1:10" x14ac:dyDescent="0.25">
      <c r="A1364" s="41">
        <v>45339.557943055559</v>
      </c>
      <c r="B1364" s="48">
        <f>IF(A1364&lt;&gt;"",DATE(YEAR(TRANSACTIONS!$A1364),MONTH(TRANSACTIONS!$A1364),DAY(TRANSACTIONS!$A1364)),"")</f>
        <v>45339</v>
      </c>
      <c r="C1364" s="49">
        <f>IF(A1364&lt;&gt;"",TIME(HOUR(TRANSACTIONS!$A1364),MINUTE(TRANSACTIONS!$A1364),SECOND(TRANSACTIONS!$A1364)),"")</f>
        <v>0.55793981481481481</v>
      </c>
      <c r="D1364" s="82" t="s">
        <v>25</v>
      </c>
      <c r="E1364" s="82" t="s">
        <v>6</v>
      </c>
      <c r="F1364" s="94">
        <v>550</v>
      </c>
      <c r="G1364" s="46"/>
      <c r="H1364" s="46">
        <f>IFERROR(TRANSACTIONS!$F1364+TRANSACTIONS!$G1364,"")</f>
        <v>550</v>
      </c>
      <c r="I1364" s="57" t="s">
        <v>41</v>
      </c>
    </row>
    <row r="1365" spans="1:10" x14ac:dyDescent="0.25">
      <c r="A1365" s="41">
        <v>45339.557957638892</v>
      </c>
      <c r="B1365" s="48">
        <f>IF(A1365&lt;&gt;"",DATE(YEAR(TRANSACTIONS!$A1365),MONTH(TRANSACTIONS!$A1365),DAY(TRANSACTIONS!$A1365)),"")</f>
        <v>45339</v>
      </c>
      <c r="C1365" s="49">
        <f>IF(A1365&lt;&gt;"",TIME(HOUR(TRANSACTIONS!$A1365),MINUTE(TRANSACTIONS!$A1365),SECOND(TRANSACTIONS!$A1365)),"")</f>
        <v>0.55796296296296299</v>
      </c>
      <c r="D1365" s="82" t="s">
        <v>62</v>
      </c>
      <c r="E1365" s="82" t="s">
        <v>7</v>
      </c>
      <c r="F1365" s="94">
        <v>2500</v>
      </c>
      <c r="G1365" s="46"/>
      <c r="H1365" s="46">
        <f>IFERROR(TRANSACTIONS!$F1365+TRANSACTIONS!$G1365,"")</f>
        <v>2500</v>
      </c>
      <c r="I1365" s="57" t="s">
        <v>41</v>
      </c>
    </row>
    <row r="1366" spans="1:10" x14ac:dyDescent="0.25">
      <c r="A1366" s="41">
        <v>45339.557950462964</v>
      </c>
      <c r="B1366" s="48">
        <f>IF(A1366&lt;&gt;"",DATE(YEAR(TRANSACTIONS!$A1366),MONTH(TRANSACTIONS!$A1366),DAY(TRANSACTIONS!$A1366)),"")</f>
        <v>45339</v>
      </c>
      <c r="C1366" s="49">
        <f>IF(A1366&lt;&gt;"",TIME(HOUR(TRANSACTIONS!$A1366),MINUTE(TRANSACTIONS!$A1366),SECOND(TRANSACTIONS!$A1366)),"")</f>
        <v>0.55795138888888884</v>
      </c>
      <c r="D1366" s="82" t="s">
        <v>62</v>
      </c>
      <c r="E1366" s="82" t="s">
        <v>6</v>
      </c>
      <c r="F1366" s="94">
        <v>25000</v>
      </c>
      <c r="G1366" s="46"/>
      <c r="H1366" s="46">
        <f>IFERROR(TRANSACTIONS!$F1366+TRANSACTIONS!$G1366,"")</f>
        <v>25000</v>
      </c>
      <c r="I1366" s="57" t="s">
        <v>41</v>
      </c>
    </row>
    <row r="1367" spans="1:10" x14ac:dyDescent="0.25">
      <c r="A1367" s="41"/>
      <c r="B1367" s="48" t="str">
        <f>IF(A1367&lt;&gt;"",DATE(YEAR(TRANSACTIONS!$A1367),MONTH(TRANSACTIONS!$A1367),DAY(TRANSACTIONS!$A1367)),"")</f>
        <v/>
      </c>
      <c r="C1367" s="49" t="str">
        <f>IF(A1367&lt;&gt;"",TIME(HOUR(TRANSACTIONS!$A1367),MINUTE(TRANSACTIONS!$A1367),SECOND(TRANSACTIONS!$A1367)),"")</f>
        <v/>
      </c>
      <c r="D1367" s="82"/>
      <c r="E1367" s="82"/>
      <c r="F1367" s="204"/>
      <c r="G1367" s="46"/>
      <c r="H1367" s="46">
        <f>IFERROR(TRANSACTIONS!$F1367+TRANSACTIONS!$G1367,"")</f>
        <v>0</v>
      </c>
      <c r="I1367" s="57" t="s">
        <v>41</v>
      </c>
    </row>
    <row r="1368" spans="1:10" x14ac:dyDescent="0.25">
      <c r="A1368" s="41">
        <v>45341.405473032406</v>
      </c>
      <c r="B1368" s="83">
        <f>IF(A1368&lt;&gt;"",DATE(YEAR(TRANSACTIONS!$A1368),MONTH(TRANSACTIONS!$A1368),DAY(TRANSACTIONS!$A1368)),"")</f>
        <v>45341</v>
      </c>
      <c r="C1368" s="84">
        <f>IF(A1368&lt;&gt;"",TIME(HOUR(TRANSACTIONS!$A1368),MINUTE(TRANSACTIONS!$A1368),SECOND(TRANSACTIONS!$A1368)),"")</f>
        <v>0.40547453703703701</v>
      </c>
      <c r="D1368" s="82" t="s">
        <v>62</v>
      </c>
      <c r="E1368" s="82" t="s">
        <v>6</v>
      </c>
      <c r="F1368" s="94">
        <v>20000</v>
      </c>
      <c r="G1368" s="86"/>
      <c r="H1368" s="86">
        <f>IFERROR(TRANSACTIONS!$F1368+TRANSACTIONS!$G1368,"")</f>
        <v>20000</v>
      </c>
      <c r="I1368" s="87" t="s">
        <v>41</v>
      </c>
      <c r="J1368" s="88"/>
    </row>
    <row r="1369" spans="1:10" x14ac:dyDescent="0.25">
      <c r="A1369" s="41">
        <v>45341.405504629627</v>
      </c>
      <c r="B1369" s="48">
        <f>IF(A1369&lt;&gt;"",DATE(YEAR(TRANSACTIONS!$A1369),MONTH(TRANSACTIONS!$A1369),DAY(TRANSACTIONS!$A1369)),"")</f>
        <v>45341</v>
      </c>
      <c r="C1369" s="49">
        <f>IF(A1369&lt;&gt;"",TIME(HOUR(TRANSACTIONS!$A1369),MINUTE(TRANSACTIONS!$A1369),SECOND(TRANSACTIONS!$A1369)),"")</f>
        <v>0.40550925925925929</v>
      </c>
      <c r="D1369" s="82" t="s">
        <v>62</v>
      </c>
      <c r="E1369" s="82" t="s">
        <v>7</v>
      </c>
      <c r="F1369" s="94">
        <v>10000</v>
      </c>
      <c r="G1369" s="86"/>
      <c r="H1369" s="86">
        <f>IFERROR(TRANSACTIONS!$F1369+TRANSACTIONS!$G1369,"")</f>
        <v>10000</v>
      </c>
      <c r="I1369" s="87" t="s">
        <v>41</v>
      </c>
      <c r="J1369" s="88"/>
    </row>
    <row r="1370" spans="1:10" x14ac:dyDescent="0.25">
      <c r="A1370" s="41">
        <v>45341.405514583334</v>
      </c>
      <c r="B1370" s="48">
        <f>IF(A1370&lt;&gt;"",DATE(YEAR(TRANSACTIONS!$A1370),MONTH(TRANSACTIONS!$A1370),DAY(TRANSACTIONS!$A1370)),"")</f>
        <v>45341</v>
      </c>
      <c r="C1370" s="49">
        <f>IF(A1370&lt;&gt;"",TIME(HOUR(TRANSACTIONS!$A1370),MINUTE(TRANSACTIONS!$A1370),SECOND(TRANSACTIONS!$A1370)),"")</f>
        <v>0.40550925925925929</v>
      </c>
      <c r="D1370" s="82" t="s">
        <v>62</v>
      </c>
      <c r="E1370" s="82" t="s">
        <v>7</v>
      </c>
      <c r="F1370" s="94">
        <v>200000</v>
      </c>
      <c r="G1370" s="46"/>
      <c r="H1370" s="46">
        <f>IFERROR(TRANSACTIONS!$F1370+TRANSACTIONS!$G1370,"")</f>
        <v>200000</v>
      </c>
      <c r="I1370" s="57" t="s">
        <v>41</v>
      </c>
    </row>
    <row r="1371" spans="1:10" x14ac:dyDescent="0.25">
      <c r="A1371" s="41">
        <v>45341.405848032409</v>
      </c>
      <c r="B1371" s="48">
        <f>IF(A1371&lt;&gt;"",DATE(YEAR(TRANSACTIONS!$A1371),MONTH(TRANSACTIONS!$A1371),DAY(TRANSACTIONS!$A1371)),"")</f>
        <v>45341</v>
      </c>
      <c r="C1371" s="49">
        <f>IF(A1371&lt;&gt;"",TIME(HOUR(TRANSACTIONS!$A1371),MINUTE(TRANSACTIONS!$A1371),SECOND(TRANSACTIONS!$A1371)),"")</f>
        <v>0.40584490740740736</v>
      </c>
      <c r="D1371" s="82" t="s">
        <v>62</v>
      </c>
      <c r="E1371" s="82" t="s">
        <v>6</v>
      </c>
      <c r="F1371" s="94">
        <v>16000</v>
      </c>
      <c r="G1371" s="46"/>
      <c r="H1371" s="46">
        <f>IFERROR(TRANSACTIONS!$F1371+TRANSACTIONS!$G1371,"")</f>
        <v>16000</v>
      </c>
      <c r="I1371" s="57" t="s">
        <v>41</v>
      </c>
    </row>
    <row r="1372" spans="1:10" x14ac:dyDescent="0.25">
      <c r="A1372" s="41">
        <v>45341.494328356479</v>
      </c>
      <c r="B1372" s="48">
        <f>IF(A1372&lt;&gt;"",DATE(YEAR(TRANSACTIONS!$A1372),MONTH(TRANSACTIONS!$A1372),DAY(TRANSACTIONS!$A1372)),"")</f>
        <v>45341</v>
      </c>
      <c r="C1372" s="49">
        <f>IF(A1372&lt;&gt;"",TIME(HOUR(TRANSACTIONS!$A1372),MINUTE(TRANSACTIONS!$A1372),SECOND(TRANSACTIONS!$A1372)),"")</f>
        <v>0.49432870370370369</v>
      </c>
      <c r="D1372" s="82" t="s">
        <v>62</v>
      </c>
      <c r="E1372" s="82" t="s">
        <v>6</v>
      </c>
      <c r="F1372" s="94">
        <v>500</v>
      </c>
      <c r="G1372" s="46"/>
      <c r="H1372" s="46">
        <f>IFERROR(TRANSACTIONS!$F1372+TRANSACTIONS!$G1372,"")</f>
        <v>500</v>
      </c>
      <c r="I1372" s="57" t="s">
        <v>41</v>
      </c>
    </row>
    <row r="1373" spans="1:10" x14ac:dyDescent="0.25">
      <c r="A1373" s="41">
        <v>45341.527340162036</v>
      </c>
      <c r="B1373" s="48">
        <f>IF(A1373&lt;&gt;"",DATE(YEAR(TRANSACTIONS!$A1373),MONTH(TRANSACTIONS!$A1373),DAY(TRANSACTIONS!$A1373)),"")</f>
        <v>45341</v>
      </c>
      <c r="C1373" s="49">
        <f>IF(A1373&lt;&gt;"",TIME(HOUR(TRANSACTIONS!$A1373),MINUTE(TRANSACTIONS!$A1373),SECOND(TRANSACTIONS!$A1373)),"")</f>
        <v>0.52733796296296298</v>
      </c>
      <c r="D1373" s="82" t="s">
        <v>62</v>
      </c>
      <c r="E1373" s="82" t="s">
        <v>6</v>
      </c>
      <c r="F1373" s="94">
        <v>5000</v>
      </c>
      <c r="G1373" s="46"/>
      <c r="H1373" s="46">
        <f>IFERROR(TRANSACTIONS!$F1373+TRANSACTIONS!$G1373,"")</f>
        <v>5000</v>
      </c>
      <c r="I1373" s="57" t="s">
        <v>41</v>
      </c>
    </row>
    <row r="1374" spans="1:10" x14ac:dyDescent="0.25">
      <c r="A1374" s="41">
        <v>45341.527343402777</v>
      </c>
      <c r="B1374" s="48">
        <f>IF(A1374&lt;&gt;"",DATE(YEAR(TRANSACTIONS!$A1374),MONTH(TRANSACTIONS!$A1374),DAY(TRANSACTIONS!$A1374)),"")</f>
        <v>45341</v>
      </c>
      <c r="C1374" s="49">
        <f>IF(A1374&lt;&gt;"",TIME(HOUR(TRANSACTIONS!$A1374),MINUTE(TRANSACTIONS!$A1374),SECOND(TRANSACTIONS!$A1374)),"")</f>
        <v>0.52733796296296298</v>
      </c>
      <c r="D1374" s="82" t="s">
        <v>62</v>
      </c>
      <c r="E1374" s="82" t="s">
        <v>7</v>
      </c>
      <c r="F1374" s="94">
        <v>2500</v>
      </c>
      <c r="G1374" s="46"/>
      <c r="H1374" s="46">
        <f>IFERROR(TRANSACTIONS!$F1374+TRANSACTIONS!$G1374,"")</f>
        <v>2500</v>
      </c>
      <c r="I1374" s="57" t="s">
        <v>41</v>
      </c>
    </row>
    <row r="1375" spans="1:10" x14ac:dyDescent="0.25">
      <c r="A1375" s="41">
        <v>45341.527451388887</v>
      </c>
      <c r="B1375" s="48">
        <f>IF(A1375&lt;&gt;"",DATE(YEAR(TRANSACTIONS!$A1375),MONTH(TRANSACTIONS!$A1375),DAY(TRANSACTIONS!$A1375)),"")</f>
        <v>45341</v>
      </c>
      <c r="C1375" s="49">
        <f>IF(A1375&lt;&gt;"",TIME(HOUR(TRANSACTIONS!$A1375),MINUTE(TRANSACTIONS!$A1375),SECOND(TRANSACTIONS!$A1375)),"")</f>
        <v>0.5274537037037037</v>
      </c>
      <c r="D1375" s="82" t="s">
        <v>62</v>
      </c>
      <c r="E1375" s="82" t="s">
        <v>6</v>
      </c>
      <c r="F1375" s="94">
        <v>1000</v>
      </c>
      <c r="G1375" s="46"/>
      <c r="H1375" s="46">
        <f>IFERROR(TRANSACTIONS!$F1375+TRANSACTIONS!$G1375,"")</f>
        <v>1000</v>
      </c>
      <c r="I1375" s="57" t="s">
        <v>41</v>
      </c>
    </row>
    <row r="1376" spans="1:10" x14ac:dyDescent="0.25">
      <c r="A1376" s="41">
        <v>45341.527515740738</v>
      </c>
      <c r="B1376" s="48">
        <f>IF(A1376&lt;&gt;"",DATE(YEAR(TRANSACTIONS!$A1376),MONTH(TRANSACTIONS!$A1376),DAY(TRANSACTIONS!$A1376)),"")</f>
        <v>45341</v>
      </c>
      <c r="C1376" s="49">
        <f>IF(A1376&lt;&gt;"",TIME(HOUR(TRANSACTIONS!$A1376),MINUTE(TRANSACTIONS!$A1376),SECOND(TRANSACTIONS!$A1376)),"")</f>
        <v>0.52751157407407401</v>
      </c>
      <c r="D1376" s="82" t="s">
        <v>62</v>
      </c>
      <c r="E1376" s="82" t="s">
        <v>6</v>
      </c>
      <c r="F1376" s="94">
        <v>50000</v>
      </c>
      <c r="G1376" s="46"/>
      <c r="H1376" s="46">
        <f>IFERROR(TRANSACTIONS!$F1376+TRANSACTIONS!$G1376,"")</f>
        <v>50000</v>
      </c>
      <c r="I1376" s="57" t="s">
        <v>41</v>
      </c>
    </row>
    <row r="1377" spans="1:9" x14ac:dyDescent="0.25">
      <c r="A1377" s="41">
        <v>45341.527535300927</v>
      </c>
      <c r="B1377" s="48">
        <f>IF(A1377&lt;&gt;"",DATE(YEAR(TRANSACTIONS!$A1377),MONTH(TRANSACTIONS!$A1377),DAY(TRANSACTIONS!$A1377)),"")</f>
        <v>45341</v>
      </c>
      <c r="C1377" s="49">
        <f>IF(A1377&lt;&gt;"",TIME(HOUR(TRANSACTIONS!$A1377),MINUTE(TRANSACTIONS!$A1377),SECOND(TRANSACTIONS!$A1377)),"")</f>
        <v>0.5275347222222222</v>
      </c>
      <c r="D1377" s="82" t="s">
        <v>62</v>
      </c>
      <c r="E1377" s="82" t="s">
        <v>7</v>
      </c>
      <c r="F1377" s="94">
        <v>6000</v>
      </c>
      <c r="G1377" s="46"/>
      <c r="H1377" s="46">
        <f>IFERROR(TRANSACTIONS!$F1377+TRANSACTIONS!$G1377,"")</f>
        <v>6000</v>
      </c>
      <c r="I1377" s="57" t="s">
        <v>41</v>
      </c>
    </row>
    <row r="1378" spans="1:9" x14ac:dyDescent="0.25">
      <c r="A1378" s="41">
        <v>45341.527582060182</v>
      </c>
      <c r="B1378" s="48">
        <f>IF(A1378&lt;&gt;"",DATE(YEAR(TRANSACTIONS!$A1378),MONTH(TRANSACTIONS!$A1378),DAY(TRANSACTIONS!$A1378)),"")</f>
        <v>45341</v>
      </c>
      <c r="C1378" s="49">
        <f>IF(A1378&lt;&gt;"",TIME(HOUR(TRANSACTIONS!$A1378),MINUTE(TRANSACTIONS!$A1378),SECOND(TRANSACTIONS!$A1378)),"")</f>
        <v>0.52758101851851846</v>
      </c>
      <c r="D1378" s="82" t="s">
        <v>62</v>
      </c>
      <c r="E1378" s="82" t="s">
        <v>7</v>
      </c>
      <c r="F1378" s="94">
        <v>11000</v>
      </c>
      <c r="G1378" s="46"/>
      <c r="H1378" s="46">
        <f>IFERROR(TRANSACTIONS!$F1378+TRANSACTIONS!$G1378,"")</f>
        <v>11000</v>
      </c>
      <c r="I1378" s="57" t="s">
        <v>41</v>
      </c>
    </row>
    <row r="1379" spans="1:9" x14ac:dyDescent="0.25">
      <c r="A1379" s="41">
        <v>45341.527594791667</v>
      </c>
      <c r="B1379" s="48">
        <f>IF(A1379&lt;&gt;"",DATE(YEAR(TRANSACTIONS!$A1379),MONTH(TRANSACTIONS!$A1379),DAY(TRANSACTIONS!$A1379)),"")</f>
        <v>45341</v>
      </c>
      <c r="C1379" s="49">
        <f>IF(A1379&lt;&gt;"",TIME(HOUR(TRANSACTIONS!$A1379),MINUTE(TRANSACTIONS!$A1379),SECOND(TRANSACTIONS!$A1379)),"")</f>
        <v>0.52759259259259261</v>
      </c>
      <c r="D1379" s="82" t="s">
        <v>62</v>
      </c>
      <c r="E1379" s="82" t="s">
        <v>7</v>
      </c>
      <c r="F1379" s="94">
        <v>2500</v>
      </c>
      <c r="G1379" s="46"/>
      <c r="H1379" s="46">
        <f>IFERROR(TRANSACTIONS!$F1379+TRANSACTIONS!$G1379,"")</f>
        <v>2500</v>
      </c>
      <c r="I1379" s="57" t="s">
        <v>41</v>
      </c>
    </row>
    <row r="1380" spans="1:9" x14ac:dyDescent="0.25">
      <c r="A1380" s="41">
        <v>45341.527616087966</v>
      </c>
      <c r="B1380" s="48">
        <f>IF(A1380&lt;&gt;"",DATE(YEAR(TRANSACTIONS!$A1380),MONTH(TRANSACTIONS!$A1380),DAY(TRANSACTIONS!$A1380)),"")</f>
        <v>45341</v>
      </c>
      <c r="C1380" s="49">
        <f>IF(A1380&lt;&gt;"",TIME(HOUR(TRANSACTIONS!$A1380),MINUTE(TRANSACTIONS!$A1380),SECOND(TRANSACTIONS!$A1380)),"")</f>
        <v>0.5276157407407408</v>
      </c>
      <c r="D1380" s="82" t="s">
        <v>62</v>
      </c>
      <c r="E1380" s="82" t="s">
        <v>6</v>
      </c>
      <c r="F1380" s="94">
        <v>10000</v>
      </c>
      <c r="G1380" s="46"/>
      <c r="H1380" s="46">
        <f>IFERROR(TRANSACTIONS!$F1380+TRANSACTIONS!$G1380,"")</f>
        <v>10000</v>
      </c>
      <c r="I1380" s="57" t="s">
        <v>41</v>
      </c>
    </row>
    <row r="1381" spans="1:9" x14ac:dyDescent="0.25">
      <c r="A1381" s="41">
        <v>45341.527622569447</v>
      </c>
      <c r="B1381" s="48">
        <f>IF(A1381&lt;&gt;"",DATE(YEAR(TRANSACTIONS!$A1381),MONTH(TRANSACTIONS!$A1381),DAY(TRANSACTIONS!$A1381)),"")</f>
        <v>45341</v>
      </c>
      <c r="C1381" s="49">
        <f>IF(A1381&lt;&gt;"",TIME(HOUR(TRANSACTIONS!$A1381),MINUTE(TRANSACTIONS!$A1381),SECOND(TRANSACTIONS!$A1381)),"")</f>
        <v>0.52762731481481484</v>
      </c>
      <c r="D1381" s="82" t="s">
        <v>62</v>
      </c>
      <c r="E1381" s="82" t="s">
        <v>6</v>
      </c>
      <c r="F1381" s="94">
        <v>10000</v>
      </c>
      <c r="G1381" s="46"/>
      <c r="H1381" s="46">
        <f>IFERROR(TRANSACTIONS!$F1381+TRANSACTIONS!$G1381,"")</f>
        <v>10000</v>
      </c>
      <c r="I1381" s="57" t="s">
        <v>41</v>
      </c>
    </row>
    <row r="1382" spans="1:9" x14ac:dyDescent="0.25">
      <c r="A1382" s="71">
        <v>45341.52762951389</v>
      </c>
      <c r="B1382" s="73">
        <f>IF(A1382&lt;&gt;"",DATE(YEAR(TRANSACTIONS!$A1382),MONTH(TRANSACTIONS!$A1382),DAY(TRANSACTIONS!$A1382)),"")</f>
        <v>45341</v>
      </c>
      <c r="C1382" s="74">
        <f>IF(A1382&lt;&gt;"",TIME(HOUR(TRANSACTIONS!$A1382),MINUTE(TRANSACTIONS!$A1382),SECOND(TRANSACTIONS!$A1382)),"")</f>
        <v>0.52762731481481484</v>
      </c>
      <c r="D1382" s="72" t="s">
        <v>62</v>
      </c>
      <c r="E1382" s="72" t="s">
        <v>7</v>
      </c>
      <c r="F1382" s="180">
        <v>7000</v>
      </c>
      <c r="G1382" s="75"/>
      <c r="H1382" s="75">
        <f>IFERROR(TRANSACTIONS!$F1382+TRANSACTIONS!$G1382,"")</f>
        <v>7000</v>
      </c>
      <c r="I1382" s="89" t="s">
        <v>41</v>
      </c>
    </row>
    <row r="1383" spans="1:9" x14ac:dyDescent="0.25">
      <c r="A1383" s="41">
        <v>45341.527636574072</v>
      </c>
      <c r="B1383" s="48">
        <f>IF(A1383&lt;&gt;"",DATE(YEAR(TRANSACTIONS!$A1383),MONTH(TRANSACTIONS!$A1383),DAY(TRANSACTIONS!$A1383)),"")</f>
        <v>45341</v>
      </c>
      <c r="C1383" s="49">
        <f>IF(A1383&lt;&gt;"",TIME(HOUR(TRANSACTIONS!$A1383),MINUTE(TRANSACTIONS!$A1383),SECOND(TRANSACTIONS!$A1383)),"")</f>
        <v>0.52763888888888888</v>
      </c>
      <c r="D1383" s="82" t="s">
        <v>62</v>
      </c>
      <c r="E1383" s="82" t="s">
        <v>7</v>
      </c>
      <c r="F1383" s="94">
        <v>9000</v>
      </c>
      <c r="G1383" s="46"/>
      <c r="H1383" s="46">
        <f>IFERROR(TRANSACTIONS!$F1383+TRANSACTIONS!$G1383,"")</f>
        <v>9000</v>
      </c>
      <c r="I1383" s="57" t="s">
        <v>41</v>
      </c>
    </row>
    <row r="1384" spans="1:9" x14ac:dyDescent="0.25">
      <c r="A1384" s="41">
        <v>45341.5276443287</v>
      </c>
      <c r="B1384" s="48">
        <f>IF(A1384&lt;&gt;"",DATE(YEAR(TRANSACTIONS!$A1384),MONTH(TRANSACTIONS!$A1384),DAY(TRANSACTIONS!$A1384)),"")</f>
        <v>45341</v>
      </c>
      <c r="C1384" s="49">
        <f>IF(A1384&lt;&gt;"",TIME(HOUR(TRANSACTIONS!$A1384),MINUTE(TRANSACTIONS!$A1384),SECOND(TRANSACTIONS!$A1384)),"")</f>
        <v>0.52763888888888888</v>
      </c>
      <c r="D1384" s="82" t="s">
        <v>62</v>
      </c>
      <c r="E1384" s="82" t="s">
        <v>7</v>
      </c>
      <c r="F1384" s="94">
        <v>1000</v>
      </c>
      <c r="G1384" s="46"/>
      <c r="H1384" s="46">
        <f>IFERROR(TRANSACTIONS!$F1384+TRANSACTIONS!$G1384,"")</f>
        <v>1000</v>
      </c>
      <c r="I1384" s="57" t="s">
        <v>41</v>
      </c>
    </row>
    <row r="1385" spans="1:9" x14ac:dyDescent="0.25">
      <c r="A1385" s="41">
        <v>45341.527655902777</v>
      </c>
      <c r="B1385" s="48">
        <f>IF(A1385&lt;&gt;"",DATE(YEAR(TRANSACTIONS!$A1385),MONTH(TRANSACTIONS!$A1385),DAY(TRANSACTIONS!$A1385)),"")</f>
        <v>45341</v>
      </c>
      <c r="C1385" s="49">
        <f>IF(A1385&lt;&gt;"",TIME(HOUR(TRANSACTIONS!$A1385),MINUTE(TRANSACTIONS!$A1385),SECOND(TRANSACTIONS!$A1385)),"")</f>
        <v>0.52765046296296292</v>
      </c>
      <c r="D1385" s="82" t="s">
        <v>62</v>
      </c>
      <c r="E1385" s="82" t="s">
        <v>7</v>
      </c>
      <c r="F1385" s="94">
        <v>20700</v>
      </c>
      <c r="G1385" s="46"/>
      <c r="H1385" s="46">
        <f>IFERROR(TRANSACTIONS!$F1385+TRANSACTIONS!$G1385,"")</f>
        <v>20700</v>
      </c>
      <c r="I1385" s="57" t="s">
        <v>41</v>
      </c>
    </row>
    <row r="1386" spans="1:9" x14ac:dyDescent="0.25">
      <c r="A1386" s="41">
        <v>45341.527711342591</v>
      </c>
      <c r="B1386" s="48">
        <f>IF(A1386&lt;&gt;"",DATE(YEAR(TRANSACTIONS!$A1386),MONTH(TRANSACTIONS!$A1386),DAY(TRANSACTIONS!$A1386)),"")</f>
        <v>45341</v>
      </c>
      <c r="C1386" s="49">
        <f>IF(A1386&lt;&gt;"",TIME(HOUR(TRANSACTIONS!$A1386),MINUTE(TRANSACTIONS!$A1386),SECOND(TRANSACTIONS!$A1386)),"")</f>
        <v>0.52770833333333333</v>
      </c>
      <c r="D1386" s="82" t="s">
        <v>62</v>
      </c>
      <c r="E1386" s="82" t="s">
        <v>6</v>
      </c>
      <c r="F1386" s="94">
        <v>4000</v>
      </c>
      <c r="G1386" s="46"/>
      <c r="H1386" s="46">
        <f>IFERROR(TRANSACTIONS!$F1386+TRANSACTIONS!$G1386,"")</f>
        <v>4000</v>
      </c>
      <c r="I1386" s="57" t="s">
        <v>41</v>
      </c>
    </row>
    <row r="1387" spans="1:9" x14ac:dyDescent="0.25">
      <c r="A1387" s="41">
        <v>45341.52772071759</v>
      </c>
      <c r="B1387" s="48">
        <f>IF(A1387&lt;&gt;"",DATE(YEAR(TRANSACTIONS!$A1387),MONTH(TRANSACTIONS!$A1387),DAY(TRANSACTIONS!$A1387)),"")</f>
        <v>45341</v>
      </c>
      <c r="C1387" s="49">
        <f>IF(A1387&lt;&gt;"",TIME(HOUR(TRANSACTIONS!$A1387),MINUTE(TRANSACTIONS!$A1387),SECOND(TRANSACTIONS!$A1387)),"")</f>
        <v>0.52771990740740737</v>
      </c>
      <c r="D1387" s="82" t="s">
        <v>62</v>
      </c>
      <c r="E1387" s="82" t="s">
        <v>7</v>
      </c>
      <c r="F1387" s="94">
        <v>1000</v>
      </c>
      <c r="G1387" s="46"/>
      <c r="H1387" s="46">
        <f>IFERROR(TRANSACTIONS!$F1387+TRANSACTIONS!$G1387,"")</f>
        <v>1000</v>
      </c>
      <c r="I1387" s="57" t="s">
        <v>41</v>
      </c>
    </row>
    <row r="1388" spans="1:9" x14ac:dyDescent="0.25">
      <c r="A1388" s="41">
        <v>45341.527739004632</v>
      </c>
      <c r="B1388" s="48">
        <f>IF(A1388&lt;&gt;"",DATE(YEAR(TRANSACTIONS!$A1388),MONTH(TRANSACTIONS!$A1388),DAY(TRANSACTIONS!$A1388)),"")</f>
        <v>45341</v>
      </c>
      <c r="C1388" s="49">
        <f>IF(A1388&lt;&gt;"",TIME(HOUR(TRANSACTIONS!$A1388),MINUTE(TRANSACTIONS!$A1388),SECOND(TRANSACTIONS!$A1388)),"")</f>
        <v>0.52774305555555556</v>
      </c>
      <c r="D1388" s="82" t="s">
        <v>62</v>
      </c>
      <c r="E1388" s="82" t="s">
        <v>7</v>
      </c>
      <c r="F1388" s="94">
        <v>2000</v>
      </c>
      <c r="G1388" s="46"/>
      <c r="H1388" s="46">
        <f>IFERROR(TRANSACTIONS!$F1388+TRANSACTIONS!$G1388,"")</f>
        <v>2000</v>
      </c>
      <c r="I1388" s="57" t="s">
        <v>41</v>
      </c>
    </row>
    <row r="1389" spans="1:9" x14ac:dyDescent="0.25">
      <c r="A1389" s="41">
        <v>45341.527748032408</v>
      </c>
      <c r="B1389" s="48">
        <f>IF(A1389&lt;&gt;"",DATE(YEAR(TRANSACTIONS!$A1389),MONTH(TRANSACTIONS!$A1389),DAY(TRANSACTIONS!$A1389)),"")</f>
        <v>45341</v>
      </c>
      <c r="C1389" s="49">
        <f>IF(A1389&lt;&gt;"",TIME(HOUR(TRANSACTIONS!$A1389),MINUTE(TRANSACTIONS!$A1389),SECOND(TRANSACTIONS!$A1389)),"")</f>
        <v>0.52774305555555556</v>
      </c>
      <c r="D1389" s="82" t="s">
        <v>62</v>
      </c>
      <c r="E1389" s="82" t="s">
        <v>7</v>
      </c>
      <c r="F1389" s="94">
        <v>3000</v>
      </c>
      <c r="G1389" s="46"/>
      <c r="H1389" s="46">
        <f>IFERROR(TRANSACTIONS!$F1389+TRANSACTIONS!$G1389,"")</f>
        <v>3000</v>
      </c>
      <c r="I1389" s="57" t="s">
        <v>41</v>
      </c>
    </row>
    <row r="1390" spans="1:9" x14ac:dyDescent="0.25">
      <c r="A1390" s="41">
        <v>45341.527755092589</v>
      </c>
      <c r="B1390" s="48">
        <f>IF(A1390&lt;&gt;"",DATE(YEAR(TRANSACTIONS!$A1390),MONTH(TRANSACTIONS!$A1390),DAY(TRANSACTIONS!$A1390)),"")</f>
        <v>45341</v>
      </c>
      <c r="C1390" s="49">
        <f>IF(A1390&lt;&gt;"",TIME(HOUR(TRANSACTIONS!$A1390),MINUTE(TRANSACTIONS!$A1390),SECOND(TRANSACTIONS!$A1390)),"")</f>
        <v>0.5277546296296296</v>
      </c>
      <c r="D1390" s="82" t="s">
        <v>62</v>
      </c>
      <c r="E1390" s="82" t="s">
        <v>7</v>
      </c>
      <c r="F1390" s="94">
        <v>500</v>
      </c>
      <c r="G1390" s="46"/>
      <c r="H1390" s="46">
        <f>IFERROR(TRANSACTIONS!$F1390+TRANSACTIONS!$G1390,"")</f>
        <v>500</v>
      </c>
      <c r="I1390" s="57" t="s">
        <v>41</v>
      </c>
    </row>
    <row r="1391" spans="1:9" x14ac:dyDescent="0.25">
      <c r="A1391" s="41">
        <v>45341.527763078702</v>
      </c>
      <c r="B1391" s="48">
        <f>IF(A1391&lt;&gt;"",DATE(YEAR(TRANSACTIONS!$A1391),MONTH(TRANSACTIONS!$A1391),DAY(TRANSACTIONS!$A1391)),"")</f>
        <v>45341</v>
      </c>
      <c r="C1391" s="49">
        <f>IF(A1391&lt;&gt;"",TIME(HOUR(TRANSACTIONS!$A1391),MINUTE(TRANSACTIONS!$A1391),SECOND(TRANSACTIONS!$A1391)),"")</f>
        <v>0.52776620370370375</v>
      </c>
      <c r="D1391" s="82" t="s">
        <v>62</v>
      </c>
      <c r="E1391" s="82" t="s">
        <v>7</v>
      </c>
      <c r="F1391" s="94">
        <v>2000</v>
      </c>
      <c r="G1391" s="46"/>
      <c r="H1391" s="46">
        <f>IFERROR(TRANSACTIONS!$F1391+TRANSACTIONS!$G1391,"")</f>
        <v>2000</v>
      </c>
      <c r="I1391" s="57" t="s">
        <v>41</v>
      </c>
    </row>
    <row r="1392" spans="1:9" x14ac:dyDescent="0.25">
      <c r="A1392" s="41">
        <v>45341.527770833331</v>
      </c>
      <c r="B1392" s="48">
        <f>IF(A1392&lt;&gt;"",DATE(YEAR(TRANSACTIONS!$A1392),MONTH(TRANSACTIONS!$A1392),DAY(TRANSACTIONS!$A1392)),"")</f>
        <v>45341</v>
      </c>
      <c r="C1392" s="49">
        <f>IF(A1392&lt;&gt;"",TIME(HOUR(TRANSACTIONS!$A1392),MINUTE(TRANSACTIONS!$A1392),SECOND(TRANSACTIONS!$A1392)),"")</f>
        <v>0.52776620370370375</v>
      </c>
      <c r="D1392" s="82" t="s">
        <v>62</v>
      </c>
      <c r="E1392" s="82" t="s">
        <v>7</v>
      </c>
      <c r="F1392" s="94">
        <v>62000</v>
      </c>
      <c r="G1392" s="46"/>
      <c r="H1392" s="46">
        <f>IFERROR(TRANSACTIONS!$F1392+TRANSACTIONS!$G1392,"")</f>
        <v>62000</v>
      </c>
      <c r="I1392" s="57" t="s">
        <v>41</v>
      </c>
    </row>
    <row r="1393" spans="1:10" x14ac:dyDescent="0.25">
      <c r="A1393" s="81">
        <v>45341.527779745367</v>
      </c>
      <c r="B1393" s="83">
        <f>IF(A1393&lt;&gt;"",DATE(YEAR(TRANSACTIONS!$A1393),MONTH(TRANSACTIONS!$A1393),DAY(TRANSACTIONS!$A1393)),"")</f>
        <v>45341</v>
      </c>
      <c r="C1393" s="84">
        <f>IF(A1393&lt;&gt;"",TIME(HOUR(TRANSACTIONS!$A1393),MINUTE(TRANSACTIONS!$A1393),SECOND(TRANSACTIONS!$A1393)),"")</f>
        <v>0.52777777777777779</v>
      </c>
      <c r="D1393" s="82" t="s">
        <v>62</v>
      </c>
      <c r="E1393" s="82" t="s">
        <v>7</v>
      </c>
      <c r="F1393" s="94">
        <v>11000</v>
      </c>
      <c r="G1393" s="86"/>
      <c r="H1393" s="86">
        <f>IFERROR(TRANSACTIONS!$F1393+TRANSACTIONS!$G1393,"")</f>
        <v>11000</v>
      </c>
      <c r="I1393" s="87" t="s">
        <v>41</v>
      </c>
      <c r="J1393" s="88"/>
    </row>
    <row r="1394" spans="1:10" x14ac:dyDescent="0.25">
      <c r="A1394" s="41">
        <v>45341.527800347219</v>
      </c>
      <c r="B1394" s="48">
        <f>IF(A1394&lt;&gt;"",DATE(YEAR(TRANSACTIONS!$A1394),MONTH(TRANSACTIONS!$A1394),DAY(TRANSACTIONS!$A1394)),"")</f>
        <v>45341</v>
      </c>
      <c r="C1394" s="49">
        <f>IF(A1394&lt;&gt;"",TIME(HOUR(TRANSACTIONS!$A1394),MINUTE(TRANSACTIONS!$A1394),SECOND(TRANSACTIONS!$A1394)),"")</f>
        <v>0.52780092592592587</v>
      </c>
      <c r="D1394" s="82" t="s">
        <v>62</v>
      </c>
      <c r="E1394" s="82" t="s">
        <v>7</v>
      </c>
      <c r="F1394" s="94">
        <v>1000</v>
      </c>
      <c r="G1394" s="46"/>
      <c r="H1394" s="46">
        <f>IFERROR(TRANSACTIONS!$F1394+TRANSACTIONS!$G1394,"")</f>
        <v>1000</v>
      </c>
      <c r="I1394" s="57" t="s">
        <v>41</v>
      </c>
    </row>
    <row r="1395" spans="1:10" x14ac:dyDescent="0.25">
      <c r="A1395" s="41">
        <v>45341.527839236114</v>
      </c>
      <c r="B1395" s="48">
        <f>IF(A1395&lt;&gt;"",DATE(YEAR(TRANSACTIONS!$A1395),MONTH(TRANSACTIONS!$A1395),DAY(TRANSACTIONS!$A1395)),"")</f>
        <v>45341</v>
      </c>
      <c r="C1395" s="49">
        <f>IF(A1395&lt;&gt;"",TIME(HOUR(TRANSACTIONS!$A1395),MINUTE(TRANSACTIONS!$A1395),SECOND(TRANSACTIONS!$A1395)),"")</f>
        <v>0.52783564814814821</v>
      </c>
      <c r="D1395" s="82" t="s">
        <v>62</v>
      </c>
      <c r="E1395" s="82" t="s">
        <v>7</v>
      </c>
      <c r="F1395" s="94">
        <v>1000</v>
      </c>
      <c r="G1395" s="46"/>
      <c r="H1395" s="46">
        <f>IFERROR(TRANSACTIONS!$F1395+TRANSACTIONS!$G1395,"")</f>
        <v>1000</v>
      </c>
      <c r="I1395" s="57" t="s">
        <v>41</v>
      </c>
    </row>
    <row r="1396" spans="1:10" x14ac:dyDescent="0.25">
      <c r="A1396" s="41">
        <v>45341.527852546293</v>
      </c>
      <c r="B1396" s="48">
        <f>IF(A1396&lt;&gt;"",DATE(YEAR(TRANSACTIONS!$A1396),MONTH(TRANSACTIONS!$A1396),DAY(TRANSACTIONS!$A1396)),"")</f>
        <v>45341</v>
      </c>
      <c r="C1396" s="49">
        <f>IF(A1396&lt;&gt;"",TIME(HOUR(TRANSACTIONS!$A1396),MINUTE(TRANSACTIONS!$A1396),SECOND(TRANSACTIONS!$A1396)),"")</f>
        <v>0.52784722222222225</v>
      </c>
      <c r="D1396" s="82" t="s">
        <v>62</v>
      </c>
      <c r="E1396" s="82" t="s">
        <v>6</v>
      </c>
      <c r="F1396" s="94">
        <v>33000</v>
      </c>
      <c r="G1396" s="46"/>
      <c r="H1396" s="46">
        <f>IFERROR(TRANSACTIONS!$F1396+TRANSACTIONS!$G1396,"")</f>
        <v>33000</v>
      </c>
      <c r="I1396" s="57" t="s">
        <v>41</v>
      </c>
    </row>
    <row r="1397" spans="1:10" x14ac:dyDescent="0.25">
      <c r="A1397" s="41">
        <v>45341.527860185182</v>
      </c>
      <c r="B1397" s="48">
        <f>IF(A1397&lt;&gt;"",DATE(YEAR(TRANSACTIONS!$A1397),MONTH(TRANSACTIONS!$A1397),DAY(TRANSACTIONS!$A1397)),"")</f>
        <v>45341</v>
      </c>
      <c r="C1397" s="49">
        <f>IF(A1397&lt;&gt;"",TIME(HOUR(TRANSACTIONS!$A1397),MINUTE(TRANSACTIONS!$A1397),SECOND(TRANSACTIONS!$A1397)),"")</f>
        <v>0.52785879629629628</v>
      </c>
      <c r="D1397" s="82" t="s">
        <v>62</v>
      </c>
      <c r="E1397" s="82" t="s">
        <v>6</v>
      </c>
      <c r="F1397" s="94">
        <v>300000</v>
      </c>
      <c r="G1397" s="46"/>
      <c r="H1397" s="46">
        <f>IFERROR(TRANSACTIONS!$F1397+TRANSACTIONS!$G1397,"")</f>
        <v>300000</v>
      </c>
      <c r="I1397" s="57" t="s">
        <v>41</v>
      </c>
    </row>
    <row r="1398" spans="1:10" x14ac:dyDescent="0.25">
      <c r="A1398" s="41">
        <v>45341.527867824072</v>
      </c>
      <c r="B1398" s="48">
        <f>IF(A1398&lt;&gt;"",DATE(YEAR(TRANSACTIONS!$A1398),MONTH(TRANSACTIONS!$A1398),DAY(TRANSACTIONS!$A1398)),"")</f>
        <v>45341</v>
      </c>
      <c r="C1398" s="49">
        <f>IF(A1398&lt;&gt;"",TIME(HOUR(TRANSACTIONS!$A1398),MINUTE(TRANSACTIONS!$A1398),SECOND(TRANSACTIONS!$A1398)),"")</f>
        <v>0.52787037037037032</v>
      </c>
      <c r="D1398" s="82" t="s">
        <v>25</v>
      </c>
      <c r="E1398" s="82" t="s">
        <v>6</v>
      </c>
      <c r="F1398" s="94">
        <v>2500</v>
      </c>
      <c r="G1398" s="46"/>
      <c r="H1398" s="46">
        <f>IFERROR(TRANSACTIONS!$F1398+TRANSACTIONS!$G1398,"")</f>
        <v>2500</v>
      </c>
      <c r="I1398" s="57" t="s">
        <v>41</v>
      </c>
    </row>
    <row r="1399" spans="1:10" x14ac:dyDescent="0.25">
      <c r="A1399" s="41">
        <v>45341.527875231484</v>
      </c>
      <c r="B1399" s="48">
        <f>IF(A1399&lt;&gt;"",DATE(YEAR(TRANSACTIONS!$A1399),MONTH(TRANSACTIONS!$A1399),DAY(TRANSACTIONS!$A1399)),"")</f>
        <v>45341</v>
      </c>
      <c r="C1399" s="49">
        <f>IF(A1399&lt;&gt;"",TIME(HOUR(TRANSACTIONS!$A1399),MINUTE(TRANSACTIONS!$A1399),SECOND(TRANSACTIONS!$A1399)),"")</f>
        <v>0.52787037037037032</v>
      </c>
      <c r="D1399" s="82" t="s">
        <v>25</v>
      </c>
      <c r="E1399" s="82" t="s">
        <v>6</v>
      </c>
      <c r="F1399" s="94">
        <v>3025</v>
      </c>
      <c r="G1399" s="46"/>
      <c r="H1399" s="46">
        <f>IFERROR(TRANSACTIONS!$F1399+TRANSACTIONS!$G1399,"")</f>
        <v>3025</v>
      </c>
      <c r="I1399" s="57" t="s">
        <v>41</v>
      </c>
    </row>
    <row r="1400" spans="1:10" x14ac:dyDescent="0.25">
      <c r="A1400" s="41">
        <v>45341.527882060182</v>
      </c>
      <c r="B1400" s="48">
        <f>IF(A1400&lt;&gt;"",DATE(YEAR(TRANSACTIONS!$A1400),MONTH(TRANSACTIONS!$A1400),DAY(TRANSACTIONS!$A1400)),"")</f>
        <v>45341</v>
      </c>
      <c r="C1400" s="49">
        <f>IF(A1400&lt;&gt;"",TIME(HOUR(TRANSACTIONS!$A1400),MINUTE(TRANSACTIONS!$A1400),SECOND(TRANSACTIONS!$A1400)),"")</f>
        <v>0.52788194444444447</v>
      </c>
      <c r="D1400" s="82" t="s">
        <v>25</v>
      </c>
      <c r="E1400" s="82" t="s">
        <v>7</v>
      </c>
      <c r="F1400" s="94">
        <v>100000</v>
      </c>
      <c r="G1400" s="46"/>
      <c r="H1400" s="46">
        <f>IFERROR(TRANSACTIONS!$F1400+TRANSACTIONS!$G1400,"")</f>
        <v>100000</v>
      </c>
      <c r="I1400" s="57" t="s">
        <v>41</v>
      </c>
    </row>
    <row r="1401" spans="1:10" x14ac:dyDescent="0.25">
      <c r="A1401" s="41">
        <v>45341.527890393518</v>
      </c>
      <c r="B1401" s="48">
        <f>IF(A1401&lt;&gt;"",DATE(YEAR(TRANSACTIONS!$A1401),MONTH(TRANSACTIONS!$A1401),DAY(TRANSACTIONS!$A1401)),"")</f>
        <v>45341</v>
      </c>
      <c r="C1401" s="49">
        <f>IF(A1401&lt;&gt;"",TIME(HOUR(TRANSACTIONS!$A1401),MINUTE(TRANSACTIONS!$A1401),SECOND(TRANSACTIONS!$A1401)),"")</f>
        <v>0.52789351851851851</v>
      </c>
      <c r="D1401" s="82" t="s">
        <v>25</v>
      </c>
      <c r="E1401" s="82" t="s">
        <v>7</v>
      </c>
      <c r="F1401" s="94">
        <v>50000</v>
      </c>
      <c r="G1401" s="46"/>
      <c r="H1401" s="46">
        <f>IFERROR(TRANSACTIONS!$F1401+TRANSACTIONS!$G1401,"")</f>
        <v>50000</v>
      </c>
      <c r="I1401" s="57" t="s">
        <v>41</v>
      </c>
    </row>
    <row r="1402" spans="1:10" x14ac:dyDescent="0.25">
      <c r="A1402" s="41">
        <v>45341.527897916669</v>
      </c>
      <c r="B1402" s="48">
        <f>IF(A1402&lt;&gt;"",DATE(YEAR(TRANSACTIONS!$A1402),MONTH(TRANSACTIONS!$A1402),DAY(TRANSACTIONS!$A1402)),"")</f>
        <v>45341</v>
      </c>
      <c r="C1402" s="49">
        <f>IF(A1402&lt;&gt;"",TIME(HOUR(TRANSACTIONS!$A1402),MINUTE(TRANSACTIONS!$A1402),SECOND(TRANSACTIONS!$A1402)),"")</f>
        <v>0.52789351851851851</v>
      </c>
      <c r="D1402" s="82" t="s">
        <v>25</v>
      </c>
      <c r="E1402" s="82" t="s">
        <v>6</v>
      </c>
      <c r="F1402" s="94">
        <v>15000</v>
      </c>
      <c r="G1402" s="46"/>
      <c r="H1402" s="46">
        <f>IFERROR(TRANSACTIONS!$F1402+TRANSACTIONS!$G1402,"")</f>
        <v>15000</v>
      </c>
      <c r="I1402" s="57" t="s">
        <v>41</v>
      </c>
    </row>
    <row r="1403" spans="1:10" x14ac:dyDescent="0.25">
      <c r="A1403" s="41">
        <v>45341.528122569442</v>
      </c>
      <c r="B1403" s="48">
        <f>IF(A1403&lt;&gt;"",DATE(YEAR(TRANSACTIONS!$A1403),MONTH(TRANSACTIONS!$A1403),DAY(TRANSACTIONS!$A1403)),"")</f>
        <v>45341</v>
      </c>
      <c r="C1403" s="49">
        <f>IF(A1403&lt;&gt;"",TIME(HOUR(TRANSACTIONS!$A1403),MINUTE(TRANSACTIONS!$A1403),SECOND(TRANSACTIONS!$A1403)),"")</f>
        <v>0.52812500000000007</v>
      </c>
      <c r="D1403" s="82" t="s">
        <v>25</v>
      </c>
      <c r="E1403" s="82" t="s">
        <v>6</v>
      </c>
      <c r="F1403" s="94">
        <v>700</v>
      </c>
      <c r="G1403" s="46"/>
      <c r="H1403" s="46">
        <f>IFERROR(TRANSACTIONS!$F1403+TRANSACTIONS!$G1403,"")</f>
        <v>700</v>
      </c>
      <c r="I1403" s="57" t="s">
        <v>41</v>
      </c>
    </row>
    <row r="1404" spans="1:10" x14ac:dyDescent="0.25">
      <c r="A1404" s="41">
        <v>45341.532284606481</v>
      </c>
      <c r="B1404" s="48">
        <f>IF(A1404&lt;&gt;"",DATE(YEAR(TRANSACTIONS!$A1404),MONTH(TRANSACTIONS!$A1404),DAY(TRANSACTIONS!$A1404)),"")</f>
        <v>45341</v>
      </c>
      <c r="C1404" s="49">
        <f>IF(A1404&lt;&gt;"",TIME(HOUR(TRANSACTIONS!$A1404),MINUTE(TRANSACTIONS!$A1404),SECOND(TRANSACTIONS!$A1404)),"")</f>
        <v>0.53228009259259257</v>
      </c>
      <c r="D1404" s="82" t="s">
        <v>25</v>
      </c>
      <c r="E1404" s="82" t="s">
        <v>6</v>
      </c>
      <c r="F1404" s="94">
        <v>3000</v>
      </c>
      <c r="G1404" s="46"/>
      <c r="H1404" s="46">
        <f>IFERROR(TRANSACTIONS!$F1404+TRANSACTIONS!$G1404,"")</f>
        <v>3000</v>
      </c>
      <c r="I1404" s="57" t="s">
        <v>41</v>
      </c>
    </row>
    <row r="1405" spans="1:10" x14ac:dyDescent="0.25">
      <c r="A1405" s="41">
        <v>45341.532304166663</v>
      </c>
      <c r="B1405" s="48">
        <f>IF(A1405&lt;&gt;"",DATE(YEAR(TRANSACTIONS!$A1405),MONTH(TRANSACTIONS!$A1405),DAY(TRANSACTIONS!$A1405)),"")</f>
        <v>45341</v>
      </c>
      <c r="C1405" s="49">
        <f>IF(A1405&lt;&gt;"",TIME(HOUR(TRANSACTIONS!$A1405),MINUTE(TRANSACTIONS!$A1405),SECOND(TRANSACTIONS!$A1405)),"")</f>
        <v>0.53230324074074076</v>
      </c>
      <c r="D1405" s="82" t="s">
        <v>25</v>
      </c>
      <c r="E1405" s="82" t="s">
        <v>6</v>
      </c>
      <c r="F1405" s="94">
        <v>34000</v>
      </c>
      <c r="G1405" s="46"/>
      <c r="H1405" s="46">
        <f>IFERROR(TRANSACTIONS!$F1405+TRANSACTIONS!$G1405,"")</f>
        <v>34000</v>
      </c>
      <c r="I1405" s="57" t="s">
        <v>41</v>
      </c>
    </row>
    <row r="1406" spans="1:10" x14ac:dyDescent="0.25">
      <c r="A1406" s="41">
        <v>45341.532353125003</v>
      </c>
      <c r="B1406" s="48">
        <f>IF(A1406&lt;&gt;"",DATE(YEAR(TRANSACTIONS!$A1406),MONTH(TRANSACTIONS!$A1406),DAY(TRANSACTIONS!$A1406)),"")</f>
        <v>45341</v>
      </c>
      <c r="C1406" s="49">
        <f>IF(A1406&lt;&gt;"",TIME(HOUR(TRANSACTIONS!$A1406),MINUTE(TRANSACTIONS!$A1406),SECOND(TRANSACTIONS!$A1406)),"")</f>
        <v>0.53234953703703702</v>
      </c>
      <c r="D1406" s="82" t="s">
        <v>25</v>
      </c>
      <c r="E1406" s="82" t="s">
        <v>6</v>
      </c>
      <c r="F1406" s="94">
        <v>500</v>
      </c>
      <c r="G1406" s="46"/>
      <c r="H1406" s="46">
        <f>IFERROR(TRANSACTIONS!$F1406+TRANSACTIONS!$G1406,"")</f>
        <v>500</v>
      </c>
      <c r="I1406" s="57" t="s">
        <v>41</v>
      </c>
    </row>
    <row r="1407" spans="1:10" x14ac:dyDescent="0.25">
      <c r="A1407" s="41">
        <v>45341.532366550928</v>
      </c>
      <c r="B1407" s="48">
        <f>IF(A1407&lt;&gt;"",DATE(YEAR(TRANSACTIONS!$A1407),MONTH(TRANSACTIONS!$A1407),DAY(TRANSACTIONS!$A1407)),"")</f>
        <v>45341</v>
      </c>
      <c r="C1407" s="49">
        <f>IF(A1407&lt;&gt;"",TIME(HOUR(TRANSACTIONS!$A1407),MINUTE(TRANSACTIONS!$A1407),SECOND(TRANSACTIONS!$A1407)),"")</f>
        <v>0.53236111111111117</v>
      </c>
      <c r="D1407" s="82" t="s">
        <v>25</v>
      </c>
      <c r="E1407" s="82" t="s">
        <v>6</v>
      </c>
      <c r="F1407" s="94">
        <v>2000</v>
      </c>
      <c r="G1407" s="46"/>
      <c r="H1407" s="46">
        <f>IFERROR(TRANSACTIONS!$F1407+TRANSACTIONS!$G1407,"")</f>
        <v>2000</v>
      </c>
      <c r="I1407" s="57" t="s">
        <v>41</v>
      </c>
    </row>
    <row r="1408" spans="1:10" x14ac:dyDescent="0.25">
      <c r="A1408" s="41">
        <v>45341.532374884257</v>
      </c>
      <c r="B1408" s="114">
        <f>IF(A1408&lt;&gt;"",DATE(YEAR(TRANSACTIONS!$A1408),MONTH(TRANSACTIONS!$A1408),DAY(TRANSACTIONS!$A1408)),"")</f>
        <v>45341</v>
      </c>
      <c r="C1408" s="115">
        <f>IF(A1408&lt;&gt;"",TIME(HOUR(TRANSACTIONS!$A1408),MINUTE(TRANSACTIONS!$A1408),SECOND(TRANSACTIONS!$A1408)),"")</f>
        <v>0.53237268518518521</v>
      </c>
      <c r="D1408" s="82" t="s">
        <v>25</v>
      </c>
      <c r="E1408" s="179" t="s">
        <v>6</v>
      </c>
      <c r="F1408" s="94">
        <v>1300</v>
      </c>
      <c r="G1408" s="117"/>
      <c r="H1408" s="117">
        <f>IFERROR(TRANSACTIONS!$F1408+TRANSACTIONS!$G1408,"")</f>
        <v>1300</v>
      </c>
      <c r="I1408" s="123" t="s">
        <v>41</v>
      </c>
    </row>
    <row r="1409" spans="1:9" x14ac:dyDescent="0.25">
      <c r="A1409" s="41">
        <v>45341.532382291669</v>
      </c>
      <c r="B1409" s="48">
        <f>IF(A1409&lt;&gt;"",DATE(YEAR(TRANSACTIONS!$A1409),MONTH(TRANSACTIONS!$A1409),DAY(TRANSACTIONS!$A1409)),"")</f>
        <v>45341</v>
      </c>
      <c r="C1409" s="49">
        <f>IF(A1409&lt;&gt;"",TIME(HOUR(TRANSACTIONS!$A1409),MINUTE(TRANSACTIONS!$A1409),SECOND(TRANSACTIONS!$A1409)),"")</f>
        <v>0.53238425925925925</v>
      </c>
      <c r="D1409" s="82" t="s">
        <v>25</v>
      </c>
      <c r="E1409" s="82" t="s">
        <v>6</v>
      </c>
      <c r="F1409" s="94">
        <v>300</v>
      </c>
      <c r="G1409" s="46"/>
      <c r="H1409" s="46">
        <f>IFERROR(TRANSACTIONS!$F1409+TRANSACTIONS!$G1409,"")</f>
        <v>300</v>
      </c>
      <c r="I1409" s="57" t="s">
        <v>41</v>
      </c>
    </row>
    <row r="1410" spans="1:9" x14ac:dyDescent="0.25">
      <c r="A1410" s="41">
        <v>45341.532397453702</v>
      </c>
      <c r="B1410" s="48">
        <f>IF(A1410&lt;&gt;"",DATE(YEAR(TRANSACTIONS!$A1410),MONTH(TRANSACTIONS!$A1410),DAY(TRANSACTIONS!$A1410)),"")</f>
        <v>45341</v>
      </c>
      <c r="C1410" s="49">
        <f>IF(A1410&lt;&gt;"",TIME(HOUR(TRANSACTIONS!$A1410),MINUTE(TRANSACTIONS!$A1410),SECOND(TRANSACTIONS!$A1410)),"")</f>
        <v>0.53239583333333329</v>
      </c>
      <c r="D1410" s="82" t="s">
        <v>25</v>
      </c>
      <c r="E1410" s="82" t="s">
        <v>6</v>
      </c>
      <c r="F1410" s="94">
        <v>1500</v>
      </c>
      <c r="G1410" s="46"/>
      <c r="H1410" s="46">
        <f>IFERROR(TRANSACTIONS!$F1410+TRANSACTIONS!$G1410,"")</f>
        <v>1500</v>
      </c>
      <c r="I1410" s="57" t="s">
        <v>41</v>
      </c>
    </row>
    <row r="1411" spans="1:9" x14ac:dyDescent="0.25">
      <c r="A1411" s="41">
        <v>45341.532405555554</v>
      </c>
      <c r="B1411" s="48">
        <f>IF(A1411&lt;&gt;"",DATE(YEAR(TRANSACTIONS!$A1411),MONTH(TRANSACTIONS!$A1411),DAY(TRANSACTIONS!$A1411)),"")</f>
        <v>45341</v>
      </c>
      <c r="C1411" s="49">
        <f>IF(A1411&lt;&gt;"",TIME(HOUR(TRANSACTIONS!$A1411),MINUTE(TRANSACTIONS!$A1411),SECOND(TRANSACTIONS!$A1411)),"")</f>
        <v>0.53240740740740744</v>
      </c>
      <c r="D1411" s="82" t="s">
        <v>25</v>
      </c>
      <c r="E1411" s="82" t="s">
        <v>7</v>
      </c>
      <c r="F1411" s="94">
        <v>2000</v>
      </c>
      <c r="G1411" s="46"/>
      <c r="H1411" s="46">
        <f>IFERROR(TRANSACTIONS!$F1411+TRANSACTIONS!$G1411,"")</f>
        <v>2000</v>
      </c>
      <c r="I1411" s="57" t="s">
        <v>41</v>
      </c>
    </row>
    <row r="1412" spans="1:9" x14ac:dyDescent="0.25">
      <c r="A1412" s="41">
        <v>45341.53241388889</v>
      </c>
      <c r="B1412" s="48">
        <f>IF(A1412&lt;&gt;"",DATE(YEAR(TRANSACTIONS!$A1412),MONTH(TRANSACTIONS!$A1412),DAY(TRANSACTIONS!$A1412)),"")</f>
        <v>45341</v>
      </c>
      <c r="C1412" s="49">
        <f>IF(A1412&lt;&gt;"",TIME(HOUR(TRANSACTIONS!$A1412),MINUTE(TRANSACTIONS!$A1412),SECOND(TRANSACTIONS!$A1412)),"")</f>
        <v>0.53241898148148148</v>
      </c>
      <c r="D1412" s="82" t="s">
        <v>62</v>
      </c>
      <c r="E1412" s="82" t="s">
        <v>7</v>
      </c>
      <c r="F1412" s="94">
        <v>3000</v>
      </c>
      <c r="G1412" s="46"/>
      <c r="H1412" s="46">
        <f>IFERROR(TRANSACTIONS!$F1412+TRANSACTIONS!$G1412,"")</f>
        <v>3000</v>
      </c>
      <c r="I1412" s="57" t="s">
        <v>41</v>
      </c>
    </row>
    <row r="1413" spans="1:9" x14ac:dyDescent="0.25">
      <c r="A1413" s="41">
        <v>45341.532421990742</v>
      </c>
      <c r="B1413" s="48">
        <f>IF(A1413&lt;&gt;"",DATE(YEAR(TRANSACTIONS!$A1413),MONTH(TRANSACTIONS!$A1413),DAY(TRANSACTIONS!$A1413)),"")</f>
        <v>45341</v>
      </c>
      <c r="C1413" s="49">
        <f>IF(A1413&lt;&gt;"",TIME(HOUR(TRANSACTIONS!$A1413),MINUTE(TRANSACTIONS!$A1413),SECOND(TRANSACTIONS!$A1413)),"")</f>
        <v>0.53241898148148148</v>
      </c>
      <c r="D1413" s="82" t="s">
        <v>62</v>
      </c>
      <c r="E1413" s="82" t="s">
        <v>7</v>
      </c>
      <c r="F1413" s="94">
        <v>5000</v>
      </c>
      <c r="G1413" s="46"/>
      <c r="H1413" s="46">
        <f>IFERROR(TRANSACTIONS!$F1413+TRANSACTIONS!$G1413,"")</f>
        <v>5000</v>
      </c>
      <c r="I1413" s="57" t="s">
        <v>41</v>
      </c>
    </row>
    <row r="1414" spans="1:9" x14ac:dyDescent="0.25">
      <c r="A1414" s="41">
        <v>45341.532475578701</v>
      </c>
      <c r="B1414" s="48">
        <f>IF(A1414&lt;&gt;"",DATE(YEAR(TRANSACTIONS!$A1414),MONTH(TRANSACTIONS!$A1414),DAY(TRANSACTIONS!$A1414)),"")</f>
        <v>45341</v>
      </c>
      <c r="C1414" s="49">
        <f>IF(A1414&lt;&gt;"",TIME(HOUR(TRANSACTIONS!$A1414),MINUTE(TRANSACTIONS!$A1414),SECOND(TRANSACTIONS!$A1414)),"")</f>
        <v>0.53247685185185178</v>
      </c>
      <c r="D1414" s="82" t="s">
        <v>62</v>
      </c>
      <c r="E1414" s="82" t="s">
        <v>6</v>
      </c>
      <c r="F1414" s="94">
        <v>4000</v>
      </c>
      <c r="G1414" s="46"/>
      <c r="H1414" s="46">
        <f>IFERROR(TRANSACTIONS!$F1414+TRANSACTIONS!$G1414,"")</f>
        <v>4000</v>
      </c>
      <c r="I1414" s="57" t="s">
        <v>41</v>
      </c>
    </row>
    <row r="1415" spans="1:9" x14ac:dyDescent="0.25">
      <c r="A1415" s="41">
        <v>45341.646755787035</v>
      </c>
      <c r="B1415" s="48">
        <f>IF(A1415&lt;&gt;"",DATE(YEAR(TRANSACTIONS!$A1415),MONTH(TRANSACTIONS!$A1415),DAY(TRANSACTIONS!$A1415)),"")</f>
        <v>45341</v>
      </c>
      <c r="C1415" s="49">
        <f>IF(A1415&lt;&gt;"",TIME(HOUR(TRANSACTIONS!$A1415),MINUTE(TRANSACTIONS!$A1415),SECOND(TRANSACTIONS!$A1415)),"")</f>
        <v>0.64675925925925926</v>
      </c>
      <c r="D1415" s="82" t="s">
        <v>62</v>
      </c>
      <c r="E1415" s="82" t="s">
        <v>6</v>
      </c>
      <c r="F1415" s="94">
        <v>1000</v>
      </c>
      <c r="G1415" s="46"/>
      <c r="H1415" s="46">
        <f>IFERROR(TRANSACTIONS!$F1415+TRANSACTIONS!$G1415,"")</f>
        <v>1000</v>
      </c>
      <c r="I1415" s="57" t="s">
        <v>41</v>
      </c>
    </row>
    <row r="1416" spans="1:9" ht="15" customHeight="1" x14ac:dyDescent="0.25">
      <c r="A1416" s="41">
        <v>45341.646784490738</v>
      </c>
      <c r="B1416" s="48">
        <f>IF(A1416&lt;&gt;"",DATE(YEAR(TRANSACTIONS!$A1416),MONTH(TRANSACTIONS!$A1416),DAY(TRANSACTIONS!$A1416)),"")</f>
        <v>45341</v>
      </c>
      <c r="C1416" s="49">
        <f>IF(A1416&lt;&gt;"",TIME(HOUR(TRANSACTIONS!$A1416),MINUTE(TRANSACTIONS!$A1416),SECOND(TRANSACTIONS!$A1416)),"")</f>
        <v>0.64678240740740744</v>
      </c>
      <c r="D1416" s="82" t="s">
        <v>62</v>
      </c>
      <c r="E1416" s="82" t="s">
        <v>7</v>
      </c>
      <c r="F1416" s="94">
        <v>2000</v>
      </c>
      <c r="G1416" s="46"/>
      <c r="H1416" s="46">
        <f>IFERROR(TRANSACTIONS!$F1416+TRANSACTIONS!$G1416,"")</f>
        <v>2000</v>
      </c>
      <c r="I1416" s="57" t="s">
        <v>41</v>
      </c>
    </row>
    <row r="1417" spans="1:9" x14ac:dyDescent="0.25">
      <c r="A1417" s="41">
        <v>45341.646794097222</v>
      </c>
      <c r="B1417" s="48">
        <f>IF(A1417&lt;&gt;"",DATE(YEAR(TRANSACTIONS!$A1417),MONTH(TRANSACTIONS!$A1417),DAY(TRANSACTIONS!$A1417)),"")</f>
        <v>45341</v>
      </c>
      <c r="C1417" s="49">
        <f>IF(A1417&lt;&gt;"",TIME(HOUR(TRANSACTIONS!$A1417),MINUTE(TRANSACTIONS!$A1417),SECOND(TRANSACTIONS!$A1417)),"")</f>
        <v>0.64679398148148148</v>
      </c>
      <c r="D1417" s="82" t="s">
        <v>62</v>
      </c>
      <c r="E1417" s="82" t="s">
        <v>7</v>
      </c>
      <c r="F1417" s="94">
        <v>10000</v>
      </c>
      <c r="G1417" s="46"/>
      <c r="H1417" s="46">
        <f>IFERROR(TRANSACTIONS!$F1417+TRANSACTIONS!$G1417,"")</f>
        <v>10000</v>
      </c>
      <c r="I1417" s="57" t="s">
        <v>41</v>
      </c>
    </row>
    <row r="1418" spans="1:9" x14ac:dyDescent="0.25">
      <c r="A1418" s="41">
        <v>45341.646802662035</v>
      </c>
      <c r="B1418" s="48">
        <f>IF(A1418&lt;&gt;"",DATE(YEAR(TRANSACTIONS!$A1418),MONTH(TRANSACTIONS!$A1418),DAY(TRANSACTIONS!$A1418)),"")</f>
        <v>45341</v>
      </c>
      <c r="C1418" s="49">
        <f>IF(A1418&lt;&gt;"",TIME(HOUR(TRANSACTIONS!$A1418),MINUTE(TRANSACTIONS!$A1418),SECOND(TRANSACTIONS!$A1418)),"")</f>
        <v>0.64680555555555552</v>
      </c>
      <c r="D1418" s="82" t="s">
        <v>62</v>
      </c>
      <c r="E1418" s="82" t="s">
        <v>7</v>
      </c>
      <c r="F1418" s="94">
        <v>9000</v>
      </c>
      <c r="G1418" s="46"/>
      <c r="H1418" s="46">
        <f>IFERROR(TRANSACTIONS!$F1418+TRANSACTIONS!$G1418,"")</f>
        <v>9000</v>
      </c>
      <c r="I1418" s="57" t="s">
        <v>41</v>
      </c>
    </row>
    <row r="1419" spans="1:9" x14ac:dyDescent="0.25">
      <c r="A1419" s="41">
        <v>45341.648476041664</v>
      </c>
      <c r="B1419" s="48">
        <f>IF(A1419&lt;&gt;"",DATE(YEAR(TRANSACTIONS!$A1419),MONTH(TRANSACTIONS!$A1419),DAY(TRANSACTIONS!$A1419)),"")</f>
        <v>45341</v>
      </c>
      <c r="C1419" s="49">
        <f>IF(A1419&lt;&gt;"",TIME(HOUR(TRANSACTIONS!$A1419),MINUTE(TRANSACTIONS!$A1419),SECOND(TRANSACTIONS!$A1419)),"")</f>
        <v>0.64847222222222223</v>
      </c>
      <c r="D1419" s="82" t="s">
        <v>62</v>
      </c>
      <c r="E1419" s="82" t="s">
        <v>7</v>
      </c>
      <c r="F1419" s="94">
        <v>2000</v>
      </c>
      <c r="G1419" s="46"/>
      <c r="H1419" s="46">
        <f>IFERROR(TRANSACTIONS!$F1419+TRANSACTIONS!$G1419,"")</f>
        <v>2000</v>
      </c>
      <c r="I1419" s="57" t="s">
        <v>41</v>
      </c>
    </row>
    <row r="1420" spans="1:9" x14ac:dyDescent="0.25">
      <c r="A1420" s="41">
        <v>45341.648507175923</v>
      </c>
      <c r="B1420" s="48">
        <f>IF(A1420&lt;&gt;"",DATE(YEAR(TRANSACTIONS!$A1420),MONTH(TRANSACTIONS!$A1420),DAY(TRANSACTIONS!$A1420)),"")</f>
        <v>45341</v>
      </c>
      <c r="C1420" s="49">
        <f>IF(A1420&lt;&gt;"",TIME(HOUR(TRANSACTIONS!$A1420),MINUTE(TRANSACTIONS!$A1420),SECOND(TRANSACTIONS!$A1420)),"")</f>
        <v>0.64850694444444446</v>
      </c>
      <c r="D1420" s="82" t="s">
        <v>62</v>
      </c>
      <c r="E1420" s="82" t="s">
        <v>7</v>
      </c>
      <c r="F1420" s="94">
        <v>400</v>
      </c>
      <c r="G1420" s="46"/>
      <c r="H1420" s="46">
        <f>IFERROR(TRANSACTIONS!$F1420+TRANSACTIONS!$G1420,"")</f>
        <v>400</v>
      </c>
      <c r="I1420" s="57" t="s">
        <v>41</v>
      </c>
    </row>
    <row r="1421" spans="1:9" x14ac:dyDescent="0.25">
      <c r="A1421" s="41">
        <v>45341.64853298611</v>
      </c>
      <c r="B1421" s="48">
        <f>IF(A1421&lt;&gt;"",DATE(YEAR(TRANSACTIONS!$A1421),MONTH(TRANSACTIONS!$A1421),DAY(TRANSACTIONS!$A1421)),"")</f>
        <v>45341</v>
      </c>
      <c r="C1421" s="49">
        <f>IF(A1421&lt;&gt;"",TIME(HOUR(TRANSACTIONS!$A1421),MINUTE(TRANSACTIONS!$A1421),SECOND(TRANSACTIONS!$A1421)),"")</f>
        <v>0.64853009259259264</v>
      </c>
      <c r="D1421" s="82" t="s">
        <v>62</v>
      </c>
      <c r="E1421" s="82" t="s">
        <v>6</v>
      </c>
      <c r="F1421" s="94">
        <v>13000</v>
      </c>
      <c r="G1421" s="46"/>
      <c r="H1421" s="46">
        <f>IFERROR(TRANSACTIONS!$F1421+TRANSACTIONS!$G1421,"")</f>
        <v>13000</v>
      </c>
      <c r="I1421" s="57" t="s">
        <v>41</v>
      </c>
    </row>
    <row r="1422" spans="1:9" x14ac:dyDescent="0.25">
      <c r="A1422" s="41">
        <v>45341.648515624998</v>
      </c>
      <c r="B1422" s="48">
        <f>IF(A1422&lt;&gt;"",DATE(YEAR(TRANSACTIONS!$A1422),MONTH(TRANSACTIONS!$A1422),DAY(TRANSACTIONS!$A1422)),"")</f>
        <v>45341</v>
      </c>
      <c r="C1422" s="49">
        <f>IF(A1422&lt;&gt;"",TIME(HOUR(TRANSACTIONS!$A1422),MINUTE(TRANSACTIONS!$A1422),SECOND(TRANSACTIONS!$A1422)),"")</f>
        <v>0.64851851851851849</v>
      </c>
      <c r="D1422" s="82" t="s">
        <v>62</v>
      </c>
      <c r="E1422" s="82" t="s">
        <v>6</v>
      </c>
      <c r="F1422" s="94">
        <v>18000</v>
      </c>
      <c r="G1422" s="46"/>
      <c r="H1422" s="46">
        <f>IFERROR(TRANSACTIONS!$F1422+TRANSACTIONS!$G1422,"")</f>
        <v>18000</v>
      </c>
      <c r="I1422" s="57" t="s">
        <v>41</v>
      </c>
    </row>
    <row r="1423" spans="1:9" x14ac:dyDescent="0.25">
      <c r="A1423" s="41">
        <v>45341.648545138887</v>
      </c>
      <c r="B1423" s="48">
        <f>IF(A1423&lt;&gt;"",DATE(YEAR(TRANSACTIONS!$A1423),MONTH(TRANSACTIONS!$A1423),DAY(TRANSACTIONS!$A1423)),"")</f>
        <v>45341</v>
      </c>
      <c r="C1423" s="49">
        <f>IF(A1423&lt;&gt;"",TIME(HOUR(TRANSACTIONS!$A1423),MINUTE(TRANSACTIONS!$A1423),SECOND(TRANSACTIONS!$A1423)),"")</f>
        <v>0.64854166666666668</v>
      </c>
      <c r="D1423" s="82" t="s">
        <v>62</v>
      </c>
      <c r="E1423" s="82" t="s">
        <v>7</v>
      </c>
      <c r="F1423" s="94">
        <v>5000</v>
      </c>
      <c r="G1423" s="46"/>
      <c r="H1423" s="46">
        <f>IFERROR(TRANSACTIONS!$F1423+TRANSACTIONS!$G1423,"")</f>
        <v>5000</v>
      </c>
      <c r="I1423" s="57" t="s">
        <v>41</v>
      </c>
    </row>
    <row r="1424" spans="1:9" x14ac:dyDescent="0.25">
      <c r="A1424" s="41">
        <v>45341.648559374997</v>
      </c>
      <c r="B1424" s="48">
        <f>IF(A1424&lt;&gt;"",DATE(YEAR(TRANSACTIONS!$A1424),MONTH(TRANSACTIONS!$A1424),DAY(TRANSACTIONS!$A1424)),"")</f>
        <v>45341</v>
      </c>
      <c r="C1424" s="49">
        <f>IF(A1424&lt;&gt;"",TIME(HOUR(TRANSACTIONS!$A1424),MINUTE(TRANSACTIONS!$A1424),SECOND(TRANSACTIONS!$A1424)),"")</f>
        <v>0.64856481481481476</v>
      </c>
      <c r="D1424" s="82" t="s">
        <v>62</v>
      </c>
      <c r="E1424" s="82" t="s">
        <v>6</v>
      </c>
      <c r="F1424" s="94">
        <v>2100</v>
      </c>
      <c r="G1424" s="46"/>
      <c r="H1424" s="46">
        <f>IFERROR(TRANSACTIONS!$F1424+TRANSACTIONS!$G1424,"")</f>
        <v>2100</v>
      </c>
      <c r="I1424" s="57" t="s">
        <v>41</v>
      </c>
    </row>
    <row r="1425" spans="1:9" x14ac:dyDescent="0.25">
      <c r="A1425" s="41">
        <v>45341.648567013886</v>
      </c>
      <c r="B1425" s="114">
        <f>IF(A1425&lt;&gt;"",DATE(YEAR(TRANSACTIONS!$A1425),MONTH(TRANSACTIONS!$A1425),DAY(TRANSACTIONS!$A1425)),"")</f>
        <v>45341</v>
      </c>
      <c r="C1425" s="115">
        <f>IF(A1425&lt;&gt;"",TIME(HOUR(TRANSACTIONS!$A1425),MINUTE(TRANSACTIONS!$A1425),SECOND(TRANSACTIONS!$A1425)),"")</f>
        <v>0.64856481481481476</v>
      </c>
      <c r="D1425" s="82" t="s">
        <v>62</v>
      </c>
      <c r="E1425" s="82" t="s">
        <v>7</v>
      </c>
      <c r="F1425" s="94">
        <v>11500</v>
      </c>
      <c r="G1425" s="117"/>
      <c r="H1425" s="117">
        <f>IFERROR(TRANSACTIONS!$F1425+TRANSACTIONS!$G1425,"")</f>
        <v>11500</v>
      </c>
      <c r="I1425" s="123" t="s">
        <v>41</v>
      </c>
    </row>
    <row r="1426" spans="1:9" x14ac:dyDescent="0.25">
      <c r="A1426" s="41">
        <v>45341.648574999999</v>
      </c>
      <c r="B1426" s="48">
        <f>IF(A1426&lt;&gt;"",DATE(YEAR(TRANSACTIONS!$A1426),MONTH(TRANSACTIONS!$A1426),DAY(TRANSACTIONS!$A1426)),"")</f>
        <v>45341</v>
      </c>
      <c r="C1426" s="49">
        <f>IF(A1426&lt;&gt;"",TIME(HOUR(TRANSACTIONS!$A1426),MINUTE(TRANSACTIONS!$A1426),SECOND(TRANSACTIONS!$A1426)),"")</f>
        <v>0.64857638888888891</v>
      </c>
      <c r="D1426" s="82" t="s">
        <v>62</v>
      </c>
      <c r="E1426" s="82" t="s">
        <v>6</v>
      </c>
      <c r="F1426" s="94">
        <v>5000</v>
      </c>
      <c r="G1426" s="46"/>
      <c r="H1426" s="46">
        <f>IFERROR(TRANSACTIONS!$F1426+TRANSACTIONS!$G1426,"")</f>
        <v>5000</v>
      </c>
      <c r="I1426" s="57" t="s">
        <v>41</v>
      </c>
    </row>
    <row r="1427" spans="1:9" x14ac:dyDescent="0.25">
      <c r="A1427" s="41">
        <v>45341.648589583332</v>
      </c>
      <c r="B1427" s="48">
        <f>IF(A1427&lt;&gt;"",DATE(YEAR(TRANSACTIONS!$A1427),MONTH(TRANSACTIONS!$A1427),DAY(TRANSACTIONS!$A1427)),"")</f>
        <v>45341</v>
      </c>
      <c r="C1427" s="49">
        <f>IF(A1427&lt;&gt;"",TIME(HOUR(TRANSACTIONS!$A1427),MINUTE(TRANSACTIONS!$A1427),SECOND(TRANSACTIONS!$A1427)),"")</f>
        <v>0.64858796296296295</v>
      </c>
      <c r="D1427" s="82" t="s">
        <v>62</v>
      </c>
      <c r="E1427" s="82" t="s">
        <v>7</v>
      </c>
      <c r="F1427" s="94">
        <v>160000</v>
      </c>
      <c r="G1427" s="46"/>
      <c r="H1427" s="46">
        <f>IFERROR(TRANSACTIONS!$F1427+TRANSACTIONS!$G1427,"")</f>
        <v>160000</v>
      </c>
      <c r="I1427" s="57" t="s">
        <v>41</v>
      </c>
    </row>
    <row r="1428" spans="1:9" x14ac:dyDescent="0.25">
      <c r="A1428" s="41">
        <v>45341.64860335648</v>
      </c>
      <c r="B1428" s="48">
        <f>IF(A1428&lt;&gt;"",DATE(YEAR(TRANSACTIONS!$A1428),MONTH(TRANSACTIONS!$A1428),DAY(TRANSACTIONS!$A1428)),"")</f>
        <v>45341</v>
      </c>
      <c r="C1428" s="49">
        <f>IF(A1428&lt;&gt;"",TIME(HOUR(TRANSACTIONS!$A1428),MINUTE(TRANSACTIONS!$A1428),SECOND(TRANSACTIONS!$A1428)),"")</f>
        <v>0.6485995370370371</v>
      </c>
      <c r="D1428" s="82" t="s">
        <v>62</v>
      </c>
      <c r="E1428" s="82" t="s">
        <v>7</v>
      </c>
      <c r="F1428" s="94">
        <v>14500</v>
      </c>
      <c r="G1428" s="46"/>
      <c r="H1428" s="46">
        <f>IFERROR(TRANSACTIONS!$F1428+TRANSACTIONS!$G1428,"")</f>
        <v>14500</v>
      </c>
      <c r="I1428" s="57" t="s">
        <v>41</v>
      </c>
    </row>
    <row r="1429" spans="1:9" x14ac:dyDescent="0.25">
      <c r="A1429" s="41">
        <v>45341.648611689816</v>
      </c>
      <c r="B1429" s="48">
        <f>IF(A1429&lt;&gt;"",DATE(YEAR(TRANSACTIONS!$A1429),MONTH(TRANSACTIONS!$A1429),DAY(TRANSACTIONS!$A1429)),"")</f>
        <v>45341</v>
      </c>
      <c r="C1429" s="49">
        <f>IF(A1429&lt;&gt;"",TIME(HOUR(TRANSACTIONS!$A1429),MINUTE(TRANSACTIONS!$A1429),SECOND(TRANSACTIONS!$A1429)),"")</f>
        <v>0.64861111111111114</v>
      </c>
      <c r="D1429" s="82" t="s">
        <v>62</v>
      </c>
      <c r="E1429" s="82" t="s">
        <v>6</v>
      </c>
      <c r="F1429" s="94">
        <v>5000</v>
      </c>
      <c r="G1429" s="46"/>
      <c r="H1429" s="46">
        <f>IFERROR(TRANSACTIONS!$F1429+TRANSACTIONS!$G1429,"")</f>
        <v>5000</v>
      </c>
      <c r="I1429" s="57" t="s">
        <v>41</v>
      </c>
    </row>
    <row r="1430" spans="1:9" x14ac:dyDescent="0.25">
      <c r="A1430" s="41">
        <v>45341.648635185185</v>
      </c>
      <c r="B1430" s="48">
        <f>IF(A1430&lt;&gt;"",DATE(YEAR(TRANSACTIONS!$A1430),MONTH(TRANSACTIONS!$A1430),DAY(TRANSACTIONS!$A1430)),"")</f>
        <v>45341</v>
      </c>
      <c r="C1430" s="49">
        <f>IF(A1430&lt;&gt;"",TIME(HOUR(TRANSACTIONS!$A1430),MINUTE(TRANSACTIONS!$A1430),SECOND(TRANSACTIONS!$A1430)),"")</f>
        <v>0.64863425925925922</v>
      </c>
      <c r="D1430" s="82" t="s">
        <v>62</v>
      </c>
      <c r="E1430" s="82" t="s">
        <v>6</v>
      </c>
      <c r="F1430" s="94">
        <v>5000</v>
      </c>
      <c r="G1430" s="46"/>
      <c r="H1430" s="46">
        <f>IFERROR(TRANSACTIONS!$F1430+TRANSACTIONS!$G1430,"")</f>
        <v>5000</v>
      </c>
      <c r="I1430" s="57" t="s">
        <v>41</v>
      </c>
    </row>
    <row r="1431" spans="1:9" x14ac:dyDescent="0.25">
      <c r="A1431" s="41">
        <v>45341.648660995372</v>
      </c>
      <c r="B1431" s="48">
        <f>IF(A1431&lt;&gt;"",DATE(YEAR(TRANSACTIONS!$A1431),MONTH(TRANSACTIONS!$A1431),DAY(TRANSACTIONS!$A1431)),"")</f>
        <v>45341</v>
      </c>
      <c r="C1431" s="49">
        <f>IF(A1431&lt;&gt;"",TIME(HOUR(TRANSACTIONS!$A1431),MINUTE(TRANSACTIONS!$A1431),SECOND(TRANSACTIONS!$A1431)),"")</f>
        <v>0.6486574074074074</v>
      </c>
      <c r="D1431" s="82" t="s">
        <v>62</v>
      </c>
      <c r="E1431" s="82" t="s">
        <v>7</v>
      </c>
      <c r="F1431" s="94">
        <v>1000</v>
      </c>
      <c r="G1431" s="46"/>
      <c r="H1431" s="46">
        <f>IFERROR(TRANSACTIONS!$F1431+TRANSACTIONS!$G1431,"")</f>
        <v>1000</v>
      </c>
      <c r="I1431" s="57" t="s">
        <v>41</v>
      </c>
    </row>
    <row r="1432" spans="1:9" x14ac:dyDescent="0.25">
      <c r="A1432" s="41">
        <v>45341.64867534722</v>
      </c>
      <c r="B1432" s="48">
        <f>IF(A1432&lt;&gt;"",DATE(YEAR(TRANSACTIONS!$A1432),MONTH(TRANSACTIONS!$A1432),DAY(TRANSACTIONS!$A1432)),"")</f>
        <v>45341</v>
      </c>
      <c r="C1432" s="49">
        <f>IF(A1432&lt;&gt;"",TIME(HOUR(TRANSACTIONS!$A1432),MINUTE(TRANSACTIONS!$A1432),SECOND(TRANSACTIONS!$A1432)),"")</f>
        <v>0.64868055555555559</v>
      </c>
      <c r="D1432" s="82" t="s">
        <v>62</v>
      </c>
      <c r="E1432" s="82" t="s">
        <v>7</v>
      </c>
      <c r="F1432" s="94">
        <v>5000</v>
      </c>
      <c r="G1432" s="46"/>
      <c r="H1432" s="46">
        <f>IFERROR(TRANSACTIONS!$F1432+TRANSACTIONS!$G1432,"")</f>
        <v>5000</v>
      </c>
      <c r="I1432" s="57" t="s">
        <v>41</v>
      </c>
    </row>
    <row r="1433" spans="1:9" x14ac:dyDescent="0.25">
      <c r="A1433" s="41">
        <v>45341.648683449072</v>
      </c>
      <c r="B1433" s="48">
        <f>IF(A1433&lt;&gt;"",DATE(YEAR(TRANSACTIONS!$A1433),MONTH(TRANSACTIONS!$A1433),DAY(TRANSACTIONS!$A1433)),"")</f>
        <v>45341</v>
      </c>
      <c r="C1433" s="49">
        <f>IF(A1433&lt;&gt;"",TIME(HOUR(TRANSACTIONS!$A1433),MINUTE(TRANSACTIONS!$A1433),SECOND(TRANSACTIONS!$A1433)),"")</f>
        <v>0.64868055555555559</v>
      </c>
      <c r="D1433" s="82" t="s">
        <v>62</v>
      </c>
      <c r="E1433" s="82" t="s">
        <v>7</v>
      </c>
      <c r="F1433" s="94">
        <v>500</v>
      </c>
      <c r="G1433" s="46"/>
      <c r="H1433" s="46">
        <f>IFERROR(TRANSACTIONS!$F1433+TRANSACTIONS!$G1433,"")</f>
        <v>500</v>
      </c>
      <c r="I1433" s="57" t="s">
        <v>41</v>
      </c>
    </row>
    <row r="1434" spans="1:9" x14ac:dyDescent="0.25">
      <c r="A1434" s="41">
        <v>45341.648690856484</v>
      </c>
      <c r="B1434" s="48">
        <f>IF(A1434&lt;&gt;"",DATE(YEAR(TRANSACTIONS!$A1434),MONTH(TRANSACTIONS!$A1434),DAY(TRANSACTIONS!$A1434)),"")</f>
        <v>45341</v>
      </c>
      <c r="C1434" s="49">
        <f>IF(A1434&lt;&gt;"",TIME(HOUR(TRANSACTIONS!$A1434),MINUTE(TRANSACTIONS!$A1434),SECOND(TRANSACTIONS!$A1434)),"")</f>
        <v>0.64869212962962963</v>
      </c>
      <c r="D1434" s="82" t="s">
        <v>62</v>
      </c>
      <c r="E1434" s="82" t="s">
        <v>7</v>
      </c>
      <c r="F1434" s="94">
        <v>2000</v>
      </c>
      <c r="G1434" s="46"/>
      <c r="H1434" s="46">
        <f>IFERROR(TRANSACTIONS!$F1434+TRANSACTIONS!$G1434,"")</f>
        <v>2000</v>
      </c>
      <c r="I1434" s="57" t="s">
        <v>41</v>
      </c>
    </row>
    <row r="1435" spans="1:9" x14ac:dyDescent="0.25">
      <c r="A1435" s="41">
        <v>45341.64869814815</v>
      </c>
      <c r="B1435" s="48">
        <f>IF(A1435&lt;&gt;"",DATE(YEAR(TRANSACTIONS!$A1435),MONTH(TRANSACTIONS!$A1435),DAY(TRANSACTIONS!$A1435)),"")</f>
        <v>45341</v>
      </c>
      <c r="C1435" s="49">
        <f>IF(A1435&lt;&gt;"",TIME(HOUR(TRANSACTIONS!$A1435),MINUTE(TRANSACTIONS!$A1435),SECOND(TRANSACTIONS!$A1435)),"")</f>
        <v>0.64870370370370367</v>
      </c>
      <c r="D1435" s="82" t="s">
        <v>62</v>
      </c>
      <c r="E1435" s="82" t="s">
        <v>6</v>
      </c>
      <c r="F1435" s="94">
        <v>5000</v>
      </c>
      <c r="G1435" s="46"/>
      <c r="H1435" s="46">
        <f>IFERROR(TRANSACTIONS!$F1435+TRANSACTIONS!$G1435,"")</f>
        <v>5000</v>
      </c>
      <c r="I1435" s="57" t="s">
        <v>41</v>
      </c>
    </row>
    <row r="1436" spans="1:9" x14ac:dyDescent="0.25">
      <c r="A1436" s="41">
        <v>45341.648704861109</v>
      </c>
      <c r="B1436" s="48">
        <f>IF(A1436&lt;&gt;"",DATE(YEAR(TRANSACTIONS!$A1436),MONTH(TRANSACTIONS!$A1436),DAY(TRANSACTIONS!$A1436)),"")</f>
        <v>45341</v>
      </c>
      <c r="C1436" s="49">
        <f>IF(A1436&lt;&gt;"",TIME(HOUR(TRANSACTIONS!$A1436),MINUTE(TRANSACTIONS!$A1436),SECOND(TRANSACTIONS!$A1436)),"")</f>
        <v>0.64870370370370367</v>
      </c>
      <c r="D1436" s="93" t="s">
        <v>62</v>
      </c>
      <c r="E1436" s="93" t="s">
        <v>6</v>
      </c>
      <c r="F1436" s="94">
        <v>500</v>
      </c>
      <c r="G1436" s="46"/>
      <c r="H1436" s="46">
        <f>IFERROR(TRANSACTIONS!$F1436+TRANSACTIONS!$G1436,"")</f>
        <v>500</v>
      </c>
      <c r="I1436" s="57" t="s">
        <v>41</v>
      </c>
    </row>
    <row r="1437" spans="1:9" x14ac:dyDescent="0.25">
      <c r="A1437" s="41">
        <v>45341.648738541669</v>
      </c>
      <c r="B1437" s="114">
        <f>IF(A1437&lt;&gt;"",DATE(YEAR(TRANSACTIONS!$A1437),MONTH(TRANSACTIONS!$A1437),DAY(TRANSACTIONS!$A1437)),"")</f>
        <v>45341</v>
      </c>
      <c r="C1437" s="115">
        <f>IF(A1437&lt;&gt;"",TIME(HOUR(TRANSACTIONS!$A1437),MINUTE(TRANSACTIONS!$A1437),SECOND(TRANSACTIONS!$A1437)),"")</f>
        <v>0.6487384259259259</v>
      </c>
      <c r="D1437" s="82" t="s">
        <v>62</v>
      </c>
      <c r="E1437" s="82" t="s">
        <v>6</v>
      </c>
      <c r="F1437" s="94">
        <v>1500</v>
      </c>
      <c r="G1437" s="117"/>
      <c r="H1437" s="117">
        <f>IFERROR(TRANSACTIONS!$F1437+TRANSACTIONS!$G1437,"")</f>
        <v>1500</v>
      </c>
      <c r="I1437" s="123" t="s">
        <v>41</v>
      </c>
    </row>
    <row r="1438" spans="1:9" x14ac:dyDescent="0.25">
      <c r="A1438" s="41">
        <v>45341.648751736109</v>
      </c>
      <c r="B1438" s="48">
        <f>IF(A1438&lt;&gt;"",DATE(YEAR(TRANSACTIONS!$A1438),MONTH(TRANSACTIONS!$A1438),DAY(TRANSACTIONS!$A1438)),"")</f>
        <v>45341</v>
      </c>
      <c r="C1438" s="49">
        <f>IF(A1438&lt;&gt;"",TIME(HOUR(TRANSACTIONS!$A1438),MINUTE(TRANSACTIONS!$A1438),SECOND(TRANSACTIONS!$A1438)),"")</f>
        <v>0.64875000000000005</v>
      </c>
      <c r="D1438" s="93" t="s">
        <v>62</v>
      </c>
      <c r="E1438" s="93" t="s">
        <v>7</v>
      </c>
      <c r="F1438" s="94">
        <v>22000</v>
      </c>
      <c r="G1438" s="46"/>
      <c r="H1438" s="46">
        <f>IFERROR(TRANSACTIONS!$F1438+TRANSACTIONS!$G1438,"")</f>
        <v>22000</v>
      </c>
      <c r="I1438" s="57" t="s">
        <v>41</v>
      </c>
    </row>
    <row r="1439" spans="1:9" x14ac:dyDescent="0.25">
      <c r="A1439" s="41">
        <v>45341.648759953707</v>
      </c>
      <c r="B1439" s="103">
        <f>IF(A1439&lt;&gt;"",DATE(YEAR(TRANSACTIONS!$A1439),MONTH(TRANSACTIONS!$A1439),DAY(TRANSACTIONS!$A1439)),"")</f>
        <v>45341</v>
      </c>
      <c r="C1439" s="104">
        <f>IF(A1439&lt;&gt;"",TIME(HOUR(TRANSACTIONS!$A1439),MINUTE(TRANSACTIONS!$A1439),SECOND(TRANSACTIONS!$A1439)),"")</f>
        <v>0.64876157407407409</v>
      </c>
      <c r="D1439" s="93" t="s">
        <v>62</v>
      </c>
      <c r="E1439" s="93" t="s">
        <v>6</v>
      </c>
      <c r="F1439" s="94">
        <v>50500</v>
      </c>
      <c r="G1439" s="46"/>
      <c r="H1439" s="46">
        <f>IFERROR(TRANSACTIONS!$F1439+TRANSACTIONS!$G1439,"")</f>
        <v>50500</v>
      </c>
      <c r="I1439" s="57" t="s">
        <v>41</v>
      </c>
    </row>
    <row r="1440" spans="1:9" x14ac:dyDescent="0.25">
      <c r="A1440" s="41">
        <v>45341.760700462961</v>
      </c>
      <c r="B1440" s="103">
        <f>IF(A1440&lt;&gt;"",DATE(YEAR(TRANSACTIONS!$A1440),MONTH(TRANSACTIONS!$A1440),DAY(TRANSACTIONS!$A1440)),"")</f>
        <v>45341</v>
      </c>
      <c r="C1440" s="104">
        <f>IF(A1440&lt;&gt;"",TIME(HOUR(TRANSACTIONS!$A1440),MINUTE(TRANSACTIONS!$A1440),SECOND(TRANSACTIONS!$A1440)),"")</f>
        <v>0.76070601851851849</v>
      </c>
      <c r="D1440" s="93" t="s">
        <v>62</v>
      </c>
      <c r="E1440" s="93" t="s">
        <v>7</v>
      </c>
      <c r="F1440" s="94">
        <v>1000</v>
      </c>
      <c r="G1440" s="46"/>
      <c r="H1440" s="46">
        <f>IFERROR(TRANSACTIONS!$F1440+TRANSACTIONS!$G1440,"")</f>
        <v>1000</v>
      </c>
      <c r="I1440" s="57" t="s">
        <v>41</v>
      </c>
    </row>
    <row r="1441" spans="1:10" x14ac:dyDescent="0.25">
      <c r="A1441" s="41">
        <v>45341.766100347224</v>
      </c>
      <c r="B1441" s="103">
        <f>IF(A1441&lt;&gt;"",DATE(YEAR(TRANSACTIONS!$A1441),MONTH(TRANSACTIONS!$A1441),DAY(TRANSACTIONS!$A1441)),"")</f>
        <v>45341</v>
      </c>
      <c r="C1441" s="104">
        <f>IF(A1441&lt;&gt;"",TIME(HOUR(TRANSACTIONS!$A1441),MINUTE(TRANSACTIONS!$A1441),SECOND(TRANSACTIONS!$A1441)),"")</f>
        <v>0.76609953703703704</v>
      </c>
      <c r="D1441" s="93" t="s">
        <v>62</v>
      </c>
      <c r="E1441" s="93" t="s">
        <v>6</v>
      </c>
      <c r="F1441" s="94">
        <v>1500</v>
      </c>
      <c r="G1441" s="46"/>
      <c r="H1441" s="46">
        <f>IFERROR(TRANSACTIONS!$F1441+TRANSACTIONS!$G1441,"")</f>
        <v>1500</v>
      </c>
      <c r="I1441" s="57" t="s">
        <v>41</v>
      </c>
    </row>
    <row r="1442" spans="1:10" x14ac:dyDescent="0.25">
      <c r="A1442" s="41">
        <v>45341.770512731484</v>
      </c>
      <c r="B1442" s="103">
        <f>IF(A1442&lt;&gt;"",DATE(YEAR(TRANSACTIONS!$A1442),MONTH(TRANSACTIONS!$A1442),DAY(TRANSACTIONS!$A1442)),"")</f>
        <v>45341</v>
      </c>
      <c r="C1442" s="104">
        <f>IF(A1442&lt;&gt;"",TIME(HOUR(TRANSACTIONS!$A1442),MINUTE(TRANSACTIONS!$A1442),SECOND(TRANSACTIONS!$A1442)),"")</f>
        <v>0.77050925925925917</v>
      </c>
      <c r="D1442" s="93" t="s">
        <v>62</v>
      </c>
      <c r="E1442" s="93" t="s">
        <v>7</v>
      </c>
      <c r="F1442" s="94">
        <v>1000</v>
      </c>
      <c r="G1442" s="46"/>
      <c r="H1442" s="46">
        <f>IFERROR(TRANSACTIONS!$F1442+TRANSACTIONS!$G1442,"")</f>
        <v>1000</v>
      </c>
      <c r="I1442" s="57" t="s">
        <v>41</v>
      </c>
    </row>
    <row r="1443" spans="1:10" x14ac:dyDescent="0.25">
      <c r="A1443" s="41">
        <v>45341.770785069442</v>
      </c>
      <c r="B1443" s="103">
        <f>IF(A1443&lt;&gt;"",DATE(YEAR(TRANSACTIONS!$A1443),MONTH(TRANSACTIONS!$A1443),DAY(TRANSACTIONS!$A1443)),"")</f>
        <v>45341</v>
      </c>
      <c r="C1443" s="104">
        <f>IF(A1443&lt;&gt;"",TIME(HOUR(TRANSACTIONS!$A1443),MINUTE(TRANSACTIONS!$A1443),SECOND(TRANSACTIONS!$A1443)),"")</f>
        <v>0.77078703703703699</v>
      </c>
      <c r="D1443" s="93" t="s">
        <v>62</v>
      </c>
      <c r="E1443" s="93" t="s">
        <v>7</v>
      </c>
      <c r="F1443" s="94">
        <v>2000</v>
      </c>
      <c r="G1443" s="46"/>
      <c r="H1443" s="46">
        <f>IFERROR(TRANSACTIONS!$F1443+TRANSACTIONS!$G1443,"")</f>
        <v>2000</v>
      </c>
      <c r="I1443" s="57" t="s">
        <v>41</v>
      </c>
    </row>
    <row r="1444" spans="1:10" x14ac:dyDescent="0.25">
      <c r="A1444" s="41">
        <v>45341.770793518517</v>
      </c>
      <c r="B1444" s="103">
        <f>IF(A1444&lt;&gt;"",DATE(YEAR(TRANSACTIONS!$A1444),MONTH(TRANSACTIONS!$A1444),DAY(TRANSACTIONS!$A1444)),"")</f>
        <v>45341</v>
      </c>
      <c r="C1444" s="104">
        <f>IF(A1444&lt;&gt;"",TIME(HOUR(TRANSACTIONS!$A1444),MINUTE(TRANSACTIONS!$A1444),SECOND(TRANSACTIONS!$A1444)),"")</f>
        <v>0.77079861111111114</v>
      </c>
      <c r="D1444" s="93" t="s">
        <v>62</v>
      </c>
      <c r="E1444" s="93" t="s">
        <v>7</v>
      </c>
      <c r="F1444" s="94">
        <v>1000</v>
      </c>
      <c r="G1444" s="46"/>
      <c r="H1444" s="46">
        <f>IFERROR(TRANSACTIONS!$F1444+TRANSACTIONS!$G1444,"")</f>
        <v>1000</v>
      </c>
      <c r="I1444" s="57" t="s">
        <v>41</v>
      </c>
    </row>
    <row r="1445" spans="1:10" x14ac:dyDescent="0.25">
      <c r="A1445" s="41">
        <v>45341.770801157407</v>
      </c>
      <c r="B1445" s="103">
        <f>IF(A1445&lt;&gt;"",DATE(YEAR(TRANSACTIONS!$A1445),MONTH(TRANSACTIONS!$A1445),DAY(TRANSACTIONS!$A1445)),"")</f>
        <v>45341</v>
      </c>
      <c r="C1445" s="104">
        <f>IF(A1445&lt;&gt;"",TIME(HOUR(TRANSACTIONS!$A1445),MINUTE(TRANSACTIONS!$A1445),SECOND(TRANSACTIONS!$A1445)),"")</f>
        <v>0.77079861111111114</v>
      </c>
      <c r="D1445" s="93" t="s">
        <v>62</v>
      </c>
      <c r="E1445" s="93" t="s">
        <v>7</v>
      </c>
      <c r="F1445" s="94">
        <v>2000</v>
      </c>
      <c r="G1445" s="46"/>
      <c r="H1445" s="46">
        <f>IFERROR(TRANSACTIONS!$F1445+TRANSACTIONS!$G1445,"")</f>
        <v>2000</v>
      </c>
      <c r="I1445" s="57" t="s">
        <v>50</v>
      </c>
    </row>
    <row r="1446" spans="1:10" x14ac:dyDescent="0.25">
      <c r="A1446" s="41">
        <v>45341.770809490743</v>
      </c>
      <c r="B1446" s="48">
        <f>IF(A1446&lt;&gt;"",DATE(YEAR(TRANSACTIONS!$A1446),MONTH(TRANSACTIONS!$A1446),DAY(TRANSACTIONS!$A1446)),"")</f>
        <v>45341</v>
      </c>
      <c r="C1446" s="49">
        <f>IF(A1446&lt;&gt;"",TIME(HOUR(TRANSACTIONS!$A1446),MINUTE(TRANSACTIONS!$A1446),SECOND(TRANSACTIONS!$A1446)),"")</f>
        <v>0.77081018518518529</v>
      </c>
      <c r="D1446" s="82" t="s">
        <v>62</v>
      </c>
      <c r="E1446" s="82" t="s">
        <v>7</v>
      </c>
      <c r="F1446" s="94">
        <v>10000</v>
      </c>
      <c r="G1446" s="46"/>
      <c r="H1446" s="46">
        <f>IFERROR(TRANSACTIONS!$F1446+TRANSACTIONS!$G1446,"")</f>
        <v>10000</v>
      </c>
      <c r="I1446" s="57" t="s">
        <v>41</v>
      </c>
    </row>
    <row r="1447" spans="1:10" x14ac:dyDescent="0.25">
      <c r="A1447" s="41">
        <v>45341.770817476849</v>
      </c>
      <c r="B1447" s="48">
        <f>IF(A1447&lt;&gt;"",DATE(YEAR(TRANSACTIONS!$A1447),MONTH(TRANSACTIONS!$A1447),DAY(TRANSACTIONS!$A1447)),"")</f>
        <v>45341</v>
      </c>
      <c r="C1447" s="49">
        <f>IF(A1447&lt;&gt;"",TIME(HOUR(TRANSACTIONS!$A1447),MINUTE(TRANSACTIONS!$A1447),SECOND(TRANSACTIONS!$A1447)),"")</f>
        <v>0.77082175925925922</v>
      </c>
      <c r="D1447" s="82" t="s">
        <v>62</v>
      </c>
      <c r="E1447" s="82" t="s">
        <v>7</v>
      </c>
      <c r="F1447" s="94">
        <v>1000</v>
      </c>
      <c r="G1447" s="46"/>
      <c r="H1447" s="46">
        <f>IFERROR(TRANSACTIONS!$F1447+TRANSACTIONS!$G1447,"")</f>
        <v>1000</v>
      </c>
      <c r="I1447" s="57" t="s">
        <v>41</v>
      </c>
    </row>
    <row r="1448" spans="1:10" x14ac:dyDescent="0.25">
      <c r="A1448" s="41">
        <v>45341.770825810185</v>
      </c>
      <c r="B1448" s="48">
        <f>IF(A1448&lt;&gt;"",DATE(YEAR(TRANSACTIONS!$A1448),MONTH(TRANSACTIONS!$A1448),DAY(TRANSACTIONS!$A1448)),"")</f>
        <v>45341</v>
      </c>
      <c r="C1448" s="49">
        <f>IF(A1448&lt;&gt;"",TIME(HOUR(TRANSACTIONS!$A1448),MINUTE(TRANSACTIONS!$A1448),SECOND(TRANSACTIONS!$A1448)),"")</f>
        <v>0.77082175925925922</v>
      </c>
      <c r="D1448" s="82" t="s">
        <v>62</v>
      </c>
      <c r="E1448" s="82" t="s">
        <v>7</v>
      </c>
      <c r="F1448" s="94">
        <v>6000</v>
      </c>
      <c r="G1448" s="46"/>
      <c r="H1448" s="46">
        <f>IFERROR(TRANSACTIONS!$F1448+TRANSACTIONS!$G1448,"")</f>
        <v>6000</v>
      </c>
      <c r="I1448" s="57" t="s">
        <v>41</v>
      </c>
    </row>
    <row r="1449" spans="1:10" x14ac:dyDescent="0.25">
      <c r="A1449" s="41">
        <v>45341.770857175929</v>
      </c>
      <c r="B1449" s="48">
        <f>IF(A1449&lt;&gt;"",DATE(YEAR(TRANSACTIONS!$A1449),MONTH(TRANSACTIONS!$A1449),DAY(TRANSACTIONS!$A1449)),"")</f>
        <v>45341</v>
      </c>
      <c r="C1449" s="49">
        <f>IF(A1449&lt;&gt;"",TIME(HOUR(TRANSACTIONS!$A1449),MINUTE(TRANSACTIONS!$A1449),SECOND(TRANSACTIONS!$A1449)),"")</f>
        <v>0.77085648148148145</v>
      </c>
      <c r="D1449" s="82" t="s">
        <v>62</v>
      </c>
      <c r="E1449" s="82" t="s">
        <v>7</v>
      </c>
      <c r="F1449" s="94">
        <v>5000</v>
      </c>
      <c r="G1449" s="46"/>
      <c r="H1449" s="46">
        <f>IFERROR(TRANSACTIONS!$F1449+TRANSACTIONS!$G1449,"")</f>
        <v>5000</v>
      </c>
      <c r="I1449" s="57" t="s">
        <v>41</v>
      </c>
    </row>
    <row r="1450" spans="1:10" x14ac:dyDescent="0.25">
      <c r="A1450" s="41">
        <v>45341.770870023145</v>
      </c>
      <c r="B1450" s="48">
        <f>IF(A1450&lt;&gt;"",DATE(YEAR(TRANSACTIONS!$A1450),MONTH(TRANSACTIONS!$A1450),DAY(TRANSACTIONS!$A1450)),"")</f>
        <v>45341</v>
      </c>
      <c r="C1450" s="49">
        <f>IF(A1450&lt;&gt;"",TIME(HOUR(TRANSACTIONS!$A1450),MINUTE(TRANSACTIONS!$A1450),SECOND(TRANSACTIONS!$A1450)),"")</f>
        <v>0.77086805555555549</v>
      </c>
      <c r="D1450" s="82" t="s">
        <v>62</v>
      </c>
      <c r="E1450" s="82" t="s">
        <v>7</v>
      </c>
      <c r="F1450" s="94">
        <v>5000</v>
      </c>
      <c r="G1450" s="46"/>
      <c r="H1450" s="46">
        <f>IFERROR(TRANSACTIONS!$F1450+TRANSACTIONS!$G1450,"")</f>
        <v>5000</v>
      </c>
      <c r="I1450" s="57" t="s">
        <v>41</v>
      </c>
    </row>
    <row r="1451" spans="1:10" x14ac:dyDescent="0.25">
      <c r="A1451" s="41">
        <v>45341.771134722221</v>
      </c>
      <c r="B1451" s="48">
        <f>IF(A1451&lt;&gt;"",DATE(YEAR(TRANSACTIONS!$A1451),MONTH(TRANSACTIONS!$A1451),DAY(TRANSACTIONS!$A1451)),"")</f>
        <v>45341</v>
      </c>
      <c r="C1451" s="49">
        <f>IF(A1451&lt;&gt;"",TIME(HOUR(TRANSACTIONS!$A1451),MINUTE(TRANSACTIONS!$A1451),SECOND(TRANSACTIONS!$A1451)),"")</f>
        <v>0.77113425925925927</v>
      </c>
      <c r="D1451" s="82" t="s">
        <v>62</v>
      </c>
      <c r="E1451" s="82" t="s">
        <v>6</v>
      </c>
      <c r="F1451" s="94">
        <v>3000</v>
      </c>
      <c r="G1451" s="46"/>
      <c r="H1451" s="46">
        <f>IFERROR(TRANSACTIONS!$F1451+TRANSACTIONS!$G1451,"")</f>
        <v>3000</v>
      </c>
      <c r="I1451" s="57" t="s">
        <v>41</v>
      </c>
    </row>
    <row r="1452" spans="1:10" x14ac:dyDescent="0.25">
      <c r="A1452" s="41">
        <v>45341.771142708334</v>
      </c>
      <c r="B1452" s="83">
        <f>IF(A1452&lt;&gt;"",DATE(YEAR(TRANSACTIONS!$A1452),MONTH(TRANSACTIONS!$A1452),DAY(TRANSACTIONS!$A1452)),"")</f>
        <v>45341</v>
      </c>
      <c r="C1452" s="84">
        <f>IF(A1452&lt;&gt;"",TIME(HOUR(TRANSACTIONS!$A1452),MINUTE(TRANSACTIONS!$A1452),SECOND(TRANSACTIONS!$A1452)),"")</f>
        <v>0.77114583333333331</v>
      </c>
      <c r="D1452" s="82" t="s">
        <v>62</v>
      </c>
      <c r="E1452" s="82" t="s">
        <v>6</v>
      </c>
      <c r="F1452" s="94">
        <v>10000</v>
      </c>
      <c r="G1452" s="86"/>
      <c r="H1452" s="86">
        <f>IFERROR(TRANSACTIONS!$F1452+TRANSACTIONS!$G1452,"")</f>
        <v>10000</v>
      </c>
      <c r="I1452" s="87" t="s">
        <v>41</v>
      </c>
      <c r="J1452" s="88"/>
    </row>
    <row r="1453" spans="1:10" x14ac:dyDescent="0.25">
      <c r="A1453" s="41">
        <v>45341.771157754629</v>
      </c>
      <c r="B1453" s="114">
        <f>IF(A1453&lt;&gt;"",DATE(YEAR(TRANSACTIONS!$A1453),MONTH(TRANSACTIONS!$A1453),DAY(TRANSACTIONS!$A1453)),"")</f>
        <v>45341</v>
      </c>
      <c r="C1453" s="115">
        <f>IF(A1453&lt;&gt;"",TIME(HOUR(TRANSACTIONS!$A1453),MINUTE(TRANSACTIONS!$A1453),SECOND(TRANSACTIONS!$A1453)),"")</f>
        <v>0.77115740740740746</v>
      </c>
      <c r="D1453" s="82" t="s">
        <v>62</v>
      </c>
      <c r="E1453" s="82" t="s">
        <v>6</v>
      </c>
      <c r="F1453" s="94">
        <v>2000</v>
      </c>
      <c r="G1453" s="117"/>
      <c r="H1453" s="117">
        <f>IFERROR(TRANSACTIONS!$F1453+TRANSACTIONS!$G1453,"")</f>
        <v>2000</v>
      </c>
      <c r="I1453" s="123" t="s">
        <v>41</v>
      </c>
    </row>
    <row r="1454" spans="1:10" x14ac:dyDescent="0.25">
      <c r="A1454" s="41">
        <v>45341.771165509257</v>
      </c>
      <c r="B1454" s="48">
        <f>IF(A1454&lt;&gt;"",DATE(YEAR(TRANSACTIONS!$A1454),MONTH(TRANSACTIONS!$A1454),DAY(TRANSACTIONS!$A1454)),"")</f>
        <v>45341</v>
      </c>
      <c r="C1454" s="49">
        <f>IF(A1454&lt;&gt;"",TIME(HOUR(TRANSACTIONS!$A1454),MINUTE(TRANSACTIONS!$A1454),SECOND(TRANSACTIONS!$A1454)),"")</f>
        <v>0.77116898148148139</v>
      </c>
      <c r="D1454" s="82" t="s">
        <v>62</v>
      </c>
      <c r="E1454" s="82" t="s">
        <v>6</v>
      </c>
      <c r="F1454" s="94">
        <v>50000</v>
      </c>
      <c r="G1454" s="46"/>
      <c r="H1454" s="46">
        <f>IFERROR(TRANSACTIONS!$F1454+TRANSACTIONS!$G1454,"")</f>
        <v>50000</v>
      </c>
      <c r="I1454" s="57" t="s">
        <v>41</v>
      </c>
    </row>
    <row r="1455" spans="1:10" x14ac:dyDescent="0.25">
      <c r="A1455" s="41">
        <v>45341.771172569446</v>
      </c>
      <c r="B1455" s="48">
        <f>IF(A1455&lt;&gt;"",DATE(YEAR(TRANSACTIONS!$A1455),MONTH(TRANSACTIONS!$A1455),DAY(TRANSACTIONS!$A1455)),"")</f>
        <v>45341</v>
      </c>
      <c r="C1455" s="49">
        <f>IF(A1455&lt;&gt;"",TIME(HOUR(TRANSACTIONS!$A1455),MINUTE(TRANSACTIONS!$A1455),SECOND(TRANSACTIONS!$A1455)),"")</f>
        <v>0.77116898148148139</v>
      </c>
      <c r="D1455" s="82" t="s">
        <v>62</v>
      </c>
      <c r="E1455" s="82" t="s">
        <v>7</v>
      </c>
      <c r="F1455" s="94">
        <v>1000</v>
      </c>
      <c r="G1455" s="46"/>
      <c r="H1455" s="46">
        <f>IFERROR(TRANSACTIONS!$F1455+TRANSACTIONS!$G1455,"")</f>
        <v>1000</v>
      </c>
      <c r="I1455" s="57" t="s">
        <v>41</v>
      </c>
    </row>
    <row r="1456" spans="1:10" x14ac:dyDescent="0.25">
      <c r="A1456" s="41">
        <v>45341.771180671298</v>
      </c>
      <c r="B1456" s="48">
        <f>IF(A1456&lt;&gt;"",DATE(YEAR(TRANSACTIONS!$A1456),MONTH(TRANSACTIONS!$A1456),DAY(TRANSACTIONS!$A1456)),"")</f>
        <v>45341</v>
      </c>
      <c r="C1456" s="49">
        <f>IF(A1456&lt;&gt;"",TIME(HOUR(TRANSACTIONS!$A1456),MINUTE(TRANSACTIONS!$A1456),SECOND(TRANSACTIONS!$A1456)),"")</f>
        <v>0.77118055555555554</v>
      </c>
      <c r="D1456" s="93" t="s">
        <v>62</v>
      </c>
      <c r="E1456" s="93" t="s">
        <v>7</v>
      </c>
      <c r="F1456" s="94">
        <v>70000</v>
      </c>
      <c r="G1456" s="46"/>
      <c r="H1456" s="46">
        <f>IFERROR(TRANSACTIONS!$F1456+TRANSACTIONS!$G1456,"")</f>
        <v>70000</v>
      </c>
      <c r="I1456" s="57" t="s">
        <v>41</v>
      </c>
    </row>
    <row r="1457" spans="1:9" x14ac:dyDescent="0.25">
      <c r="A1457" s="41">
        <v>45341.771189583334</v>
      </c>
      <c r="B1457" s="48">
        <f>IF(A1457&lt;&gt;"",DATE(YEAR(TRANSACTIONS!$A1457),MONTH(TRANSACTIONS!$A1457),DAY(TRANSACTIONS!$A1457)),"")</f>
        <v>45341</v>
      </c>
      <c r="C1457" s="49">
        <f>IF(A1457&lt;&gt;"",TIME(HOUR(TRANSACTIONS!$A1457),MINUTE(TRANSACTIONS!$A1457),SECOND(TRANSACTIONS!$A1457)),"")</f>
        <v>0.77119212962962969</v>
      </c>
      <c r="D1457" s="93" t="s">
        <v>62</v>
      </c>
      <c r="E1457" s="93" t="s">
        <v>7</v>
      </c>
      <c r="F1457" s="94">
        <v>43000</v>
      </c>
      <c r="G1457" s="46"/>
      <c r="H1457" s="46">
        <f>IFERROR(TRANSACTIONS!$F1457+TRANSACTIONS!$G1457,"")</f>
        <v>43000</v>
      </c>
      <c r="I1457" s="43" t="s">
        <v>41</v>
      </c>
    </row>
    <row r="1458" spans="1:9" x14ac:dyDescent="0.25">
      <c r="A1458" s="41">
        <v>45341.77120023148</v>
      </c>
      <c r="B1458" s="48">
        <f>IF(A1458&lt;&gt;"",DATE(YEAR(TRANSACTIONS!$A1458),MONTH(TRANSACTIONS!$A1458),DAY(TRANSACTIONS!$A1458)),"")</f>
        <v>45341</v>
      </c>
      <c r="C1458" s="49">
        <f>IF(A1458&lt;&gt;"",TIME(HOUR(TRANSACTIONS!$A1458),MINUTE(TRANSACTIONS!$A1458),SECOND(TRANSACTIONS!$A1458)),"")</f>
        <v>0.77120370370370372</v>
      </c>
      <c r="D1458" s="93" t="s">
        <v>62</v>
      </c>
      <c r="E1458" s="93" t="s">
        <v>7</v>
      </c>
      <c r="F1458" s="94">
        <v>1000</v>
      </c>
      <c r="G1458" s="46"/>
      <c r="H1458" s="46">
        <f>IFERROR(TRANSACTIONS!$F1458+TRANSACTIONS!$G1458,"")</f>
        <v>1000</v>
      </c>
      <c r="I1458" s="57" t="s">
        <v>41</v>
      </c>
    </row>
    <row r="1459" spans="1:9" x14ac:dyDescent="0.25">
      <c r="A1459" s="41">
        <v>45341.771208564816</v>
      </c>
      <c r="B1459" s="48">
        <f>IF(A1459&lt;&gt;"",DATE(YEAR(TRANSACTIONS!$A1459),MONTH(TRANSACTIONS!$A1459),DAY(TRANSACTIONS!$A1459)),"")</f>
        <v>45341</v>
      </c>
      <c r="C1459" s="49">
        <f>IF(A1459&lt;&gt;"",TIME(HOUR(TRANSACTIONS!$A1459),MINUTE(TRANSACTIONS!$A1459),SECOND(TRANSACTIONS!$A1459)),"")</f>
        <v>0.77120370370370372</v>
      </c>
      <c r="D1459" s="93" t="s">
        <v>62</v>
      </c>
      <c r="E1459" s="93" t="s">
        <v>6</v>
      </c>
      <c r="F1459" s="94">
        <v>14700</v>
      </c>
      <c r="G1459" s="46"/>
      <c r="H1459" s="46">
        <f>IFERROR(TRANSACTIONS!$F1459+TRANSACTIONS!$G1459,"")</f>
        <v>14700</v>
      </c>
      <c r="I1459" s="57" t="s">
        <v>41</v>
      </c>
    </row>
    <row r="1460" spans="1:9" x14ac:dyDescent="0.25">
      <c r="A1460" s="41">
        <v>45341.771217013891</v>
      </c>
      <c r="B1460" s="48">
        <f>IF(A1460&lt;&gt;"",DATE(YEAR(TRANSACTIONS!$A1460),MONTH(TRANSACTIONS!$A1460),DAY(TRANSACTIONS!$A1460)),"")</f>
        <v>45341</v>
      </c>
      <c r="C1460" s="49">
        <f>IF(A1460&lt;&gt;"",TIME(HOUR(TRANSACTIONS!$A1460),MINUTE(TRANSACTIONS!$A1460),SECOND(TRANSACTIONS!$A1460)),"")</f>
        <v>0.77121527777777776</v>
      </c>
      <c r="D1460" s="93" t="s">
        <v>62</v>
      </c>
      <c r="E1460" s="93" t="s">
        <v>7</v>
      </c>
      <c r="F1460" s="94">
        <v>1000</v>
      </c>
      <c r="G1460" s="46"/>
      <c r="H1460" s="46">
        <f>IFERROR(TRANSACTIONS!$F1460+TRANSACTIONS!$G1460,"")</f>
        <v>1000</v>
      </c>
      <c r="I1460" s="57" t="s">
        <v>41</v>
      </c>
    </row>
    <row r="1461" spans="1:9" x14ac:dyDescent="0.25">
      <c r="A1461" s="41">
        <v>45341.771225462966</v>
      </c>
      <c r="B1461" s="48">
        <f>IF(A1461&lt;&gt;"",DATE(YEAR(TRANSACTIONS!$A1461),MONTH(TRANSACTIONS!$A1461),DAY(TRANSACTIONS!$A1461)),"")</f>
        <v>45341</v>
      </c>
      <c r="C1461" s="49">
        <f>IF(A1461&lt;&gt;"",TIME(HOUR(TRANSACTIONS!$A1461),MINUTE(TRANSACTIONS!$A1461),SECOND(TRANSACTIONS!$A1461)),"")</f>
        <v>0.7712268518518518</v>
      </c>
      <c r="D1461" s="93" t="s">
        <v>62</v>
      </c>
      <c r="E1461" s="93" t="s">
        <v>6</v>
      </c>
      <c r="F1461" s="94">
        <v>600000</v>
      </c>
      <c r="G1461" s="46"/>
      <c r="H1461" s="46">
        <f>IFERROR(TRANSACTIONS!$F1461+TRANSACTIONS!$G1461,"")</f>
        <v>600000</v>
      </c>
      <c r="I1461" s="57" t="s">
        <v>41</v>
      </c>
    </row>
    <row r="1462" spans="1:9" x14ac:dyDescent="0.25">
      <c r="A1462" s="41">
        <v>45341.77124490741</v>
      </c>
      <c r="B1462" s="48">
        <f>IF(A1462&lt;&gt;"",DATE(YEAR(TRANSACTIONS!$A1462),MONTH(TRANSACTIONS!$A1462),DAY(TRANSACTIONS!$A1462)),"")</f>
        <v>45341</v>
      </c>
      <c r="C1462" s="49">
        <f>IF(A1462&lt;&gt;"",TIME(HOUR(TRANSACTIONS!$A1462),MINUTE(TRANSACTIONS!$A1462),SECOND(TRANSACTIONS!$A1462)),"")</f>
        <v>0.7712500000000001</v>
      </c>
      <c r="D1462" s="93" t="s">
        <v>25</v>
      </c>
      <c r="E1462" s="93" t="s">
        <v>6</v>
      </c>
      <c r="F1462" s="94">
        <v>1000</v>
      </c>
      <c r="G1462" s="46"/>
      <c r="H1462" s="46">
        <f>IFERROR(TRANSACTIONS!$F1462+TRANSACTIONS!$G1462,"")</f>
        <v>1000</v>
      </c>
      <c r="I1462" s="57" t="s">
        <v>41</v>
      </c>
    </row>
    <row r="1463" spans="1:9" x14ac:dyDescent="0.25">
      <c r="A1463" s="41">
        <v>45341.771251851853</v>
      </c>
      <c r="B1463" s="48">
        <f>IF(A1463&lt;&gt;"",DATE(YEAR(TRANSACTIONS!$A1463),MONTH(TRANSACTIONS!$A1463),DAY(TRANSACTIONS!$A1463)),"")</f>
        <v>45341</v>
      </c>
      <c r="C1463" s="49">
        <f>IF(A1463&lt;&gt;"",TIME(HOUR(TRANSACTIONS!$A1463),MINUTE(TRANSACTIONS!$A1463),SECOND(TRANSACTIONS!$A1463)),"")</f>
        <v>0.7712500000000001</v>
      </c>
      <c r="D1463" s="93" t="s">
        <v>25</v>
      </c>
      <c r="E1463" s="93" t="s">
        <v>6</v>
      </c>
      <c r="F1463" s="94">
        <v>700</v>
      </c>
      <c r="G1463" s="46"/>
      <c r="H1463" s="46">
        <f>IFERROR(TRANSACTIONS!$F1463+TRANSACTIONS!$G1463,"")</f>
        <v>700</v>
      </c>
      <c r="I1463" s="57" t="s">
        <v>41</v>
      </c>
    </row>
    <row r="1464" spans="1:9" x14ac:dyDescent="0.25">
      <c r="A1464" s="41">
        <v>45341.771280324072</v>
      </c>
      <c r="B1464" s="48">
        <f>IF(A1464&lt;&gt;"",DATE(YEAR(TRANSACTIONS!$A1464),MONTH(TRANSACTIONS!$A1464),DAY(TRANSACTIONS!$A1464)),"")</f>
        <v>45341</v>
      </c>
      <c r="C1464" s="49">
        <f>IF(A1464&lt;&gt;"",TIME(HOUR(TRANSACTIONS!$A1464),MINUTE(TRANSACTIONS!$A1464),SECOND(TRANSACTIONS!$A1464)),"")</f>
        <v>0.77128472222222222</v>
      </c>
      <c r="D1464" s="93" t="s">
        <v>25</v>
      </c>
      <c r="E1464" s="93" t="s">
        <v>6</v>
      </c>
      <c r="F1464" s="94">
        <v>14000</v>
      </c>
      <c r="G1464" s="46"/>
      <c r="H1464" s="46">
        <f>IFERROR(TRANSACTIONS!$F1464+TRANSACTIONS!$G1464,"")</f>
        <v>14000</v>
      </c>
      <c r="I1464" s="57" t="s">
        <v>41</v>
      </c>
    </row>
    <row r="1465" spans="1:9" x14ac:dyDescent="0.25">
      <c r="A1465" s="41">
        <v>45341.771291550926</v>
      </c>
      <c r="B1465" s="48">
        <f>IF(A1465&lt;&gt;"",DATE(YEAR(TRANSACTIONS!$A1465),MONTH(TRANSACTIONS!$A1465),DAY(TRANSACTIONS!$A1465)),"")</f>
        <v>45341</v>
      </c>
      <c r="C1465" s="49">
        <f>IF(A1465&lt;&gt;"",TIME(HOUR(TRANSACTIONS!$A1465),MINUTE(TRANSACTIONS!$A1465),SECOND(TRANSACTIONS!$A1465)),"")</f>
        <v>0.77129629629629637</v>
      </c>
      <c r="D1465" s="93" t="s">
        <v>25</v>
      </c>
      <c r="E1465" s="93" t="s">
        <v>6</v>
      </c>
      <c r="F1465" s="94">
        <v>5000</v>
      </c>
      <c r="G1465" s="46"/>
      <c r="H1465" s="46">
        <f>IFERROR(TRANSACTIONS!$F1465+TRANSACTIONS!$G1465,"")</f>
        <v>5000</v>
      </c>
      <c r="I1465" s="57" t="s">
        <v>41</v>
      </c>
    </row>
    <row r="1466" spans="1:9" x14ac:dyDescent="0.25">
      <c r="A1466" s="41">
        <v>45341.771306134258</v>
      </c>
      <c r="B1466" s="48">
        <f>IF(A1466&lt;&gt;"",DATE(YEAR(TRANSACTIONS!$A1466),MONTH(TRANSACTIONS!$A1466),DAY(TRANSACTIONS!$A1466)),"")</f>
        <v>45341</v>
      </c>
      <c r="C1466" s="49">
        <f>IF(A1466&lt;&gt;"",TIME(HOUR(TRANSACTIONS!$A1466),MINUTE(TRANSACTIONS!$A1466),SECOND(TRANSACTIONS!$A1466)),"")</f>
        <v>0.7713078703703703</v>
      </c>
      <c r="D1466" s="82" t="s">
        <v>25</v>
      </c>
      <c r="E1466" s="82" t="s">
        <v>6</v>
      </c>
      <c r="F1466" s="94">
        <v>50000</v>
      </c>
      <c r="G1466" s="46"/>
      <c r="H1466" s="46">
        <f>IFERROR(TRANSACTIONS!$F1466+TRANSACTIONS!$G1466,"")</f>
        <v>50000</v>
      </c>
      <c r="I1466" s="57" t="s">
        <v>41</v>
      </c>
    </row>
    <row r="1467" spans="1:9" x14ac:dyDescent="0.25">
      <c r="A1467" s="41">
        <v>45341.771426504631</v>
      </c>
      <c r="B1467" s="48">
        <f>IF(A1467&lt;&gt;"",DATE(YEAR(TRANSACTIONS!$A1467),MONTH(TRANSACTIONS!$A1467),DAY(TRANSACTIONS!$A1467)),"")</f>
        <v>45341</v>
      </c>
      <c r="C1467" s="49">
        <f>IF(A1467&lt;&gt;"",TIME(HOUR(TRANSACTIONS!$A1467),MINUTE(TRANSACTIONS!$A1467),SECOND(TRANSACTIONS!$A1467)),"")</f>
        <v>0.77142361111111113</v>
      </c>
      <c r="D1467" s="82" t="s">
        <v>25</v>
      </c>
      <c r="E1467" s="82" t="s">
        <v>6</v>
      </c>
      <c r="F1467" s="94">
        <v>300000</v>
      </c>
      <c r="G1467" s="46"/>
      <c r="H1467" s="46">
        <f>IFERROR(TRANSACTIONS!$F1467+TRANSACTIONS!$G1467,"")</f>
        <v>300000</v>
      </c>
      <c r="I1467" s="57" t="s">
        <v>41</v>
      </c>
    </row>
    <row r="1468" spans="1:9" x14ac:dyDescent="0.25">
      <c r="A1468" s="41">
        <v>45341.771472337961</v>
      </c>
      <c r="B1468" s="48">
        <f>IF(A1468&lt;&gt;"",DATE(YEAR(TRANSACTIONS!$A1468),MONTH(TRANSACTIONS!$A1468),DAY(TRANSACTIONS!$A1468)),"")</f>
        <v>45341</v>
      </c>
      <c r="C1468" s="49">
        <f>IF(A1468&lt;&gt;"",TIME(HOUR(TRANSACTIONS!$A1468),MINUTE(TRANSACTIONS!$A1468),SECOND(TRANSACTIONS!$A1468)),"")</f>
        <v>0.77146990740740751</v>
      </c>
      <c r="D1468" s="82" t="s">
        <v>62</v>
      </c>
      <c r="E1468" s="82" t="s">
        <v>7</v>
      </c>
      <c r="F1468" s="94">
        <v>2000</v>
      </c>
      <c r="G1468" s="46"/>
      <c r="H1468" s="46">
        <f>IFERROR(TRANSACTIONS!$F1468+TRANSACTIONS!$G1468,"")</f>
        <v>2000</v>
      </c>
      <c r="I1468" s="57" t="s">
        <v>41</v>
      </c>
    </row>
    <row r="1469" spans="1:9" x14ac:dyDescent="0.25">
      <c r="A1469" s="41">
        <v>45341.771442245372</v>
      </c>
      <c r="B1469" s="48">
        <f>IF(A1469&lt;&gt;"",DATE(YEAR(TRANSACTIONS!$A1469),MONTH(TRANSACTIONS!$A1469),DAY(TRANSACTIONS!$A1469)),"")</f>
        <v>45341</v>
      </c>
      <c r="C1469" s="49">
        <f>IF(A1469&lt;&gt;"",TIME(HOUR(TRANSACTIONS!$A1469),MINUTE(TRANSACTIONS!$A1469),SECOND(TRANSACTIONS!$A1469)),"")</f>
        <v>0.77144675925925921</v>
      </c>
      <c r="D1469" s="82" t="s">
        <v>62</v>
      </c>
      <c r="E1469" s="82" t="s">
        <v>6</v>
      </c>
      <c r="F1469" s="94">
        <v>10000</v>
      </c>
      <c r="G1469" s="46"/>
      <c r="H1469" s="46">
        <f>IFERROR(TRANSACTIONS!$F1469+TRANSACTIONS!$G1469,"")</f>
        <v>10000</v>
      </c>
      <c r="I1469" s="57" t="s">
        <v>41</v>
      </c>
    </row>
    <row r="1470" spans="1:9" x14ac:dyDescent="0.25">
      <c r="A1470" s="41">
        <v>45341.779268171296</v>
      </c>
      <c r="B1470" s="48">
        <f>IF(A1470&lt;&gt;"",DATE(YEAR(TRANSACTIONS!$A1470),MONTH(TRANSACTIONS!$A1470),DAY(TRANSACTIONS!$A1470)),"")</f>
        <v>45341</v>
      </c>
      <c r="C1470" s="49">
        <f>IF(A1470&lt;&gt;"",TIME(HOUR(TRANSACTIONS!$A1470),MINUTE(TRANSACTIONS!$A1470),SECOND(TRANSACTIONS!$A1470)),"")</f>
        <v>0.77927083333333336</v>
      </c>
      <c r="D1470" s="82" t="s">
        <v>62</v>
      </c>
      <c r="E1470" s="82" t="s">
        <v>6</v>
      </c>
      <c r="F1470" s="94">
        <v>16000</v>
      </c>
      <c r="G1470" s="46"/>
      <c r="H1470" s="46">
        <f>IFERROR(TRANSACTIONS!$F1470+TRANSACTIONS!$G1470,"")</f>
        <v>16000</v>
      </c>
      <c r="I1470" s="57" t="s">
        <v>41</v>
      </c>
    </row>
    <row r="1471" spans="1:9" x14ac:dyDescent="0.25">
      <c r="A1471" s="41">
        <v>45341.77927997685</v>
      </c>
      <c r="B1471" s="48">
        <f>IF(A1471&lt;&gt;"",DATE(YEAR(TRANSACTIONS!$A1471),MONTH(TRANSACTIONS!$A1471),DAY(TRANSACTIONS!$A1471)),"")</f>
        <v>45341</v>
      </c>
      <c r="C1471" s="49">
        <f>IF(A1471&lt;&gt;"",TIME(HOUR(TRANSACTIONS!$A1471),MINUTE(TRANSACTIONS!$A1471),SECOND(TRANSACTIONS!$A1471)),"")</f>
        <v>0.77928240740740751</v>
      </c>
      <c r="D1471" s="82" t="s">
        <v>62</v>
      </c>
      <c r="E1471" s="82" t="s">
        <v>7</v>
      </c>
      <c r="F1471" s="94">
        <v>1000</v>
      </c>
      <c r="G1471" s="46"/>
      <c r="H1471" s="46">
        <f>IFERROR(TRANSACTIONS!$F1471+TRANSACTIONS!$G1471,"")</f>
        <v>1000</v>
      </c>
      <c r="I1471" s="57" t="s">
        <v>41</v>
      </c>
    </row>
    <row r="1472" spans="1:9" x14ac:dyDescent="0.25">
      <c r="A1472" s="41">
        <v>45341.781139583334</v>
      </c>
      <c r="B1472" s="48">
        <f>IF(A1472&lt;&gt;"",DATE(YEAR(TRANSACTIONS!$A1472),MONTH(TRANSACTIONS!$A1472),DAY(TRANSACTIONS!$A1472)),"")</f>
        <v>45341</v>
      </c>
      <c r="C1472" s="49">
        <f>IF(A1472&lt;&gt;"",TIME(HOUR(TRANSACTIONS!$A1472),MINUTE(TRANSACTIONS!$A1472),SECOND(TRANSACTIONS!$A1472)),"")</f>
        <v>0.78113425925925928</v>
      </c>
      <c r="D1472" s="82" t="s">
        <v>62</v>
      </c>
      <c r="E1472" s="82" t="s">
        <v>7</v>
      </c>
      <c r="F1472" s="94">
        <v>300000</v>
      </c>
      <c r="G1472" s="46"/>
      <c r="H1472" s="46">
        <f>IFERROR(TRANSACTIONS!$F1472+TRANSACTIONS!$G1472,"")</f>
        <v>300000</v>
      </c>
      <c r="I1472" s="57" t="s">
        <v>41</v>
      </c>
    </row>
    <row r="1473" spans="1:9" x14ac:dyDescent="0.25">
      <c r="A1473" s="41">
        <v>45341.781168287038</v>
      </c>
      <c r="B1473" s="48">
        <f>IF(A1473&lt;&gt;"",DATE(YEAR(TRANSACTIONS!$A1473),MONTH(TRANSACTIONS!$A1473),DAY(TRANSACTIONS!$A1473)),"")</f>
        <v>45341</v>
      </c>
      <c r="C1473" s="49">
        <f>IF(A1473&lt;&gt;"",TIME(HOUR(TRANSACTIONS!$A1473),MINUTE(TRANSACTIONS!$A1473),SECOND(TRANSACTIONS!$A1473)),"")</f>
        <v>0.78116898148148151</v>
      </c>
      <c r="D1473" s="93" t="s">
        <v>62</v>
      </c>
      <c r="E1473" s="93" t="s">
        <v>6</v>
      </c>
      <c r="F1473" s="94">
        <v>4500</v>
      </c>
      <c r="G1473" s="46"/>
      <c r="H1473" s="46">
        <f>IFERROR(TRANSACTIONS!$F1473+TRANSACTIONS!$G1473,"")</f>
        <v>4500</v>
      </c>
      <c r="I1473" s="57" t="s">
        <v>41</v>
      </c>
    </row>
    <row r="1474" spans="1:9" x14ac:dyDescent="0.25">
      <c r="A1474" s="41">
        <v>45341.781177893521</v>
      </c>
      <c r="B1474" s="48">
        <f>IF(A1474&lt;&gt;"",DATE(YEAR(TRANSACTIONS!$A1474),MONTH(TRANSACTIONS!$A1474),DAY(TRANSACTIONS!$A1474)),"")</f>
        <v>45341</v>
      </c>
      <c r="C1474" s="49">
        <f>IF(A1474&lt;&gt;"",TIME(HOUR(TRANSACTIONS!$A1474),MINUTE(TRANSACTIONS!$A1474),SECOND(TRANSACTIONS!$A1474)),"")</f>
        <v>0.78118055555555566</v>
      </c>
      <c r="D1474" s="82" t="s">
        <v>62</v>
      </c>
      <c r="E1474" s="82" t="s">
        <v>6</v>
      </c>
      <c r="F1474" s="94">
        <v>15150</v>
      </c>
      <c r="G1474" s="46"/>
      <c r="H1474" s="46">
        <f>IFERROR(TRANSACTIONS!$F1474+TRANSACTIONS!$G1474,"")</f>
        <v>15150</v>
      </c>
      <c r="I1474" s="57" t="s">
        <v>41</v>
      </c>
    </row>
    <row r="1475" spans="1:9" x14ac:dyDescent="0.25">
      <c r="A1475" s="41">
        <v>45341.786890162039</v>
      </c>
      <c r="B1475" s="48">
        <f>IF(A1475&lt;&gt;"",DATE(YEAR(TRANSACTIONS!$A1475),MONTH(TRANSACTIONS!$A1475),DAY(TRANSACTIONS!$A1475)),"")</f>
        <v>45341</v>
      </c>
      <c r="C1475" s="49">
        <f>IF(A1475&lt;&gt;"",TIME(HOUR(TRANSACTIONS!$A1475),MINUTE(TRANSACTIONS!$A1475),SECOND(TRANSACTIONS!$A1475)),"")</f>
        <v>0.78688657407407403</v>
      </c>
      <c r="D1475" s="82" t="s">
        <v>62</v>
      </c>
      <c r="E1475" s="82" t="s">
        <v>6</v>
      </c>
      <c r="F1475" s="94">
        <v>500</v>
      </c>
      <c r="G1475" s="46"/>
      <c r="H1475" s="46">
        <f>IFERROR(TRANSACTIONS!$F1475+TRANSACTIONS!$G1475,"")</f>
        <v>500</v>
      </c>
      <c r="I1475" s="57" t="s">
        <v>41</v>
      </c>
    </row>
    <row r="1476" spans="1:9" x14ac:dyDescent="0.25">
      <c r="A1476" s="41">
        <v>45341.78689398148</v>
      </c>
      <c r="B1476" s="103">
        <f>IF(A1476&lt;&gt;"",DATE(YEAR(TRANSACTIONS!$A1476),MONTH(TRANSACTIONS!$A1476),DAY(TRANSACTIONS!$A1476)),"")</f>
        <v>45341</v>
      </c>
      <c r="C1476" s="104">
        <f>IF(A1476&lt;&gt;"",TIME(HOUR(TRANSACTIONS!$A1476),MINUTE(TRANSACTIONS!$A1476),SECOND(TRANSACTIONS!$A1476)),"")</f>
        <v>0.78689814814814818</v>
      </c>
      <c r="D1476" s="93" t="s">
        <v>62</v>
      </c>
      <c r="E1476" s="93" t="s">
        <v>6</v>
      </c>
      <c r="F1476" s="94">
        <v>500</v>
      </c>
      <c r="G1476" s="46"/>
      <c r="H1476" s="46">
        <f>IFERROR(TRANSACTIONS!$F1476+TRANSACTIONS!$G1476,"")</f>
        <v>500</v>
      </c>
      <c r="I1476" s="57" t="s">
        <v>41</v>
      </c>
    </row>
    <row r="1477" spans="1:9" x14ac:dyDescent="0.25">
      <c r="A1477" s="41">
        <v>45341.786936689816</v>
      </c>
      <c r="B1477" s="103">
        <f>IF(A1477&lt;&gt;"",DATE(YEAR(TRANSACTIONS!$A1477),MONTH(TRANSACTIONS!$A1477),DAY(TRANSACTIONS!$A1477)),"")</f>
        <v>45341</v>
      </c>
      <c r="C1477" s="104">
        <f>IF(A1477&lt;&gt;"",TIME(HOUR(TRANSACTIONS!$A1477),MINUTE(TRANSACTIONS!$A1477),SECOND(TRANSACTIONS!$A1477)),"")</f>
        <v>0.7869328703703703</v>
      </c>
      <c r="D1477" s="93" t="s">
        <v>62</v>
      </c>
      <c r="E1477" s="93" t="s">
        <v>7</v>
      </c>
      <c r="F1477" s="94">
        <v>1000</v>
      </c>
      <c r="G1477" s="46"/>
      <c r="H1477" s="46">
        <f>IFERROR(TRANSACTIONS!$F1477+TRANSACTIONS!$G1477,"")</f>
        <v>1000</v>
      </c>
      <c r="I1477" s="57" t="s">
        <v>41</v>
      </c>
    </row>
    <row r="1478" spans="1:9" x14ac:dyDescent="0.25">
      <c r="A1478" s="41">
        <v>45341.786969328707</v>
      </c>
      <c r="B1478" s="103">
        <f>IF(A1478&lt;&gt;"",DATE(YEAR(TRANSACTIONS!$A1478),MONTH(TRANSACTIONS!$A1478),DAY(TRANSACTIONS!$A1478)),"")</f>
        <v>45341</v>
      </c>
      <c r="C1478" s="104">
        <f>IF(A1478&lt;&gt;"",TIME(HOUR(TRANSACTIONS!$A1478),MINUTE(TRANSACTIONS!$A1478),SECOND(TRANSACTIONS!$A1478)),"")</f>
        <v>0.78696759259259252</v>
      </c>
      <c r="D1478" s="93" t="s">
        <v>62</v>
      </c>
      <c r="E1478" s="93" t="s">
        <v>7</v>
      </c>
      <c r="F1478" s="94">
        <v>35000</v>
      </c>
      <c r="G1478" s="46"/>
      <c r="H1478" s="46">
        <f>IFERROR(TRANSACTIONS!$F1478+TRANSACTIONS!$G1478,"")</f>
        <v>35000</v>
      </c>
      <c r="I1478" s="57" t="s">
        <v>41</v>
      </c>
    </row>
    <row r="1479" spans="1:9" x14ac:dyDescent="0.25">
      <c r="A1479" s="41">
        <v>45341.790154861112</v>
      </c>
      <c r="B1479" s="103">
        <f>IF(A1479&lt;&gt;"",DATE(YEAR(TRANSACTIONS!$A1479),MONTH(TRANSACTIONS!$A1479),DAY(TRANSACTIONS!$A1479)),"")</f>
        <v>45341</v>
      </c>
      <c r="C1479" s="104">
        <f>IF(A1479&lt;&gt;"",TIME(HOUR(TRANSACTIONS!$A1479),MINUTE(TRANSACTIONS!$A1479),SECOND(TRANSACTIONS!$A1479)),"")</f>
        <v>0.79015046296296287</v>
      </c>
      <c r="D1479" s="93" t="s">
        <v>62</v>
      </c>
      <c r="E1479" s="93" t="s">
        <v>6</v>
      </c>
      <c r="F1479" s="94">
        <v>5000</v>
      </c>
      <c r="G1479" s="46"/>
      <c r="H1479" s="46">
        <f>IFERROR(TRANSACTIONS!$F1479+TRANSACTIONS!$G1479,"")</f>
        <v>5000</v>
      </c>
      <c r="I1479" s="57" t="s">
        <v>41</v>
      </c>
    </row>
    <row r="1480" spans="1:9" x14ac:dyDescent="0.25">
      <c r="A1480" s="41">
        <v>45341.79016423611</v>
      </c>
      <c r="B1480" s="103">
        <f>IF(A1480&lt;&gt;"",DATE(YEAR(TRANSACTIONS!$A1480),MONTH(TRANSACTIONS!$A1480),DAY(TRANSACTIONS!$A1480)),"")</f>
        <v>45341</v>
      </c>
      <c r="C1480" s="104">
        <f>IF(A1480&lt;&gt;"",TIME(HOUR(TRANSACTIONS!$A1480),MINUTE(TRANSACTIONS!$A1480),SECOND(TRANSACTIONS!$A1480)),"")</f>
        <v>0.79016203703703702</v>
      </c>
      <c r="D1480" s="93" t="s">
        <v>62</v>
      </c>
      <c r="E1480" s="93" t="s">
        <v>7</v>
      </c>
      <c r="F1480" s="94">
        <v>2200</v>
      </c>
      <c r="G1480" s="46"/>
      <c r="H1480" s="46">
        <f>IFERROR(TRANSACTIONS!$F1480+TRANSACTIONS!$G1480,"")</f>
        <v>2200</v>
      </c>
      <c r="I1480" s="57" t="s">
        <v>41</v>
      </c>
    </row>
    <row r="1481" spans="1:9" x14ac:dyDescent="0.25">
      <c r="A1481" s="41">
        <v>45341.790171990739</v>
      </c>
      <c r="B1481" s="103">
        <f>IF(A1481&lt;&gt;"",DATE(YEAR(TRANSACTIONS!$A1481),MONTH(TRANSACTIONS!$A1481),DAY(TRANSACTIONS!$A1481)),"")</f>
        <v>45341</v>
      </c>
      <c r="C1481" s="104">
        <f>IF(A1481&lt;&gt;"",TIME(HOUR(TRANSACTIONS!$A1481),MINUTE(TRANSACTIONS!$A1481),SECOND(TRANSACTIONS!$A1481)),"")</f>
        <v>0.79017361111111117</v>
      </c>
      <c r="D1481" s="93" t="s">
        <v>62</v>
      </c>
      <c r="E1481" s="93" t="s">
        <v>7</v>
      </c>
      <c r="F1481" s="94">
        <v>5000</v>
      </c>
      <c r="G1481" s="46"/>
      <c r="H1481" s="46">
        <f>IFERROR(TRANSACTIONS!$F1481+TRANSACTIONS!$G1481,"")</f>
        <v>5000</v>
      </c>
      <c r="I1481" s="57" t="s">
        <v>41</v>
      </c>
    </row>
    <row r="1482" spans="1:9" x14ac:dyDescent="0.25">
      <c r="A1482" s="41">
        <v>45341.79018009259</v>
      </c>
      <c r="B1482" s="103">
        <f>IF(A1482&lt;&gt;"",DATE(YEAR(TRANSACTIONS!$A1482),MONTH(TRANSACTIONS!$A1482),DAY(TRANSACTIONS!$A1482)),"")</f>
        <v>45341</v>
      </c>
      <c r="C1482" s="104">
        <f>IF(A1482&lt;&gt;"",TIME(HOUR(TRANSACTIONS!$A1482),MINUTE(TRANSACTIONS!$A1482),SECOND(TRANSACTIONS!$A1482)),"")</f>
        <v>0.79018518518518521</v>
      </c>
      <c r="D1482" s="93" t="s">
        <v>62</v>
      </c>
      <c r="E1482" s="93" t="s">
        <v>7</v>
      </c>
      <c r="F1482" s="94">
        <v>36500</v>
      </c>
      <c r="G1482" s="46"/>
      <c r="H1482" s="46">
        <f>IFERROR(TRANSACTIONS!$F1482+TRANSACTIONS!$G1482,"")</f>
        <v>36500</v>
      </c>
      <c r="I1482" s="57" t="s">
        <v>41</v>
      </c>
    </row>
    <row r="1483" spans="1:9" x14ac:dyDescent="0.25">
      <c r="A1483" s="41">
        <v>45341.802715972219</v>
      </c>
      <c r="B1483" s="103">
        <f>IF(A1483&lt;&gt;"",DATE(YEAR(TRANSACTIONS!$A1483),MONTH(TRANSACTIONS!$A1483),DAY(TRANSACTIONS!$A1483)),"")</f>
        <v>45341</v>
      </c>
      <c r="C1483" s="104">
        <f>IF(A1483&lt;&gt;"",TIME(HOUR(TRANSACTIONS!$A1483),MINUTE(TRANSACTIONS!$A1483),SECOND(TRANSACTIONS!$A1483)),"")</f>
        <v>0.80271990740740751</v>
      </c>
      <c r="D1483" s="93" t="s">
        <v>62</v>
      </c>
      <c r="E1483" s="93" t="s">
        <v>7</v>
      </c>
      <c r="F1483" s="94">
        <v>32000</v>
      </c>
      <c r="G1483" s="46"/>
      <c r="H1483" s="46">
        <f>IFERROR(TRANSACTIONS!$F1483+TRANSACTIONS!$G1483,"")</f>
        <v>32000</v>
      </c>
      <c r="I1483" s="57" t="s">
        <v>41</v>
      </c>
    </row>
    <row r="1484" spans="1:9" x14ac:dyDescent="0.25">
      <c r="A1484" s="41">
        <v>45341.802775578704</v>
      </c>
      <c r="B1484" s="48">
        <f>IF(A1484&lt;&gt;"",DATE(YEAR(TRANSACTIONS!$A1484),MONTH(TRANSACTIONS!$A1484),DAY(TRANSACTIONS!$A1484)),"")</f>
        <v>45341</v>
      </c>
      <c r="C1484" s="49">
        <f>IF(A1484&lt;&gt;"",TIME(HOUR(TRANSACTIONS!$A1484),MINUTE(TRANSACTIONS!$A1484),SECOND(TRANSACTIONS!$A1484)),"")</f>
        <v>0.8027777777777777</v>
      </c>
      <c r="D1484" s="82" t="s">
        <v>62</v>
      </c>
      <c r="E1484" s="82" t="s">
        <v>7</v>
      </c>
      <c r="F1484" s="94">
        <v>2000</v>
      </c>
      <c r="G1484" s="46"/>
      <c r="H1484" s="46">
        <f>IFERROR(TRANSACTIONS!$F1484+TRANSACTIONS!$G1484,"")</f>
        <v>2000</v>
      </c>
      <c r="I1484" s="57" t="s">
        <v>41</v>
      </c>
    </row>
    <row r="1485" spans="1:9" x14ac:dyDescent="0.25">
      <c r="A1485" s="41">
        <v>45341.802783680556</v>
      </c>
      <c r="B1485" s="48">
        <f>IF(A1485&lt;&gt;"",DATE(YEAR(TRANSACTIONS!$A1485),MONTH(TRANSACTIONS!$A1485),DAY(TRANSACTIONS!$A1485)),"")</f>
        <v>45341</v>
      </c>
      <c r="C1485" s="49">
        <f>IF(A1485&lt;&gt;"",TIME(HOUR(TRANSACTIONS!$A1485),MINUTE(TRANSACTIONS!$A1485),SECOND(TRANSACTIONS!$A1485)),"")</f>
        <v>0.80278935185185185</v>
      </c>
      <c r="D1485" s="82" t="s">
        <v>62</v>
      </c>
      <c r="E1485" s="82" t="s">
        <v>6</v>
      </c>
      <c r="F1485" s="94">
        <v>20500</v>
      </c>
      <c r="G1485" s="46"/>
      <c r="H1485" s="46">
        <f>IFERROR(TRANSACTIONS!$F1485+TRANSACTIONS!$G1485,"")</f>
        <v>20500</v>
      </c>
      <c r="I1485" s="57" t="s">
        <v>41</v>
      </c>
    </row>
    <row r="1486" spans="1:9" x14ac:dyDescent="0.25">
      <c r="A1486" s="41"/>
      <c r="B1486" s="48" t="str">
        <f>IF(A1486&lt;&gt;"",DATE(YEAR(TRANSACTIONS!$A1486),MONTH(TRANSACTIONS!$A1486),DAY(TRANSACTIONS!$A1486)),"")</f>
        <v/>
      </c>
      <c r="C1486" s="49" t="str">
        <f>IF(A1486&lt;&gt;"",TIME(HOUR(TRANSACTIONS!$A1486),MINUTE(TRANSACTIONS!$A1486),SECOND(TRANSACTIONS!$A1486)),"")</f>
        <v/>
      </c>
      <c r="D1486" s="82"/>
      <c r="E1486" s="82"/>
      <c r="F1486" s="94"/>
      <c r="G1486" s="46"/>
      <c r="H1486" s="46">
        <f>IFERROR(TRANSACTIONS!$F1486+TRANSACTIONS!$G1486,"")</f>
        <v>0</v>
      </c>
      <c r="I1486" s="57" t="s">
        <v>41</v>
      </c>
    </row>
    <row r="1487" spans="1:9" x14ac:dyDescent="0.25">
      <c r="A1487" s="41">
        <v>45342.401750578705</v>
      </c>
      <c r="B1487" s="48">
        <f>IF(A1487&lt;&gt;"",DATE(YEAR(TRANSACTIONS!$A1487),MONTH(TRANSACTIONS!$A1487),DAY(TRANSACTIONS!$A1487)),"")</f>
        <v>45342</v>
      </c>
      <c r="C1487" s="49">
        <f>IF(A1487&lt;&gt;"",TIME(HOUR(TRANSACTIONS!$A1487),MINUTE(TRANSACTIONS!$A1487),SECOND(TRANSACTIONS!$A1487)),"")</f>
        <v>0.40174768518518517</v>
      </c>
      <c r="D1487" s="82" t="s">
        <v>62</v>
      </c>
      <c r="E1487" s="82" t="s">
        <v>6</v>
      </c>
      <c r="F1487" s="94">
        <v>6000</v>
      </c>
      <c r="G1487" s="46"/>
      <c r="H1487" s="46">
        <f>IFERROR(TRANSACTIONS!$F1487+TRANSACTIONS!$G1487,"")</f>
        <v>6000</v>
      </c>
      <c r="I1487" s="57" t="s">
        <v>41</v>
      </c>
    </row>
    <row r="1488" spans="1:9" x14ac:dyDescent="0.25">
      <c r="A1488" s="81">
        <v>45342.401760879628</v>
      </c>
      <c r="B1488" s="83">
        <f>IF(A1488&lt;&gt;"",DATE(YEAR(TRANSACTIONS!$A1488),MONTH(TRANSACTIONS!$A1488),DAY(TRANSACTIONS!$A1488)),"")</f>
        <v>45342</v>
      </c>
      <c r="C1488" s="84">
        <f>IF(A1488&lt;&gt;"",TIME(HOUR(TRANSACTIONS!$A1488),MINUTE(TRANSACTIONS!$A1488),SECOND(TRANSACTIONS!$A1488)),"")</f>
        <v>0.4017592592592592</v>
      </c>
      <c r="D1488" s="82" t="s">
        <v>62</v>
      </c>
      <c r="E1488" s="82" t="s">
        <v>6</v>
      </c>
      <c r="F1488" s="94">
        <v>95000</v>
      </c>
      <c r="G1488" s="86"/>
      <c r="H1488" s="86">
        <f>IFERROR(TRANSACTIONS!$F1488+TRANSACTIONS!$G1488,"")</f>
        <v>95000</v>
      </c>
      <c r="I1488" s="87" t="s">
        <v>41</v>
      </c>
    </row>
    <row r="1489" spans="1:11" x14ac:dyDescent="0.25">
      <c r="A1489" s="113">
        <v>45342.401792013887</v>
      </c>
      <c r="B1489" s="114">
        <f>IF(A1489&lt;&gt;"",DATE(YEAR(TRANSACTIONS!$A1489),MONTH(TRANSACTIONS!$A1489),DAY(TRANSACTIONS!$A1489)),"")</f>
        <v>45342</v>
      </c>
      <c r="C1489" s="115">
        <f>IF(A1489&lt;&gt;"",TIME(HOUR(TRANSACTIONS!$A1489),MINUTE(TRANSACTIONS!$A1489),SECOND(TRANSACTIONS!$A1489)),"")</f>
        <v>0.40179398148148149</v>
      </c>
      <c r="D1489" s="116" t="s">
        <v>62</v>
      </c>
      <c r="E1489" s="116" t="s">
        <v>7</v>
      </c>
      <c r="F1489" s="185">
        <v>3900</v>
      </c>
      <c r="G1489" s="117"/>
      <c r="H1489" s="117">
        <f>IFERROR(TRANSACTIONS!$F1489+TRANSACTIONS!$G1489,"")</f>
        <v>3900</v>
      </c>
      <c r="I1489" s="123" t="s">
        <v>41</v>
      </c>
      <c r="J1489" s="118"/>
    </row>
    <row r="1490" spans="1:11" x14ac:dyDescent="0.25">
      <c r="A1490" s="41">
        <v>45342.401800694446</v>
      </c>
      <c r="B1490" s="48">
        <f>IF(A1490&lt;&gt;"",DATE(YEAR(TRANSACTIONS!$A1490),MONTH(TRANSACTIONS!$A1490),DAY(TRANSACTIONS!$A1490)),"")</f>
        <v>45342</v>
      </c>
      <c r="C1490" s="49">
        <f>IF(A1490&lt;&gt;"",TIME(HOUR(TRANSACTIONS!$A1490),MINUTE(TRANSACTIONS!$A1490),SECOND(TRANSACTIONS!$A1490)),"")</f>
        <v>0.40180555555555553</v>
      </c>
      <c r="D1490" s="82" t="s">
        <v>62</v>
      </c>
      <c r="E1490" s="82" t="s">
        <v>7</v>
      </c>
      <c r="F1490" s="94">
        <v>4000</v>
      </c>
      <c r="G1490" s="46"/>
      <c r="H1490" s="46">
        <f>IFERROR(TRANSACTIONS!$F1490+TRANSACTIONS!$G1490,"")</f>
        <v>4000</v>
      </c>
      <c r="I1490" s="57" t="s">
        <v>41</v>
      </c>
    </row>
    <row r="1491" spans="1:11" x14ac:dyDescent="0.25">
      <c r="A1491" s="41">
        <v>45342.458638657408</v>
      </c>
      <c r="B1491" s="48">
        <f>IF(A1491&lt;&gt;"",DATE(YEAR(TRANSACTIONS!$A1491),MONTH(TRANSACTIONS!$A1491),DAY(TRANSACTIONS!$A1491)),"")</f>
        <v>45342</v>
      </c>
      <c r="C1491" s="49">
        <f>IF(A1491&lt;&gt;"",TIME(HOUR(TRANSACTIONS!$A1491),MINUTE(TRANSACTIONS!$A1491),SECOND(TRANSACTIONS!$A1491)),"")</f>
        <v>0.45863425925925921</v>
      </c>
      <c r="D1491" s="93" t="s">
        <v>62</v>
      </c>
      <c r="E1491" s="93" t="s">
        <v>7</v>
      </c>
      <c r="F1491" s="94">
        <v>6000</v>
      </c>
      <c r="G1491" s="46"/>
      <c r="H1491" s="46">
        <f>IFERROR(TRANSACTIONS!$F1491+TRANSACTIONS!$G1491,"")</f>
        <v>6000</v>
      </c>
      <c r="I1491" s="57" t="s">
        <v>41</v>
      </c>
    </row>
    <row r="1492" spans="1:11" x14ac:dyDescent="0.25">
      <c r="A1492" s="41">
        <v>45342.461838078707</v>
      </c>
      <c r="B1492" s="48">
        <f>IF(A1492&lt;&gt;"",DATE(YEAR(TRANSACTIONS!$A1492),MONTH(TRANSACTIONS!$A1492),DAY(TRANSACTIONS!$A1492)),"")</f>
        <v>45342</v>
      </c>
      <c r="C1492" s="49">
        <f>IF(A1492&lt;&gt;"",TIME(HOUR(TRANSACTIONS!$A1492),MINUTE(TRANSACTIONS!$A1492),SECOND(TRANSACTIONS!$A1492)),"")</f>
        <v>0.46184027777777775</v>
      </c>
      <c r="D1492" s="93" t="s">
        <v>62</v>
      </c>
      <c r="E1492" s="93" t="s">
        <v>7</v>
      </c>
      <c r="F1492" s="94">
        <v>4000</v>
      </c>
      <c r="G1492" s="46"/>
      <c r="H1492" s="46">
        <f>IFERROR(TRANSACTIONS!$F1492+TRANSACTIONS!$G1492,"")</f>
        <v>4000</v>
      </c>
      <c r="I1492" s="57" t="s">
        <v>41</v>
      </c>
    </row>
    <row r="1493" spans="1:11" x14ac:dyDescent="0.25">
      <c r="A1493" s="41">
        <v>45342.461851736109</v>
      </c>
      <c r="B1493" s="83">
        <f>IF(A1493&lt;&gt;"",DATE(YEAR(TRANSACTIONS!$A1493),MONTH(TRANSACTIONS!$A1493),DAY(TRANSACTIONS!$A1493)),"")</f>
        <v>45342</v>
      </c>
      <c r="C1493" s="84">
        <f>IF(A1493&lt;&gt;"",TIME(HOUR(TRANSACTIONS!$A1493),MINUTE(TRANSACTIONS!$A1493),SECOND(TRANSACTIONS!$A1493)),"")</f>
        <v>0.4618518518518519</v>
      </c>
      <c r="D1493" s="93" t="s">
        <v>62</v>
      </c>
      <c r="E1493" s="93" t="s">
        <v>7</v>
      </c>
      <c r="F1493" s="94">
        <v>55000</v>
      </c>
      <c r="G1493" s="86"/>
      <c r="H1493" s="86">
        <f>IFERROR(TRANSACTIONS!$F1493+TRANSACTIONS!$G1493,"")</f>
        <v>55000</v>
      </c>
      <c r="I1493" s="87" t="s">
        <v>41</v>
      </c>
      <c r="J1493" s="88"/>
      <c r="K1493" s="88"/>
    </row>
    <row r="1494" spans="1:11" x14ac:dyDescent="0.25">
      <c r="A1494" s="41">
        <v>45342.462232523147</v>
      </c>
      <c r="B1494" s="48">
        <f>IF(A1494&lt;&gt;"",DATE(YEAR(TRANSACTIONS!$A1494),MONTH(TRANSACTIONS!$A1494),DAY(TRANSACTIONS!$A1494)),"")</f>
        <v>45342</v>
      </c>
      <c r="C1494" s="49">
        <f>IF(A1494&lt;&gt;"",TIME(HOUR(TRANSACTIONS!$A1494),MINUTE(TRANSACTIONS!$A1494),SECOND(TRANSACTIONS!$A1494)),"")</f>
        <v>0.4622337962962963</v>
      </c>
      <c r="D1494" s="93" t="s">
        <v>25</v>
      </c>
      <c r="E1494" s="93" t="s">
        <v>6</v>
      </c>
      <c r="F1494" s="94">
        <v>110000</v>
      </c>
      <c r="G1494" s="46"/>
      <c r="H1494" s="46">
        <f>IFERROR(TRANSACTIONS!$F1494+TRANSACTIONS!$G1494,"")</f>
        <v>110000</v>
      </c>
      <c r="I1494" s="57" t="s">
        <v>41</v>
      </c>
    </row>
    <row r="1495" spans="1:11" x14ac:dyDescent="0.25">
      <c r="A1495" s="41">
        <v>45342.462235648149</v>
      </c>
      <c r="B1495" s="48">
        <f>IF(A1495&lt;&gt;"",DATE(YEAR(TRANSACTIONS!$A1495),MONTH(TRANSACTIONS!$A1495),DAY(TRANSACTIONS!$A1495)),"")</f>
        <v>45342</v>
      </c>
      <c r="C1495" s="49">
        <f>IF(A1495&lt;&gt;"",TIME(HOUR(TRANSACTIONS!$A1495),MINUTE(TRANSACTIONS!$A1495),SECOND(TRANSACTIONS!$A1495)),"")</f>
        <v>0.4622337962962963</v>
      </c>
      <c r="D1495" s="82" t="s">
        <v>25</v>
      </c>
      <c r="E1495" s="82" t="s">
        <v>6</v>
      </c>
      <c r="F1495" s="94">
        <v>3025</v>
      </c>
      <c r="G1495" s="46"/>
      <c r="H1495" s="46">
        <f>IFERROR(TRANSACTIONS!$F1495+TRANSACTIONS!$G1495,"")</f>
        <v>3025</v>
      </c>
      <c r="I1495" s="57" t="s">
        <v>50</v>
      </c>
    </row>
    <row r="1496" spans="1:11" x14ac:dyDescent="0.25">
      <c r="A1496" s="41">
        <v>45342.46226990741</v>
      </c>
      <c r="B1496" s="48">
        <f>IF(A1496&lt;&gt;"",DATE(YEAR(TRANSACTIONS!$A1496),MONTH(TRANSACTIONS!$A1496),DAY(TRANSACTIONS!$A1496)),"")</f>
        <v>45342</v>
      </c>
      <c r="C1496" s="49">
        <f>IF(A1496&lt;&gt;"",TIME(HOUR(TRANSACTIONS!$A1496),MINUTE(TRANSACTIONS!$A1496),SECOND(TRANSACTIONS!$A1496)),"")</f>
        <v>0.46226851851851852</v>
      </c>
      <c r="D1496" s="82" t="s">
        <v>25</v>
      </c>
      <c r="E1496" s="82" t="s">
        <v>6</v>
      </c>
      <c r="F1496" s="94">
        <v>1000</v>
      </c>
      <c r="G1496" s="46"/>
      <c r="H1496" s="46">
        <f>IFERROR(TRANSACTIONS!$F1496+TRANSACTIONS!$G1496,"")</f>
        <v>1000</v>
      </c>
      <c r="I1496" s="57" t="s">
        <v>41</v>
      </c>
    </row>
    <row r="1497" spans="1:11" x14ac:dyDescent="0.25">
      <c r="A1497" s="41">
        <v>45342.462277662038</v>
      </c>
      <c r="B1497" s="48">
        <f>IF(A1497&lt;&gt;"",DATE(YEAR(TRANSACTIONS!$A1497),MONTH(TRANSACTIONS!$A1497),DAY(TRANSACTIONS!$A1497)),"")</f>
        <v>45342</v>
      </c>
      <c r="C1497" s="49">
        <f>IF(A1497&lt;&gt;"",TIME(HOUR(TRANSACTIONS!$A1497),MINUTE(TRANSACTIONS!$A1497),SECOND(TRANSACTIONS!$A1497)),"")</f>
        <v>0.46228009259259256</v>
      </c>
      <c r="D1497" s="82" t="s">
        <v>62</v>
      </c>
      <c r="E1497" s="82" t="s">
        <v>6</v>
      </c>
      <c r="F1497" s="94">
        <v>20000</v>
      </c>
      <c r="G1497" s="46"/>
      <c r="H1497" s="46">
        <f>IFERROR(TRANSACTIONS!$F1497+TRANSACTIONS!$G1497,"")</f>
        <v>20000</v>
      </c>
      <c r="I1497" s="57" t="s">
        <v>41</v>
      </c>
    </row>
    <row r="1498" spans="1:11" ht="12" customHeight="1" x14ac:dyDescent="0.25">
      <c r="A1498" s="41">
        <v>45342.463813773145</v>
      </c>
      <c r="B1498" s="48">
        <f>IF(A1498&lt;&gt;"",DATE(YEAR(TRANSACTIONS!$A1498),MONTH(TRANSACTIONS!$A1498),DAY(TRANSACTIONS!$A1498)),"")</f>
        <v>45342</v>
      </c>
      <c r="C1498" s="49">
        <f>IF(A1498&lt;&gt;"",TIME(HOUR(TRANSACTIONS!$A1498),MINUTE(TRANSACTIONS!$A1498),SECOND(TRANSACTIONS!$A1498)),"")</f>
        <v>0.4638194444444444</v>
      </c>
      <c r="D1498" s="82" t="s">
        <v>62</v>
      </c>
      <c r="E1498" s="82" t="s">
        <v>7</v>
      </c>
      <c r="F1498" s="94">
        <v>11000</v>
      </c>
      <c r="G1498" s="46"/>
      <c r="H1498" s="46">
        <f>IFERROR(TRANSACTIONS!$F1498+TRANSACTIONS!$G1498,"")</f>
        <v>11000</v>
      </c>
      <c r="I1498" s="57" t="s">
        <v>41</v>
      </c>
    </row>
    <row r="1499" spans="1:11" hidden="1" x14ac:dyDescent="0.25">
      <c r="A1499" s="41">
        <v>43578.727241550929</v>
      </c>
      <c r="B1499" s="48">
        <f>IF(A1499&lt;&gt;"",DATE(YEAR(TRANSACTIONS!$A1499),MONTH(TRANSACTIONS!$A1499),DAY(TRANSACTIONS!$A1499)),"")</f>
        <v>43578</v>
      </c>
      <c r="C1499" s="49">
        <f>IF(A1499&lt;&gt;"",TIME(HOUR(TRANSACTIONS!$A1499),MINUTE(TRANSACTIONS!$A1499),SECOND(TRANSACTIONS!$A1499)),"")</f>
        <v>0.7272453703703704</v>
      </c>
      <c r="D1499" s="42"/>
      <c r="E1499" s="42"/>
      <c r="F1499" s="43"/>
      <c r="G1499" s="46"/>
      <c r="H1499" s="46">
        <f>IFERROR(TRANSACTIONS!$F1499+TRANSACTIONS!$G1499,"")</f>
        <v>0</v>
      </c>
      <c r="I1499" s="57" t="s">
        <v>41</v>
      </c>
    </row>
    <row r="1500" spans="1:11" hidden="1" x14ac:dyDescent="0.25">
      <c r="A1500" s="41">
        <v>43578.727534143516</v>
      </c>
      <c r="B1500" s="48">
        <f>IF(A1500&lt;&gt;"",DATE(YEAR(TRANSACTIONS!$A1500),MONTH(TRANSACTIONS!$A1500),DAY(TRANSACTIONS!$A1500)),"")</f>
        <v>43578</v>
      </c>
      <c r="C1500" s="49">
        <f>IF(A1500&lt;&gt;"",TIME(HOUR(TRANSACTIONS!$A1500),MINUTE(TRANSACTIONS!$A1500),SECOND(TRANSACTIONS!$A1500)),"")</f>
        <v>0.72753472222222226</v>
      </c>
      <c r="D1500" s="42"/>
      <c r="E1500" s="42"/>
      <c r="F1500" s="43"/>
      <c r="G1500" s="46"/>
      <c r="H1500" s="46">
        <f>IFERROR(TRANSACTIONS!$F1500+TRANSACTIONS!$G1500,"")</f>
        <v>0</v>
      </c>
      <c r="I1500" s="57" t="s">
        <v>41</v>
      </c>
    </row>
    <row r="1501" spans="1:11" x14ac:dyDescent="0.25">
      <c r="A1501" s="41">
        <v>45342.54853310185</v>
      </c>
      <c r="B1501" s="48">
        <f>IF(A1501&lt;&gt;"",DATE(YEAR(TRANSACTIONS!$A1501),MONTH(TRANSACTIONS!$A1501),DAY(TRANSACTIONS!$A1501)),"")</f>
        <v>45342</v>
      </c>
      <c r="C1501" s="49">
        <f>IF(A1501&lt;&gt;"",TIME(HOUR(TRANSACTIONS!$A1501),MINUTE(TRANSACTIONS!$A1501),SECOND(TRANSACTIONS!$A1501)),"")</f>
        <v>0.54853009259259256</v>
      </c>
      <c r="D1501" s="82" t="s">
        <v>62</v>
      </c>
      <c r="E1501" s="82" t="s">
        <v>6</v>
      </c>
      <c r="F1501" s="94">
        <v>13000</v>
      </c>
      <c r="G1501" s="46"/>
      <c r="H1501" s="46">
        <f>IFERROR(TRANSACTIONS!$F1501+TRANSACTIONS!$G1501,"")</f>
        <v>13000</v>
      </c>
      <c r="I1501" s="57" t="s">
        <v>41</v>
      </c>
    </row>
    <row r="1502" spans="1:11" x14ac:dyDescent="0.25">
      <c r="A1502" s="41">
        <v>45342.548544097219</v>
      </c>
      <c r="B1502" s="48">
        <f>IF(A1502&lt;&gt;"",DATE(YEAR(TRANSACTIONS!$A1502),MONTH(TRANSACTIONS!$A1502),DAY(TRANSACTIONS!$A1502)),"")</f>
        <v>45342</v>
      </c>
      <c r="C1502" s="49">
        <f>IF(A1502&lt;&gt;"",TIME(HOUR(TRANSACTIONS!$A1502),MINUTE(TRANSACTIONS!$A1502),SECOND(TRANSACTIONS!$A1502)),"")</f>
        <v>0.54854166666666659</v>
      </c>
      <c r="D1502" s="82" t="s">
        <v>62</v>
      </c>
      <c r="E1502" s="82" t="s">
        <v>6</v>
      </c>
      <c r="F1502" s="94">
        <v>1600</v>
      </c>
      <c r="G1502" s="46"/>
      <c r="H1502" s="46">
        <f>IFERROR(TRANSACTIONS!$F1502+TRANSACTIONS!$G1502,"")</f>
        <v>1600</v>
      </c>
      <c r="I1502" s="57" t="s">
        <v>41</v>
      </c>
    </row>
    <row r="1503" spans="1:11" x14ac:dyDescent="0.25">
      <c r="A1503" s="41">
        <v>45342.548672337965</v>
      </c>
      <c r="B1503" s="48">
        <f>IF(A1503&lt;&gt;"",DATE(YEAR(TRANSACTIONS!$A1503),MONTH(TRANSACTIONS!$A1503),DAY(TRANSACTIONS!$A1503)),"")</f>
        <v>45342</v>
      </c>
      <c r="C1503" s="49">
        <f>IF(A1503&lt;&gt;"",TIME(HOUR(TRANSACTIONS!$A1503),MINUTE(TRANSACTIONS!$A1503),SECOND(TRANSACTIONS!$A1503)),"")</f>
        <v>0.54866898148148147</v>
      </c>
      <c r="D1503" s="82" t="s">
        <v>62</v>
      </c>
      <c r="E1503" s="82" t="s">
        <v>7</v>
      </c>
      <c r="F1503" s="94">
        <v>3000</v>
      </c>
      <c r="G1503" s="46"/>
      <c r="H1503" s="46">
        <f>IFERROR(TRANSACTIONS!$F1503+TRANSACTIONS!$G1503,"")</f>
        <v>3000</v>
      </c>
      <c r="I1503" s="57" t="s">
        <v>41</v>
      </c>
    </row>
    <row r="1504" spans="1:11" x14ac:dyDescent="0.25">
      <c r="A1504" s="41">
        <v>45342.548681712964</v>
      </c>
      <c r="B1504" s="48">
        <f>IF(A1504&lt;&gt;"",DATE(YEAR(TRANSACTIONS!$A1504),MONTH(TRANSACTIONS!$A1504),DAY(TRANSACTIONS!$A1504)),"")</f>
        <v>45342</v>
      </c>
      <c r="C1504" s="49">
        <f>IF(A1504&lt;&gt;"",TIME(HOUR(TRANSACTIONS!$A1504),MINUTE(TRANSACTIONS!$A1504),SECOND(TRANSACTIONS!$A1504)),"")</f>
        <v>0.5486805555555555</v>
      </c>
      <c r="D1504" s="82" t="s">
        <v>62</v>
      </c>
      <c r="E1504" s="82" t="s">
        <v>7</v>
      </c>
      <c r="F1504" s="94">
        <v>500000</v>
      </c>
      <c r="G1504" s="46"/>
      <c r="H1504" s="46">
        <f>IFERROR(TRANSACTIONS!$F1504+TRANSACTIONS!$G1504,"")</f>
        <v>500000</v>
      </c>
      <c r="I1504" s="57" t="s">
        <v>41</v>
      </c>
    </row>
    <row r="1505" spans="1:9" x14ac:dyDescent="0.25">
      <c r="A1505" s="81">
        <v>45342.548691319447</v>
      </c>
      <c r="B1505" s="83">
        <f>IF(A1505&lt;&gt;"",DATE(YEAR(TRANSACTIONS!$A1505),MONTH(TRANSACTIONS!$A1505),DAY(TRANSACTIONS!$A1505)),"")</f>
        <v>45342</v>
      </c>
      <c r="C1505" s="84">
        <f>IF(A1505&lt;&gt;"",TIME(HOUR(TRANSACTIONS!$A1505),MINUTE(TRANSACTIONS!$A1505),SECOND(TRANSACTIONS!$A1505)),"")</f>
        <v>0.54869212962962965</v>
      </c>
      <c r="D1505" s="82" t="s">
        <v>62</v>
      </c>
      <c r="E1505" s="82" t="s">
        <v>6</v>
      </c>
      <c r="F1505" s="94">
        <v>450000</v>
      </c>
      <c r="G1505" s="86"/>
      <c r="H1505" s="86">
        <f>IFERROR(TRANSACTIONS!$F1505+TRANSACTIONS!$G1505,"")</f>
        <v>450000</v>
      </c>
      <c r="I1505" s="87" t="s">
        <v>41</v>
      </c>
    </row>
    <row r="1506" spans="1:9" x14ac:dyDescent="0.25">
      <c r="A1506" s="41">
        <v>45342.548702546293</v>
      </c>
      <c r="B1506" s="48">
        <f>IF(A1506&lt;&gt;"",DATE(YEAR(TRANSACTIONS!$A1506),MONTH(TRANSACTIONS!$A1506),DAY(TRANSACTIONS!$A1506)),"")</f>
        <v>45342</v>
      </c>
      <c r="C1506" s="49">
        <f>IF(A1506&lt;&gt;"",TIME(HOUR(TRANSACTIONS!$A1506),MINUTE(TRANSACTIONS!$A1506),SECOND(TRANSACTIONS!$A1506)),"")</f>
        <v>0.54870370370370369</v>
      </c>
      <c r="D1506" s="82" t="s">
        <v>62</v>
      </c>
      <c r="E1506" s="82" t="s">
        <v>7</v>
      </c>
      <c r="F1506" s="94">
        <v>1000</v>
      </c>
      <c r="G1506" s="46"/>
      <c r="H1506" s="46">
        <f>IFERROR(TRANSACTIONS!$F1506+TRANSACTIONS!$G1506,"")</f>
        <v>1000</v>
      </c>
      <c r="I1506" s="57" t="s">
        <v>41</v>
      </c>
    </row>
    <row r="1507" spans="1:9" x14ac:dyDescent="0.25">
      <c r="A1507" s="41">
        <v>45342.548715856479</v>
      </c>
      <c r="B1507" s="48">
        <f>IF(A1507&lt;&gt;"",DATE(YEAR(TRANSACTIONS!$A1507),MONTH(TRANSACTIONS!$A1507),DAY(TRANSACTIONS!$A1507)),"")</f>
        <v>45342</v>
      </c>
      <c r="C1507" s="49">
        <f>IF(A1507&lt;&gt;"",TIME(HOUR(TRANSACTIONS!$A1507),MINUTE(TRANSACTIONS!$A1507),SECOND(TRANSACTIONS!$A1507)),"")</f>
        <v>0.54871527777777784</v>
      </c>
      <c r="D1507" s="82" t="s">
        <v>62</v>
      </c>
      <c r="E1507" s="82" t="s">
        <v>7</v>
      </c>
      <c r="F1507" s="94">
        <v>2000</v>
      </c>
      <c r="G1507" s="46"/>
      <c r="H1507" s="46">
        <f>IFERROR(TRANSACTIONS!$F1507+TRANSACTIONS!$G1507,"")</f>
        <v>2000</v>
      </c>
      <c r="I1507" s="57" t="s">
        <v>41</v>
      </c>
    </row>
    <row r="1508" spans="1:9" x14ac:dyDescent="0.25">
      <c r="A1508" s="41">
        <v>45342.548724421293</v>
      </c>
      <c r="B1508" s="48">
        <f>IF(A1508&lt;&gt;"",DATE(YEAR(TRANSACTIONS!$A1508),MONTH(TRANSACTIONS!$A1508),DAY(TRANSACTIONS!$A1508)),"")</f>
        <v>45342</v>
      </c>
      <c r="C1508" s="49">
        <f>IF(A1508&lt;&gt;"",TIME(HOUR(TRANSACTIONS!$A1508),MINUTE(TRANSACTIONS!$A1508),SECOND(TRANSACTIONS!$A1508)),"")</f>
        <v>0.54872685185185188</v>
      </c>
      <c r="D1508" s="82" t="s">
        <v>62</v>
      </c>
      <c r="E1508" s="82" t="s">
        <v>7</v>
      </c>
      <c r="F1508" s="94">
        <v>5000</v>
      </c>
      <c r="G1508" s="46"/>
      <c r="H1508" s="46">
        <f>IFERROR(TRANSACTIONS!$F1508+TRANSACTIONS!$G1508,"")</f>
        <v>5000</v>
      </c>
      <c r="I1508" s="57" t="s">
        <v>41</v>
      </c>
    </row>
    <row r="1509" spans="1:9" x14ac:dyDescent="0.25">
      <c r="A1509" s="41">
        <v>45342.548733564814</v>
      </c>
      <c r="B1509" s="48">
        <f>IF(A1509&lt;&gt;"",DATE(YEAR(TRANSACTIONS!$A1509),MONTH(TRANSACTIONS!$A1509),DAY(TRANSACTIONS!$A1509)),"")</f>
        <v>45342</v>
      </c>
      <c r="C1509" s="49">
        <f>IF(A1509&lt;&gt;"",TIME(HOUR(TRANSACTIONS!$A1509),MINUTE(TRANSACTIONS!$A1509),SECOND(TRANSACTIONS!$A1509)),"")</f>
        <v>0.54873842592592592</v>
      </c>
      <c r="D1509" s="93" t="s">
        <v>62</v>
      </c>
      <c r="E1509" s="93" t="s">
        <v>7</v>
      </c>
      <c r="F1509" s="94">
        <v>2000</v>
      </c>
      <c r="G1509" s="46"/>
      <c r="H1509" s="46">
        <f>IFERROR(TRANSACTIONS!$F1509+TRANSACTIONS!$G1509,"")</f>
        <v>2000</v>
      </c>
      <c r="I1509" s="57" t="s">
        <v>41</v>
      </c>
    </row>
    <row r="1510" spans="1:9" x14ac:dyDescent="0.25">
      <c r="A1510" s="41">
        <v>45342.548745601853</v>
      </c>
      <c r="B1510" s="48">
        <f>IF(A1510&lt;&gt;"",DATE(YEAR(TRANSACTIONS!$A1510),MONTH(TRANSACTIONS!$A1510),DAY(TRANSACTIONS!$A1510)),"")</f>
        <v>45342</v>
      </c>
      <c r="C1510" s="49">
        <f>IF(A1510&lt;&gt;"",TIME(HOUR(TRANSACTIONS!$A1510),MINUTE(TRANSACTIONS!$A1510),SECOND(TRANSACTIONS!$A1510)),"")</f>
        <v>0.54874999999999996</v>
      </c>
      <c r="D1510" s="82" t="s">
        <v>62</v>
      </c>
      <c r="E1510" s="82" t="s">
        <v>7</v>
      </c>
      <c r="F1510" s="94">
        <v>5000</v>
      </c>
      <c r="G1510" s="46"/>
      <c r="H1510" s="46">
        <f>IFERROR(TRANSACTIONS!$F1510+TRANSACTIONS!$G1510,"")</f>
        <v>5000</v>
      </c>
      <c r="I1510" s="57" t="s">
        <v>41</v>
      </c>
    </row>
    <row r="1511" spans="1:9" x14ac:dyDescent="0.25">
      <c r="A1511" s="41">
        <v>45342.548778819444</v>
      </c>
      <c r="B1511" s="48">
        <f>IF(A1511&lt;&gt;"",DATE(YEAR(TRANSACTIONS!$A1511),MONTH(TRANSACTIONS!$A1511),DAY(TRANSACTIONS!$A1511)),"")</f>
        <v>45342</v>
      </c>
      <c r="C1511" s="49">
        <f>IF(A1511&lt;&gt;"",TIME(HOUR(TRANSACTIONS!$A1511),MINUTE(TRANSACTIONS!$A1511),SECOND(TRANSACTIONS!$A1511)),"")</f>
        <v>0.54877314814814815</v>
      </c>
      <c r="D1511" s="82" t="s">
        <v>62</v>
      </c>
      <c r="E1511" s="82" t="s">
        <v>7</v>
      </c>
      <c r="F1511" s="94">
        <v>1000</v>
      </c>
      <c r="G1511" s="46"/>
      <c r="H1511" s="46">
        <f>IFERROR(TRANSACTIONS!$F1511+TRANSACTIONS!$G1511,"")</f>
        <v>1000</v>
      </c>
      <c r="I1511" s="57" t="s">
        <v>41</v>
      </c>
    </row>
    <row r="1512" spans="1:9" x14ac:dyDescent="0.25">
      <c r="A1512" s="41">
        <v>45342.548822916666</v>
      </c>
      <c r="B1512" s="48">
        <f>IF(A1512&lt;&gt;"",DATE(YEAR(TRANSACTIONS!$A1512),MONTH(TRANSACTIONS!$A1512),DAY(TRANSACTIONS!$A1512)),"")</f>
        <v>45342</v>
      </c>
      <c r="C1512" s="49">
        <f>IF(A1512&lt;&gt;"",TIME(HOUR(TRANSACTIONS!$A1512),MINUTE(TRANSACTIONS!$A1512),SECOND(TRANSACTIONS!$A1512)),"")</f>
        <v>0.54881944444444442</v>
      </c>
      <c r="D1512" s="82" t="s">
        <v>62</v>
      </c>
      <c r="E1512" s="82" t="s">
        <v>6</v>
      </c>
      <c r="F1512" s="94">
        <v>1000</v>
      </c>
      <c r="G1512" s="46"/>
      <c r="H1512" s="46">
        <f>IFERROR(TRANSACTIONS!$F1512+TRANSACTIONS!$G1512,"")</f>
        <v>1000</v>
      </c>
      <c r="I1512" s="57" t="s">
        <v>41</v>
      </c>
    </row>
    <row r="1513" spans="1:9" x14ac:dyDescent="0.25">
      <c r="A1513" s="41">
        <v>45342.548864930555</v>
      </c>
      <c r="B1513" s="48">
        <f>IF(A1513&lt;&gt;"",DATE(YEAR(TRANSACTIONS!$A1513),MONTH(TRANSACTIONS!$A1513),DAY(TRANSACTIONS!$A1513)),"")</f>
        <v>45342</v>
      </c>
      <c r="C1513" s="49">
        <f>IF(A1513&lt;&gt;"",TIME(HOUR(TRANSACTIONS!$A1513),MINUTE(TRANSACTIONS!$A1513),SECOND(TRANSACTIONS!$A1513)),"")</f>
        <v>0.54886574074074079</v>
      </c>
      <c r="D1513" s="82" t="s">
        <v>62</v>
      </c>
      <c r="E1513" s="82" t="s">
        <v>6</v>
      </c>
      <c r="F1513" s="94">
        <v>2500</v>
      </c>
      <c r="G1513" s="46"/>
      <c r="H1513" s="46">
        <f>IFERROR(TRANSACTIONS!$F1513+TRANSACTIONS!$G1513,"")</f>
        <v>2500</v>
      </c>
      <c r="I1513" s="57" t="s">
        <v>41</v>
      </c>
    </row>
    <row r="1514" spans="1:9" x14ac:dyDescent="0.25">
      <c r="A1514" s="41">
        <v>45342.548845949073</v>
      </c>
      <c r="B1514" s="48">
        <f>IF(A1514&lt;&gt;"",DATE(YEAR(TRANSACTIONS!$A1514),MONTH(TRANSACTIONS!$A1514),DAY(TRANSACTIONS!$A1514)),"")</f>
        <v>45342</v>
      </c>
      <c r="C1514" s="49">
        <f>IF(A1514&lt;&gt;"",TIME(HOUR(TRANSACTIONS!$A1514),MINUTE(TRANSACTIONS!$A1514),SECOND(TRANSACTIONS!$A1514)),"")</f>
        <v>0.5488425925925926</v>
      </c>
      <c r="D1514" s="82" t="s">
        <v>62</v>
      </c>
      <c r="E1514" s="82" t="s">
        <v>7</v>
      </c>
      <c r="F1514" s="180">
        <v>3000</v>
      </c>
      <c r="G1514" s="46"/>
      <c r="H1514" s="46">
        <f>IFERROR(TRANSACTIONS!$F1514+TRANSACTIONS!$G1514,"")</f>
        <v>3000</v>
      </c>
      <c r="I1514" s="57" t="s">
        <v>41</v>
      </c>
    </row>
    <row r="1515" spans="1:9" ht="13.5" customHeight="1" x14ac:dyDescent="0.25">
      <c r="A1515" s="71">
        <v>45342.54887337963</v>
      </c>
      <c r="B1515" s="73">
        <f>IF(A1515&lt;&gt;"",DATE(YEAR(TRANSACTIONS!$A1515),MONTH(TRANSACTIONS!$A1515),DAY(TRANSACTIONS!$A1515)),"")</f>
        <v>45342</v>
      </c>
      <c r="C1515" s="74">
        <f>IF(A1515&lt;&gt;"",TIME(HOUR(TRANSACTIONS!$A1515),MINUTE(TRANSACTIONS!$A1515),SECOND(TRANSACTIONS!$A1515)),"")</f>
        <v>0.54887731481481483</v>
      </c>
      <c r="D1515" s="72" t="s">
        <v>62</v>
      </c>
      <c r="E1515" s="72" t="s">
        <v>7</v>
      </c>
      <c r="F1515" s="180">
        <v>10000</v>
      </c>
      <c r="G1515" s="75"/>
      <c r="H1515" s="75">
        <f>IFERROR(TRANSACTIONS!$F1515+TRANSACTIONS!$G1515,"")</f>
        <v>10000</v>
      </c>
      <c r="I1515" s="89" t="s">
        <v>41</v>
      </c>
    </row>
    <row r="1516" spans="1:9" ht="21.75" customHeight="1" x14ac:dyDescent="0.25">
      <c r="A1516" s="41">
        <v>45342.548931018522</v>
      </c>
      <c r="B1516" s="48">
        <f>IF(A1516&lt;&gt;"",DATE(YEAR(TRANSACTIONS!$A1516),MONTH(TRANSACTIONS!$A1516),DAY(TRANSACTIONS!$A1516)),"")</f>
        <v>45342</v>
      </c>
      <c r="C1516" s="49">
        <f>IF(A1516&lt;&gt;"",TIME(HOUR(TRANSACTIONS!$A1516),MINUTE(TRANSACTIONS!$A1516),SECOND(TRANSACTIONS!$A1516)),"")</f>
        <v>0.54893518518518525</v>
      </c>
      <c r="D1516" s="82" t="s">
        <v>62</v>
      </c>
      <c r="E1516" s="82" t="s">
        <v>7</v>
      </c>
      <c r="F1516" s="94">
        <v>5000</v>
      </c>
      <c r="G1516" s="46"/>
      <c r="H1516" s="46">
        <f>IFERROR(TRANSACTIONS!$F1516+TRANSACTIONS!$G1516,"")</f>
        <v>5000</v>
      </c>
      <c r="I1516" s="57" t="s">
        <v>41</v>
      </c>
    </row>
    <row r="1517" spans="1:9" x14ac:dyDescent="0.25">
      <c r="A1517" s="41">
        <v>45342.548941203706</v>
      </c>
      <c r="B1517" s="114">
        <f>IF(A1517&lt;&gt;"",DATE(YEAR(TRANSACTIONS!$A1517),MONTH(TRANSACTIONS!$A1517),DAY(TRANSACTIONS!$A1517)),"")</f>
        <v>45342</v>
      </c>
      <c r="C1517" s="115">
        <f>IF(A1517&lt;&gt;"",TIME(HOUR(TRANSACTIONS!$A1517),MINUTE(TRANSACTIONS!$A1517),SECOND(TRANSACTIONS!$A1517)),"")</f>
        <v>0.54894675925925929</v>
      </c>
      <c r="D1517" s="93" t="s">
        <v>62</v>
      </c>
      <c r="E1517" s="93" t="s">
        <v>7</v>
      </c>
      <c r="F1517" s="94">
        <v>300000</v>
      </c>
      <c r="G1517" s="117"/>
      <c r="H1517" s="117">
        <f>IFERROR(TRANSACTIONS!$F1517+TRANSACTIONS!$G1517,"")</f>
        <v>300000</v>
      </c>
      <c r="I1517" s="123" t="s">
        <v>41</v>
      </c>
    </row>
    <row r="1518" spans="1:9" x14ac:dyDescent="0.25">
      <c r="A1518" s="41">
        <v>45342.549074189817</v>
      </c>
      <c r="B1518" s="48">
        <f>IF(A1518&lt;&gt;"",DATE(YEAR(TRANSACTIONS!$A1518),MONTH(TRANSACTIONS!$A1518),DAY(TRANSACTIONS!$A1518)),"")</f>
        <v>45342</v>
      </c>
      <c r="C1518" s="49">
        <f>IF(A1518&lt;&gt;"",TIME(HOUR(TRANSACTIONS!$A1518),MINUTE(TRANSACTIONS!$A1518),SECOND(TRANSACTIONS!$A1518)),"")</f>
        <v>0.54907407407407405</v>
      </c>
      <c r="D1518" s="82" t="s">
        <v>62</v>
      </c>
      <c r="E1518" s="82" t="s">
        <v>7</v>
      </c>
      <c r="F1518" s="94">
        <v>30000</v>
      </c>
      <c r="G1518" s="46"/>
      <c r="H1518" s="46">
        <f>IFERROR(TRANSACTIONS!$F1518+TRANSACTIONS!$G1518,"")</f>
        <v>30000</v>
      </c>
      <c r="I1518" s="57" t="s">
        <v>41</v>
      </c>
    </row>
    <row r="1519" spans="1:9" x14ac:dyDescent="0.25">
      <c r="A1519" s="41">
        <v>45342.549274189812</v>
      </c>
      <c r="B1519" s="48">
        <f>IF(A1519&lt;&gt;"",DATE(YEAR(TRANSACTIONS!$A1519),MONTH(TRANSACTIONS!$A1519),DAY(TRANSACTIONS!$A1519)),"")</f>
        <v>45342</v>
      </c>
      <c r="C1519" s="49">
        <f>IF(A1519&lt;&gt;"",TIME(HOUR(TRANSACTIONS!$A1519),MINUTE(TRANSACTIONS!$A1519),SECOND(TRANSACTIONS!$A1519)),"")</f>
        <v>0.54927083333333326</v>
      </c>
      <c r="D1519" s="82" t="s">
        <v>62</v>
      </c>
      <c r="E1519" s="82" t="s">
        <v>7</v>
      </c>
      <c r="F1519" s="94">
        <v>2500</v>
      </c>
      <c r="G1519" s="46"/>
      <c r="H1519" s="46">
        <f>IFERROR(TRANSACTIONS!$F1519+TRANSACTIONS!$G1519,"")</f>
        <v>2500</v>
      </c>
      <c r="I1519" s="57" t="s">
        <v>41</v>
      </c>
    </row>
    <row r="1520" spans="1:9" x14ac:dyDescent="0.25">
      <c r="A1520" s="41">
        <v>45342.54928634259</v>
      </c>
      <c r="B1520" s="48">
        <f>IF(A1520&lt;&gt;"",DATE(YEAR(TRANSACTIONS!$A1520),MONTH(TRANSACTIONS!$A1520),DAY(TRANSACTIONS!$A1520)),"")</f>
        <v>45342</v>
      </c>
      <c r="C1520" s="49">
        <f>IF(A1520&lt;&gt;"",TIME(HOUR(TRANSACTIONS!$A1520),MINUTE(TRANSACTIONS!$A1520),SECOND(TRANSACTIONS!$A1520)),"")</f>
        <v>0.54928240740740741</v>
      </c>
      <c r="D1520" s="82" t="s">
        <v>62</v>
      </c>
      <c r="E1520" s="82" t="s">
        <v>7</v>
      </c>
      <c r="F1520" s="94">
        <v>2000</v>
      </c>
      <c r="G1520" s="46"/>
      <c r="H1520" s="46">
        <f>IFERROR(TRANSACTIONS!$F1520+TRANSACTIONS!$G1520,"")</f>
        <v>2000</v>
      </c>
      <c r="I1520" s="57" t="s">
        <v>41</v>
      </c>
    </row>
    <row r="1521" spans="1:9" x14ac:dyDescent="0.25">
      <c r="A1521" s="41">
        <v>45342.549303356478</v>
      </c>
      <c r="B1521" s="48">
        <f>IF(A1521&lt;&gt;"",DATE(YEAR(TRANSACTIONS!$A1521),MONTH(TRANSACTIONS!$A1521),DAY(TRANSACTIONS!$A1521)),"")</f>
        <v>45342</v>
      </c>
      <c r="C1521" s="49">
        <f>IF(A1521&lt;&gt;"",TIME(HOUR(TRANSACTIONS!$A1521),MINUTE(TRANSACTIONS!$A1521),SECOND(TRANSACTIONS!$A1521)),"")</f>
        <v>0.5493055555555556</v>
      </c>
      <c r="D1521" s="82" t="s">
        <v>62</v>
      </c>
      <c r="E1521" s="82" t="s">
        <v>7</v>
      </c>
      <c r="F1521" s="94">
        <v>20000</v>
      </c>
      <c r="G1521" s="46"/>
      <c r="H1521" s="46">
        <f>IFERROR(TRANSACTIONS!$F1521+TRANSACTIONS!$G1521,"")</f>
        <v>20000</v>
      </c>
      <c r="I1521" s="57" t="s">
        <v>41</v>
      </c>
    </row>
    <row r="1522" spans="1:9" x14ac:dyDescent="0.25">
      <c r="A1522" s="41">
        <v>45342.549321064813</v>
      </c>
      <c r="B1522" s="114">
        <f>IF(A1522&lt;&gt;"",DATE(YEAR(TRANSACTIONS!$A1522),MONTH(TRANSACTIONS!$A1522),DAY(TRANSACTIONS!$A1522)),"")</f>
        <v>45342</v>
      </c>
      <c r="C1522" s="115">
        <f>IF(A1522&lt;&gt;"",TIME(HOUR(TRANSACTIONS!$A1522),MINUTE(TRANSACTIONS!$A1522),SECOND(TRANSACTIONS!$A1522)),"")</f>
        <v>0.54931712962962964</v>
      </c>
      <c r="D1522" s="82" t="s">
        <v>62</v>
      </c>
      <c r="E1522" s="82" t="s">
        <v>7</v>
      </c>
      <c r="F1522" s="94">
        <v>1000</v>
      </c>
      <c r="G1522" s="117"/>
      <c r="H1522" s="117">
        <f>IFERROR(TRANSACTIONS!$F1522+TRANSACTIONS!$G1522,"")</f>
        <v>1000</v>
      </c>
      <c r="I1522" s="123" t="s">
        <v>41</v>
      </c>
    </row>
    <row r="1523" spans="1:9" x14ac:dyDescent="0.25">
      <c r="A1523" s="41">
        <v>45342.549329050926</v>
      </c>
      <c r="B1523" s="48">
        <f>IF(A1523&lt;&gt;"",DATE(YEAR(TRANSACTIONS!$A1523),MONTH(TRANSACTIONS!$A1523),DAY(TRANSACTIONS!$A1523)),"")</f>
        <v>45342</v>
      </c>
      <c r="C1523" s="49">
        <f>IF(A1523&lt;&gt;"",TIME(HOUR(TRANSACTIONS!$A1523),MINUTE(TRANSACTIONS!$A1523),SECOND(TRANSACTIONS!$A1523)),"")</f>
        <v>0.54932870370370368</v>
      </c>
      <c r="D1523" s="82" t="s">
        <v>62</v>
      </c>
      <c r="E1523" s="82" t="s">
        <v>7</v>
      </c>
      <c r="F1523" s="94">
        <v>5000</v>
      </c>
      <c r="G1523" s="46"/>
      <c r="H1523" s="46">
        <f>IFERROR(TRANSACTIONS!$F1523+TRANSACTIONS!$G1523,"")</f>
        <v>5000</v>
      </c>
      <c r="I1523" s="57" t="s">
        <v>41</v>
      </c>
    </row>
    <row r="1524" spans="1:9" x14ac:dyDescent="0.25">
      <c r="A1524" s="41">
        <v>45342.688254398148</v>
      </c>
      <c r="B1524" s="48">
        <f>IF(A1524&lt;&gt;"",DATE(YEAR(TRANSACTIONS!$A1524),MONTH(TRANSACTIONS!$A1524),DAY(TRANSACTIONS!$A1524)),"")</f>
        <v>45342</v>
      </c>
      <c r="C1524" s="49">
        <f>IF(A1524&lt;&gt;"",TIME(HOUR(TRANSACTIONS!$A1524),MINUTE(TRANSACTIONS!$A1524),SECOND(TRANSACTIONS!$A1524)),"")</f>
        <v>0.68825231481481486</v>
      </c>
      <c r="D1524" s="82" t="s">
        <v>62</v>
      </c>
      <c r="E1524" s="82" t="s">
        <v>7</v>
      </c>
      <c r="F1524" s="94">
        <v>120000</v>
      </c>
      <c r="G1524" s="46"/>
      <c r="H1524" s="46">
        <f>IFERROR(TRANSACTIONS!$F1524+TRANSACTIONS!$G1524,"")</f>
        <v>120000</v>
      </c>
      <c r="I1524" s="57" t="s">
        <v>41</v>
      </c>
    </row>
    <row r="1525" spans="1:9" x14ac:dyDescent="0.25">
      <c r="A1525" s="41">
        <v>45342.688263310185</v>
      </c>
      <c r="B1525" s="48">
        <f>IF(A1525&lt;&gt;"",DATE(YEAR(TRANSACTIONS!$A1525),MONTH(TRANSACTIONS!$A1525),DAY(TRANSACTIONS!$A1525)),"")</f>
        <v>45342</v>
      </c>
      <c r="C1525" s="49">
        <f>IF(A1525&lt;&gt;"",TIME(HOUR(TRANSACTIONS!$A1525),MINUTE(TRANSACTIONS!$A1525),SECOND(TRANSACTIONS!$A1525)),"")</f>
        <v>0.6882638888888889</v>
      </c>
      <c r="D1525" s="82" t="s">
        <v>62</v>
      </c>
      <c r="E1525" s="82" t="s">
        <v>7</v>
      </c>
      <c r="F1525" s="94">
        <v>19000</v>
      </c>
      <c r="G1525" s="46"/>
      <c r="H1525" s="46">
        <f>IFERROR(TRANSACTIONS!$F1525+TRANSACTIONS!$G1525,"")</f>
        <v>19000</v>
      </c>
      <c r="I1525" s="57" t="s">
        <v>41</v>
      </c>
    </row>
    <row r="1526" spans="1:9" x14ac:dyDescent="0.25">
      <c r="A1526" s="41">
        <v>45342.68828263889</v>
      </c>
      <c r="B1526" s="48">
        <f>IF(A1526&lt;&gt;"",DATE(YEAR(TRANSACTIONS!$A1526),MONTH(TRANSACTIONS!$A1526),DAY(TRANSACTIONS!$A1526)),"")</f>
        <v>45342</v>
      </c>
      <c r="C1526" s="49">
        <f>IF(A1526&lt;&gt;"",TIME(HOUR(TRANSACTIONS!$A1526),MINUTE(TRANSACTIONS!$A1526),SECOND(TRANSACTIONS!$A1526)),"")</f>
        <v>0.68828703703703698</v>
      </c>
      <c r="D1526" s="82" t="s">
        <v>62</v>
      </c>
      <c r="E1526" s="82" t="s">
        <v>7</v>
      </c>
      <c r="F1526" s="94">
        <v>6000</v>
      </c>
      <c r="G1526" s="46"/>
      <c r="H1526" s="46">
        <f>IFERROR(TRANSACTIONS!$F1526+TRANSACTIONS!$G1526,"")</f>
        <v>6000</v>
      </c>
      <c r="I1526" s="57" t="s">
        <v>41</v>
      </c>
    </row>
    <row r="1527" spans="1:9" x14ac:dyDescent="0.25">
      <c r="A1527" s="41">
        <v>45342.703958217593</v>
      </c>
      <c r="B1527" s="48">
        <f>IF(A1527&lt;&gt;"",DATE(YEAR(TRANSACTIONS!$A1527),MONTH(TRANSACTIONS!$A1527),DAY(TRANSACTIONS!$A1527)),"")</f>
        <v>45342</v>
      </c>
      <c r="C1527" s="49">
        <f>IF(A1527&lt;&gt;"",TIME(HOUR(TRANSACTIONS!$A1527),MINUTE(TRANSACTIONS!$A1527),SECOND(TRANSACTIONS!$A1527)),"")</f>
        <v>0.70395833333333335</v>
      </c>
      <c r="D1527" s="82" t="s">
        <v>62</v>
      </c>
      <c r="E1527" s="82" t="s">
        <v>6</v>
      </c>
      <c r="F1527" s="94">
        <v>60000</v>
      </c>
      <c r="G1527" s="46"/>
      <c r="H1527" s="46">
        <f>IFERROR(TRANSACTIONS!$F1527+TRANSACTIONS!$G1527,"")</f>
        <v>60000</v>
      </c>
      <c r="I1527" s="57" t="s">
        <v>41</v>
      </c>
    </row>
    <row r="1528" spans="1:9" x14ac:dyDescent="0.25">
      <c r="A1528" s="41">
        <v>45342.703976620367</v>
      </c>
      <c r="B1528" s="48">
        <f>IF(A1528&lt;&gt;"",DATE(YEAR(TRANSACTIONS!$A1528),MONTH(TRANSACTIONS!$A1528),DAY(TRANSACTIONS!$A1528)),"")</f>
        <v>45342</v>
      </c>
      <c r="C1528" s="49">
        <f>IF(A1528&lt;&gt;"",TIME(HOUR(TRANSACTIONS!$A1528),MINUTE(TRANSACTIONS!$A1528),SECOND(TRANSACTIONS!$A1528)),"")</f>
        <v>0.70398148148148154</v>
      </c>
      <c r="D1528" s="82" t="s">
        <v>62</v>
      </c>
      <c r="E1528" s="82" t="s">
        <v>7</v>
      </c>
      <c r="F1528" s="94">
        <v>15000</v>
      </c>
      <c r="G1528" s="46"/>
      <c r="H1528" s="46">
        <f>IFERROR(TRANSACTIONS!$F1528+TRANSACTIONS!$G1528,"")</f>
        <v>15000</v>
      </c>
      <c r="I1528" s="57" t="s">
        <v>41</v>
      </c>
    </row>
    <row r="1529" spans="1:9" x14ac:dyDescent="0.25">
      <c r="A1529" s="41">
        <v>45342.70398726852</v>
      </c>
      <c r="B1529" s="48">
        <f>IF(A1529&lt;&gt;"",DATE(YEAR(TRANSACTIONS!$A1529),MONTH(TRANSACTIONS!$A1529),DAY(TRANSACTIONS!$A1529)),"")</f>
        <v>45342</v>
      </c>
      <c r="C1529" s="49">
        <f>IF(A1529&lt;&gt;"",TIME(HOUR(TRANSACTIONS!$A1529),MINUTE(TRANSACTIONS!$A1529),SECOND(TRANSACTIONS!$A1529)),"")</f>
        <v>0.70398148148148154</v>
      </c>
      <c r="D1529" s="82" t="s">
        <v>62</v>
      </c>
      <c r="E1529" s="82" t="s">
        <v>7</v>
      </c>
      <c r="F1529" s="94">
        <v>1000</v>
      </c>
      <c r="G1529" s="46"/>
      <c r="H1529" s="46">
        <f>IFERROR(TRANSACTIONS!$F1529+TRANSACTIONS!$G1529,"")</f>
        <v>1000</v>
      </c>
      <c r="I1529" s="57" t="s">
        <v>41</v>
      </c>
    </row>
    <row r="1530" spans="1:9" x14ac:dyDescent="0.25">
      <c r="A1530" s="41">
        <v>45342.703996875003</v>
      </c>
      <c r="B1530" s="48">
        <f>IF(A1530&lt;&gt;"",DATE(YEAR(TRANSACTIONS!$A1530),MONTH(TRANSACTIONS!$A1530),DAY(TRANSACTIONS!$A1530)),"")</f>
        <v>45342</v>
      </c>
      <c r="C1530" s="49">
        <f>IF(A1530&lt;&gt;"",TIME(HOUR(TRANSACTIONS!$A1530),MINUTE(TRANSACTIONS!$A1530),SECOND(TRANSACTIONS!$A1530)),"")</f>
        <v>0.70399305555555547</v>
      </c>
      <c r="D1530" s="82" t="s">
        <v>62</v>
      </c>
      <c r="E1530" s="82" t="s">
        <v>7</v>
      </c>
      <c r="F1530" s="94">
        <v>5000</v>
      </c>
      <c r="G1530" s="46"/>
      <c r="H1530" s="46">
        <f>IFERROR(TRANSACTIONS!$F1530+TRANSACTIONS!$G1530,"")</f>
        <v>5000</v>
      </c>
      <c r="I1530" s="57" t="s">
        <v>41</v>
      </c>
    </row>
    <row r="1531" spans="1:9" x14ac:dyDescent="0.25">
      <c r="A1531" s="41">
        <v>45342.704005555555</v>
      </c>
      <c r="B1531" s="48">
        <f>IF(A1531&lt;&gt;"",DATE(YEAR(TRANSACTIONS!$A1531),MONTH(TRANSACTIONS!$A1531),DAY(TRANSACTIONS!$A1531)),"")</f>
        <v>45342</v>
      </c>
      <c r="C1531" s="49">
        <f>IF(A1531&lt;&gt;"",TIME(HOUR(TRANSACTIONS!$A1531),MINUTE(TRANSACTIONS!$A1531),SECOND(TRANSACTIONS!$A1531)),"")</f>
        <v>0.70400462962962962</v>
      </c>
      <c r="D1531" s="82" t="s">
        <v>62</v>
      </c>
      <c r="E1531" s="93" t="s">
        <v>7</v>
      </c>
      <c r="F1531" s="94">
        <v>15000</v>
      </c>
      <c r="G1531" s="46"/>
      <c r="H1531" s="46">
        <f>IFERROR(TRANSACTIONS!$F1531+TRANSACTIONS!$G1531,"")</f>
        <v>15000</v>
      </c>
      <c r="I1531" s="57" t="s">
        <v>41</v>
      </c>
    </row>
    <row r="1532" spans="1:9" x14ac:dyDescent="0.25">
      <c r="A1532" s="41">
        <v>45342.704013310184</v>
      </c>
      <c r="B1532" s="48">
        <f>IF(A1532&lt;&gt;"",DATE(YEAR(TRANSACTIONS!$A1532),MONTH(TRANSACTIONS!$A1532),DAY(TRANSACTIONS!$A1532)),"")</f>
        <v>45342</v>
      </c>
      <c r="C1532" s="49">
        <f>IF(A1532&lt;&gt;"",TIME(HOUR(TRANSACTIONS!$A1532),MINUTE(TRANSACTIONS!$A1532),SECOND(TRANSACTIONS!$A1532)),"")</f>
        <v>0.70401620370370377</v>
      </c>
      <c r="D1532" s="82" t="s">
        <v>62</v>
      </c>
      <c r="E1532" s="82" t="s">
        <v>6</v>
      </c>
      <c r="F1532" s="94">
        <v>5000</v>
      </c>
      <c r="G1532" s="46"/>
      <c r="H1532" s="46">
        <f>IFERROR(TRANSACTIONS!$F1532+TRANSACTIONS!$G1532,"")</f>
        <v>5000</v>
      </c>
      <c r="I1532" s="66" t="s">
        <v>41</v>
      </c>
    </row>
    <row r="1533" spans="1:9" x14ac:dyDescent="0.25">
      <c r="A1533" s="41">
        <v>45342.70402222222</v>
      </c>
      <c r="B1533" s="48">
        <f>IF(A1533&lt;&gt;"",DATE(YEAR(TRANSACTIONS!$A1533),MONTH(TRANSACTIONS!$A1533),DAY(TRANSACTIONS!$A1533)),"")</f>
        <v>45342</v>
      </c>
      <c r="C1533" s="49">
        <f>IF(A1533&lt;&gt;"",TIME(HOUR(TRANSACTIONS!$A1533),MINUTE(TRANSACTIONS!$A1533),SECOND(TRANSACTIONS!$A1533)),"")</f>
        <v>0.70402777777777781</v>
      </c>
      <c r="D1533" s="82" t="s">
        <v>62</v>
      </c>
      <c r="E1533" s="82" t="s">
        <v>7</v>
      </c>
      <c r="F1533" s="94">
        <v>5000</v>
      </c>
      <c r="G1533" s="46"/>
      <c r="H1533" s="46">
        <f>IFERROR(TRANSACTIONS!$F1533+TRANSACTIONS!$G1533,"")</f>
        <v>5000</v>
      </c>
      <c r="I1533" s="57" t="s">
        <v>41</v>
      </c>
    </row>
    <row r="1534" spans="1:9" x14ac:dyDescent="0.25">
      <c r="A1534" s="41">
        <v>45342.704030671295</v>
      </c>
      <c r="B1534" s="48">
        <f>IF(A1534&lt;&gt;"",DATE(YEAR(TRANSACTIONS!$A1534),MONTH(TRANSACTIONS!$A1534),DAY(TRANSACTIONS!$A1534)),"")</f>
        <v>45342</v>
      </c>
      <c r="C1534" s="49">
        <f>IF(A1534&lt;&gt;"",TIME(HOUR(TRANSACTIONS!$A1534),MINUTE(TRANSACTIONS!$A1534),SECOND(TRANSACTIONS!$A1534)),"")</f>
        <v>0.70402777777777781</v>
      </c>
      <c r="D1534" s="82" t="s">
        <v>62</v>
      </c>
      <c r="E1534" s="82" t="s">
        <v>7</v>
      </c>
      <c r="F1534" s="94">
        <v>10000</v>
      </c>
      <c r="G1534" s="46"/>
      <c r="H1534" s="46">
        <f>IFERROR(TRANSACTIONS!$F1534+TRANSACTIONS!$G1534,"")</f>
        <v>10000</v>
      </c>
      <c r="I1534" s="57" t="s">
        <v>41</v>
      </c>
    </row>
    <row r="1535" spans="1:9" x14ac:dyDescent="0.25">
      <c r="A1535" s="41">
        <v>45342.704039236109</v>
      </c>
      <c r="B1535" s="48">
        <f>IF(A1535&lt;&gt;"",DATE(YEAR(TRANSACTIONS!$A1535),MONTH(TRANSACTIONS!$A1535),DAY(TRANSACTIONS!$A1535)),"")</f>
        <v>45342</v>
      </c>
      <c r="C1535" s="49">
        <f>IF(A1535&lt;&gt;"",TIME(HOUR(TRANSACTIONS!$A1535),MINUTE(TRANSACTIONS!$A1535),SECOND(TRANSACTIONS!$A1535)),"")</f>
        <v>0.70403935185185185</v>
      </c>
      <c r="D1535" s="82" t="s">
        <v>62</v>
      </c>
      <c r="E1535" s="82" t="s">
        <v>6</v>
      </c>
      <c r="F1535" s="94">
        <v>20000</v>
      </c>
      <c r="G1535" s="46"/>
      <c r="H1535" s="46">
        <f>IFERROR(TRANSACTIONS!$F1535+TRANSACTIONS!$G1535,"")</f>
        <v>20000</v>
      </c>
      <c r="I1535" s="57" t="s">
        <v>41</v>
      </c>
    </row>
    <row r="1536" spans="1:9" x14ac:dyDescent="0.25">
      <c r="A1536" s="41">
        <v>45342.704047106483</v>
      </c>
      <c r="B1536" s="48">
        <f>IF(A1536&lt;&gt;"",DATE(YEAR(TRANSACTIONS!$A1536),MONTH(TRANSACTIONS!$A1536),DAY(TRANSACTIONS!$A1536)),"")</f>
        <v>45342</v>
      </c>
      <c r="C1536" s="49">
        <f>IF(A1536&lt;&gt;"",TIME(HOUR(TRANSACTIONS!$A1536),MINUTE(TRANSACTIONS!$A1536),SECOND(TRANSACTIONS!$A1536)),"")</f>
        <v>0.70405092592592589</v>
      </c>
      <c r="D1536" s="82" t="s">
        <v>62</v>
      </c>
      <c r="E1536" s="82" t="s">
        <v>7</v>
      </c>
      <c r="F1536" s="94">
        <v>2000</v>
      </c>
      <c r="G1536" s="46"/>
      <c r="H1536" s="46">
        <f>IFERROR(TRANSACTIONS!$F1536+TRANSACTIONS!$G1536,"")</f>
        <v>2000</v>
      </c>
      <c r="I1536" s="57" t="s">
        <v>41</v>
      </c>
    </row>
    <row r="1537" spans="1:10" x14ac:dyDescent="0.25">
      <c r="A1537" s="41">
        <v>45342.704054745373</v>
      </c>
      <c r="B1537" s="48">
        <f>IF(A1537&lt;&gt;"",DATE(YEAR(TRANSACTIONS!$A1537),MONTH(TRANSACTIONS!$A1537),DAY(TRANSACTIONS!$A1537)),"")</f>
        <v>45342</v>
      </c>
      <c r="C1537" s="49">
        <f>IF(A1537&lt;&gt;"",TIME(HOUR(TRANSACTIONS!$A1537),MINUTE(TRANSACTIONS!$A1537),SECOND(TRANSACTIONS!$A1537)),"")</f>
        <v>0.70405092592592589</v>
      </c>
      <c r="D1537" s="82" t="s">
        <v>62</v>
      </c>
      <c r="E1537" s="82" t="s">
        <v>7</v>
      </c>
      <c r="F1537" s="94">
        <v>5000</v>
      </c>
      <c r="G1537" s="46"/>
      <c r="H1537" s="46">
        <f>IFERROR(TRANSACTIONS!$F1537+TRANSACTIONS!$G1537,"")</f>
        <v>5000</v>
      </c>
      <c r="I1537" s="57" t="s">
        <v>41</v>
      </c>
    </row>
    <row r="1538" spans="1:10" x14ac:dyDescent="0.25">
      <c r="A1538" s="41">
        <v>45342.704062731478</v>
      </c>
      <c r="B1538" s="48">
        <f>IF(A1538&lt;&gt;"",DATE(YEAR(TRANSACTIONS!$A1538),MONTH(TRANSACTIONS!$A1538),DAY(TRANSACTIONS!$A1538)),"")</f>
        <v>45342</v>
      </c>
      <c r="C1538" s="49">
        <f>IF(A1538&lt;&gt;"",TIME(HOUR(TRANSACTIONS!$A1538),MINUTE(TRANSACTIONS!$A1538),SECOND(TRANSACTIONS!$A1538)),"")</f>
        <v>0.70406250000000004</v>
      </c>
      <c r="D1538" s="82" t="s">
        <v>62</v>
      </c>
      <c r="E1538" s="82" t="s">
        <v>7</v>
      </c>
      <c r="F1538" s="94">
        <v>27900</v>
      </c>
      <c r="G1538" s="46"/>
      <c r="H1538" s="46">
        <f>IFERROR(TRANSACTIONS!$F1538+TRANSACTIONS!$G1538,"")</f>
        <v>27900</v>
      </c>
      <c r="I1538" s="57" t="s">
        <v>41</v>
      </c>
    </row>
    <row r="1539" spans="1:10" x14ac:dyDescent="0.25">
      <c r="A1539" s="41">
        <v>45342.704074768517</v>
      </c>
      <c r="B1539" s="48">
        <f>IF(A1539&lt;&gt;"",DATE(YEAR(TRANSACTIONS!$A1539),MONTH(TRANSACTIONS!$A1539),DAY(TRANSACTIONS!$A1539)),"")</f>
        <v>45342</v>
      </c>
      <c r="C1539" s="49">
        <f>IF(A1539&lt;&gt;"",TIME(HOUR(TRANSACTIONS!$A1539),MINUTE(TRANSACTIONS!$A1539),SECOND(TRANSACTIONS!$A1539)),"")</f>
        <v>0.70407407407407396</v>
      </c>
      <c r="D1539" s="82" t="s">
        <v>62</v>
      </c>
      <c r="E1539" s="82" t="s">
        <v>7</v>
      </c>
      <c r="F1539" s="94">
        <v>35000</v>
      </c>
      <c r="G1539" s="46"/>
      <c r="H1539" s="46">
        <f>IFERROR(TRANSACTIONS!$F1539+TRANSACTIONS!$G1539,"")</f>
        <v>35000</v>
      </c>
      <c r="I1539" s="57" t="s">
        <v>41</v>
      </c>
    </row>
    <row r="1540" spans="1:10" x14ac:dyDescent="0.25">
      <c r="A1540" s="41">
        <v>45342.704082986114</v>
      </c>
      <c r="B1540" s="48">
        <f>IF(A1540&lt;&gt;"",DATE(YEAR(TRANSACTIONS!$A1540),MONTH(TRANSACTIONS!$A1540),DAY(TRANSACTIONS!$A1540)),"")</f>
        <v>45342</v>
      </c>
      <c r="C1540" s="49">
        <f>IF(A1540&lt;&gt;"",TIME(HOUR(TRANSACTIONS!$A1540),MINUTE(TRANSACTIONS!$A1540),SECOND(TRANSACTIONS!$A1540)),"")</f>
        <v>0.70408564814814811</v>
      </c>
      <c r="D1540" s="82" t="s">
        <v>62</v>
      </c>
      <c r="E1540" s="82" t="s">
        <v>7</v>
      </c>
      <c r="F1540" s="94">
        <v>12000</v>
      </c>
      <c r="G1540" s="46"/>
      <c r="H1540" s="46">
        <f>IFERROR(TRANSACTIONS!$F1540+TRANSACTIONS!$G1540,"")</f>
        <v>12000</v>
      </c>
      <c r="I1540" s="57" t="s">
        <v>41</v>
      </c>
    </row>
    <row r="1541" spans="1:10" x14ac:dyDescent="0.25">
      <c r="A1541" s="41">
        <v>45342.704096875001</v>
      </c>
      <c r="B1541" s="48">
        <f>IF(A1541&lt;&gt;"",DATE(YEAR(TRANSACTIONS!$A1541),MONTH(TRANSACTIONS!$A1541),DAY(TRANSACTIONS!$A1541)),"")</f>
        <v>45342</v>
      </c>
      <c r="C1541" s="49">
        <f>IF(A1541&lt;&gt;"",TIME(HOUR(TRANSACTIONS!$A1541),MINUTE(TRANSACTIONS!$A1541),SECOND(TRANSACTIONS!$A1541)),"")</f>
        <v>0.70409722222222226</v>
      </c>
      <c r="D1541" s="82" t="s">
        <v>62</v>
      </c>
      <c r="E1541" s="82" t="s">
        <v>6</v>
      </c>
      <c r="F1541" s="94">
        <v>35000</v>
      </c>
      <c r="G1541" s="46"/>
      <c r="H1541" s="46">
        <f>IFERROR(TRANSACTIONS!$F1541+TRANSACTIONS!$G1541,"")</f>
        <v>35000</v>
      </c>
      <c r="I1541" s="57" t="s">
        <v>41</v>
      </c>
    </row>
    <row r="1542" spans="1:10" x14ac:dyDescent="0.25">
      <c r="A1542" s="41">
        <v>45342.704101041665</v>
      </c>
      <c r="B1542" s="83">
        <f>IF(A1542&lt;&gt;"",DATE(YEAR(TRANSACTIONS!$A1542),MONTH(TRANSACTIONS!$A1542),DAY(TRANSACTIONS!$A1542)),"")</f>
        <v>45342</v>
      </c>
      <c r="C1542" s="84">
        <f>IF(A1542&lt;&gt;"",TIME(HOUR(TRANSACTIONS!$A1542),MINUTE(TRANSACTIONS!$A1542),SECOND(TRANSACTIONS!$A1542)),"")</f>
        <v>0.70409722222222226</v>
      </c>
      <c r="D1542" s="82" t="s">
        <v>62</v>
      </c>
      <c r="E1542" s="82" t="s">
        <v>6</v>
      </c>
      <c r="F1542" s="94">
        <v>1000</v>
      </c>
      <c r="G1542" s="86"/>
      <c r="H1542" s="86">
        <f>IFERROR(TRANSACTIONS!$F1542+TRANSACTIONS!$G1542,"")</f>
        <v>1000</v>
      </c>
      <c r="I1542" s="87" t="s">
        <v>41</v>
      </c>
      <c r="J1542" s="88"/>
    </row>
    <row r="1543" spans="1:10" x14ac:dyDescent="0.25">
      <c r="A1543" s="41">
        <v>45342.704118402777</v>
      </c>
      <c r="B1543" s="83">
        <f>IF(A1543&lt;&gt;"",DATE(YEAR(TRANSACTIONS!$A1543),MONTH(TRANSACTIONS!$A1543),DAY(TRANSACTIONS!$A1543)),"")</f>
        <v>45342</v>
      </c>
      <c r="C1543" s="84">
        <f>IF(A1543&lt;&gt;"",TIME(HOUR(TRANSACTIONS!$A1543),MINUTE(TRANSACTIONS!$A1543),SECOND(TRANSACTIONS!$A1543)),"")</f>
        <v>0.70412037037037034</v>
      </c>
      <c r="D1543" s="82" t="s">
        <v>62</v>
      </c>
      <c r="E1543" s="82" t="s">
        <v>7</v>
      </c>
      <c r="F1543" s="94">
        <v>5000</v>
      </c>
      <c r="G1543" s="86"/>
      <c r="H1543" s="86">
        <f>IFERROR(TRANSACTIONS!$F1543+TRANSACTIONS!$G1543,"")</f>
        <v>5000</v>
      </c>
      <c r="I1543" s="87" t="s">
        <v>41</v>
      </c>
      <c r="J1543" s="88"/>
    </row>
    <row r="1544" spans="1:10" x14ac:dyDescent="0.25">
      <c r="A1544" s="41">
        <v>45342.704158101849</v>
      </c>
      <c r="B1544" s="48">
        <f>IF(A1544&lt;&gt;"",DATE(YEAR(TRANSACTIONS!$A1544),MONTH(TRANSACTIONS!$A1544),DAY(TRANSACTIONS!$A1544)),"")</f>
        <v>45342</v>
      </c>
      <c r="C1544" s="49">
        <f>IF(A1544&lt;&gt;"",TIME(HOUR(TRANSACTIONS!$A1544),MINUTE(TRANSACTIONS!$A1544),SECOND(TRANSACTIONS!$A1544)),"")</f>
        <v>0.70415509259259268</v>
      </c>
      <c r="D1544" s="82" t="s">
        <v>62</v>
      </c>
      <c r="E1544" s="82" t="s">
        <v>6</v>
      </c>
      <c r="F1544" s="94">
        <v>10100</v>
      </c>
      <c r="G1544" s="46"/>
      <c r="H1544" s="46">
        <f>IFERROR(TRANSACTIONS!$F1544+TRANSACTIONS!$G1544,"")</f>
        <v>10100</v>
      </c>
      <c r="I1544" s="57" t="s">
        <v>41</v>
      </c>
    </row>
    <row r="1545" spans="1:10" x14ac:dyDescent="0.25">
      <c r="A1545" s="41">
        <v>45342.704166203701</v>
      </c>
      <c r="B1545" s="48">
        <f>IF(A1545&lt;&gt;"",DATE(YEAR(TRANSACTIONS!$A1545),MONTH(TRANSACTIONS!$A1545),DAY(TRANSACTIONS!$A1545)),"")</f>
        <v>45342</v>
      </c>
      <c r="C1545" s="49">
        <f>IF(A1545&lt;&gt;"",TIME(HOUR(TRANSACTIONS!$A1545),MINUTE(TRANSACTIONS!$A1545),SECOND(TRANSACTIONS!$A1545)),"")</f>
        <v>0.70416666666666661</v>
      </c>
      <c r="D1545" s="82" t="s">
        <v>62</v>
      </c>
      <c r="E1545" s="82" t="s">
        <v>6</v>
      </c>
      <c r="F1545" s="94">
        <v>12500</v>
      </c>
      <c r="G1545" s="46"/>
      <c r="H1545" s="46">
        <f>IFERROR(TRANSACTIONS!$F1545+TRANSACTIONS!$G1545,"")</f>
        <v>12500</v>
      </c>
      <c r="I1545" s="57" t="s">
        <v>50</v>
      </c>
    </row>
    <row r="1546" spans="1:10" x14ac:dyDescent="0.25">
      <c r="A1546" s="41">
        <v>45342.704174189814</v>
      </c>
      <c r="B1546" s="48">
        <f>IF(A1546&lt;&gt;"",DATE(YEAR(TRANSACTIONS!$A1546),MONTH(TRANSACTIONS!$A1546),DAY(TRANSACTIONS!$A1546)),"")</f>
        <v>45342</v>
      </c>
      <c r="C1546" s="49">
        <f>IF(A1546&lt;&gt;"",TIME(HOUR(TRANSACTIONS!$A1546),MINUTE(TRANSACTIONS!$A1546),SECOND(TRANSACTIONS!$A1546)),"")</f>
        <v>0.70417824074074076</v>
      </c>
      <c r="D1546" s="82" t="s">
        <v>62</v>
      </c>
      <c r="E1546" s="82" t="s">
        <v>7</v>
      </c>
      <c r="F1546" s="94">
        <v>1000</v>
      </c>
      <c r="G1546" s="46"/>
      <c r="H1546" s="46">
        <f>IFERROR(TRANSACTIONS!$F1546+TRANSACTIONS!$G1546,"")</f>
        <v>1000</v>
      </c>
      <c r="I1546" s="57" t="s">
        <v>41</v>
      </c>
    </row>
    <row r="1547" spans="1:10" x14ac:dyDescent="0.25">
      <c r="A1547" s="41">
        <v>45342.704181944442</v>
      </c>
      <c r="B1547" s="48">
        <f>IF(A1547&lt;&gt;"",DATE(YEAR(TRANSACTIONS!$A1547),MONTH(TRANSACTIONS!$A1547),DAY(TRANSACTIONS!$A1547)),"")</f>
        <v>45342</v>
      </c>
      <c r="C1547" s="49">
        <f>IF(A1547&lt;&gt;"",TIME(HOUR(TRANSACTIONS!$A1547),MINUTE(TRANSACTIONS!$A1547),SECOND(TRANSACTIONS!$A1547)),"")</f>
        <v>0.70417824074074076</v>
      </c>
      <c r="D1547" s="82" t="s">
        <v>62</v>
      </c>
      <c r="E1547" s="82" t="s">
        <v>7</v>
      </c>
      <c r="F1547" s="94">
        <v>50000</v>
      </c>
      <c r="G1547" s="46"/>
      <c r="H1547" s="46">
        <f>IFERROR(TRANSACTIONS!$F1547+TRANSACTIONS!$G1547,"")</f>
        <v>50000</v>
      </c>
      <c r="I1547" s="57" t="s">
        <v>41</v>
      </c>
    </row>
    <row r="1548" spans="1:10" x14ac:dyDescent="0.25">
      <c r="A1548" s="41">
        <v>45342.704190046294</v>
      </c>
      <c r="B1548" s="48">
        <f>IF(A1548&lt;&gt;"",DATE(YEAR(TRANSACTIONS!$A1548),MONTH(TRANSACTIONS!$A1548),DAY(TRANSACTIONS!$A1548)),"")</f>
        <v>45342</v>
      </c>
      <c r="C1548" s="49">
        <f>IF(A1548&lt;&gt;"",TIME(HOUR(TRANSACTIONS!$A1548),MINUTE(TRANSACTIONS!$A1548),SECOND(TRANSACTIONS!$A1548)),"")</f>
        <v>0.7041898148148148</v>
      </c>
      <c r="D1548" s="82" t="s">
        <v>62</v>
      </c>
      <c r="E1548" s="82" t="s">
        <v>7</v>
      </c>
      <c r="F1548" s="94">
        <v>15000</v>
      </c>
      <c r="G1548" s="46"/>
      <c r="H1548" s="46">
        <f>IFERROR(TRANSACTIONS!$F1548+TRANSACTIONS!$G1548,"")</f>
        <v>15000</v>
      </c>
      <c r="I1548" s="57" t="s">
        <v>41</v>
      </c>
    </row>
    <row r="1549" spans="1:10" x14ac:dyDescent="0.25">
      <c r="A1549" s="41">
        <v>45342.704197685183</v>
      </c>
      <c r="B1549" s="48">
        <f>IF(A1549&lt;&gt;"",DATE(YEAR(TRANSACTIONS!$A1549),MONTH(TRANSACTIONS!$A1549),DAY(TRANSACTIONS!$A1549)),"")</f>
        <v>45342</v>
      </c>
      <c r="C1549" s="49">
        <f>IF(A1549&lt;&gt;"",TIME(HOUR(TRANSACTIONS!$A1549),MINUTE(TRANSACTIONS!$A1549),SECOND(TRANSACTIONS!$A1549)),"")</f>
        <v>0.70420138888888895</v>
      </c>
      <c r="D1549" s="82" t="s">
        <v>62</v>
      </c>
      <c r="E1549" s="82" t="s">
        <v>6</v>
      </c>
      <c r="F1549" s="94">
        <v>26000</v>
      </c>
      <c r="G1549" s="46"/>
      <c r="H1549" s="46">
        <f>IFERROR(TRANSACTIONS!$F1549+TRANSACTIONS!$G1549,"")</f>
        <v>26000</v>
      </c>
      <c r="I1549" s="57" t="s">
        <v>41</v>
      </c>
    </row>
    <row r="1550" spans="1:10" x14ac:dyDescent="0.25">
      <c r="A1550" s="41">
        <v>45342.704205671296</v>
      </c>
      <c r="B1550" s="48">
        <f>IF(A1550&lt;&gt;"",DATE(YEAR(TRANSACTIONS!$A1550),MONTH(TRANSACTIONS!$A1550),DAY(TRANSACTIONS!$A1550)),"")</f>
        <v>45342</v>
      </c>
      <c r="C1550" s="49">
        <f>IF(A1550&lt;&gt;"",TIME(HOUR(TRANSACTIONS!$A1550),MINUTE(TRANSACTIONS!$A1550),SECOND(TRANSACTIONS!$A1550)),"")</f>
        <v>0.70420138888888895</v>
      </c>
      <c r="D1550" s="82" t="s">
        <v>62</v>
      </c>
      <c r="E1550" s="82" t="s">
        <v>6</v>
      </c>
      <c r="F1550" s="94">
        <v>5000</v>
      </c>
      <c r="G1550" s="46"/>
      <c r="H1550" s="46">
        <f>IFERROR(TRANSACTIONS!$F1550+TRANSACTIONS!$G1550,"")</f>
        <v>5000</v>
      </c>
      <c r="I1550" s="57" t="s">
        <v>41</v>
      </c>
    </row>
    <row r="1551" spans="1:10" x14ac:dyDescent="0.25">
      <c r="A1551" s="41">
        <v>45342.704213425925</v>
      </c>
      <c r="B1551" s="48">
        <f>IF(A1551&lt;&gt;"",DATE(YEAR(TRANSACTIONS!$A1551),MONTH(TRANSACTIONS!$A1551),DAY(TRANSACTIONS!$A1551)),"")</f>
        <v>45342</v>
      </c>
      <c r="C1551" s="49">
        <f>IF(A1551&lt;&gt;"",TIME(HOUR(TRANSACTIONS!$A1551),MINUTE(TRANSACTIONS!$A1551),SECOND(TRANSACTIONS!$A1551)),"")</f>
        <v>0.70421296296296287</v>
      </c>
      <c r="D1551" s="82" t="s">
        <v>62</v>
      </c>
      <c r="E1551" s="93" t="s">
        <v>7</v>
      </c>
      <c r="F1551" s="94">
        <v>5000</v>
      </c>
      <c r="G1551" s="46"/>
      <c r="H1551" s="46">
        <f>IFERROR(TRANSACTIONS!$F1551+TRANSACTIONS!$G1551,"")</f>
        <v>5000</v>
      </c>
      <c r="I1551" s="57" t="s">
        <v>41</v>
      </c>
    </row>
    <row r="1552" spans="1:10" x14ac:dyDescent="0.25">
      <c r="A1552" s="41">
        <v>45342.704257175923</v>
      </c>
      <c r="B1552" s="48">
        <f>IF(A1552&lt;&gt;"",DATE(YEAR(TRANSACTIONS!$A1552),MONTH(TRANSACTIONS!$A1552),DAY(TRANSACTIONS!$A1552)),"")</f>
        <v>45342</v>
      </c>
      <c r="C1552" s="49">
        <f>IF(A1552&lt;&gt;"",TIME(HOUR(TRANSACTIONS!$A1552),MINUTE(TRANSACTIONS!$A1552),SECOND(TRANSACTIONS!$A1552)),"")</f>
        <v>0.70425925925925925</v>
      </c>
      <c r="D1552" s="82" t="s">
        <v>62</v>
      </c>
      <c r="E1552" s="82" t="s">
        <v>7</v>
      </c>
      <c r="F1552" s="94">
        <v>5000</v>
      </c>
      <c r="G1552" s="46"/>
      <c r="H1552" s="46">
        <f>IFERROR(TRANSACTIONS!$F1552+TRANSACTIONS!$G1552,"")</f>
        <v>5000</v>
      </c>
      <c r="I1552" s="57" t="s">
        <v>41</v>
      </c>
    </row>
    <row r="1553" spans="1:9" x14ac:dyDescent="0.25">
      <c r="A1553" s="41">
        <v>45342.704268518515</v>
      </c>
      <c r="B1553" s="48">
        <f>IF(A1553&lt;&gt;"",DATE(YEAR(TRANSACTIONS!$A1553),MONTH(TRANSACTIONS!$A1553),DAY(TRANSACTIONS!$A1553)),"")</f>
        <v>45342</v>
      </c>
      <c r="C1553" s="49">
        <f>IF(A1553&lt;&gt;"",TIME(HOUR(TRANSACTIONS!$A1553),MINUTE(TRANSACTIONS!$A1553),SECOND(TRANSACTIONS!$A1553)),"")</f>
        <v>0.70427083333333329</v>
      </c>
      <c r="D1553" s="82" t="s">
        <v>62</v>
      </c>
      <c r="E1553" s="82" t="s">
        <v>7</v>
      </c>
      <c r="F1553" s="94">
        <v>3000</v>
      </c>
      <c r="G1553" s="46"/>
      <c r="H1553" s="46">
        <f>IFERROR(TRANSACTIONS!$F1553+TRANSACTIONS!$G1553,"")</f>
        <v>3000</v>
      </c>
      <c r="I1553" s="57" t="s">
        <v>41</v>
      </c>
    </row>
    <row r="1554" spans="1:9" x14ac:dyDescent="0.25">
      <c r="A1554" s="41">
        <v>45342.704277546298</v>
      </c>
      <c r="B1554" s="48">
        <f>IF(A1554&lt;&gt;"",DATE(YEAR(TRANSACTIONS!$A1554),MONTH(TRANSACTIONS!$A1554),DAY(TRANSACTIONS!$A1554)),"")</f>
        <v>45342</v>
      </c>
      <c r="C1554" s="49">
        <f>IF(A1554&lt;&gt;"",TIME(HOUR(TRANSACTIONS!$A1554),MINUTE(TRANSACTIONS!$A1554),SECOND(TRANSACTIONS!$A1554)),"")</f>
        <v>0.70428240740740744</v>
      </c>
      <c r="D1554" s="82" t="s">
        <v>62</v>
      </c>
      <c r="E1554" s="82" t="s">
        <v>6</v>
      </c>
      <c r="F1554" s="94">
        <v>15150</v>
      </c>
      <c r="G1554" s="46"/>
      <c r="H1554" s="46">
        <f>IFERROR(TRANSACTIONS!$F1554+TRANSACTIONS!$G1554,"")</f>
        <v>15150</v>
      </c>
      <c r="I1554" s="57" t="s">
        <v>41</v>
      </c>
    </row>
    <row r="1555" spans="1:9" x14ac:dyDescent="0.25">
      <c r="A1555" s="41">
        <v>45342.704285532411</v>
      </c>
      <c r="B1555" s="48">
        <f>IF(A1555&lt;&gt;"",DATE(YEAR(TRANSACTIONS!$A1555),MONTH(TRANSACTIONS!$A1555),DAY(TRANSACTIONS!$A1555)),"")</f>
        <v>45342</v>
      </c>
      <c r="C1555" s="49">
        <f>IF(A1555&lt;&gt;"",TIME(HOUR(TRANSACTIONS!$A1555),MINUTE(TRANSACTIONS!$A1555),SECOND(TRANSACTIONS!$A1555)),"")</f>
        <v>0.70428240740740744</v>
      </c>
      <c r="D1555" s="82" t="s">
        <v>62</v>
      </c>
      <c r="E1555" s="82" t="s">
        <v>7</v>
      </c>
      <c r="F1555" s="94">
        <v>1000</v>
      </c>
      <c r="G1555" s="46"/>
      <c r="H1555" s="46">
        <f>IFERROR(TRANSACTIONS!$F1555+TRANSACTIONS!$G1555,"")</f>
        <v>1000</v>
      </c>
      <c r="I1555" s="57" t="s">
        <v>41</v>
      </c>
    </row>
    <row r="1556" spans="1:9" x14ac:dyDescent="0.25">
      <c r="A1556" s="41">
        <v>45342.704306712963</v>
      </c>
      <c r="B1556" s="48">
        <f>IF(A1556&lt;&gt;"",DATE(YEAR(TRANSACTIONS!$A1556),MONTH(TRANSACTIONS!$A1556),DAY(TRANSACTIONS!$A1556)),"")</f>
        <v>45342</v>
      </c>
      <c r="C1556" s="49">
        <f>IF(A1556&lt;&gt;"",TIME(HOUR(TRANSACTIONS!$A1556),MINUTE(TRANSACTIONS!$A1556),SECOND(TRANSACTIONS!$A1556)),"")</f>
        <v>0.70430555555555552</v>
      </c>
      <c r="D1556" s="82" t="s">
        <v>62</v>
      </c>
      <c r="E1556" s="82" t="s">
        <v>6</v>
      </c>
      <c r="F1556" s="94">
        <v>3000</v>
      </c>
      <c r="G1556" s="46"/>
      <c r="H1556" s="46">
        <f>IFERROR(TRANSACTIONS!$F1556+TRANSACTIONS!$G1556,"")</f>
        <v>3000</v>
      </c>
      <c r="I1556" s="57" t="s">
        <v>41</v>
      </c>
    </row>
    <row r="1557" spans="1:9" x14ac:dyDescent="0.25">
      <c r="A1557" s="41">
        <v>45342.704380671297</v>
      </c>
      <c r="B1557" s="48">
        <f>IF(A1557&lt;&gt;"",DATE(YEAR(TRANSACTIONS!$A1557),MONTH(TRANSACTIONS!$A1557),DAY(TRANSACTIONS!$A1557)),"")</f>
        <v>45342</v>
      </c>
      <c r="C1557" s="49">
        <f>IF(A1557&lt;&gt;"",TIME(HOUR(TRANSACTIONS!$A1557),MINUTE(TRANSACTIONS!$A1557),SECOND(TRANSACTIONS!$A1557)),"")</f>
        <v>0.70437500000000008</v>
      </c>
      <c r="D1557" s="82" t="s">
        <v>62</v>
      </c>
      <c r="E1557" s="82" t="s">
        <v>6</v>
      </c>
      <c r="F1557" s="94">
        <v>10000</v>
      </c>
      <c r="G1557" s="46"/>
      <c r="H1557" s="46">
        <f>IFERROR(TRANSACTIONS!$F1557+TRANSACTIONS!$G1557,"")</f>
        <v>10000</v>
      </c>
      <c r="I1557" s="57" t="s">
        <v>41</v>
      </c>
    </row>
    <row r="1558" spans="1:9" x14ac:dyDescent="0.25">
      <c r="A1558" s="41">
        <v>45342.704388078702</v>
      </c>
      <c r="B1558" s="48">
        <f>IF(A1558&lt;&gt;"",DATE(YEAR(TRANSACTIONS!$A1558),MONTH(TRANSACTIONS!$A1558),DAY(TRANSACTIONS!$A1558)),"")</f>
        <v>45342</v>
      </c>
      <c r="C1558" s="49">
        <f>IF(A1558&lt;&gt;"",TIME(HOUR(TRANSACTIONS!$A1558),MINUTE(TRANSACTIONS!$A1558),SECOND(TRANSACTIONS!$A1558)),"")</f>
        <v>0.70438657407407401</v>
      </c>
      <c r="D1558" s="82" t="s">
        <v>62</v>
      </c>
      <c r="E1558" s="82" t="s">
        <v>7</v>
      </c>
      <c r="F1558" s="94">
        <v>5000</v>
      </c>
      <c r="G1558" s="46"/>
      <c r="H1558" s="46">
        <f>IFERROR(TRANSACTIONS!$F1558+TRANSACTIONS!$G1558,"")</f>
        <v>5000</v>
      </c>
      <c r="I1558" s="57" t="s">
        <v>41</v>
      </c>
    </row>
    <row r="1559" spans="1:9" x14ac:dyDescent="0.25">
      <c r="A1559" s="41">
        <v>45342.70439525463</v>
      </c>
      <c r="B1559" s="48">
        <f>IF(A1559&lt;&gt;"",DATE(YEAR(TRANSACTIONS!$A1559),MONTH(TRANSACTIONS!$A1559),DAY(TRANSACTIONS!$A1559)),"")</f>
        <v>45342</v>
      </c>
      <c r="C1559" s="49">
        <f>IF(A1559&lt;&gt;"",TIME(HOUR(TRANSACTIONS!$A1559),MINUTE(TRANSACTIONS!$A1559),SECOND(TRANSACTIONS!$A1559)),"")</f>
        <v>0.70439814814814816</v>
      </c>
      <c r="D1559" s="82" t="s">
        <v>25</v>
      </c>
      <c r="E1559" s="82" t="s">
        <v>7</v>
      </c>
      <c r="F1559" s="94">
        <v>6000</v>
      </c>
      <c r="G1559" s="46"/>
      <c r="H1559" s="46">
        <f>IFERROR(TRANSACTIONS!$F1559+TRANSACTIONS!$G1559,"")</f>
        <v>6000</v>
      </c>
      <c r="I1559" s="57" t="s">
        <v>41</v>
      </c>
    </row>
    <row r="1560" spans="1:9" x14ac:dyDescent="0.25">
      <c r="A1560" s="41">
        <v>45342.704403124997</v>
      </c>
      <c r="B1560" s="48">
        <f>IF(A1560&lt;&gt;"",DATE(YEAR(TRANSACTIONS!$A1560),MONTH(TRANSACTIONS!$A1560),DAY(TRANSACTIONS!$A1560)),"")</f>
        <v>45342</v>
      </c>
      <c r="C1560" s="49">
        <f>IF(A1560&lt;&gt;"",TIME(HOUR(TRANSACTIONS!$A1560),MINUTE(TRANSACTIONS!$A1560),SECOND(TRANSACTIONS!$A1560)),"")</f>
        <v>0.70439814814814816</v>
      </c>
      <c r="D1560" s="82" t="s">
        <v>25</v>
      </c>
      <c r="E1560" s="82" t="s">
        <v>7</v>
      </c>
      <c r="F1560" s="94">
        <v>1600</v>
      </c>
      <c r="G1560" s="46"/>
      <c r="H1560" s="46">
        <f>IFERROR(TRANSACTIONS!$F1560+TRANSACTIONS!$G1560,"")</f>
        <v>1600</v>
      </c>
      <c r="I1560" s="57" t="s">
        <v>41</v>
      </c>
    </row>
    <row r="1561" spans="1:9" x14ac:dyDescent="0.25">
      <c r="A1561" s="41">
        <v>45342.704423148149</v>
      </c>
      <c r="B1561" s="48">
        <f>IF(A1561&lt;&gt;"",DATE(YEAR(TRANSACTIONS!$A1561),MONTH(TRANSACTIONS!$A1561),DAY(TRANSACTIONS!$A1561)),"")</f>
        <v>45342</v>
      </c>
      <c r="C1561" s="49">
        <f>IF(A1561&lt;&gt;"",TIME(HOUR(TRANSACTIONS!$A1561),MINUTE(TRANSACTIONS!$A1561),SECOND(TRANSACTIONS!$A1561)),"")</f>
        <v>0.70442129629629635</v>
      </c>
      <c r="D1561" s="82" t="s">
        <v>25</v>
      </c>
      <c r="E1561" s="82" t="s">
        <v>6</v>
      </c>
      <c r="F1561" s="94">
        <v>6000</v>
      </c>
      <c r="G1561" s="46"/>
      <c r="H1561" s="46">
        <f>IFERROR(TRANSACTIONS!$F1561+TRANSACTIONS!$G1561,"")</f>
        <v>6000</v>
      </c>
      <c r="I1561" s="57" t="s">
        <v>41</v>
      </c>
    </row>
    <row r="1562" spans="1:9" x14ac:dyDescent="0.25">
      <c r="A1562" s="41">
        <v>45342.704452083337</v>
      </c>
      <c r="B1562" s="48">
        <f>IF(A1562&lt;&gt;"",DATE(YEAR(TRANSACTIONS!$A1562),MONTH(TRANSACTIONS!$A1562),DAY(TRANSACTIONS!$A1562)),"")</f>
        <v>45342</v>
      </c>
      <c r="C1562" s="49">
        <f>IF(A1562&lt;&gt;"",TIME(HOUR(TRANSACTIONS!$A1562),MINUTE(TRANSACTIONS!$A1562),SECOND(TRANSACTIONS!$A1562)),"")</f>
        <v>0.70445601851851858</v>
      </c>
      <c r="D1562" s="82" t="s">
        <v>25</v>
      </c>
      <c r="E1562" s="82" t="s">
        <v>7</v>
      </c>
      <c r="F1562" s="94">
        <v>200000</v>
      </c>
      <c r="G1562" s="46"/>
      <c r="H1562" s="46">
        <f>IFERROR(TRANSACTIONS!$F1562+TRANSACTIONS!$G1562,"")</f>
        <v>200000</v>
      </c>
      <c r="I1562" s="57" t="s">
        <v>41</v>
      </c>
    </row>
    <row r="1563" spans="1:9" x14ac:dyDescent="0.25">
      <c r="A1563" s="41">
        <v>45342.704460185189</v>
      </c>
      <c r="B1563" s="48">
        <f>IF(A1563&lt;&gt;"",DATE(YEAR(TRANSACTIONS!$A1563),MONTH(TRANSACTIONS!$A1563),DAY(TRANSACTIONS!$A1563)),"")</f>
        <v>45342</v>
      </c>
      <c r="C1563" s="49">
        <f>IF(A1563&lt;&gt;"",TIME(HOUR(TRANSACTIONS!$A1563),MINUTE(TRANSACTIONS!$A1563),SECOND(TRANSACTIONS!$A1563)),"")</f>
        <v>0.70445601851851858</v>
      </c>
      <c r="D1563" s="82" t="s">
        <v>25</v>
      </c>
      <c r="E1563" s="82" t="s">
        <v>6</v>
      </c>
      <c r="F1563" s="94">
        <v>10000</v>
      </c>
      <c r="G1563" s="46"/>
      <c r="H1563" s="46">
        <f>IFERROR(TRANSACTIONS!$F1563+TRANSACTIONS!$G1563,"")</f>
        <v>10000</v>
      </c>
      <c r="I1563" s="57" t="s">
        <v>41</v>
      </c>
    </row>
    <row r="1564" spans="1:9" x14ac:dyDescent="0.25">
      <c r="A1564" s="41">
        <v>45342.704467824071</v>
      </c>
      <c r="B1564" s="48">
        <f>IF(A1564&lt;&gt;"",DATE(YEAR(TRANSACTIONS!$A1564),MONTH(TRANSACTIONS!$A1564),DAY(TRANSACTIONS!$A1564)),"")</f>
        <v>45342</v>
      </c>
      <c r="C1564" s="49">
        <f>IF(A1564&lt;&gt;"",TIME(HOUR(TRANSACTIONS!$A1564),MINUTE(TRANSACTIONS!$A1564),SECOND(TRANSACTIONS!$A1564)),"")</f>
        <v>0.70446759259259262</v>
      </c>
      <c r="D1564" s="82" t="s">
        <v>25</v>
      </c>
      <c r="E1564" s="82" t="s">
        <v>7</v>
      </c>
      <c r="F1564" s="94">
        <v>5000</v>
      </c>
      <c r="G1564" s="46"/>
      <c r="H1564" s="46">
        <f>IFERROR(TRANSACTIONS!$F1564+TRANSACTIONS!$G1564,"")</f>
        <v>5000</v>
      </c>
      <c r="I1564" s="57" t="s">
        <v>41</v>
      </c>
    </row>
    <row r="1565" spans="1:9" x14ac:dyDescent="0.25">
      <c r="A1565" s="41">
        <v>45342.704501273147</v>
      </c>
      <c r="B1565" s="48">
        <f>IF(A1565&lt;&gt;"",DATE(YEAR(TRANSACTIONS!$A1565),MONTH(TRANSACTIONS!$A1565),DAY(TRANSACTIONS!$A1565)),"")</f>
        <v>45342</v>
      </c>
      <c r="C1565" s="49">
        <f>IF(A1565&lt;&gt;"",TIME(HOUR(TRANSACTIONS!$A1565),MINUTE(TRANSACTIONS!$A1565),SECOND(TRANSACTIONS!$A1565)),"")</f>
        <v>0.70450231481481485</v>
      </c>
      <c r="D1565" s="82" t="s">
        <v>25</v>
      </c>
      <c r="E1565" s="82" t="s">
        <v>6</v>
      </c>
      <c r="F1565" s="94">
        <v>15000</v>
      </c>
      <c r="G1565" s="46"/>
      <c r="H1565" s="46">
        <f>IFERROR(TRANSACTIONS!$F1565+TRANSACTIONS!$G1565,"")</f>
        <v>15000</v>
      </c>
      <c r="I1565" s="57" t="s">
        <v>41</v>
      </c>
    </row>
    <row r="1566" spans="1:9" x14ac:dyDescent="0.25">
      <c r="A1566" s="41">
        <v>45342.704477546293</v>
      </c>
      <c r="B1566" s="48">
        <f>IF(A1566&lt;&gt;"",DATE(YEAR(TRANSACTIONS!$A1566),MONTH(TRANSACTIONS!$A1566),DAY(TRANSACTIONS!$A1566)),"")</f>
        <v>45342</v>
      </c>
      <c r="C1566" s="49">
        <f>IF(A1566&lt;&gt;"",TIME(HOUR(TRANSACTIONS!$A1566),MINUTE(TRANSACTIONS!$A1566),SECOND(TRANSACTIONS!$A1566)),"")</f>
        <v>0.70447916666666666</v>
      </c>
      <c r="D1566" s="82" t="s">
        <v>25</v>
      </c>
      <c r="E1566" s="82" t="s">
        <v>7</v>
      </c>
      <c r="F1566" s="94">
        <v>5000</v>
      </c>
      <c r="G1566" s="46"/>
      <c r="H1566" s="46">
        <f>IFERROR(TRANSACTIONS!$F1566+TRANSACTIONS!$G1566,"")</f>
        <v>5000</v>
      </c>
      <c r="I1566" s="57" t="s">
        <v>41</v>
      </c>
    </row>
    <row r="1567" spans="1:9" x14ac:dyDescent="0.25">
      <c r="A1567" s="41">
        <v>45342.70451585648</v>
      </c>
      <c r="B1567" s="48">
        <f>IF(A1567&lt;&gt;"",DATE(YEAR(TRANSACTIONS!$A1567),MONTH(TRANSACTIONS!$A1567),DAY(TRANSACTIONS!$A1567)),"")</f>
        <v>45342</v>
      </c>
      <c r="C1567" s="49">
        <f>IF(A1567&lt;&gt;"",TIME(HOUR(TRANSACTIONS!$A1567),MINUTE(TRANSACTIONS!$A1567),SECOND(TRANSACTIONS!$A1567)),"")</f>
        <v>0.70451388888888899</v>
      </c>
      <c r="D1567" s="82" t="s">
        <v>25</v>
      </c>
      <c r="E1567" s="82" t="s">
        <v>7</v>
      </c>
      <c r="F1567" s="94">
        <v>5000</v>
      </c>
      <c r="G1567" s="46"/>
      <c r="H1567" s="46">
        <f>IFERROR(TRANSACTIONS!$F1567+TRANSACTIONS!$G1567,"")</f>
        <v>5000</v>
      </c>
      <c r="I1567" s="57" t="s">
        <v>41</v>
      </c>
    </row>
    <row r="1568" spans="1:9" x14ac:dyDescent="0.25">
      <c r="A1568" s="41">
        <v>45342.704544444445</v>
      </c>
      <c r="B1568" s="48">
        <f>IF(A1568&lt;&gt;"",DATE(YEAR(TRANSACTIONS!$A1568),MONTH(TRANSACTIONS!$A1568),DAY(TRANSACTIONS!$A1568)),"")</f>
        <v>45342</v>
      </c>
      <c r="C1568" s="49">
        <f>IF(A1568&lt;&gt;"",TIME(HOUR(TRANSACTIONS!$A1568),MINUTE(TRANSACTIONS!$A1568),SECOND(TRANSACTIONS!$A1568)),"")</f>
        <v>0.70454861111111111</v>
      </c>
      <c r="D1568" s="82" t="s">
        <v>25</v>
      </c>
      <c r="E1568" s="82" t="s">
        <v>7</v>
      </c>
      <c r="F1568" s="94">
        <v>5000</v>
      </c>
      <c r="G1568" s="46"/>
      <c r="H1568" s="46">
        <f>IFERROR(TRANSACTIONS!$F1568+TRANSACTIONS!$G1568,"")</f>
        <v>5000</v>
      </c>
      <c r="I1568" s="57" t="s">
        <v>41</v>
      </c>
    </row>
    <row r="1569" spans="1:9" x14ac:dyDescent="0.25">
      <c r="A1569" s="41">
        <v>45342.704551388888</v>
      </c>
      <c r="B1569" s="48">
        <f>IF(A1569&lt;&gt;"",DATE(YEAR(TRANSACTIONS!$A1569),MONTH(TRANSACTIONS!$A1569),DAY(TRANSACTIONS!$A1569)),"")</f>
        <v>45342</v>
      </c>
      <c r="C1569" s="49">
        <f>IF(A1569&lt;&gt;"",TIME(HOUR(TRANSACTIONS!$A1569),MINUTE(TRANSACTIONS!$A1569),SECOND(TRANSACTIONS!$A1569)),"")</f>
        <v>0.70454861111111111</v>
      </c>
      <c r="D1569" s="82" t="s">
        <v>25</v>
      </c>
      <c r="E1569" s="82" t="s">
        <v>6</v>
      </c>
      <c r="F1569" s="94">
        <v>5000</v>
      </c>
      <c r="G1569" s="46"/>
      <c r="H1569" s="46">
        <f>IFERROR(TRANSACTIONS!$F1569+TRANSACTIONS!$G1569,"")</f>
        <v>5000</v>
      </c>
      <c r="I1569" s="57" t="s">
        <v>41</v>
      </c>
    </row>
    <row r="1570" spans="1:9" x14ac:dyDescent="0.25">
      <c r="A1570" s="41">
        <v>45342.704558217592</v>
      </c>
      <c r="B1570" s="48">
        <f>IF(A1570&lt;&gt;"",DATE(YEAR(TRANSACTIONS!$A1570),MONTH(TRANSACTIONS!$A1570),DAY(TRANSACTIONS!$A1570)),"")</f>
        <v>45342</v>
      </c>
      <c r="C1570" s="49">
        <f>IF(A1570&lt;&gt;"",TIME(HOUR(TRANSACTIONS!$A1570),MINUTE(TRANSACTIONS!$A1570),SECOND(TRANSACTIONS!$A1570)),"")</f>
        <v>0.70456018518518526</v>
      </c>
      <c r="D1570" s="82" t="s">
        <v>25</v>
      </c>
      <c r="E1570" s="82" t="s">
        <v>7</v>
      </c>
      <c r="F1570" s="94">
        <v>3000</v>
      </c>
      <c r="G1570" s="46"/>
      <c r="H1570" s="46">
        <f>IFERROR(TRANSACTIONS!$F1570+TRANSACTIONS!$G1570,"")</f>
        <v>3000</v>
      </c>
      <c r="I1570" s="57" t="s">
        <v>41</v>
      </c>
    </row>
    <row r="1571" spans="1:9" x14ac:dyDescent="0.25">
      <c r="A1571" s="41">
        <v>45342.704565277774</v>
      </c>
      <c r="B1571" s="48">
        <f>IF(A1571&lt;&gt;"",DATE(YEAR(TRANSACTIONS!$A1571),MONTH(TRANSACTIONS!$A1571),DAY(TRANSACTIONS!$A1571)),"")</f>
        <v>45342</v>
      </c>
      <c r="C1571" s="49">
        <f>IF(A1571&lt;&gt;"",TIME(HOUR(TRANSACTIONS!$A1571),MINUTE(TRANSACTIONS!$A1571),SECOND(TRANSACTIONS!$A1571)),"")</f>
        <v>0.70456018518518526</v>
      </c>
      <c r="D1571" s="82" t="s">
        <v>25</v>
      </c>
      <c r="E1571" s="82" t="s">
        <v>7</v>
      </c>
      <c r="F1571" s="94">
        <v>12500</v>
      </c>
      <c r="G1571" s="46"/>
      <c r="H1571" s="46">
        <f>IFERROR(TRANSACTIONS!$F1571+TRANSACTIONS!$G1571,"")</f>
        <v>12500</v>
      </c>
      <c r="I1571" s="57" t="s">
        <v>41</v>
      </c>
    </row>
    <row r="1572" spans="1:9" x14ac:dyDescent="0.25">
      <c r="A1572" s="41">
        <v>45342.706674189816</v>
      </c>
      <c r="B1572" s="48">
        <f>IF(A1572&lt;&gt;"",DATE(YEAR(TRANSACTIONS!$A1572),MONTH(TRANSACTIONS!$A1572),DAY(TRANSACTIONS!$A1572)),"")</f>
        <v>45342</v>
      </c>
      <c r="C1572" s="49">
        <f>IF(A1572&lt;&gt;"",TIME(HOUR(TRANSACTIONS!$A1572),MINUTE(TRANSACTIONS!$A1572),SECOND(TRANSACTIONS!$A1572)),"")</f>
        <v>0.7066782407407407</v>
      </c>
      <c r="D1572" s="82" t="s">
        <v>25</v>
      </c>
      <c r="E1572" s="82" t="s">
        <v>7</v>
      </c>
      <c r="F1572" s="94">
        <v>3000</v>
      </c>
      <c r="G1572" s="46"/>
      <c r="H1572" s="46">
        <f>IFERROR(TRANSACTIONS!$F1572+TRANSACTIONS!$G1572,"")</f>
        <v>3000</v>
      </c>
      <c r="I1572" s="57" t="s">
        <v>41</v>
      </c>
    </row>
    <row r="1573" spans="1:9" x14ac:dyDescent="0.25">
      <c r="A1573" s="41">
        <v>45342.706739583336</v>
      </c>
      <c r="B1573" s="48">
        <f>IF(A1573&lt;&gt;"",DATE(YEAR(TRANSACTIONS!$A1573),MONTH(TRANSACTIONS!$A1573),DAY(TRANSACTIONS!$A1573)),"")</f>
        <v>45342</v>
      </c>
      <c r="C1573" s="49">
        <f>IF(A1573&lt;&gt;"",TIME(HOUR(TRANSACTIONS!$A1573),MINUTE(TRANSACTIONS!$A1573),SECOND(TRANSACTIONS!$A1573)),"")</f>
        <v>0.70673611111111112</v>
      </c>
      <c r="D1573" s="82" t="s">
        <v>25</v>
      </c>
      <c r="E1573" s="82" t="s">
        <v>6</v>
      </c>
      <c r="F1573" s="94">
        <v>15000</v>
      </c>
      <c r="G1573" s="46"/>
      <c r="H1573" s="46">
        <f>IFERROR(TRANSACTIONS!$F1573+TRANSACTIONS!$G1573,"")</f>
        <v>15000</v>
      </c>
      <c r="I1573" s="57" t="s">
        <v>41</v>
      </c>
    </row>
    <row r="1574" spans="1:9" x14ac:dyDescent="0.25">
      <c r="A1574" s="41">
        <v>45342.706754629631</v>
      </c>
      <c r="B1574" s="48">
        <f>IF(A1574&lt;&gt;"",DATE(YEAR(TRANSACTIONS!$A1574),MONTH(TRANSACTIONS!$A1574),DAY(TRANSACTIONS!$A1574)),"")</f>
        <v>45342</v>
      </c>
      <c r="C1574" s="49">
        <f>IF(A1574&lt;&gt;"",TIME(HOUR(TRANSACTIONS!$A1574),MINUTE(TRANSACTIONS!$A1574),SECOND(TRANSACTIONS!$A1574)),"")</f>
        <v>0.70675925925925931</v>
      </c>
      <c r="D1574" s="82" t="s">
        <v>62</v>
      </c>
      <c r="E1574" s="82" t="s">
        <v>6</v>
      </c>
      <c r="F1574" s="94">
        <v>27300</v>
      </c>
      <c r="G1574" s="46"/>
      <c r="H1574" s="46">
        <f>IFERROR(TRANSACTIONS!$F1574+TRANSACTIONS!$G1574,"")</f>
        <v>27300</v>
      </c>
      <c r="I1574" s="57" t="s">
        <v>41</v>
      </c>
    </row>
    <row r="1575" spans="1:9" x14ac:dyDescent="0.25">
      <c r="A1575" s="41"/>
      <c r="B1575" s="48" t="str">
        <f>IF(A1575&lt;&gt;"",DATE(YEAR(TRANSACTIONS!$A1575),MONTH(TRANSACTIONS!$A1575),DAY(TRANSACTIONS!$A1575)),"")</f>
        <v/>
      </c>
      <c r="C1575" s="49" t="str">
        <f>IF(A1575&lt;&gt;"",TIME(HOUR(TRANSACTIONS!$A1575),MINUTE(TRANSACTIONS!$A1575),SECOND(TRANSACTIONS!$A1575)),"")</f>
        <v/>
      </c>
      <c r="D1575" s="82"/>
      <c r="E1575" s="82"/>
      <c r="F1575" s="94"/>
      <c r="G1575" s="46"/>
      <c r="H1575" s="46">
        <f>IFERROR(TRANSACTIONS!$F1575+TRANSACTIONS!$G1575,"")</f>
        <v>0</v>
      </c>
      <c r="I1575" s="57" t="s">
        <v>41</v>
      </c>
    </row>
    <row r="1576" spans="1:9" x14ac:dyDescent="0.25">
      <c r="A1576" s="41">
        <v>45343.441907638888</v>
      </c>
      <c r="B1576" s="48">
        <f>IF(A1576&lt;&gt;"",DATE(YEAR(TRANSACTIONS!$A1576),MONTH(TRANSACTIONS!$A1576),DAY(TRANSACTIONS!$A1576)),"")</f>
        <v>45343</v>
      </c>
      <c r="C1576" s="49">
        <f>IF(A1576&lt;&gt;"",TIME(HOUR(TRANSACTIONS!$A1576),MINUTE(TRANSACTIONS!$A1576),SECOND(TRANSACTIONS!$A1576)),"")</f>
        <v>0.44190972222222219</v>
      </c>
      <c r="D1576" s="82" t="s">
        <v>62</v>
      </c>
      <c r="E1576" s="82" t="s">
        <v>7</v>
      </c>
      <c r="F1576" s="94">
        <v>1000</v>
      </c>
      <c r="G1576" s="46"/>
      <c r="H1576" s="46">
        <f>IFERROR(TRANSACTIONS!$F1576+TRANSACTIONS!$G1576,"")</f>
        <v>1000</v>
      </c>
      <c r="I1576" s="57" t="s">
        <v>41</v>
      </c>
    </row>
    <row r="1577" spans="1:9" x14ac:dyDescent="0.25">
      <c r="A1577" s="41">
        <v>45343.442055324071</v>
      </c>
      <c r="B1577" s="48">
        <f>IF(A1577&lt;&gt;"",DATE(YEAR(TRANSACTIONS!$A1577),MONTH(TRANSACTIONS!$A1577),DAY(TRANSACTIONS!$A1577)),"")</f>
        <v>45343</v>
      </c>
      <c r="C1577" s="49">
        <f>IF(A1577&lt;&gt;"",TIME(HOUR(TRANSACTIONS!$A1577),MINUTE(TRANSACTIONS!$A1577),SECOND(TRANSACTIONS!$A1577)),"")</f>
        <v>0.44206018518518514</v>
      </c>
      <c r="D1577" s="82" t="s">
        <v>62</v>
      </c>
      <c r="E1577" s="82" t="s">
        <v>6</v>
      </c>
      <c r="F1577" s="94">
        <v>1000</v>
      </c>
      <c r="G1577" s="46"/>
      <c r="H1577" s="46">
        <f>IFERROR(TRANSACTIONS!$F1577+TRANSACTIONS!$G1577,"")</f>
        <v>1000</v>
      </c>
      <c r="I1577" s="57" t="s">
        <v>41</v>
      </c>
    </row>
    <row r="1578" spans="1:9" x14ac:dyDescent="0.25">
      <c r="A1578" s="41">
        <v>45343.442064351853</v>
      </c>
      <c r="B1578" s="48">
        <f>IF(A1578&lt;&gt;"",DATE(YEAR(TRANSACTIONS!$A1578),MONTH(TRANSACTIONS!$A1578),DAY(TRANSACTIONS!$A1578)),"")</f>
        <v>45343</v>
      </c>
      <c r="C1578" s="49">
        <f>IF(A1578&lt;&gt;"",TIME(HOUR(TRANSACTIONS!$A1578),MINUTE(TRANSACTIONS!$A1578),SECOND(TRANSACTIONS!$A1578)),"")</f>
        <v>0.44206018518518514</v>
      </c>
      <c r="D1578" s="82" t="s">
        <v>62</v>
      </c>
      <c r="E1578" s="82" t="s">
        <v>7</v>
      </c>
      <c r="F1578" s="94">
        <v>10000</v>
      </c>
      <c r="G1578" s="46"/>
      <c r="H1578" s="46">
        <f>IFERROR(TRANSACTIONS!$F1578+TRANSACTIONS!$G1578,"")</f>
        <v>10000</v>
      </c>
      <c r="I1578" s="57" t="s">
        <v>41</v>
      </c>
    </row>
    <row r="1579" spans="1:9" x14ac:dyDescent="0.25">
      <c r="A1579" s="41">
        <v>45343.442072685182</v>
      </c>
      <c r="B1579" s="48">
        <f>IF(A1579&lt;&gt;"",DATE(YEAR(TRANSACTIONS!$A1579),MONTH(TRANSACTIONS!$A1579),DAY(TRANSACTIONS!$A1579)),"")</f>
        <v>45343</v>
      </c>
      <c r="C1579" s="49">
        <f>IF(A1579&lt;&gt;"",TIME(HOUR(TRANSACTIONS!$A1579),MINUTE(TRANSACTIONS!$A1579),SECOND(TRANSACTIONS!$A1579)),"")</f>
        <v>0.44207175925925929</v>
      </c>
      <c r="D1579" s="82" t="s">
        <v>62</v>
      </c>
      <c r="E1579" s="82" t="s">
        <v>7</v>
      </c>
      <c r="F1579" s="94">
        <v>1000</v>
      </c>
      <c r="G1579" s="46"/>
      <c r="H1579" s="46">
        <f>IFERROR(TRANSACTIONS!$F1579+TRANSACTIONS!$G1579,"")</f>
        <v>1000</v>
      </c>
      <c r="I1579" s="57" t="s">
        <v>41</v>
      </c>
    </row>
    <row r="1580" spans="1:9" x14ac:dyDescent="0.25">
      <c r="A1580" s="41">
        <v>45343.442080439818</v>
      </c>
      <c r="B1580" s="48">
        <f>IF(A1580&lt;&gt;"",DATE(YEAR(TRANSACTIONS!$A1580),MONTH(TRANSACTIONS!$A1580),DAY(TRANSACTIONS!$A1580)),"")</f>
        <v>45343</v>
      </c>
      <c r="C1580" s="49">
        <f>IF(A1580&lt;&gt;"",TIME(HOUR(TRANSACTIONS!$A1580),MINUTE(TRANSACTIONS!$A1580),SECOND(TRANSACTIONS!$A1580)),"")</f>
        <v>0.44208333333333333</v>
      </c>
      <c r="D1580" s="82" t="s">
        <v>62</v>
      </c>
      <c r="E1580" s="82" t="s">
        <v>7</v>
      </c>
      <c r="F1580" s="94">
        <v>5000</v>
      </c>
      <c r="G1580" s="46"/>
      <c r="H1580" s="46">
        <f>IFERROR(TRANSACTIONS!$F1580+TRANSACTIONS!$G1580,"")</f>
        <v>5000</v>
      </c>
      <c r="I1580" s="57" t="s">
        <v>41</v>
      </c>
    </row>
    <row r="1581" spans="1:9" x14ac:dyDescent="0.25">
      <c r="A1581" s="41">
        <v>45343.4420880787</v>
      </c>
      <c r="B1581" s="48">
        <f>IF(A1581&lt;&gt;"",DATE(YEAR(TRANSACTIONS!$A1581),MONTH(TRANSACTIONS!$A1581),DAY(TRANSACTIONS!$A1581)),"")</f>
        <v>45343</v>
      </c>
      <c r="C1581" s="49">
        <f>IF(A1581&lt;&gt;"",TIME(HOUR(TRANSACTIONS!$A1581),MINUTE(TRANSACTIONS!$A1581),SECOND(TRANSACTIONS!$A1581)),"")</f>
        <v>0.44208333333333333</v>
      </c>
      <c r="D1581" s="82" t="s">
        <v>62</v>
      </c>
      <c r="E1581" s="82" t="s">
        <v>6</v>
      </c>
      <c r="F1581" s="94">
        <v>3000</v>
      </c>
      <c r="G1581" s="46"/>
      <c r="H1581" s="46">
        <f>IFERROR(TRANSACTIONS!$F1581+TRANSACTIONS!$G1581,"")</f>
        <v>3000</v>
      </c>
      <c r="I1581" s="57" t="s">
        <v>41</v>
      </c>
    </row>
    <row r="1582" spans="1:9" x14ac:dyDescent="0.25">
      <c r="A1582" s="41">
        <v>45343.442111574077</v>
      </c>
      <c r="B1582" s="48">
        <f>IF(A1582&lt;&gt;"",DATE(YEAR(TRANSACTIONS!$A1582),MONTH(TRANSACTIONS!$A1582),DAY(TRANSACTIONS!$A1582)),"")</f>
        <v>45343</v>
      </c>
      <c r="C1582" s="49">
        <f>IF(A1582&lt;&gt;"",TIME(HOUR(TRANSACTIONS!$A1582),MINUTE(TRANSACTIONS!$A1582),SECOND(TRANSACTIONS!$A1582)),"")</f>
        <v>0.44210648148148146</v>
      </c>
      <c r="D1582" s="82" t="s">
        <v>25</v>
      </c>
      <c r="E1582" s="82" t="s">
        <v>6</v>
      </c>
      <c r="F1582" s="94">
        <v>1500</v>
      </c>
      <c r="G1582" s="46"/>
      <c r="H1582" s="46">
        <f>IFERROR(TRANSACTIONS!$F1582+TRANSACTIONS!$G1582,"")</f>
        <v>1500</v>
      </c>
      <c r="I1582" s="57" t="s">
        <v>41</v>
      </c>
    </row>
    <row r="1583" spans="1:9" x14ac:dyDescent="0.25">
      <c r="A1583" s="41">
        <v>45343.442096527775</v>
      </c>
      <c r="B1583" s="48">
        <f>IF(A1583&lt;&gt;"",DATE(YEAR(TRANSACTIONS!$A1583),MONTH(TRANSACTIONS!$A1583),DAY(TRANSACTIONS!$A1583)),"")</f>
        <v>45343</v>
      </c>
      <c r="C1583" s="49">
        <f>IF(A1583&lt;&gt;"",TIME(HOUR(TRANSACTIONS!$A1583),MINUTE(TRANSACTIONS!$A1583),SECOND(TRANSACTIONS!$A1583)),"")</f>
        <v>0.44209490740740742</v>
      </c>
      <c r="D1583" s="82" t="s">
        <v>25</v>
      </c>
      <c r="E1583" s="82" t="s">
        <v>7</v>
      </c>
      <c r="F1583" s="94">
        <v>10000</v>
      </c>
      <c r="G1583" s="46"/>
      <c r="H1583" s="46">
        <f>IFERROR(TRANSACTIONS!$F1583+TRANSACTIONS!$G1583,"")</f>
        <v>10000</v>
      </c>
      <c r="I1583" s="57" t="s">
        <v>41</v>
      </c>
    </row>
    <row r="1584" spans="1:9" x14ac:dyDescent="0.25">
      <c r="A1584" s="41">
        <v>45343.443859953702</v>
      </c>
      <c r="B1584" s="48">
        <f>IF(A1584&lt;&gt;"",DATE(YEAR(TRANSACTIONS!$A1584),MONTH(TRANSACTIONS!$A1584),DAY(TRANSACTIONS!$A1584)),"")</f>
        <v>45343</v>
      </c>
      <c r="C1584" s="49">
        <f>IF(A1584&lt;&gt;"",TIME(HOUR(TRANSACTIONS!$A1584),MINUTE(TRANSACTIONS!$A1584),SECOND(TRANSACTIONS!$A1584)),"")</f>
        <v>0.44385416666666666</v>
      </c>
      <c r="D1584" s="82" t="s">
        <v>25</v>
      </c>
      <c r="E1584" s="82" t="s">
        <v>6</v>
      </c>
      <c r="F1584" s="94">
        <v>40000</v>
      </c>
      <c r="G1584" s="46"/>
      <c r="H1584" s="46">
        <f>IFERROR(TRANSACTIONS!$F1584+TRANSACTIONS!$G1584,"")</f>
        <v>40000</v>
      </c>
      <c r="I1584" s="57" t="s">
        <v>41</v>
      </c>
    </row>
    <row r="1585" spans="1:11" x14ac:dyDescent="0.25">
      <c r="A1585" s="41">
        <v>45343.444007638886</v>
      </c>
      <c r="B1585" s="48">
        <f>IF(A1585&lt;&gt;"",DATE(YEAR(TRANSACTIONS!$A1585),MONTH(TRANSACTIONS!$A1585),DAY(TRANSACTIONS!$A1585)),"")</f>
        <v>45343</v>
      </c>
      <c r="C1585" s="49">
        <f>IF(A1585&lt;&gt;"",TIME(HOUR(TRANSACTIONS!$A1585),MINUTE(TRANSACTIONS!$A1585),SECOND(TRANSACTIONS!$A1585)),"")</f>
        <v>0.44400462962962961</v>
      </c>
      <c r="D1585" s="82" t="s">
        <v>25</v>
      </c>
      <c r="E1585" s="82" t="s">
        <v>6</v>
      </c>
      <c r="F1585" s="94">
        <v>2000</v>
      </c>
      <c r="G1585" s="46"/>
      <c r="H1585" s="46">
        <f>IFERROR(TRANSACTIONS!$F1585+TRANSACTIONS!$G1585,"")</f>
        <v>2000</v>
      </c>
      <c r="I1585" s="57" t="s">
        <v>41</v>
      </c>
    </row>
    <row r="1586" spans="1:11" x14ac:dyDescent="0.25">
      <c r="A1586" s="41">
        <v>45343.536886226851</v>
      </c>
      <c r="B1586" s="48">
        <f>IF(A1586&lt;&gt;"",DATE(YEAR(TRANSACTIONS!$A1586),MONTH(TRANSACTIONS!$A1586),DAY(TRANSACTIONS!$A1586)),"")</f>
        <v>45343</v>
      </c>
      <c r="C1586" s="49">
        <f>IF(A1586&lt;&gt;"",TIME(HOUR(TRANSACTIONS!$A1586),MINUTE(TRANSACTIONS!$A1586),SECOND(TRANSACTIONS!$A1586)),"")</f>
        <v>0.53688657407407414</v>
      </c>
      <c r="D1586" s="82" t="s">
        <v>25</v>
      </c>
      <c r="E1586" s="82" t="s">
        <v>7</v>
      </c>
      <c r="F1586" s="94">
        <v>50000</v>
      </c>
      <c r="G1586" s="46"/>
      <c r="H1586" s="46">
        <f>IFERROR(TRANSACTIONS!$F1586+TRANSACTIONS!$G1586,"")</f>
        <v>50000</v>
      </c>
      <c r="I1586" s="57" t="s">
        <v>41</v>
      </c>
    </row>
    <row r="1587" spans="1:11" x14ac:dyDescent="0.25">
      <c r="A1587" s="41">
        <v>45343.536904398148</v>
      </c>
      <c r="B1587" s="48">
        <f>IF(A1587&lt;&gt;"",DATE(YEAR(TRANSACTIONS!$A1587),MONTH(TRANSACTIONS!$A1587),DAY(TRANSACTIONS!$A1587)),"")</f>
        <v>45343</v>
      </c>
      <c r="C1587" s="49">
        <f>IF(A1587&lt;&gt;"",TIME(HOUR(TRANSACTIONS!$A1587),MINUTE(TRANSACTIONS!$A1587),SECOND(TRANSACTIONS!$A1587)),"")</f>
        <v>0.53690972222222222</v>
      </c>
      <c r="D1587" s="82" t="s">
        <v>25</v>
      </c>
      <c r="E1587" s="82" t="s">
        <v>7</v>
      </c>
      <c r="F1587" s="94">
        <v>100000</v>
      </c>
      <c r="G1587" s="46"/>
      <c r="H1587" s="46">
        <f>IFERROR(TRANSACTIONS!$F1587+TRANSACTIONS!$G1587,"")</f>
        <v>100000</v>
      </c>
      <c r="I1587" s="57" t="s">
        <v>41</v>
      </c>
    </row>
    <row r="1588" spans="1:11" x14ac:dyDescent="0.25">
      <c r="A1588" s="41">
        <v>45343.536916898149</v>
      </c>
      <c r="B1588" s="48">
        <f>IF(A1588&lt;&gt;"",DATE(YEAR(TRANSACTIONS!$A1588),MONTH(TRANSACTIONS!$A1588),DAY(TRANSACTIONS!$A1588)),"")</f>
        <v>45343</v>
      </c>
      <c r="C1588" s="49">
        <f>IF(A1588&lt;&gt;"",TIME(HOUR(TRANSACTIONS!$A1588),MINUTE(TRANSACTIONS!$A1588),SECOND(TRANSACTIONS!$A1588)),"")</f>
        <v>0.53692129629629626</v>
      </c>
      <c r="D1588" s="82" t="s">
        <v>25</v>
      </c>
      <c r="E1588" s="82" t="s">
        <v>6</v>
      </c>
      <c r="F1588" s="94">
        <v>550</v>
      </c>
      <c r="G1588" s="46"/>
      <c r="H1588" s="46">
        <f>IFERROR(TRANSACTIONS!$F1588+TRANSACTIONS!$G1588,"")</f>
        <v>550</v>
      </c>
      <c r="I1588" s="57" t="s">
        <v>41</v>
      </c>
    </row>
    <row r="1589" spans="1:11" x14ac:dyDescent="0.25">
      <c r="A1589" s="41">
        <v>45343.53692337963</v>
      </c>
      <c r="B1589" s="48">
        <f>IF(A1589&lt;&gt;"",DATE(YEAR(TRANSACTIONS!$A1589),MONTH(TRANSACTIONS!$A1589),DAY(TRANSACTIONS!$A1589)),"")</f>
        <v>45343</v>
      </c>
      <c r="C1589" s="49">
        <f>IF(A1589&lt;&gt;"",TIME(HOUR(TRANSACTIONS!$A1589),MINUTE(TRANSACTIONS!$A1589),SECOND(TRANSACTIONS!$A1589)),"")</f>
        <v>0.53692129629629626</v>
      </c>
      <c r="D1589" s="82" t="s">
        <v>25</v>
      </c>
      <c r="E1589" s="82" t="s">
        <v>7</v>
      </c>
      <c r="F1589" s="94">
        <v>15000</v>
      </c>
      <c r="G1589" s="46"/>
      <c r="H1589" s="46">
        <f>IFERROR(TRANSACTIONS!$F1589+TRANSACTIONS!$G1589,"")</f>
        <v>15000</v>
      </c>
      <c r="I1589" s="57" t="s">
        <v>41</v>
      </c>
    </row>
    <row r="1590" spans="1:11" x14ac:dyDescent="0.25">
      <c r="A1590" s="81">
        <v>45343.536945717591</v>
      </c>
      <c r="B1590" s="83">
        <f>IF(A1590&lt;&gt;"",DATE(YEAR(TRANSACTIONS!$A1590),MONTH(TRANSACTIONS!$A1590),DAY(TRANSACTIONS!$A1590)),"")</f>
        <v>45343</v>
      </c>
      <c r="C1590" s="84">
        <f>IF(A1590&lt;&gt;"",TIME(HOUR(TRANSACTIONS!$A1590),MINUTE(TRANSACTIONS!$A1590),SECOND(TRANSACTIONS!$A1590)),"")</f>
        <v>0.53694444444444445</v>
      </c>
      <c r="D1590" s="82" t="s">
        <v>25</v>
      </c>
      <c r="E1590" s="82" t="s">
        <v>6</v>
      </c>
      <c r="F1590" s="94">
        <v>30000</v>
      </c>
      <c r="G1590" s="86"/>
      <c r="H1590" s="86">
        <f>IFERROR(TRANSACTIONS!$F1590+TRANSACTIONS!$G1590,"")</f>
        <v>30000</v>
      </c>
      <c r="I1590" s="87" t="s">
        <v>41</v>
      </c>
    </row>
    <row r="1591" spans="1:11" x14ac:dyDescent="0.25">
      <c r="A1591" s="41">
        <v>45343.538776273148</v>
      </c>
      <c r="B1591" s="48">
        <f>IF(A1591&lt;&gt;"",DATE(YEAR(TRANSACTIONS!$A1591),MONTH(TRANSACTIONS!$A1591),DAY(TRANSACTIONS!$A1591)),"")</f>
        <v>45343</v>
      </c>
      <c r="C1591" s="49">
        <f>IF(A1591&lt;&gt;"",TIME(HOUR(TRANSACTIONS!$A1591),MINUTE(TRANSACTIONS!$A1591),SECOND(TRANSACTIONS!$A1591)),"")</f>
        <v>0.53877314814814814</v>
      </c>
      <c r="D1591" s="82" t="s">
        <v>62</v>
      </c>
      <c r="E1591" s="82" t="s">
        <v>7</v>
      </c>
      <c r="F1591" s="94">
        <v>5000</v>
      </c>
      <c r="G1591" s="46"/>
      <c r="H1591" s="46">
        <f>IFERROR(TRANSACTIONS!$F1591+TRANSACTIONS!$G1591,"")</f>
        <v>5000</v>
      </c>
      <c r="I1591" s="57" t="s">
        <v>41</v>
      </c>
    </row>
    <row r="1592" spans="1:11" x14ac:dyDescent="0.25">
      <c r="A1592" s="41">
        <v>45343.538786921294</v>
      </c>
      <c r="B1592" s="48">
        <f>IF(A1592&lt;&gt;"",DATE(YEAR(TRANSACTIONS!$A1592),MONTH(TRANSACTIONS!$A1592),DAY(TRANSACTIONS!$A1592)),"")</f>
        <v>45343</v>
      </c>
      <c r="C1592" s="49">
        <f>IF(A1592&lt;&gt;"",TIME(HOUR(TRANSACTIONS!$A1592),MINUTE(TRANSACTIONS!$A1592),SECOND(TRANSACTIONS!$A1592)),"")</f>
        <v>0.53878472222222229</v>
      </c>
      <c r="D1592" s="82" t="s">
        <v>62</v>
      </c>
      <c r="E1592" s="82" t="s">
        <v>7</v>
      </c>
      <c r="F1592" s="94">
        <v>3000</v>
      </c>
      <c r="G1592" s="46"/>
      <c r="H1592" s="46">
        <f>IFERROR(TRANSACTIONS!$F1592+TRANSACTIONS!$G1592,"")</f>
        <v>3000</v>
      </c>
      <c r="I1592" s="57" t="s">
        <v>41</v>
      </c>
    </row>
    <row r="1593" spans="1:11" x14ac:dyDescent="0.25">
      <c r="A1593" s="41">
        <v>45343.538825115742</v>
      </c>
      <c r="B1593" s="48">
        <f>IF(A1593&lt;&gt;"",DATE(YEAR(TRANSACTIONS!$A1593),MONTH(TRANSACTIONS!$A1593),DAY(TRANSACTIONS!$A1593)),"")</f>
        <v>45343</v>
      </c>
      <c r="C1593" s="49">
        <f>IF(A1593&lt;&gt;"",TIME(HOUR(TRANSACTIONS!$A1593),MINUTE(TRANSACTIONS!$A1593),SECOND(TRANSACTIONS!$A1593)),"")</f>
        <v>0.53881944444444441</v>
      </c>
      <c r="D1593" s="82" t="s">
        <v>62</v>
      </c>
      <c r="E1593" s="82" t="s">
        <v>7</v>
      </c>
      <c r="F1593" s="94">
        <v>2000</v>
      </c>
      <c r="G1593" s="46"/>
      <c r="H1593" s="46">
        <f>IFERROR(TRANSACTIONS!$F1593+TRANSACTIONS!$G1593,"")</f>
        <v>2000</v>
      </c>
      <c r="I1593" s="57" t="s">
        <v>41</v>
      </c>
    </row>
    <row r="1594" spans="1:11" x14ac:dyDescent="0.25">
      <c r="A1594" s="41">
        <v>45343.538838541666</v>
      </c>
      <c r="B1594" s="48">
        <f>IF(A1594&lt;&gt;"",DATE(YEAR(TRANSACTIONS!$A1594),MONTH(TRANSACTIONS!$A1594),DAY(TRANSACTIONS!$A1594)),"")</f>
        <v>45343</v>
      </c>
      <c r="C1594" s="49">
        <f>IF(A1594&lt;&gt;"",TIME(HOUR(TRANSACTIONS!$A1594),MINUTE(TRANSACTIONS!$A1594),SECOND(TRANSACTIONS!$A1594)),"")</f>
        <v>0.5388425925925926</v>
      </c>
      <c r="D1594" s="82" t="s">
        <v>62</v>
      </c>
      <c r="E1594" s="82" t="s">
        <v>7</v>
      </c>
      <c r="F1594" s="94">
        <v>10000</v>
      </c>
      <c r="G1594" s="46"/>
      <c r="H1594" s="46">
        <f>IFERROR(TRANSACTIONS!$F1594+TRANSACTIONS!$G1594,"")</f>
        <v>10000</v>
      </c>
      <c r="I1594" s="57" t="s">
        <v>41</v>
      </c>
    </row>
    <row r="1595" spans="1:11" x14ac:dyDescent="0.25">
      <c r="A1595" s="81">
        <v>45343.538846296295</v>
      </c>
      <c r="B1595" s="83">
        <f>IF(A1595&lt;&gt;"",DATE(YEAR(TRANSACTIONS!$A1595),MONTH(TRANSACTIONS!$A1595),DAY(TRANSACTIONS!$A1595)),"")</f>
        <v>45343</v>
      </c>
      <c r="C1595" s="84">
        <f>IF(A1595&lt;&gt;"",TIME(HOUR(TRANSACTIONS!$A1595),MINUTE(TRANSACTIONS!$A1595),SECOND(TRANSACTIONS!$A1595)),"")</f>
        <v>0.5388425925925926</v>
      </c>
      <c r="D1595" s="82" t="s">
        <v>62</v>
      </c>
      <c r="E1595" s="82" t="s">
        <v>7</v>
      </c>
      <c r="F1595" s="94">
        <v>500</v>
      </c>
      <c r="G1595" s="86"/>
      <c r="H1595" s="86">
        <f>IFERROR(TRANSACTIONS!$F1595+TRANSACTIONS!$G1595,"")</f>
        <v>500</v>
      </c>
      <c r="I1595" s="87" t="s">
        <v>41</v>
      </c>
      <c r="J1595" s="88"/>
      <c r="K1595" s="88"/>
    </row>
    <row r="1596" spans="1:11" x14ac:dyDescent="0.25">
      <c r="A1596" s="41">
        <v>45343.538867476855</v>
      </c>
      <c r="B1596" s="48">
        <f>IF(A1596&lt;&gt;"",DATE(YEAR(TRANSACTIONS!$A1596),MONTH(TRANSACTIONS!$A1596),DAY(TRANSACTIONS!$A1596)),"")</f>
        <v>45343</v>
      </c>
      <c r="C1596" s="49">
        <f>IF(A1596&lt;&gt;"",TIME(HOUR(TRANSACTIONS!$A1596),MINUTE(TRANSACTIONS!$A1596),SECOND(TRANSACTIONS!$A1596)),"")</f>
        <v>0.53886574074074078</v>
      </c>
      <c r="D1596" s="82" t="s">
        <v>62</v>
      </c>
      <c r="E1596" s="82" t="s">
        <v>7</v>
      </c>
      <c r="F1596" s="94">
        <v>5000</v>
      </c>
      <c r="G1596" s="46"/>
      <c r="H1596" s="46">
        <f>IFERROR(TRANSACTIONS!$F1596+TRANSACTIONS!$G1596,"")</f>
        <v>5000</v>
      </c>
      <c r="I1596" s="57" t="s">
        <v>41</v>
      </c>
    </row>
    <row r="1597" spans="1:11" x14ac:dyDescent="0.25">
      <c r="A1597" s="41">
        <v>45343.538881944442</v>
      </c>
      <c r="B1597" s="48">
        <f>IF(A1597&lt;&gt;"",DATE(YEAR(TRANSACTIONS!$A1597),MONTH(TRANSACTIONS!$A1597),DAY(TRANSACTIONS!$A1597)),"")</f>
        <v>45343</v>
      </c>
      <c r="C1597" s="49">
        <f>IF(A1597&lt;&gt;"",TIME(HOUR(TRANSACTIONS!$A1597),MINUTE(TRANSACTIONS!$A1597),SECOND(TRANSACTIONS!$A1597)),"")</f>
        <v>0.53887731481481482</v>
      </c>
      <c r="D1597" s="82" t="s">
        <v>62</v>
      </c>
      <c r="E1597" s="82" t="s">
        <v>7</v>
      </c>
      <c r="F1597" s="94">
        <v>35000</v>
      </c>
      <c r="G1597" s="46"/>
      <c r="H1597" s="46">
        <f>IFERROR(TRANSACTIONS!$F1597+TRANSACTIONS!$G1597,"")</f>
        <v>35000</v>
      </c>
      <c r="I1597" s="57" t="s">
        <v>41</v>
      </c>
    </row>
    <row r="1598" spans="1:11" x14ac:dyDescent="0.25">
      <c r="A1598" s="41">
        <v>45343.54217789352</v>
      </c>
      <c r="B1598" s="48">
        <f>IF(A1598&lt;&gt;"",DATE(YEAR(TRANSACTIONS!$A1598),MONTH(TRANSACTIONS!$A1598),DAY(TRANSACTIONS!$A1598)),"")</f>
        <v>45343</v>
      </c>
      <c r="C1598" s="49">
        <f>IF(A1598&lt;&gt;"",TIME(HOUR(TRANSACTIONS!$A1598),MINUTE(TRANSACTIONS!$A1598),SECOND(TRANSACTIONS!$A1598)),"")</f>
        <v>0.54217592592592589</v>
      </c>
      <c r="D1598" s="82" t="s">
        <v>62</v>
      </c>
      <c r="E1598" s="82" t="s">
        <v>7</v>
      </c>
      <c r="F1598" s="94">
        <v>10000</v>
      </c>
      <c r="G1598" s="46"/>
      <c r="H1598" s="46">
        <f>IFERROR(TRANSACTIONS!$F1598+TRANSACTIONS!$G1598,"")</f>
        <v>10000</v>
      </c>
      <c r="I1598" s="57" t="s">
        <v>41</v>
      </c>
    </row>
    <row r="1599" spans="1:11" x14ac:dyDescent="0.25">
      <c r="A1599" s="41">
        <v>45343.542349537034</v>
      </c>
      <c r="B1599" s="48">
        <f>IF(A1599&lt;&gt;"",DATE(YEAR(TRANSACTIONS!$A1599),MONTH(TRANSACTIONS!$A1599),DAY(TRANSACTIONS!$A1599)),"")</f>
        <v>45343</v>
      </c>
      <c r="C1599" s="49">
        <f>IF(A1599&lt;&gt;"",TIME(HOUR(TRANSACTIONS!$A1599),MINUTE(TRANSACTIONS!$A1599),SECOND(TRANSACTIONS!$A1599)),"")</f>
        <v>0.54234953703703703</v>
      </c>
      <c r="D1599" s="82" t="s">
        <v>62</v>
      </c>
      <c r="E1599" s="82" t="s">
        <v>7</v>
      </c>
      <c r="F1599" s="94">
        <v>55000</v>
      </c>
      <c r="G1599" s="46"/>
      <c r="H1599" s="46">
        <f>IFERROR(TRANSACTIONS!$F1599+TRANSACTIONS!$G1599,"")</f>
        <v>55000</v>
      </c>
      <c r="I1599" s="57" t="s">
        <v>41</v>
      </c>
    </row>
    <row r="1600" spans="1:11" x14ac:dyDescent="0.25">
      <c r="A1600" s="41">
        <v>45343.542365624999</v>
      </c>
      <c r="B1600" s="114">
        <f>IF(A1600&lt;&gt;"",DATE(YEAR(TRANSACTIONS!$A1600),MONTH(TRANSACTIONS!$A1600),DAY(TRANSACTIONS!$A1600)),"")</f>
        <v>45343</v>
      </c>
      <c r="C1600" s="115">
        <f>IF(A1600&lt;&gt;"",TIME(HOUR(TRANSACTIONS!$A1600),MINUTE(TRANSACTIONS!$A1600),SECOND(TRANSACTIONS!$A1600)),"")</f>
        <v>0.54236111111111118</v>
      </c>
      <c r="D1600" s="82" t="s">
        <v>62</v>
      </c>
      <c r="E1600" s="82" t="s">
        <v>6</v>
      </c>
      <c r="F1600" s="94">
        <v>13000</v>
      </c>
      <c r="G1600" s="117"/>
      <c r="H1600" s="117">
        <f>IFERROR(TRANSACTIONS!$F1600+TRANSACTIONS!$G1600,"")</f>
        <v>13000</v>
      </c>
      <c r="I1600" s="123" t="s">
        <v>41</v>
      </c>
    </row>
    <row r="1601" spans="1:10" x14ac:dyDescent="0.25">
      <c r="A1601" s="205">
        <v>45343.542374652781</v>
      </c>
      <c r="B1601" s="206">
        <f>IF(A1601&lt;&gt;"",DATE(YEAR(TRANSACTIONS!$A1601),MONTH(TRANSACTIONS!$A1601),DAY(TRANSACTIONS!$A1601)),"")</f>
        <v>45343</v>
      </c>
      <c r="C1601" s="207">
        <f>IF(A1601&lt;&gt;"",TIME(HOUR(TRANSACTIONS!$A1601),MINUTE(TRANSACTIONS!$A1601),SECOND(TRANSACTIONS!$A1601)),"")</f>
        <v>0.54237268518518522</v>
      </c>
      <c r="D1601" s="208" t="s">
        <v>62</v>
      </c>
      <c r="E1601" s="208" t="s">
        <v>7</v>
      </c>
      <c r="F1601" s="209">
        <v>5000</v>
      </c>
      <c r="G1601" s="210"/>
      <c r="H1601" s="210">
        <f>IFERROR(TRANSACTIONS!$F1601+TRANSACTIONS!$G1601,"")</f>
        <v>5000</v>
      </c>
      <c r="I1601" s="211" t="s">
        <v>41</v>
      </c>
      <c r="J1601" s="212"/>
    </row>
    <row r="1602" spans="1:10" x14ac:dyDescent="0.25">
      <c r="A1602" s="41">
        <v>45343.542387499998</v>
      </c>
      <c r="B1602" s="48">
        <f>IF(A1602&lt;&gt;"",DATE(YEAR(TRANSACTIONS!$A1602),MONTH(TRANSACTIONS!$A1602),DAY(TRANSACTIONS!$A1602)),"")</f>
        <v>45343</v>
      </c>
      <c r="C1602" s="49">
        <f>IF(A1602&lt;&gt;"",TIME(HOUR(TRANSACTIONS!$A1602),MINUTE(TRANSACTIONS!$A1602),SECOND(TRANSACTIONS!$A1602)),"")</f>
        <v>0.54238425925925926</v>
      </c>
      <c r="D1602" s="82" t="s">
        <v>62</v>
      </c>
      <c r="E1602" s="82" t="s">
        <v>6</v>
      </c>
      <c r="F1602" s="94">
        <v>5000</v>
      </c>
      <c r="G1602" s="46"/>
      <c r="H1602" s="46">
        <f>IFERROR(TRANSACTIONS!$F1602+TRANSACTIONS!$G1602,"")</f>
        <v>5000</v>
      </c>
      <c r="I1602" s="57" t="s">
        <v>41</v>
      </c>
    </row>
    <row r="1603" spans="1:10" x14ac:dyDescent="0.25">
      <c r="A1603" s="41">
        <v>45343.542416550925</v>
      </c>
      <c r="B1603" s="48">
        <f>IF(A1603&lt;&gt;"",DATE(YEAR(TRANSACTIONS!$A1603),MONTH(TRANSACTIONS!$A1603),DAY(TRANSACTIONS!$A1603)),"")</f>
        <v>45343</v>
      </c>
      <c r="C1603" s="49">
        <f>IF(A1603&lt;&gt;"",TIME(HOUR(TRANSACTIONS!$A1603),MINUTE(TRANSACTIONS!$A1603),SECOND(TRANSACTIONS!$A1603)),"")</f>
        <v>0.54241898148148149</v>
      </c>
      <c r="D1603" s="82" t="s">
        <v>62</v>
      </c>
      <c r="E1603" s="82" t="s">
        <v>7</v>
      </c>
      <c r="F1603" s="94">
        <v>10000</v>
      </c>
      <c r="G1603" s="46"/>
      <c r="H1603" s="46">
        <f>IFERROR(TRANSACTIONS!$F1603+TRANSACTIONS!$G1603,"")</f>
        <v>10000</v>
      </c>
      <c r="I1603" s="57" t="s">
        <v>41</v>
      </c>
    </row>
    <row r="1604" spans="1:10" x14ac:dyDescent="0.25">
      <c r="A1604" s="41">
        <v>45343.54243483796</v>
      </c>
      <c r="B1604" s="48">
        <f>IF(A1604&lt;&gt;"",DATE(YEAR(TRANSACTIONS!$A1604),MONTH(TRANSACTIONS!$A1604),DAY(TRANSACTIONS!$A1604)),"")</f>
        <v>45343</v>
      </c>
      <c r="C1604" s="49">
        <f>IF(A1604&lt;&gt;"",TIME(HOUR(TRANSACTIONS!$A1604),MINUTE(TRANSACTIONS!$A1604),SECOND(TRANSACTIONS!$A1604)),"")</f>
        <v>0.54243055555555553</v>
      </c>
      <c r="D1604" s="82" t="s">
        <v>62</v>
      </c>
      <c r="E1604" s="82" t="s">
        <v>6</v>
      </c>
      <c r="F1604" s="94">
        <v>2000</v>
      </c>
      <c r="G1604" s="46"/>
      <c r="H1604" s="46">
        <f>IFERROR(TRANSACTIONS!$F1604+TRANSACTIONS!$G1604,"")</f>
        <v>2000</v>
      </c>
      <c r="I1604" s="57" t="s">
        <v>41</v>
      </c>
    </row>
    <row r="1605" spans="1:10" x14ac:dyDescent="0.25">
      <c r="A1605" s="41">
        <v>45343.542443402781</v>
      </c>
      <c r="B1605" s="48">
        <f>IF(A1605&lt;&gt;"",DATE(YEAR(TRANSACTIONS!$A1605),MONTH(TRANSACTIONS!$A1605),DAY(TRANSACTIONS!$A1605)),"")</f>
        <v>45343</v>
      </c>
      <c r="C1605" s="49">
        <f>IF(A1605&lt;&gt;"",TIME(HOUR(TRANSACTIONS!$A1605),MINUTE(TRANSACTIONS!$A1605),SECOND(TRANSACTIONS!$A1605)),"")</f>
        <v>0.54244212962962968</v>
      </c>
      <c r="D1605" s="82" t="s">
        <v>62</v>
      </c>
      <c r="E1605" s="82" t="s">
        <v>6</v>
      </c>
      <c r="F1605" s="94">
        <v>5000</v>
      </c>
      <c r="G1605" s="46"/>
      <c r="H1605" s="46">
        <f>IFERROR(TRANSACTIONS!$F1605+TRANSACTIONS!$G1605,"")</f>
        <v>5000</v>
      </c>
      <c r="I1605" s="57" t="s">
        <v>41</v>
      </c>
    </row>
    <row r="1606" spans="1:10" x14ac:dyDescent="0.25">
      <c r="A1606" s="41">
        <v>45343.542453240741</v>
      </c>
      <c r="B1606" s="48">
        <f>IF(A1606&lt;&gt;"",DATE(YEAR(TRANSACTIONS!$A1606),MONTH(TRANSACTIONS!$A1606),DAY(TRANSACTIONS!$A1606)),"")</f>
        <v>45343</v>
      </c>
      <c r="C1606" s="49">
        <f>IF(A1606&lt;&gt;"",TIME(HOUR(TRANSACTIONS!$A1606),MINUTE(TRANSACTIONS!$A1606),SECOND(TRANSACTIONS!$A1606)),"")</f>
        <v>0.54245370370370372</v>
      </c>
      <c r="D1606" s="82" t="s">
        <v>62</v>
      </c>
      <c r="E1606" s="82" t="s">
        <v>6</v>
      </c>
      <c r="F1606" s="94">
        <v>16100</v>
      </c>
      <c r="G1606" s="46"/>
      <c r="H1606" s="46">
        <f>IFERROR(TRANSACTIONS!$F1606+TRANSACTIONS!$G1606,"")</f>
        <v>16100</v>
      </c>
      <c r="I1606" s="57" t="s">
        <v>41</v>
      </c>
    </row>
    <row r="1607" spans="1:10" x14ac:dyDescent="0.25">
      <c r="A1607" s="41">
        <v>45343.542468865744</v>
      </c>
      <c r="B1607" s="48">
        <f>IF(A1607&lt;&gt;"",DATE(YEAR(TRANSACTIONS!$A1607),MONTH(TRANSACTIONS!$A1607),DAY(TRANSACTIONS!$A1607)),"")</f>
        <v>45343</v>
      </c>
      <c r="C1607" s="49">
        <f>IF(A1607&lt;&gt;"",TIME(HOUR(TRANSACTIONS!$A1607),MINUTE(TRANSACTIONS!$A1607),SECOND(TRANSACTIONS!$A1607)),"")</f>
        <v>0.54246527777777775</v>
      </c>
      <c r="D1607" s="82" t="s">
        <v>62</v>
      </c>
      <c r="E1607" s="82" t="s">
        <v>6</v>
      </c>
      <c r="F1607" s="94">
        <v>85000</v>
      </c>
      <c r="G1607" s="46"/>
      <c r="H1607" s="46">
        <f>IFERROR(TRANSACTIONS!$F1607+TRANSACTIONS!$G1607,"")</f>
        <v>85000</v>
      </c>
      <c r="I1607" s="57" t="s">
        <v>41</v>
      </c>
    </row>
    <row r="1608" spans="1:10" x14ac:dyDescent="0.25">
      <c r="A1608" s="41">
        <v>45343.542477199073</v>
      </c>
      <c r="B1608" s="48">
        <f>IF(A1608&lt;&gt;"",DATE(YEAR(TRANSACTIONS!$A1608),MONTH(TRANSACTIONS!$A1608),DAY(TRANSACTIONS!$A1608)),"")</f>
        <v>45343</v>
      </c>
      <c r="C1608" s="49">
        <f>IF(A1608&lt;&gt;"",TIME(HOUR(TRANSACTIONS!$A1608),MINUTE(TRANSACTIONS!$A1608),SECOND(TRANSACTIONS!$A1608)),"")</f>
        <v>0.54247685185185179</v>
      </c>
      <c r="D1608" s="82" t="s">
        <v>62</v>
      </c>
      <c r="E1608" s="82" t="s">
        <v>6</v>
      </c>
      <c r="F1608" s="94">
        <v>8000</v>
      </c>
      <c r="G1608" s="46"/>
      <c r="H1608" s="46">
        <f>IFERROR(TRANSACTIONS!$F1608+TRANSACTIONS!$G1608,"")</f>
        <v>8000</v>
      </c>
      <c r="I1608" s="57" t="s">
        <v>41</v>
      </c>
    </row>
    <row r="1609" spans="1:10" x14ac:dyDescent="0.25">
      <c r="A1609" s="41">
        <v>45343.542500115742</v>
      </c>
      <c r="B1609" s="83">
        <f>IF(A1609&lt;&gt;"",DATE(YEAR(TRANSACTIONS!$A1609),MONTH(TRANSACTIONS!$A1609),DAY(TRANSACTIONS!$A1609)),"")</f>
        <v>45343</v>
      </c>
      <c r="C1609" s="84">
        <f>IF(A1609&lt;&gt;"",TIME(HOUR(TRANSACTIONS!$A1609),MINUTE(TRANSACTIONS!$A1609),SECOND(TRANSACTIONS!$A1609)),"")</f>
        <v>0.54249999999999998</v>
      </c>
      <c r="D1609" s="82" t="s">
        <v>62</v>
      </c>
      <c r="E1609" s="82" t="s">
        <v>7</v>
      </c>
      <c r="F1609" s="94">
        <v>4000</v>
      </c>
      <c r="G1609" s="86"/>
      <c r="H1609" s="86">
        <f>IFERROR(TRANSACTIONS!$F1609+TRANSACTIONS!$G1609,"")</f>
        <v>4000</v>
      </c>
      <c r="I1609" s="87" t="s">
        <v>41</v>
      </c>
    </row>
    <row r="1610" spans="1:10" x14ac:dyDescent="0.25">
      <c r="A1610" s="41">
        <v>45343.542510648149</v>
      </c>
      <c r="B1610" s="83">
        <f>IF(A1610&lt;&gt;"",DATE(YEAR(TRANSACTIONS!$A1610),MONTH(TRANSACTIONS!$A1610),DAY(TRANSACTIONS!$A1610)),"")</f>
        <v>45343</v>
      </c>
      <c r="C1610" s="84">
        <f>IF(A1610&lt;&gt;"",TIME(HOUR(TRANSACTIONS!$A1610),MINUTE(TRANSACTIONS!$A1610),SECOND(TRANSACTIONS!$A1610)),"")</f>
        <v>0.54251157407407413</v>
      </c>
      <c r="D1610" s="82" t="s">
        <v>62</v>
      </c>
      <c r="E1610" s="82" t="s">
        <v>7</v>
      </c>
      <c r="F1610" s="94">
        <v>2000</v>
      </c>
      <c r="G1610" s="86"/>
      <c r="H1610" s="86">
        <f>IFERROR(TRANSACTIONS!$F1610+TRANSACTIONS!$G1610,"")</f>
        <v>2000</v>
      </c>
      <c r="I1610" s="87" t="s">
        <v>41</v>
      </c>
    </row>
    <row r="1611" spans="1:10" x14ac:dyDescent="0.25">
      <c r="A1611" s="41">
        <v>45343.542524884258</v>
      </c>
      <c r="B1611" s="48">
        <f>IF(A1611&lt;&gt;"",DATE(YEAR(TRANSACTIONS!$A1611),MONTH(TRANSACTIONS!$A1611),DAY(TRANSACTIONS!$A1611)),"")</f>
        <v>45343</v>
      </c>
      <c r="C1611" s="49">
        <f>IF(A1611&lt;&gt;"",TIME(HOUR(TRANSACTIONS!$A1611),MINUTE(TRANSACTIONS!$A1611),SECOND(TRANSACTIONS!$A1611)),"")</f>
        <v>0.54252314814814817</v>
      </c>
      <c r="D1611" s="82" t="s">
        <v>62</v>
      </c>
      <c r="E1611" s="82" t="s">
        <v>6</v>
      </c>
      <c r="F1611" s="94">
        <v>10100</v>
      </c>
      <c r="G1611" s="46"/>
      <c r="H1611" s="46">
        <f>IFERROR(TRANSACTIONS!$F1611+TRANSACTIONS!$G1611,"")</f>
        <v>10100</v>
      </c>
      <c r="I1611" s="57" t="s">
        <v>41</v>
      </c>
    </row>
    <row r="1612" spans="1:10" x14ac:dyDescent="0.25">
      <c r="A1612" s="41">
        <v>45343.542598148146</v>
      </c>
      <c r="B1612" s="114">
        <f>IF(A1612&lt;&gt;"",DATE(YEAR(TRANSACTIONS!$A1612),MONTH(TRANSACTIONS!$A1612),DAY(TRANSACTIONS!$A1612)),"")</f>
        <v>45343</v>
      </c>
      <c r="C1612" s="115">
        <f>IF(A1612&lt;&gt;"",TIME(HOUR(TRANSACTIONS!$A1612),MINUTE(TRANSACTIONS!$A1612),SECOND(TRANSACTIONS!$A1612)),"")</f>
        <v>0.54259259259259263</v>
      </c>
      <c r="D1612" s="82" t="s">
        <v>62</v>
      </c>
      <c r="E1612" s="93" t="s">
        <v>6</v>
      </c>
      <c r="F1612" s="94">
        <v>38000</v>
      </c>
      <c r="G1612" s="117"/>
      <c r="H1612" s="117">
        <f>IFERROR(TRANSACTIONS!$F1612+TRANSACTIONS!$G1612,"")</f>
        <v>38000</v>
      </c>
      <c r="I1612" s="123" t="s">
        <v>41</v>
      </c>
    </row>
    <row r="1613" spans="1:10" x14ac:dyDescent="0.25">
      <c r="A1613" s="41">
        <v>45343.54263171296</v>
      </c>
      <c r="B1613" s="48">
        <f>IF(A1613&lt;&gt;"",DATE(YEAR(TRANSACTIONS!$A1613),MONTH(TRANSACTIONS!$A1613),DAY(TRANSACTIONS!$A1613)),"")</f>
        <v>45343</v>
      </c>
      <c r="C1613" s="49">
        <f>IF(A1613&lt;&gt;"",TIME(HOUR(TRANSACTIONS!$A1613),MINUTE(TRANSACTIONS!$A1613),SECOND(TRANSACTIONS!$A1613)),"")</f>
        <v>0.54262731481481474</v>
      </c>
      <c r="D1613" s="82" t="s">
        <v>62</v>
      </c>
      <c r="E1613" s="93" t="s">
        <v>6</v>
      </c>
      <c r="F1613" s="94">
        <v>10100</v>
      </c>
      <c r="G1613" s="46"/>
      <c r="H1613" s="46">
        <f>IFERROR(TRANSACTIONS!$F1613+TRANSACTIONS!$G1613,"")</f>
        <v>10100</v>
      </c>
      <c r="I1613" s="57" t="s">
        <v>41</v>
      </c>
    </row>
    <row r="1614" spans="1:10" x14ac:dyDescent="0.25">
      <c r="A1614" s="41">
        <v>45343.542613888887</v>
      </c>
      <c r="B1614" s="48">
        <f>IF(A1614&lt;&gt;"",DATE(YEAR(TRANSACTIONS!$A1614),MONTH(TRANSACTIONS!$A1614),DAY(TRANSACTIONS!$A1614)),"")</f>
        <v>45343</v>
      </c>
      <c r="C1614" s="49">
        <f>IF(A1614&lt;&gt;"",TIME(HOUR(TRANSACTIONS!$A1614),MINUTE(TRANSACTIONS!$A1614),SECOND(TRANSACTIONS!$A1614)),"")</f>
        <v>0.5426157407407407</v>
      </c>
      <c r="D1614" s="82" t="s">
        <v>62</v>
      </c>
      <c r="E1614" s="93" t="s">
        <v>7</v>
      </c>
      <c r="F1614" s="94">
        <v>15000</v>
      </c>
      <c r="G1614" s="46"/>
      <c r="H1614" s="46">
        <f>IFERROR(TRANSACTIONS!$F1614+TRANSACTIONS!$G1614,"")</f>
        <v>15000</v>
      </c>
      <c r="I1614" s="57" t="s">
        <v>41</v>
      </c>
    </row>
    <row r="1615" spans="1:10" x14ac:dyDescent="0.25">
      <c r="A1615" s="41">
        <v>45343.542647800925</v>
      </c>
      <c r="B1615" s="48">
        <f>IF(A1615&lt;&gt;"",DATE(YEAR(TRANSACTIONS!$A1615),MONTH(TRANSACTIONS!$A1615),DAY(TRANSACTIONS!$A1615)),"")</f>
        <v>45343</v>
      </c>
      <c r="C1615" s="49">
        <f>IF(A1615&lt;&gt;"",TIME(HOUR(TRANSACTIONS!$A1615),MINUTE(TRANSACTIONS!$A1615),SECOND(TRANSACTIONS!$A1615)),"")</f>
        <v>0.54265046296296293</v>
      </c>
      <c r="D1615" s="82" t="s">
        <v>62</v>
      </c>
      <c r="E1615" s="93" t="s">
        <v>7</v>
      </c>
      <c r="F1615" s="94">
        <v>45000</v>
      </c>
      <c r="G1615" s="46"/>
      <c r="H1615" s="46">
        <f>IFERROR(TRANSACTIONS!$F1615+TRANSACTIONS!$G1615,"")</f>
        <v>45000</v>
      </c>
      <c r="I1615" s="57" t="s">
        <v>41</v>
      </c>
    </row>
    <row r="1616" spans="1:10" x14ac:dyDescent="0.25">
      <c r="A1616" s="41">
        <v>45343.542700231483</v>
      </c>
      <c r="B1616" s="48">
        <f>IF(A1616&lt;&gt;"",DATE(YEAR(TRANSACTIONS!$A1616),MONTH(TRANSACTIONS!$A1616),DAY(TRANSACTIONS!$A1616)),"")</f>
        <v>45343</v>
      </c>
      <c r="C1616" s="49">
        <f>IF(A1616&lt;&gt;"",TIME(HOUR(TRANSACTIONS!$A1616),MINUTE(TRANSACTIONS!$A1616),SECOND(TRANSACTIONS!$A1616)),"")</f>
        <v>0.5426967592592592</v>
      </c>
      <c r="D1616" s="82" t="s">
        <v>62</v>
      </c>
      <c r="E1616" s="93" t="s">
        <v>7</v>
      </c>
      <c r="F1616" s="94">
        <v>30000</v>
      </c>
      <c r="G1616" s="46"/>
      <c r="H1616" s="46">
        <f>IFERROR(TRANSACTIONS!$F1616+TRANSACTIONS!$G1616,"")</f>
        <v>30000</v>
      </c>
      <c r="I1616" s="57" t="s">
        <v>41</v>
      </c>
    </row>
    <row r="1617" spans="1:10" x14ac:dyDescent="0.25">
      <c r="A1617" s="41">
        <v>45343.542727083332</v>
      </c>
      <c r="B1617" s="48">
        <f>IF(A1617&lt;&gt;"",DATE(YEAR(TRANSACTIONS!$A1617),MONTH(TRANSACTIONS!$A1617),DAY(TRANSACTIONS!$A1617)),"")</f>
        <v>45343</v>
      </c>
      <c r="C1617" s="49">
        <f>IF(A1617&lt;&gt;"",TIME(HOUR(TRANSACTIONS!$A1617),MINUTE(TRANSACTIONS!$A1617),SECOND(TRANSACTIONS!$A1617)),"")</f>
        <v>0.54273148148148154</v>
      </c>
      <c r="D1617" s="82" t="s">
        <v>62</v>
      </c>
      <c r="E1617" s="93" t="s">
        <v>6</v>
      </c>
      <c r="F1617" s="94">
        <v>5000</v>
      </c>
      <c r="G1617" s="46"/>
      <c r="H1617" s="46">
        <f>IFERROR(TRANSACTIONS!$F1617+TRANSACTIONS!$G1617,"")</f>
        <v>5000</v>
      </c>
      <c r="I1617" s="57" t="s">
        <v>41</v>
      </c>
    </row>
    <row r="1618" spans="1:10" x14ac:dyDescent="0.25">
      <c r="A1618" s="220">
        <v>45343.542875810184</v>
      </c>
      <c r="B1618" s="221">
        <f>IF(A1618&lt;&gt;"",DATE(YEAR(TRANSACTIONS!$A1618),MONTH(TRANSACTIONS!$A1618),DAY(TRANSACTIONS!$A1618)),"")</f>
        <v>45343</v>
      </c>
      <c r="C1618" s="222">
        <f>IF(A1618&lt;&gt;"",TIME(HOUR(TRANSACTIONS!$A1618),MINUTE(TRANSACTIONS!$A1618),SECOND(TRANSACTIONS!$A1618)),"")</f>
        <v>0.54287037037037034</v>
      </c>
      <c r="D1618" s="223" t="s">
        <v>62</v>
      </c>
      <c r="E1618" s="224" t="s">
        <v>7</v>
      </c>
      <c r="F1618" s="225">
        <v>5000</v>
      </c>
      <c r="G1618" s="226"/>
      <c r="H1618" s="226">
        <f>IFERROR(TRANSACTIONS!$F1618+TRANSACTIONS!$G1618,"")</f>
        <v>5000</v>
      </c>
      <c r="I1618" s="227" t="s">
        <v>41</v>
      </c>
      <c r="J1618" s="228"/>
    </row>
    <row r="1619" spans="1:10" x14ac:dyDescent="0.25">
      <c r="A1619" s="220">
        <v>45343.54289016204</v>
      </c>
      <c r="B1619" s="221">
        <f>IF(A1619&lt;&gt;"",DATE(YEAR(TRANSACTIONS!$A1619),MONTH(TRANSACTIONS!$A1619),DAY(TRANSACTIONS!$A1619)),"")</f>
        <v>45343</v>
      </c>
      <c r="C1619" s="222">
        <f>IF(A1619&lt;&gt;"",TIME(HOUR(TRANSACTIONS!$A1619),MINUTE(TRANSACTIONS!$A1619),SECOND(TRANSACTIONS!$A1619)),"")</f>
        <v>0.54289351851851853</v>
      </c>
      <c r="D1619" s="223" t="s">
        <v>25</v>
      </c>
      <c r="E1619" s="224" t="s">
        <v>7</v>
      </c>
      <c r="F1619" s="225">
        <v>5000</v>
      </c>
      <c r="G1619" s="226"/>
      <c r="H1619" s="226">
        <f>IFERROR(TRANSACTIONS!$F1619+TRANSACTIONS!$G1619,"")</f>
        <v>5000</v>
      </c>
      <c r="I1619" s="227" t="s">
        <v>41</v>
      </c>
      <c r="J1619" s="228"/>
    </row>
    <row r="1620" spans="1:10" x14ac:dyDescent="0.25">
      <c r="A1620" s="41"/>
      <c r="B1620" s="48" t="str">
        <f>IF(A1620&lt;&gt;"",DATE(YEAR(TRANSACTIONS!$A1620),MONTH(TRANSACTIONS!$A1620),DAY(TRANSACTIONS!$A1620)),"")</f>
        <v/>
      </c>
      <c r="C1620" s="49" t="str">
        <f>IF(A1620&lt;&gt;"",TIME(HOUR(TRANSACTIONS!$A1620),MINUTE(TRANSACTIONS!$A1620),SECOND(TRANSACTIONS!$A1620)),"")</f>
        <v/>
      </c>
      <c r="D1620" s="82"/>
      <c r="E1620" s="93"/>
      <c r="F1620" s="94"/>
      <c r="G1620" s="46"/>
      <c r="H1620" s="46">
        <f>IFERROR(TRANSACTIONS!$F1620+TRANSACTIONS!$G1620,"")</f>
        <v>0</v>
      </c>
      <c r="I1620" s="57" t="s">
        <v>41</v>
      </c>
    </row>
    <row r="1621" spans="1:10" x14ac:dyDescent="0.25">
      <c r="A1621" s="41">
        <v>45344.46853888889</v>
      </c>
      <c r="B1621" s="48">
        <f>IF(A1621&lt;&gt;"",DATE(YEAR(TRANSACTIONS!$A1621),MONTH(TRANSACTIONS!$A1621),DAY(TRANSACTIONS!$A1621)),"")</f>
        <v>45344</v>
      </c>
      <c r="C1621" s="49">
        <f>IF(A1621&lt;&gt;"",TIME(HOUR(TRANSACTIONS!$A1621),MINUTE(TRANSACTIONS!$A1621),SECOND(TRANSACTIONS!$A1621)),"")</f>
        <v>0.46854166666666663</v>
      </c>
      <c r="D1621" s="82" t="s">
        <v>62</v>
      </c>
      <c r="E1621" s="93" t="s">
        <v>7</v>
      </c>
      <c r="F1621" s="94">
        <v>10000</v>
      </c>
      <c r="G1621" s="46"/>
      <c r="H1621" s="46">
        <f>IFERROR(TRANSACTIONS!$F1621+TRANSACTIONS!$G1621,"")</f>
        <v>10000</v>
      </c>
      <c r="I1621" s="57" t="s">
        <v>41</v>
      </c>
    </row>
    <row r="1622" spans="1:10" x14ac:dyDescent="0.25">
      <c r="A1622" s="41">
        <v>45344.468533101855</v>
      </c>
      <c r="B1622" s="48">
        <f>IF(A1622&lt;&gt;"",DATE(YEAR(TRANSACTIONS!$A1622),MONTH(TRANSACTIONS!$A1622),DAY(TRANSACTIONS!$A1622)),"")</f>
        <v>45344</v>
      </c>
      <c r="C1622" s="49">
        <f>IF(A1622&lt;&gt;"",TIME(HOUR(TRANSACTIONS!$A1622),MINUTE(TRANSACTIONS!$A1622),SECOND(TRANSACTIONS!$A1622)),"")</f>
        <v>0.4685300925925926</v>
      </c>
      <c r="D1622" s="82" t="s">
        <v>62</v>
      </c>
      <c r="E1622" s="93" t="s">
        <v>6</v>
      </c>
      <c r="F1622" s="94">
        <v>2000</v>
      </c>
      <c r="G1622" s="46"/>
      <c r="H1622" s="46">
        <f>IFERROR(TRANSACTIONS!$F1622+TRANSACTIONS!$G1622,"")</f>
        <v>2000</v>
      </c>
      <c r="I1622" s="57" t="s">
        <v>41</v>
      </c>
    </row>
    <row r="1623" spans="1:10" x14ac:dyDescent="0.25">
      <c r="A1623" s="41">
        <v>45344.468547569442</v>
      </c>
      <c r="B1623" s="48">
        <f>IF(A1623&lt;&gt;"",DATE(YEAR(TRANSACTIONS!$A1623),MONTH(TRANSACTIONS!$A1623),DAY(TRANSACTIONS!$A1623)),"")</f>
        <v>45344</v>
      </c>
      <c r="C1623" s="49">
        <f>IF(A1623&lt;&gt;"",TIME(HOUR(TRANSACTIONS!$A1623),MINUTE(TRANSACTIONS!$A1623),SECOND(TRANSACTIONS!$A1623)),"")</f>
        <v>0.46855324074074073</v>
      </c>
      <c r="D1623" s="82" t="s">
        <v>62</v>
      </c>
      <c r="E1623" s="40" t="s">
        <v>6</v>
      </c>
      <c r="F1623" s="94">
        <v>1500</v>
      </c>
      <c r="G1623" s="46"/>
      <c r="H1623" s="46">
        <f>IFERROR(TRANSACTIONS!$F1623+TRANSACTIONS!$G1623,"")</f>
        <v>1500</v>
      </c>
      <c r="I1623" s="57" t="s">
        <v>41</v>
      </c>
    </row>
    <row r="1624" spans="1:10" x14ac:dyDescent="0.25">
      <c r="A1624" s="41">
        <v>45344.468561689813</v>
      </c>
      <c r="B1624" s="48">
        <f>IF(A1624&lt;&gt;"",DATE(YEAR(TRANSACTIONS!$A1624),MONTH(TRANSACTIONS!$A1624),DAY(TRANSACTIONS!$A1624)),"")</f>
        <v>45344</v>
      </c>
      <c r="C1624" s="49">
        <f>IF(A1624&lt;&gt;"",TIME(HOUR(TRANSACTIONS!$A1624),MINUTE(TRANSACTIONS!$A1624),SECOND(TRANSACTIONS!$A1624)),"")</f>
        <v>0.46856481481481477</v>
      </c>
      <c r="D1624" s="82" t="s">
        <v>62</v>
      </c>
      <c r="E1624" s="93" t="s">
        <v>6</v>
      </c>
      <c r="F1624" s="94">
        <v>5000</v>
      </c>
      <c r="G1624" s="46"/>
      <c r="H1624" s="46">
        <f>IFERROR(TRANSACTIONS!$F1624+TRANSACTIONS!$G1624,"")</f>
        <v>5000</v>
      </c>
      <c r="I1624" s="57" t="s">
        <v>41</v>
      </c>
    </row>
    <row r="1625" spans="1:10" x14ac:dyDescent="0.25">
      <c r="A1625" s="41">
        <v>45344.468569791665</v>
      </c>
      <c r="B1625" s="48">
        <f>IF(A1625&lt;&gt;"",DATE(YEAR(TRANSACTIONS!$A1625),MONTH(TRANSACTIONS!$A1625),DAY(TRANSACTIONS!$A1625)),"")</f>
        <v>45344</v>
      </c>
      <c r="C1625" s="49">
        <f>IF(A1625&lt;&gt;"",TIME(HOUR(TRANSACTIONS!$A1625),MINUTE(TRANSACTIONS!$A1625),SECOND(TRANSACTIONS!$A1625)),"")</f>
        <v>0.46856481481481477</v>
      </c>
      <c r="D1625" s="82" t="s">
        <v>62</v>
      </c>
      <c r="E1625" s="93" t="s">
        <v>6</v>
      </c>
      <c r="F1625" s="94">
        <v>10000</v>
      </c>
      <c r="G1625" s="46"/>
      <c r="H1625" s="46">
        <f>IFERROR(TRANSACTIONS!$F1625+TRANSACTIONS!$G1625,"")</f>
        <v>10000</v>
      </c>
      <c r="I1625" s="57" t="s">
        <v>41</v>
      </c>
    </row>
    <row r="1626" spans="1:10" x14ac:dyDescent="0.25">
      <c r="A1626" s="41">
        <v>45344.468608333336</v>
      </c>
      <c r="B1626" s="48">
        <f>IF(A1626&lt;&gt;"",DATE(YEAR(TRANSACTIONS!$A1626),MONTH(TRANSACTIONS!$A1626),DAY(TRANSACTIONS!$A1626)),"")</f>
        <v>45344</v>
      </c>
      <c r="C1626" s="49">
        <f>IF(A1626&lt;&gt;"",TIME(HOUR(TRANSACTIONS!$A1626),MINUTE(TRANSACTIONS!$A1626),SECOND(TRANSACTIONS!$A1626)),"")</f>
        <v>0.46861111111111109</v>
      </c>
      <c r="D1626" s="82" t="s">
        <v>62</v>
      </c>
      <c r="E1626" s="93" t="s">
        <v>7</v>
      </c>
      <c r="F1626" s="94">
        <v>500</v>
      </c>
      <c r="G1626" s="46"/>
      <c r="H1626" s="46">
        <f>IFERROR(TRANSACTIONS!$F1626+TRANSACTIONS!$G1626,"")</f>
        <v>500</v>
      </c>
      <c r="I1626" s="57" t="s">
        <v>41</v>
      </c>
    </row>
    <row r="1627" spans="1:10" x14ac:dyDescent="0.25">
      <c r="A1627" s="41">
        <v>45344.468615509257</v>
      </c>
      <c r="B1627" s="48">
        <f>IF(A1627&lt;&gt;"",DATE(YEAR(TRANSACTIONS!$A1627),MONTH(TRANSACTIONS!$A1627),DAY(TRANSACTIONS!$A1627)),"")</f>
        <v>45344</v>
      </c>
      <c r="C1627" s="49">
        <f>IF(A1627&lt;&gt;"",TIME(HOUR(TRANSACTIONS!$A1627),MINUTE(TRANSACTIONS!$A1627),SECOND(TRANSACTIONS!$A1627)),"")</f>
        <v>0.46861111111111109</v>
      </c>
      <c r="D1627" s="82" t="s">
        <v>62</v>
      </c>
      <c r="E1627" s="93" t="s">
        <v>7</v>
      </c>
      <c r="F1627" s="94">
        <v>60000</v>
      </c>
      <c r="G1627" s="46"/>
      <c r="H1627" s="46">
        <f>IFERROR(TRANSACTIONS!$F1627+TRANSACTIONS!$G1627,"")</f>
        <v>60000</v>
      </c>
      <c r="I1627" s="57" t="s">
        <v>41</v>
      </c>
    </row>
    <row r="1628" spans="1:10" x14ac:dyDescent="0.25">
      <c r="A1628" s="41">
        <v>45344.468623148146</v>
      </c>
      <c r="B1628" s="48">
        <f>IF(A1628&lt;&gt;"",DATE(YEAR(TRANSACTIONS!$A1628),MONTH(TRANSACTIONS!$A1628),DAY(TRANSACTIONS!$A1628)),"")</f>
        <v>45344</v>
      </c>
      <c r="C1628" s="49">
        <f>IF(A1628&lt;&gt;"",TIME(HOUR(TRANSACTIONS!$A1628),MINUTE(TRANSACTIONS!$A1628),SECOND(TRANSACTIONS!$A1628)),"")</f>
        <v>0.46862268518518518</v>
      </c>
      <c r="D1628" s="82" t="s">
        <v>62</v>
      </c>
      <c r="E1628" s="93" t="s">
        <v>6</v>
      </c>
      <c r="F1628" s="94">
        <v>2000</v>
      </c>
      <c r="G1628" s="46"/>
      <c r="H1628" s="46">
        <f>IFERROR(TRANSACTIONS!$F1628+TRANSACTIONS!$G1628,"")</f>
        <v>2000</v>
      </c>
      <c r="I1628" s="57" t="s">
        <v>41</v>
      </c>
    </row>
    <row r="1629" spans="1:10" x14ac:dyDescent="0.25">
      <c r="A1629" s="41">
        <v>45344.503222222222</v>
      </c>
      <c r="B1629" s="48">
        <f>IF(A1629&lt;&gt;"",DATE(YEAR(TRANSACTIONS!$A1629),MONTH(TRANSACTIONS!$A1629),DAY(TRANSACTIONS!$A1629)),"")</f>
        <v>45344</v>
      </c>
      <c r="C1629" s="49">
        <f>IF(A1629&lt;&gt;"",TIME(HOUR(TRANSACTIONS!$A1629),MINUTE(TRANSACTIONS!$A1629),SECOND(TRANSACTIONS!$A1629)),"")</f>
        <v>0.50321759259259258</v>
      </c>
      <c r="D1629" s="82" t="s">
        <v>62</v>
      </c>
      <c r="E1629" s="93" t="s">
        <v>6</v>
      </c>
      <c r="F1629" s="94">
        <v>20000</v>
      </c>
      <c r="G1629" s="46"/>
      <c r="H1629" s="46">
        <f>IFERROR(TRANSACTIONS!$F1629+TRANSACTIONS!$G1629,"")</f>
        <v>20000</v>
      </c>
      <c r="I1629" s="57" t="s">
        <v>41</v>
      </c>
    </row>
    <row r="1630" spans="1:10" x14ac:dyDescent="0.25">
      <c r="A1630" s="41">
        <v>45344.503253240742</v>
      </c>
      <c r="B1630" s="83">
        <f>IF(A1630&lt;&gt;"",DATE(YEAR(TRANSACTIONS!$A1630),MONTH(TRANSACTIONS!$A1630),DAY(TRANSACTIONS!$A1630)),"")</f>
        <v>45344</v>
      </c>
      <c r="C1630" s="84">
        <f>IF(A1630&lt;&gt;"",TIME(HOUR(TRANSACTIONS!$A1630),MINUTE(TRANSACTIONS!$A1630),SECOND(TRANSACTIONS!$A1630)),"")</f>
        <v>0.50325231481481481</v>
      </c>
      <c r="D1630" s="82" t="s">
        <v>62</v>
      </c>
      <c r="E1630" s="82" t="s">
        <v>7</v>
      </c>
      <c r="F1630" s="94">
        <v>25000</v>
      </c>
      <c r="G1630" s="86"/>
      <c r="H1630" s="86">
        <f>IFERROR(TRANSACTIONS!$F1630+TRANSACTIONS!$G1630,"")</f>
        <v>25000</v>
      </c>
      <c r="I1630" s="87" t="s">
        <v>41</v>
      </c>
      <c r="J1630" s="88"/>
    </row>
    <row r="1631" spans="1:10" x14ac:dyDescent="0.25">
      <c r="A1631" s="41">
        <v>45344.503270601854</v>
      </c>
      <c r="B1631" s="83">
        <f>IF(A1631&lt;&gt;"",DATE(YEAR(TRANSACTIONS!$A1631),MONTH(TRANSACTIONS!$A1631),DAY(TRANSACTIONS!$A1631)),"")</f>
        <v>45344</v>
      </c>
      <c r="C1631" s="84">
        <f>IF(A1631&lt;&gt;"",TIME(HOUR(TRANSACTIONS!$A1631),MINUTE(TRANSACTIONS!$A1631),SECOND(TRANSACTIONS!$A1631)),"")</f>
        <v>0.50327546296296299</v>
      </c>
      <c r="D1631" s="82" t="s">
        <v>62</v>
      </c>
      <c r="E1631" s="82" t="s">
        <v>7</v>
      </c>
      <c r="F1631" s="94">
        <v>1000</v>
      </c>
      <c r="G1631" s="86"/>
      <c r="H1631" s="86">
        <f>IFERROR(TRANSACTIONS!$F1631+TRANSACTIONS!$G1631,"")</f>
        <v>1000</v>
      </c>
      <c r="I1631" s="87" t="s">
        <v>41</v>
      </c>
      <c r="J1631" s="88"/>
    </row>
    <row r="1632" spans="1:10" x14ac:dyDescent="0.25">
      <c r="A1632" s="41">
        <v>45344.503294560185</v>
      </c>
      <c r="B1632" s="48">
        <f>IF(A1632&lt;&gt;"",DATE(YEAR(TRANSACTIONS!$A1632),MONTH(TRANSACTIONS!$A1632),DAY(TRANSACTIONS!$A1632)),"")</f>
        <v>45344</v>
      </c>
      <c r="C1632" s="49">
        <f>IF(A1632&lt;&gt;"",TIME(HOUR(TRANSACTIONS!$A1632),MINUTE(TRANSACTIONS!$A1632),SECOND(TRANSACTIONS!$A1632)),"")</f>
        <v>0.50329861111111118</v>
      </c>
      <c r="D1632" s="82" t="s">
        <v>62</v>
      </c>
      <c r="E1632" s="82" t="s">
        <v>7</v>
      </c>
      <c r="F1632" s="94">
        <v>2000</v>
      </c>
      <c r="G1632" s="46"/>
      <c r="H1632" s="46">
        <f>IFERROR(TRANSACTIONS!$F1632+TRANSACTIONS!$G1632,"")</f>
        <v>2000</v>
      </c>
      <c r="I1632" s="57" t="s">
        <v>41</v>
      </c>
    </row>
    <row r="1633" spans="1:9" x14ac:dyDescent="0.25">
      <c r="A1633" s="41">
        <v>45344.50330196759</v>
      </c>
      <c r="B1633" s="48">
        <f>IF(A1633&lt;&gt;"",DATE(YEAR(TRANSACTIONS!$A1633),MONTH(TRANSACTIONS!$A1633),DAY(TRANSACTIONS!$A1633)),"")</f>
        <v>45344</v>
      </c>
      <c r="C1633" s="49">
        <f>IF(A1633&lt;&gt;"",TIME(HOUR(TRANSACTIONS!$A1633),MINUTE(TRANSACTIONS!$A1633),SECOND(TRANSACTIONS!$A1633)),"")</f>
        <v>0.50329861111111118</v>
      </c>
      <c r="D1633" s="82" t="s">
        <v>62</v>
      </c>
      <c r="E1633" s="82" t="s">
        <v>6</v>
      </c>
      <c r="F1633" s="94">
        <v>1900</v>
      </c>
      <c r="G1633" s="46"/>
      <c r="H1633" s="46">
        <f>IFERROR(TRANSACTIONS!$F1633+TRANSACTIONS!$G1633,"")</f>
        <v>1900</v>
      </c>
      <c r="I1633" s="57" t="s">
        <v>41</v>
      </c>
    </row>
    <row r="1634" spans="1:9" x14ac:dyDescent="0.25">
      <c r="A1634" s="41">
        <v>45344.503308912041</v>
      </c>
      <c r="B1634" s="48">
        <f>IF(A1634&lt;&gt;"",DATE(YEAR(TRANSACTIONS!$A1634),MONTH(TRANSACTIONS!$A1634),DAY(TRANSACTIONS!$A1634)),"")</f>
        <v>45344</v>
      </c>
      <c r="C1634" s="49">
        <f>IF(A1634&lt;&gt;"",TIME(HOUR(TRANSACTIONS!$A1634),MINUTE(TRANSACTIONS!$A1634),SECOND(TRANSACTIONS!$A1634)),"")</f>
        <v>0.50331018518518522</v>
      </c>
      <c r="D1634" s="82" t="s">
        <v>62</v>
      </c>
      <c r="E1634" s="82" t="s">
        <v>7</v>
      </c>
      <c r="F1634" s="94">
        <v>1000</v>
      </c>
      <c r="G1634" s="46"/>
      <c r="H1634" s="46">
        <f>IFERROR(TRANSACTIONS!$F1634+TRANSACTIONS!$G1634,"")</f>
        <v>1000</v>
      </c>
      <c r="I1634" s="57" t="s">
        <v>41</v>
      </c>
    </row>
    <row r="1635" spans="1:9" x14ac:dyDescent="0.25">
      <c r="A1635" s="41">
        <v>45344.503316550923</v>
      </c>
      <c r="B1635" s="48">
        <f>IF(A1635&lt;&gt;"",DATE(YEAR(TRANSACTIONS!$A1635),MONTH(TRANSACTIONS!$A1635),DAY(TRANSACTIONS!$A1635)),"")</f>
        <v>45344</v>
      </c>
      <c r="C1635" s="49">
        <f>IF(A1635&lt;&gt;"",TIME(HOUR(TRANSACTIONS!$A1635),MINUTE(TRANSACTIONS!$A1635),SECOND(TRANSACTIONS!$A1635)),"")</f>
        <v>0.50332175925925926</v>
      </c>
      <c r="D1635" s="82" t="s">
        <v>62</v>
      </c>
      <c r="E1635" s="82" t="s">
        <v>6</v>
      </c>
      <c r="F1635" s="94">
        <v>4600</v>
      </c>
      <c r="G1635" s="46"/>
      <c r="H1635" s="46">
        <f>IFERROR(TRANSACTIONS!$F1635+TRANSACTIONS!$G1635,"")</f>
        <v>4600</v>
      </c>
      <c r="I1635" s="57" t="s">
        <v>41</v>
      </c>
    </row>
    <row r="1636" spans="1:9" x14ac:dyDescent="0.25">
      <c r="A1636" s="41">
        <v>45344.503326157406</v>
      </c>
      <c r="B1636" s="48">
        <f>IF(A1636&lt;&gt;"",DATE(YEAR(TRANSACTIONS!$A1636),MONTH(TRANSACTIONS!$A1636),DAY(TRANSACTIONS!$A1636)),"")</f>
        <v>45344</v>
      </c>
      <c r="C1636" s="49">
        <f>IF(A1636&lt;&gt;"",TIME(HOUR(TRANSACTIONS!$A1636),MINUTE(TRANSACTIONS!$A1636),SECOND(TRANSACTIONS!$A1636)),"")</f>
        <v>0.50332175925925926</v>
      </c>
      <c r="D1636" s="82" t="s">
        <v>62</v>
      </c>
      <c r="E1636" s="82" t="s">
        <v>7</v>
      </c>
      <c r="F1636" s="94">
        <v>3000</v>
      </c>
      <c r="G1636" s="46"/>
      <c r="H1636" s="46">
        <f>IFERROR(TRANSACTIONS!$F1636+TRANSACTIONS!$G1636,"")</f>
        <v>3000</v>
      </c>
      <c r="I1636" s="57" t="s">
        <v>41</v>
      </c>
    </row>
    <row r="1637" spans="1:9" x14ac:dyDescent="0.25">
      <c r="A1637" s="41">
        <v>45344.503333912035</v>
      </c>
      <c r="B1637" s="48">
        <f>IF(A1637&lt;&gt;"",DATE(YEAR(TRANSACTIONS!$A1637),MONTH(TRANSACTIONS!$A1637),DAY(TRANSACTIONS!$A1637)),"")</f>
        <v>45344</v>
      </c>
      <c r="C1637" s="49">
        <f>IF(A1637&lt;&gt;"",TIME(HOUR(TRANSACTIONS!$A1637),MINUTE(TRANSACTIONS!$A1637),SECOND(TRANSACTIONS!$A1637)),"")</f>
        <v>0.5033333333333333</v>
      </c>
      <c r="D1637" s="82" t="s">
        <v>62</v>
      </c>
      <c r="E1637" s="82" t="s">
        <v>6</v>
      </c>
      <c r="F1637" s="94">
        <v>1000</v>
      </c>
      <c r="G1637" s="46"/>
      <c r="H1637" s="46">
        <f>IFERROR(TRANSACTIONS!$F1637+TRANSACTIONS!$G1637,"")</f>
        <v>1000</v>
      </c>
      <c r="I1637" s="57" t="s">
        <v>41</v>
      </c>
    </row>
    <row r="1638" spans="1:9" x14ac:dyDescent="0.25">
      <c r="A1638" s="41">
        <v>45344.503341898147</v>
      </c>
      <c r="B1638" s="48">
        <f>IF(A1638&lt;&gt;"",DATE(YEAR(TRANSACTIONS!$A1638),MONTH(TRANSACTIONS!$A1638),DAY(TRANSACTIONS!$A1638)),"")</f>
        <v>45344</v>
      </c>
      <c r="C1638" s="49">
        <f>IF(A1638&lt;&gt;"",TIME(HOUR(TRANSACTIONS!$A1638),MINUTE(TRANSACTIONS!$A1638),SECOND(TRANSACTIONS!$A1638)),"")</f>
        <v>0.50334490740740734</v>
      </c>
      <c r="D1638" s="82" t="s">
        <v>62</v>
      </c>
      <c r="E1638" s="82" t="s">
        <v>7</v>
      </c>
      <c r="F1638" s="94">
        <v>1500</v>
      </c>
      <c r="G1638" s="46"/>
      <c r="H1638" s="46">
        <f>IFERROR(TRANSACTIONS!$F1638+TRANSACTIONS!$G1638,"")</f>
        <v>1500</v>
      </c>
      <c r="I1638" s="57" t="s">
        <v>41</v>
      </c>
    </row>
    <row r="1639" spans="1:9" x14ac:dyDescent="0.25">
      <c r="A1639" s="41">
        <v>45344.503349074075</v>
      </c>
      <c r="B1639" s="48">
        <f>IF(A1639&lt;&gt;"",DATE(YEAR(TRANSACTIONS!$A1639),MONTH(TRANSACTIONS!$A1639),DAY(TRANSACTIONS!$A1639)),"")</f>
        <v>45344</v>
      </c>
      <c r="C1639" s="49">
        <f>IF(A1639&lt;&gt;"",TIME(HOUR(TRANSACTIONS!$A1639),MINUTE(TRANSACTIONS!$A1639),SECOND(TRANSACTIONS!$A1639)),"")</f>
        <v>0.50334490740740734</v>
      </c>
      <c r="D1639" s="82" t="s">
        <v>62</v>
      </c>
      <c r="E1639" s="82" t="s">
        <v>7</v>
      </c>
      <c r="F1639" s="94">
        <v>109000</v>
      </c>
      <c r="G1639" s="46"/>
      <c r="H1639" s="46">
        <f>IFERROR(TRANSACTIONS!$F1639+TRANSACTIONS!$G1639,"")</f>
        <v>109000</v>
      </c>
      <c r="I1639" s="57" t="s">
        <v>41</v>
      </c>
    </row>
    <row r="1640" spans="1:9" x14ac:dyDescent="0.25">
      <c r="A1640" s="41">
        <v>45344.503356828704</v>
      </c>
      <c r="B1640" s="48">
        <f>IF(A1640&lt;&gt;"",DATE(YEAR(TRANSACTIONS!$A1640),MONTH(TRANSACTIONS!$A1640),DAY(TRANSACTIONS!$A1640)),"")</f>
        <v>45344</v>
      </c>
      <c r="C1640" s="49">
        <f>IF(A1640&lt;&gt;"",TIME(HOUR(TRANSACTIONS!$A1640),MINUTE(TRANSACTIONS!$A1640),SECOND(TRANSACTIONS!$A1640)),"")</f>
        <v>0.50335648148148149</v>
      </c>
      <c r="D1640" s="82" t="s">
        <v>62</v>
      </c>
      <c r="E1640" s="82" t="s">
        <v>7</v>
      </c>
      <c r="F1640" s="94">
        <v>16500</v>
      </c>
      <c r="G1640" s="46"/>
      <c r="H1640" s="46">
        <f>IFERROR(TRANSACTIONS!$F1640+TRANSACTIONS!$G1640,"")</f>
        <v>16500</v>
      </c>
      <c r="I1640" s="57" t="s">
        <v>41</v>
      </c>
    </row>
    <row r="1641" spans="1:9" x14ac:dyDescent="0.25">
      <c r="A1641" s="41">
        <v>45344.503368287034</v>
      </c>
      <c r="B1641" s="48">
        <f>IF(A1641&lt;&gt;"",DATE(YEAR(TRANSACTIONS!$A1641),MONTH(TRANSACTIONS!$A1641),DAY(TRANSACTIONS!$A1641)),"")</f>
        <v>45344</v>
      </c>
      <c r="C1641" s="49">
        <f>IF(A1641&lt;&gt;"",TIME(HOUR(TRANSACTIONS!$A1641),MINUTE(TRANSACTIONS!$A1641),SECOND(TRANSACTIONS!$A1641)),"")</f>
        <v>0.50336805555555553</v>
      </c>
      <c r="D1641" s="82" t="s">
        <v>62</v>
      </c>
      <c r="E1641" s="82" t="s">
        <v>7</v>
      </c>
      <c r="F1641" s="94">
        <v>3000</v>
      </c>
      <c r="G1641" s="46"/>
      <c r="H1641" s="46">
        <f>IFERROR(TRANSACTIONS!$F1641+TRANSACTIONS!$G1641,"")</f>
        <v>3000</v>
      </c>
      <c r="I1641" s="57" t="s">
        <v>41</v>
      </c>
    </row>
    <row r="1642" spans="1:9" x14ac:dyDescent="0.25">
      <c r="A1642" s="41">
        <v>45344.503385069445</v>
      </c>
      <c r="B1642" s="48">
        <f>IF(A1642&lt;&gt;"",DATE(YEAR(TRANSACTIONS!$A1642),MONTH(TRANSACTIONS!$A1642),DAY(TRANSACTIONS!$A1642)),"")</f>
        <v>45344</v>
      </c>
      <c r="C1642" s="49">
        <f>IF(A1642&lt;&gt;"",TIME(HOUR(TRANSACTIONS!$A1642),MINUTE(TRANSACTIONS!$A1642),SECOND(TRANSACTIONS!$A1642)),"")</f>
        <v>0.50337962962962968</v>
      </c>
      <c r="D1642" s="82" t="s">
        <v>62</v>
      </c>
      <c r="E1642" s="82" t="s">
        <v>7</v>
      </c>
      <c r="F1642" s="94">
        <v>2500</v>
      </c>
      <c r="G1642" s="46"/>
      <c r="H1642" s="46">
        <f>IFERROR(TRANSACTIONS!$F1642+TRANSACTIONS!$G1642,"")</f>
        <v>2500</v>
      </c>
      <c r="I1642" s="57" t="s">
        <v>41</v>
      </c>
    </row>
    <row r="1643" spans="1:9" x14ac:dyDescent="0.25">
      <c r="A1643" s="41">
        <v>45344.503403703704</v>
      </c>
      <c r="B1643" s="48">
        <f>IF(A1643&lt;&gt;"",DATE(YEAR(TRANSACTIONS!$A1643),MONTH(TRANSACTIONS!$A1643),DAY(TRANSACTIONS!$A1643)),"")</f>
        <v>45344</v>
      </c>
      <c r="C1643" s="49">
        <f>IF(A1643&lt;&gt;"",TIME(HOUR(TRANSACTIONS!$A1643),MINUTE(TRANSACTIONS!$A1643),SECOND(TRANSACTIONS!$A1643)),"")</f>
        <v>0.50340277777777775</v>
      </c>
      <c r="D1643" s="82" t="s">
        <v>62</v>
      </c>
      <c r="E1643" s="82" t="s">
        <v>7</v>
      </c>
      <c r="F1643" s="94">
        <v>5000</v>
      </c>
      <c r="G1643" s="46"/>
      <c r="H1643" s="46">
        <f>IFERROR(TRANSACTIONS!$F1643+TRANSACTIONS!$G1643,"")</f>
        <v>5000</v>
      </c>
      <c r="I1643" s="57" t="s">
        <v>41</v>
      </c>
    </row>
    <row r="1644" spans="1:9" x14ac:dyDescent="0.25">
      <c r="A1644" s="41">
        <v>45344.50341203704</v>
      </c>
      <c r="B1644" s="48">
        <f>IF(A1644&lt;&gt;"",DATE(YEAR(TRANSACTIONS!$A1644),MONTH(TRANSACTIONS!$A1644),DAY(TRANSACTIONS!$A1644)),"")</f>
        <v>45344</v>
      </c>
      <c r="C1644" s="49">
        <f>IF(A1644&lt;&gt;"",TIME(HOUR(TRANSACTIONS!$A1644),MINUTE(TRANSACTIONS!$A1644),SECOND(TRANSACTIONS!$A1644)),"")</f>
        <v>0.50341435185185179</v>
      </c>
      <c r="D1644" s="82" t="s">
        <v>62</v>
      </c>
      <c r="E1644" s="82" t="s">
        <v>6</v>
      </c>
      <c r="F1644" s="94">
        <v>10000</v>
      </c>
      <c r="G1644" s="46"/>
      <c r="H1644" s="46">
        <f>IFERROR(TRANSACTIONS!$F1644+TRANSACTIONS!$G1644,"")</f>
        <v>10000</v>
      </c>
      <c r="I1644" s="57" t="s">
        <v>41</v>
      </c>
    </row>
    <row r="1645" spans="1:9" x14ac:dyDescent="0.25">
      <c r="A1645" s="41">
        <v>45344.503424189817</v>
      </c>
      <c r="B1645" s="48">
        <f>IF(A1645&lt;&gt;"",DATE(YEAR(TRANSACTIONS!$A1645),MONTH(TRANSACTIONS!$A1645),DAY(TRANSACTIONS!$A1645)),"")</f>
        <v>45344</v>
      </c>
      <c r="C1645" s="49">
        <f>IF(A1645&lt;&gt;"",TIME(HOUR(TRANSACTIONS!$A1645),MINUTE(TRANSACTIONS!$A1645),SECOND(TRANSACTIONS!$A1645)),"")</f>
        <v>0.50342592592592594</v>
      </c>
      <c r="D1645" s="82" t="s">
        <v>62</v>
      </c>
      <c r="E1645" s="82" t="s">
        <v>7</v>
      </c>
      <c r="F1645" s="94">
        <v>10000</v>
      </c>
      <c r="G1645" s="46"/>
      <c r="H1645" s="46">
        <f>IFERROR(TRANSACTIONS!$F1645+TRANSACTIONS!$G1645,"")</f>
        <v>10000</v>
      </c>
      <c r="I1645" s="57" t="s">
        <v>41</v>
      </c>
    </row>
    <row r="1646" spans="1:9" x14ac:dyDescent="0.25">
      <c r="A1646" s="41">
        <v>45344.503436458333</v>
      </c>
      <c r="B1646" s="48">
        <f>IF(A1646&lt;&gt;"",DATE(YEAR(TRANSACTIONS!$A1646),MONTH(TRANSACTIONS!$A1646),DAY(TRANSACTIONS!$A1646)),"")</f>
        <v>45344</v>
      </c>
      <c r="C1646" s="49">
        <f>IF(A1646&lt;&gt;"",TIME(HOUR(TRANSACTIONS!$A1646),MINUTE(TRANSACTIONS!$A1646),SECOND(TRANSACTIONS!$A1646)),"")</f>
        <v>0.50343749999999998</v>
      </c>
      <c r="D1646" s="82" t="s">
        <v>62</v>
      </c>
      <c r="E1646" s="82" t="s">
        <v>6</v>
      </c>
      <c r="F1646" s="94">
        <v>5000</v>
      </c>
      <c r="G1646" s="46"/>
      <c r="H1646" s="46">
        <f>IFERROR(TRANSACTIONS!$F1646+TRANSACTIONS!$G1646,"")</f>
        <v>5000</v>
      </c>
      <c r="I1646" s="57" t="s">
        <v>41</v>
      </c>
    </row>
    <row r="1647" spans="1:9" x14ac:dyDescent="0.25">
      <c r="A1647" s="41">
        <v>45344.503443981484</v>
      </c>
      <c r="B1647" s="48">
        <f>IF(A1647&lt;&gt;"",DATE(YEAR(TRANSACTIONS!$A1647),MONTH(TRANSACTIONS!$A1647),DAY(TRANSACTIONS!$A1647)),"")</f>
        <v>45344</v>
      </c>
      <c r="C1647" s="49">
        <f>IF(A1647&lt;&gt;"",TIME(HOUR(TRANSACTIONS!$A1647),MINUTE(TRANSACTIONS!$A1647),SECOND(TRANSACTIONS!$A1647)),"")</f>
        <v>0.50344907407407413</v>
      </c>
      <c r="D1647" s="82" t="s">
        <v>62</v>
      </c>
      <c r="E1647" s="82" t="s">
        <v>7</v>
      </c>
      <c r="F1647" s="94">
        <v>1000</v>
      </c>
      <c r="G1647" s="46"/>
      <c r="H1647" s="46">
        <f>IFERROR(TRANSACTIONS!$F1647+TRANSACTIONS!$G1647,"")</f>
        <v>1000</v>
      </c>
      <c r="I1647" s="57" t="s">
        <v>41</v>
      </c>
    </row>
    <row r="1648" spans="1:9" x14ac:dyDescent="0.25">
      <c r="A1648" s="41">
        <v>45344.50345138889</v>
      </c>
      <c r="B1648" s="48">
        <f>IF(A1648&lt;&gt;"",DATE(YEAR(TRANSACTIONS!$A1648),MONTH(TRANSACTIONS!$A1648),DAY(TRANSACTIONS!$A1648)),"")</f>
        <v>45344</v>
      </c>
      <c r="C1648" s="49">
        <f>IF(A1648&lt;&gt;"",TIME(HOUR(TRANSACTIONS!$A1648),MINUTE(TRANSACTIONS!$A1648),SECOND(TRANSACTIONS!$A1648)),"")</f>
        <v>0.50344907407407413</v>
      </c>
      <c r="D1648" s="82" t="s">
        <v>62</v>
      </c>
      <c r="E1648" s="82" t="s">
        <v>6</v>
      </c>
      <c r="F1648" s="94">
        <v>2500</v>
      </c>
      <c r="G1648" s="46"/>
      <c r="H1648" s="46">
        <f>IFERROR(TRANSACTIONS!$F1648+TRANSACTIONS!$G1648,"")</f>
        <v>2500</v>
      </c>
      <c r="I1648" s="57" t="s">
        <v>41</v>
      </c>
    </row>
    <row r="1649" spans="1:10" x14ac:dyDescent="0.25">
      <c r="A1649" s="41">
        <v>45344.503465740738</v>
      </c>
      <c r="B1649" s="48">
        <f>IF(A1649&lt;&gt;"",DATE(YEAR(TRANSACTIONS!$A1649),MONTH(TRANSACTIONS!$A1649),DAY(TRANSACTIONS!$A1649)),"")</f>
        <v>45344</v>
      </c>
      <c r="C1649" s="49">
        <f>IF(A1649&lt;&gt;"",TIME(HOUR(TRANSACTIONS!$A1649),MINUTE(TRANSACTIONS!$A1649),SECOND(TRANSACTIONS!$A1649)),"")</f>
        <v>0.50346064814814817</v>
      </c>
      <c r="D1649" s="82" t="s">
        <v>62</v>
      </c>
      <c r="E1649" s="82" t="s">
        <v>6</v>
      </c>
      <c r="F1649" s="94">
        <v>3000</v>
      </c>
      <c r="G1649" s="46"/>
      <c r="H1649" s="46">
        <f>IFERROR(TRANSACTIONS!$F1649+TRANSACTIONS!$G1649,"")</f>
        <v>3000</v>
      </c>
      <c r="I1649" s="57" t="s">
        <v>41</v>
      </c>
    </row>
    <row r="1650" spans="1:10" x14ac:dyDescent="0.25">
      <c r="A1650" s="41">
        <v>45344.50347708333</v>
      </c>
      <c r="B1650" s="48">
        <f>IF(A1650&lt;&gt;"",DATE(YEAR(TRANSACTIONS!$A1650),MONTH(TRANSACTIONS!$A1650),DAY(TRANSACTIONS!$A1650)),"")</f>
        <v>45344</v>
      </c>
      <c r="C1650" s="49">
        <f>IF(A1650&lt;&gt;"",TIME(HOUR(TRANSACTIONS!$A1650),MINUTE(TRANSACTIONS!$A1650),SECOND(TRANSACTIONS!$A1650)),"")</f>
        <v>0.50347222222222221</v>
      </c>
      <c r="D1650" s="82" t="s">
        <v>62</v>
      </c>
      <c r="E1650" s="82" t="s">
        <v>7</v>
      </c>
      <c r="F1650" s="94">
        <v>5000</v>
      </c>
      <c r="G1650" s="46"/>
      <c r="H1650" s="46">
        <f>IFERROR(TRANSACTIONS!$F1650+TRANSACTIONS!$G1650,"")</f>
        <v>5000</v>
      </c>
      <c r="I1650" s="57" t="s">
        <v>41</v>
      </c>
    </row>
    <row r="1651" spans="1:10" x14ac:dyDescent="0.25">
      <c r="A1651" s="41">
        <v>45344.503479976855</v>
      </c>
      <c r="B1651" s="48">
        <f>IF(A1651&lt;&gt;"",DATE(YEAR(TRANSACTIONS!$A1651),MONTH(TRANSACTIONS!$A1651),DAY(TRANSACTIONS!$A1651)),"")</f>
        <v>45344</v>
      </c>
      <c r="C1651" s="49">
        <f>IF(A1651&lt;&gt;"",TIME(HOUR(TRANSACTIONS!$A1651),MINUTE(TRANSACTIONS!$A1651),SECOND(TRANSACTIONS!$A1651)),"")</f>
        <v>0.50348379629629625</v>
      </c>
      <c r="D1651" s="82" t="s">
        <v>62</v>
      </c>
      <c r="E1651" s="82" t="s">
        <v>7</v>
      </c>
      <c r="F1651" s="94">
        <v>1000</v>
      </c>
      <c r="G1651" s="46"/>
      <c r="H1651" s="46">
        <f>IFERROR(TRANSACTIONS!$F1651+TRANSACTIONS!$G1651,"")</f>
        <v>1000</v>
      </c>
      <c r="I1651" s="57" t="s">
        <v>41</v>
      </c>
    </row>
    <row r="1652" spans="1:10" x14ac:dyDescent="0.25">
      <c r="A1652" s="41">
        <v>45344.503524884261</v>
      </c>
      <c r="B1652" s="48">
        <f>IF(A1652&lt;&gt;"",DATE(YEAR(TRANSACTIONS!$A1652),MONTH(TRANSACTIONS!$A1652),DAY(TRANSACTIONS!$A1652)),"")</f>
        <v>45344</v>
      </c>
      <c r="C1652" s="49">
        <f>IF(A1652&lt;&gt;"",TIME(HOUR(TRANSACTIONS!$A1652),MINUTE(TRANSACTIONS!$A1652),SECOND(TRANSACTIONS!$A1652)),"")</f>
        <v>0.50353009259259263</v>
      </c>
      <c r="D1652" s="82" t="s">
        <v>62</v>
      </c>
      <c r="E1652" s="82" t="s">
        <v>7</v>
      </c>
      <c r="F1652" s="94">
        <v>5000</v>
      </c>
      <c r="G1652" s="46"/>
      <c r="H1652" s="46">
        <f>IFERROR(TRANSACTIONS!$F1652+TRANSACTIONS!$G1652,"")</f>
        <v>5000</v>
      </c>
      <c r="I1652" s="57" t="s">
        <v>41</v>
      </c>
    </row>
    <row r="1653" spans="1:10" x14ac:dyDescent="0.25">
      <c r="A1653" s="41">
        <v>45344.503532291666</v>
      </c>
      <c r="B1653" s="48">
        <f>IF(A1653&lt;&gt;"",DATE(YEAR(TRANSACTIONS!$A1653),MONTH(TRANSACTIONS!$A1653),DAY(TRANSACTIONS!$A1653)),"")</f>
        <v>45344</v>
      </c>
      <c r="C1653" s="49">
        <f>IF(A1653&lt;&gt;"",TIME(HOUR(TRANSACTIONS!$A1653),MINUTE(TRANSACTIONS!$A1653),SECOND(TRANSACTIONS!$A1653)),"")</f>
        <v>0.50353009259259263</v>
      </c>
      <c r="D1653" s="82" t="s">
        <v>62</v>
      </c>
      <c r="E1653" s="82" t="s">
        <v>7</v>
      </c>
      <c r="F1653" s="94">
        <v>5000</v>
      </c>
      <c r="G1653" s="46"/>
      <c r="H1653" s="46">
        <f>IFERROR(TRANSACTIONS!$F1653+TRANSACTIONS!$G1653,"")</f>
        <v>5000</v>
      </c>
      <c r="I1653" s="57" t="s">
        <v>41</v>
      </c>
    </row>
    <row r="1654" spans="1:10" x14ac:dyDescent="0.25">
      <c r="A1654" s="41">
        <v>45344.503543865743</v>
      </c>
      <c r="B1654" s="48">
        <f>IF(A1654&lt;&gt;"",DATE(YEAR(TRANSACTIONS!$A1654),MONTH(TRANSACTIONS!$A1654),DAY(TRANSACTIONS!$A1654)),"")</f>
        <v>45344</v>
      </c>
      <c r="C1654" s="49">
        <f>IF(A1654&lt;&gt;"",TIME(HOUR(TRANSACTIONS!$A1654),MINUTE(TRANSACTIONS!$A1654),SECOND(TRANSACTIONS!$A1654)),"")</f>
        <v>0.50354166666666667</v>
      </c>
      <c r="D1654" s="82" t="s">
        <v>62</v>
      </c>
      <c r="E1654" s="82" t="s">
        <v>7</v>
      </c>
      <c r="F1654" s="94">
        <v>100000</v>
      </c>
      <c r="G1654" s="46"/>
      <c r="H1654" s="46">
        <f>IFERROR(TRANSACTIONS!$F1654+TRANSACTIONS!$G1654,"")</f>
        <v>100000</v>
      </c>
      <c r="I1654" s="57" t="s">
        <v>41</v>
      </c>
    </row>
    <row r="1655" spans="1:10" x14ac:dyDescent="0.25">
      <c r="A1655" s="81">
        <v>45344.503551504633</v>
      </c>
      <c r="B1655" s="83">
        <f>IF(A1655&lt;&gt;"",DATE(YEAR(TRANSACTIONS!$A1655),MONTH(TRANSACTIONS!$A1655),DAY(TRANSACTIONS!$A1655)),"")</f>
        <v>45344</v>
      </c>
      <c r="C1655" s="84">
        <f>IF(A1655&lt;&gt;"",TIME(HOUR(TRANSACTIONS!$A1655),MINUTE(TRANSACTIONS!$A1655),SECOND(TRANSACTIONS!$A1655)),"")</f>
        <v>0.5035532407407407</v>
      </c>
      <c r="D1655" s="82" t="s">
        <v>62</v>
      </c>
      <c r="E1655" s="82" t="s">
        <v>6</v>
      </c>
      <c r="F1655" s="94">
        <v>7000</v>
      </c>
      <c r="G1655" s="86"/>
      <c r="H1655" s="86">
        <f>IFERROR(TRANSACTIONS!$F1655+TRANSACTIONS!$G1655,"")</f>
        <v>7000</v>
      </c>
      <c r="I1655" s="87" t="s">
        <v>41</v>
      </c>
      <c r="J1655" s="88"/>
    </row>
    <row r="1656" spans="1:10" x14ac:dyDescent="0.25">
      <c r="A1656" s="41">
        <v>45344.503559259261</v>
      </c>
      <c r="B1656" s="48">
        <f>IF(A1656&lt;&gt;"",DATE(YEAR(TRANSACTIONS!$A1656),MONTH(TRANSACTIONS!$A1656),DAY(TRANSACTIONS!$A1656)),"")</f>
        <v>45344</v>
      </c>
      <c r="C1656" s="49">
        <f>IF(A1656&lt;&gt;"",TIME(HOUR(TRANSACTIONS!$A1656),MINUTE(TRANSACTIONS!$A1656),SECOND(TRANSACTIONS!$A1656)),"")</f>
        <v>0.50356481481481474</v>
      </c>
      <c r="D1656" s="82" t="s">
        <v>62</v>
      </c>
      <c r="E1656" s="82" t="s">
        <v>6</v>
      </c>
      <c r="F1656" s="94">
        <v>1000</v>
      </c>
      <c r="G1656" s="46"/>
      <c r="H1656" s="46">
        <f>IFERROR(TRANSACTIONS!$F1656+TRANSACTIONS!$G1656,"")</f>
        <v>1000</v>
      </c>
      <c r="I1656" s="57" t="s">
        <v>41</v>
      </c>
    </row>
    <row r="1657" spans="1:10" x14ac:dyDescent="0.25">
      <c r="A1657" s="41">
        <v>45344.503566666666</v>
      </c>
      <c r="B1657" s="48">
        <f>IF(A1657&lt;&gt;"",DATE(YEAR(TRANSACTIONS!$A1657),MONTH(TRANSACTIONS!$A1657),DAY(TRANSACTIONS!$A1657)),"")</f>
        <v>45344</v>
      </c>
      <c r="C1657" s="49">
        <f>IF(A1657&lt;&gt;"",TIME(HOUR(TRANSACTIONS!$A1657),MINUTE(TRANSACTIONS!$A1657),SECOND(TRANSACTIONS!$A1657)),"")</f>
        <v>0.50356481481481474</v>
      </c>
      <c r="D1657" s="82" t="s">
        <v>62</v>
      </c>
      <c r="E1657" s="82" t="s">
        <v>6</v>
      </c>
      <c r="F1657" s="94">
        <v>5000</v>
      </c>
      <c r="G1657" s="46"/>
      <c r="H1657" s="46">
        <f>IFERROR(TRANSACTIONS!$F1657+TRANSACTIONS!$G1657,"")</f>
        <v>5000</v>
      </c>
      <c r="I1657" s="57" t="s">
        <v>41</v>
      </c>
    </row>
    <row r="1658" spans="1:10" x14ac:dyDescent="0.25">
      <c r="A1658" s="41">
        <v>45344.503574074071</v>
      </c>
      <c r="B1658" s="48">
        <f>IF(A1658&lt;&gt;"",DATE(YEAR(TRANSACTIONS!$A1658),MONTH(TRANSACTIONS!$A1658),DAY(TRANSACTIONS!$A1658)),"")</f>
        <v>45344</v>
      </c>
      <c r="C1658" s="49">
        <f>IF(A1658&lt;&gt;"",TIME(HOUR(TRANSACTIONS!$A1658),MINUTE(TRANSACTIONS!$A1658),SECOND(TRANSACTIONS!$A1658)),"")</f>
        <v>0.50357638888888889</v>
      </c>
      <c r="D1658" s="82" t="s">
        <v>62</v>
      </c>
      <c r="E1658" s="82" t="s">
        <v>7</v>
      </c>
      <c r="F1658" s="94">
        <v>20000</v>
      </c>
      <c r="G1658" s="46"/>
      <c r="H1658" s="46">
        <f>IFERROR(TRANSACTIONS!$F1658+TRANSACTIONS!$G1658,"")</f>
        <v>20000</v>
      </c>
      <c r="I1658" s="57" t="s">
        <v>41</v>
      </c>
    </row>
    <row r="1659" spans="1:10" x14ac:dyDescent="0.25">
      <c r="A1659" s="41">
        <v>45344.503581828707</v>
      </c>
      <c r="B1659" s="48">
        <f>IF(A1659&lt;&gt;"",DATE(YEAR(TRANSACTIONS!$A1659),MONTH(TRANSACTIONS!$A1659),DAY(TRANSACTIONS!$A1659)),"")</f>
        <v>45344</v>
      </c>
      <c r="C1659" s="49">
        <f>IF(A1659&lt;&gt;"",TIME(HOUR(TRANSACTIONS!$A1659),MINUTE(TRANSACTIONS!$A1659),SECOND(TRANSACTIONS!$A1659)),"")</f>
        <v>0.50357638888888889</v>
      </c>
      <c r="D1659" s="82" t="s">
        <v>62</v>
      </c>
      <c r="E1659" s="82" t="s">
        <v>7</v>
      </c>
      <c r="F1659" s="94">
        <v>20000</v>
      </c>
      <c r="G1659" s="46"/>
      <c r="H1659" s="46">
        <f>IFERROR(TRANSACTIONS!$F1659+TRANSACTIONS!$G1659,"")</f>
        <v>20000</v>
      </c>
      <c r="I1659" s="57" t="s">
        <v>41</v>
      </c>
    </row>
    <row r="1660" spans="1:10" x14ac:dyDescent="0.25">
      <c r="A1660" s="41">
        <v>45344.503589583335</v>
      </c>
      <c r="B1660" s="48">
        <f>IF(A1660&lt;&gt;"",DATE(YEAR(TRANSACTIONS!$A1660),MONTH(TRANSACTIONS!$A1660),DAY(TRANSACTIONS!$A1660)),"")</f>
        <v>45344</v>
      </c>
      <c r="C1660" s="49">
        <f>IF(A1660&lt;&gt;"",TIME(HOUR(TRANSACTIONS!$A1660),MINUTE(TRANSACTIONS!$A1660),SECOND(TRANSACTIONS!$A1660)),"")</f>
        <v>0.50358796296296293</v>
      </c>
      <c r="D1660" s="82" t="s">
        <v>62</v>
      </c>
      <c r="E1660" s="82" t="s">
        <v>7</v>
      </c>
      <c r="F1660" s="94">
        <v>58000</v>
      </c>
      <c r="G1660" s="46"/>
      <c r="H1660" s="46">
        <f>IFERROR(TRANSACTIONS!$F1660+TRANSACTIONS!$G1660,"")</f>
        <v>58000</v>
      </c>
      <c r="I1660" s="57" t="s">
        <v>41</v>
      </c>
    </row>
    <row r="1661" spans="1:10" x14ac:dyDescent="0.25">
      <c r="A1661" s="41">
        <v>45344.503622916665</v>
      </c>
      <c r="B1661" s="48">
        <f>IF(A1661&lt;&gt;"",DATE(YEAR(TRANSACTIONS!$A1661),MONTH(TRANSACTIONS!$A1661),DAY(TRANSACTIONS!$A1661)),"")</f>
        <v>45344</v>
      </c>
      <c r="C1661" s="49">
        <f>IF(A1661&lt;&gt;"",TIME(HOUR(TRANSACTIONS!$A1661),MINUTE(TRANSACTIONS!$A1661),SECOND(TRANSACTIONS!$A1661)),"")</f>
        <v>0.50362268518518516</v>
      </c>
      <c r="D1661" s="82" t="s">
        <v>25</v>
      </c>
      <c r="E1661" s="82" t="s">
        <v>6</v>
      </c>
      <c r="F1661" s="94">
        <v>10000</v>
      </c>
      <c r="G1661" s="46"/>
      <c r="H1661" s="46">
        <f>IFERROR(TRANSACTIONS!$F1661+TRANSACTIONS!$G1661,"")</f>
        <v>10000</v>
      </c>
      <c r="I1661" s="57" t="s">
        <v>41</v>
      </c>
    </row>
    <row r="1662" spans="1:10" x14ac:dyDescent="0.25">
      <c r="A1662" s="41">
        <v>45344.503606828701</v>
      </c>
      <c r="B1662" s="48">
        <f>IF(A1662&lt;&gt;"",DATE(YEAR(TRANSACTIONS!$A1662),MONTH(TRANSACTIONS!$A1662),DAY(TRANSACTIONS!$A1662)),"")</f>
        <v>45344</v>
      </c>
      <c r="C1662" s="49">
        <f>IF(A1662&lt;&gt;"",TIME(HOUR(TRANSACTIONS!$A1662),MINUTE(TRANSACTIONS!$A1662),SECOND(TRANSACTIONS!$A1662)),"")</f>
        <v>0.50361111111111112</v>
      </c>
      <c r="D1662" s="82" t="s">
        <v>25</v>
      </c>
      <c r="E1662" s="82" t="s">
        <v>6</v>
      </c>
      <c r="F1662" s="94">
        <v>500</v>
      </c>
      <c r="G1662" s="46"/>
      <c r="H1662" s="46">
        <f>IFERROR(TRANSACTIONS!$F1662+TRANSACTIONS!$G1662,"")</f>
        <v>500</v>
      </c>
      <c r="I1662" s="57" t="s">
        <v>41</v>
      </c>
    </row>
    <row r="1663" spans="1:10" x14ac:dyDescent="0.25">
      <c r="A1663" s="41">
        <v>45344.503638078706</v>
      </c>
      <c r="B1663" s="48">
        <f>IF(A1663&lt;&gt;"",DATE(YEAR(TRANSACTIONS!$A1663),MONTH(TRANSACTIONS!$A1663),DAY(TRANSACTIONS!$A1663)),"")</f>
        <v>45344</v>
      </c>
      <c r="C1663" s="49">
        <f>IF(A1663&lt;&gt;"",TIME(HOUR(TRANSACTIONS!$A1663),MINUTE(TRANSACTIONS!$A1663),SECOND(TRANSACTIONS!$A1663)),"")</f>
        <v>0.5036342592592592</v>
      </c>
      <c r="D1663" s="82" t="s">
        <v>25</v>
      </c>
      <c r="E1663" s="82" t="s">
        <v>6</v>
      </c>
      <c r="F1663" s="94">
        <v>55000</v>
      </c>
      <c r="G1663" s="46"/>
      <c r="H1663" s="46">
        <f>IFERROR(TRANSACTIONS!$F1663+TRANSACTIONS!$G1663,"")</f>
        <v>55000</v>
      </c>
      <c r="I1663" s="57" t="s">
        <v>41</v>
      </c>
    </row>
    <row r="1664" spans="1:10" x14ac:dyDescent="0.25">
      <c r="A1664" s="41">
        <v>45344.503654282409</v>
      </c>
      <c r="B1664" s="114">
        <f>IF(A1664&lt;&gt;"",DATE(YEAR(TRANSACTIONS!$A1664),MONTH(TRANSACTIONS!$A1664),DAY(TRANSACTIONS!$A1664)),"")</f>
        <v>45344</v>
      </c>
      <c r="C1664" s="115">
        <f>IF(A1664&lt;&gt;"",TIME(HOUR(TRANSACTIONS!$A1664),MINUTE(TRANSACTIONS!$A1664),SECOND(TRANSACTIONS!$A1664)),"")</f>
        <v>0.50365740740740739</v>
      </c>
      <c r="D1664" s="82" t="s">
        <v>25</v>
      </c>
      <c r="E1664" s="82" t="s">
        <v>7</v>
      </c>
      <c r="F1664" s="94">
        <v>1000</v>
      </c>
      <c r="G1664" s="117"/>
      <c r="H1664" s="117">
        <f>IFERROR(TRANSACTIONS!$F1664+TRANSACTIONS!$G1664,"")</f>
        <v>1000</v>
      </c>
      <c r="I1664" s="123" t="s">
        <v>41</v>
      </c>
    </row>
    <row r="1665" spans="1:9" x14ac:dyDescent="0.25">
      <c r="A1665" s="41">
        <v>45344.503661689814</v>
      </c>
      <c r="B1665" s="48">
        <f>IF(A1665&lt;&gt;"",DATE(YEAR(TRANSACTIONS!$A1665),MONTH(TRANSACTIONS!$A1665),DAY(TRANSACTIONS!$A1665)),"")</f>
        <v>45344</v>
      </c>
      <c r="C1665" s="49">
        <f>IF(A1665&lt;&gt;"",TIME(HOUR(TRANSACTIONS!$A1665),MINUTE(TRANSACTIONS!$A1665),SECOND(TRANSACTIONS!$A1665)),"")</f>
        <v>0.50365740740740739</v>
      </c>
      <c r="D1665" s="82" t="s">
        <v>25</v>
      </c>
      <c r="E1665" s="82" t="s">
        <v>7</v>
      </c>
      <c r="F1665" s="94">
        <v>2500</v>
      </c>
      <c r="G1665" s="46"/>
      <c r="H1665" s="46">
        <f>IFERROR(TRANSACTIONS!$F1665+TRANSACTIONS!$G1665,"")</f>
        <v>2500</v>
      </c>
      <c r="I1665" s="57" t="s">
        <v>41</v>
      </c>
    </row>
    <row r="1666" spans="1:9" x14ac:dyDescent="0.25">
      <c r="A1666" s="41">
        <v>45344.503668981481</v>
      </c>
      <c r="B1666" s="48">
        <f>IF(A1666&lt;&gt;"",DATE(YEAR(TRANSACTIONS!$A1666),MONTH(TRANSACTIONS!$A1666),DAY(TRANSACTIONS!$A1666)),"")</f>
        <v>45344</v>
      </c>
      <c r="C1666" s="49">
        <f>IF(A1666&lt;&gt;"",TIME(HOUR(TRANSACTIONS!$A1666),MINUTE(TRANSACTIONS!$A1666),SECOND(TRANSACTIONS!$A1666)),"")</f>
        <v>0.50366898148148154</v>
      </c>
      <c r="D1666" s="82" t="s">
        <v>25</v>
      </c>
      <c r="E1666" s="82" t="s">
        <v>6</v>
      </c>
      <c r="F1666" s="94">
        <v>32000</v>
      </c>
      <c r="G1666" s="46"/>
      <c r="H1666" s="46">
        <f>IFERROR(TRANSACTIONS!$F1666+TRANSACTIONS!$G1666,"")</f>
        <v>32000</v>
      </c>
      <c r="I1666" s="57" t="s">
        <v>41</v>
      </c>
    </row>
    <row r="1667" spans="1:9" x14ac:dyDescent="0.25">
      <c r="A1667" s="41">
        <v>45344.50367604167</v>
      </c>
      <c r="B1667" s="48">
        <f>IF(A1667&lt;&gt;"",DATE(YEAR(TRANSACTIONS!$A1667),MONTH(TRANSACTIONS!$A1667),DAY(TRANSACTIONS!$A1667)),"")</f>
        <v>45344</v>
      </c>
      <c r="C1667" s="49">
        <f>IF(A1667&lt;&gt;"",TIME(HOUR(TRANSACTIONS!$A1667),MINUTE(TRANSACTIONS!$A1667),SECOND(TRANSACTIONS!$A1667)),"")</f>
        <v>0.50368055555555558</v>
      </c>
      <c r="D1667" s="82" t="s">
        <v>25</v>
      </c>
      <c r="E1667" s="82" t="s">
        <v>7</v>
      </c>
      <c r="F1667" s="94">
        <v>40000</v>
      </c>
      <c r="G1667" s="46"/>
      <c r="H1667" s="46">
        <f>IFERROR(TRANSACTIONS!$F1667+TRANSACTIONS!$G1667,"")</f>
        <v>40000</v>
      </c>
      <c r="I1667" s="57" t="s">
        <v>41</v>
      </c>
    </row>
    <row r="1668" spans="1:9" x14ac:dyDescent="0.25">
      <c r="A1668" s="41">
        <v>45344.503683101851</v>
      </c>
      <c r="B1668" s="48">
        <f>IF(A1668&lt;&gt;"",DATE(YEAR(TRANSACTIONS!$A1668),MONTH(TRANSACTIONS!$A1668),DAY(TRANSACTIONS!$A1668)),"")</f>
        <v>45344</v>
      </c>
      <c r="C1668" s="49">
        <f>IF(A1668&lt;&gt;"",TIME(HOUR(TRANSACTIONS!$A1668),MINUTE(TRANSACTIONS!$A1668),SECOND(TRANSACTIONS!$A1668)),"")</f>
        <v>0.50368055555555558</v>
      </c>
      <c r="D1668" s="82" t="s">
        <v>25</v>
      </c>
      <c r="E1668" s="82" t="s">
        <v>6</v>
      </c>
      <c r="F1668" s="94">
        <v>10000</v>
      </c>
      <c r="G1668" s="46"/>
      <c r="H1668" s="46">
        <f>IFERROR(TRANSACTIONS!$F1668+TRANSACTIONS!$G1668,"")</f>
        <v>10000</v>
      </c>
      <c r="I1668" s="57" t="s">
        <v>41</v>
      </c>
    </row>
    <row r="1669" spans="1:9" x14ac:dyDescent="0.25">
      <c r="A1669" s="41">
        <v>45344.50369085648</v>
      </c>
      <c r="B1669" s="48">
        <f>IF(A1669&lt;&gt;"",DATE(YEAR(TRANSACTIONS!$A1669),MONTH(TRANSACTIONS!$A1669),DAY(TRANSACTIONS!$A1669)),"")</f>
        <v>45344</v>
      </c>
      <c r="C1669" s="49">
        <f>IF(A1669&lt;&gt;"",TIME(HOUR(TRANSACTIONS!$A1669),MINUTE(TRANSACTIONS!$A1669),SECOND(TRANSACTIONS!$A1669)),"")</f>
        <v>0.50369212962962961</v>
      </c>
      <c r="D1669" s="82" t="s">
        <v>25</v>
      </c>
      <c r="E1669" s="82" t="s">
        <v>6</v>
      </c>
      <c r="F1669" s="94">
        <v>2200</v>
      </c>
      <c r="G1669" s="46"/>
      <c r="H1669" s="46">
        <f>IFERROR(TRANSACTIONS!$F1669+TRANSACTIONS!$G1669,"")</f>
        <v>2200</v>
      </c>
      <c r="I1669" s="57" t="s">
        <v>41</v>
      </c>
    </row>
    <row r="1670" spans="1:9" x14ac:dyDescent="0.25">
      <c r="A1670" s="41">
        <v>45344.503698032408</v>
      </c>
      <c r="B1670" s="48">
        <f>IF(A1670&lt;&gt;"",DATE(YEAR(TRANSACTIONS!$A1670),MONTH(TRANSACTIONS!$A1670),DAY(TRANSACTIONS!$A1670)),"")</f>
        <v>45344</v>
      </c>
      <c r="C1670" s="49">
        <f>IF(A1670&lt;&gt;"",TIME(HOUR(TRANSACTIONS!$A1670),MINUTE(TRANSACTIONS!$A1670),SECOND(TRANSACTIONS!$A1670)),"")</f>
        <v>0.50370370370370365</v>
      </c>
      <c r="D1670" s="82" t="s">
        <v>62</v>
      </c>
      <c r="E1670" s="82" t="s">
        <v>7</v>
      </c>
      <c r="F1670" s="94">
        <v>13500</v>
      </c>
      <c r="G1670" s="46"/>
      <c r="H1670" s="46">
        <f>IFERROR(TRANSACTIONS!$F1670+TRANSACTIONS!$G1670,"")</f>
        <v>13500</v>
      </c>
      <c r="I1670" s="57" t="s">
        <v>41</v>
      </c>
    </row>
    <row r="1671" spans="1:9" x14ac:dyDescent="0.25">
      <c r="A1671" s="41">
        <v>45344.503712962964</v>
      </c>
      <c r="B1671" s="48">
        <f>IF(A1671&lt;&gt;"",DATE(YEAR(TRANSACTIONS!$A1671),MONTH(TRANSACTIONS!$A1671),DAY(TRANSACTIONS!$A1671)),"")</f>
        <v>45344</v>
      </c>
      <c r="C1671" s="49">
        <f>IF(A1671&lt;&gt;"",TIME(HOUR(TRANSACTIONS!$A1671),MINUTE(TRANSACTIONS!$A1671),SECOND(TRANSACTIONS!$A1671)),"")</f>
        <v>0.5037152777777778</v>
      </c>
      <c r="D1671" s="82" t="s">
        <v>62</v>
      </c>
      <c r="E1671" s="82" t="s">
        <v>6</v>
      </c>
      <c r="F1671" s="94">
        <v>90000</v>
      </c>
      <c r="G1671" s="46"/>
      <c r="H1671" s="46">
        <f>IFERROR(TRANSACTIONS!$F1671+TRANSACTIONS!$G1671,"")</f>
        <v>90000</v>
      </c>
      <c r="I1671" s="57" t="s">
        <v>41</v>
      </c>
    </row>
    <row r="1672" spans="1:9" x14ac:dyDescent="0.25">
      <c r="A1672" s="41">
        <v>45344.556228587964</v>
      </c>
      <c r="B1672" s="48">
        <f>IF(A1672&lt;&gt;"",DATE(YEAR(TRANSACTIONS!$A1672),MONTH(TRANSACTIONS!$A1672),DAY(TRANSACTIONS!$A1672)),"")</f>
        <v>45344</v>
      </c>
      <c r="C1672" s="49">
        <f>IF(A1672&lt;&gt;"",TIME(HOUR(TRANSACTIONS!$A1672),MINUTE(TRANSACTIONS!$A1672),SECOND(TRANSACTIONS!$A1672)),"")</f>
        <v>0.55622685185185183</v>
      </c>
      <c r="D1672" s="82" t="s">
        <v>62</v>
      </c>
      <c r="E1672" s="82" t="s">
        <v>7</v>
      </c>
      <c r="F1672" s="94">
        <v>250000</v>
      </c>
      <c r="G1672" s="46"/>
      <c r="H1672" s="46">
        <f>IFERROR(TRANSACTIONS!$F1672+TRANSACTIONS!$G1672,"")</f>
        <v>250000</v>
      </c>
      <c r="I1672" s="57" t="s">
        <v>41</v>
      </c>
    </row>
    <row r="1673" spans="1:9" x14ac:dyDescent="0.25">
      <c r="A1673" s="41">
        <v>45344.556259490739</v>
      </c>
      <c r="B1673" s="48">
        <f>IF(A1673&lt;&gt;"",DATE(YEAR(TRANSACTIONS!$A1673),MONTH(TRANSACTIONS!$A1673),DAY(TRANSACTIONS!$A1673)),"")</f>
        <v>45344</v>
      </c>
      <c r="C1673" s="49">
        <f>IF(A1673&lt;&gt;"",TIME(HOUR(TRANSACTIONS!$A1673),MINUTE(TRANSACTIONS!$A1673),SECOND(TRANSACTIONS!$A1673)),"")</f>
        <v>0.55626157407407406</v>
      </c>
      <c r="D1673" s="82" t="s">
        <v>62</v>
      </c>
      <c r="E1673" s="82" t="s">
        <v>7</v>
      </c>
      <c r="F1673" s="94">
        <v>6000</v>
      </c>
      <c r="G1673" s="46"/>
      <c r="H1673" s="46">
        <f>IFERROR(TRANSACTIONS!$F1673+TRANSACTIONS!$G1673,"")</f>
        <v>6000</v>
      </c>
      <c r="I1673" s="57" t="s">
        <v>41</v>
      </c>
    </row>
    <row r="1674" spans="1:9" x14ac:dyDescent="0.25">
      <c r="A1674" s="41">
        <v>45344.556266898151</v>
      </c>
      <c r="B1674" s="48">
        <f>IF(A1674&lt;&gt;"",DATE(YEAR(TRANSACTIONS!$A1674),MONTH(TRANSACTIONS!$A1674),DAY(TRANSACTIONS!$A1674)),"")</f>
        <v>45344</v>
      </c>
      <c r="C1674" s="49">
        <f>IF(A1674&lt;&gt;"",TIME(HOUR(TRANSACTIONS!$A1674),MINUTE(TRANSACTIONS!$A1674),SECOND(TRANSACTIONS!$A1674)),"")</f>
        <v>0.55626157407407406</v>
      </c>
      <c r="D1674" s="82" t="s">
        <v>62</v>
      </c>
      <c r="E1674" s="82" t="s">
        <v>6</v>
      </c>
      <c r="F1674" s="94">
        <v>5000</v>
      </c>
      <c r="G1674" s="46"/>
      <c r="H1674" s="46">
        <f>IFERROR(TRANSACTIONS!$F1674+TRANSACTIONS!$G1674,"")</f>
        <v>5000</v>
      </c>
      <c r="I1674" s="57" t="s">
        <v>41</v>
      </c>
    </row>
    <row r="1675" spans="1:9" x14ac:dyDescent="0.25">
      <c r="A1675" s="41">
        <v>45344.556274305556</v>
      </c>
      <c r="B1675" s="48">
        <f>IF(A1675&lt;&gt;"",DATE(YEAR(TRANSACTIONS!$A1675),MONTH(TRANSACTIONS!$A1675),DAY(TRANSACTIONS!$A1675)),"")</f>
        <v>45344</v>
      </c>
      <c r="C1675" s="49">
        <f>IF(A1675&lt;&gt;"",TIME(HOUR(TRANSACTIONS!$A1675),MINUTE(TRANSACTIONS!$A1675),SECOND(TRANSACTIONS!$A1675)),"")</f>
        <v>0.5562731481481481</v>
      </c>
      <c r="D1675" s="82" t="s">
        <v>62</v>
      </c>
      <c r="E1675" s="82" t="s">
        <v>7</v>
      </c>
      <c r="F1675" s="94">
        <v>30000</v>
      </c>
      <c r="G1675" s="46"/>
      <c r="H1675" s="46">
        <f>IFERROR(TRANSACTIONS!$F1675+TRANSACTIONS!$G1675,"")</f>
        <v>30000</v>
      </c>
      <c r="I1675" s="57" t="s">
        <v>41</v>
      </c>
    </row>
    <row r="1676" spans="1:9" x14ac:dyDescent="0.25">
      <c r="A1676" s="41">
        <v>45344.556281828707</v>
      </c>
      <c r="B1676" s="48">
        <f>IF(A1676&lt;&gt;"",DATE(YEAR(TRANSACTIONS!$A1676),MONTH(TRANSACTIONS!$A1676),DAY(TRANSACTIONS!$A1676)),"")</f>
        <v>45344</v>
      </c>
      <c r="C1676" s="49">
        <f>IF(A1676&lt;&gt;"",TIME(HOUR(TRANSACTIONS!$A1676),MINUTE(TRANSACTIONS!$A1676),SECOND(TRANSACTIONS!$A1676)),"")</f>
        <v>0.55628472222222225</v>
      </c>
      <c r="D1676" s="82" t="s">
        <v>62</v>
      </c>
      <c r="E1676" s="82" t="s">
        <v>7</v>
      </c>
      <c r="F1676" s="94">
        <v>1350</v>
      </c>
      <c r="G1676" s="46"/>
      <c r="H1676" s="46">
        <f>IFERROR(TRANSACTIONS!$F1676+TRANSACTIONS!$G1676,"")</f>
        <v>1350</v>
      </c>
      <c r="I1676" s="57" t="s">
        <v>41</v>
      </c>
    </row>
    <row r="1677" spans="1:9" x14ac:dyDescent="0.25">
      <c r="A1677" s="41">
        <v>45344.556289814813</v>
      </c>
      <c r="B1677" s="48">
        <f>IF(A1677&lt;&gt;"",DATE(YEAR(TRANSACTIONS!$A1677),MONTH(TRANSACTIONS!$A1677),DAY(TRANSACTIONS!$A1677)),"")</f>
        <v>45344</v>
      </c>
      <c r="C1677" s="49">
        <f>IF(A1677&lt;&gt;"",TIME(HOUR(TRANSACTIONS!$A1677),MINUTE(TRANSACTIONS!$A1677),SECOND(TRANSACTIONS!$A1677)),"")</f>
        <v>0.55628472222222225</v>
      </c>
      <c r="D1677" s="82" t="s">
        <v>62</v>
      </c>
      <c r="E1677" s="82" t="s">
        <v>7</v>
      </c>
      <c r="F1677" s="94">
        <v>2500</v>
      </c>
      <c r="G1677" s="46"/>
      <c r="H1677" s="46">
        <f>IFERROR(TRANSACTIONS!$F1677+TRANSACTIONS!$G1677,"")</f>
        <v>2500</v>
      </c>
      <c r="I1677" s="57" t="s">
        <v>41</v>
      </c>
    </row>
    <row r="1678" spans="1:9" x14ac:dyDescent="0.25">
      <c r="A1678" s="41">
        <v>45344.557918171296</v>
      </c>
      <c r="B1678" s="48">
        <f>IF(A1678&lt;&gt;"",DATE(YEAR(TRANSACTIONS!$A1678),MONTH(TRANSACTIONS!$A1678),DAY(TRANSACTIONS!$A1678)),"")</f>
        <v>45344</v>
      </c>
      <c r="C1678" s="49">
        <f>IF(A1678&lt;&gt;"",TIME(HOUR(TRANSACTIONS!$A1678),MINUTE(TRANSACTIONS!$A1678),SECOND(TRANSACTIONS!$A1678)),"")</f>
        <v>0.55791666666666673</v>
      </c>
      <c r="D1678" s="82" t="s">
        <v>62</v>
      </c>
      <c r="E1678" s="82" t="s">
        <v>7</v>
      </c>
      <c r="F1678" s="94">
        <v>4500</v>
      </c>
      <c r="G1678" s="46"/>
      <c r="H1678" s="46">
        <f>IFERROR(TRANSACTIONS!$F1678+TRANSACTIONS!$G1678,"")</f>
        <v>4500</v>
      </c>
      <c r="I1678" s="57" t="s">
        <v>41</v>
      </c>
    </row>
    <row r="1679" spans="1:9" x14ac:dyDescent="0.25">
      <c r="A1679" s="41">
        <v>45344.557937847225</v>
      </c>
      <c r="B1679" s="48">
        <f>IF(A1679&lt;&gt;"",DATE(YEAR(TRANSACTIONS!$A1679),MONTH(TRANSACTIONS!$A1679),DAY(TRANSACTIONS!$A1679)),"")</f>
        <v>45344</v>
      </c>
      <c r="C1679" s="49">
        <f>IF(A1679&lt;&gt;"",TIME(HOUR(TRANSACTIONS!$A1679),MINUTE(TRANSACTIONS!$A1679),SECOND(TRANSACTIONS!$A1679)),"")</f>
        <v>0.55793981481481481</v>
      </c>
      <c r="D1679" s="82" t="s">
        <v>62</v>
      </c>
      <c r="E1679" s="82" t="s">
        <v>6</v>
      </c>
      <c r="F1679" s="94">
        <v>50000</v>
      </c>
      <c r="G1679" s="46"/>
      <c r="H1679" s="46">
        <f>IFERROR(TRANSACTIONS!$F1679+TRANSACTIONS!$G1679,"")</f>
        <v>50000</v>
      </c>
      <c r="I1679" s="57" t="s">
        <v>41</v>
      </c>
    </row>
    <row r="1680" spans="1:9" x14ac:dyDescent="0.25">
      <c r="A1680" s="41">
        <v>45344.557946180554</v>
      </c>
      <c r="B1680" s="114">
        <f>IF(A1680&lt;&gt;"",DATE(YEAR(TRANSACTIONS!$A1680),MONTH(TRANSACTIONS!$A1680),DAY(TRANSACTIONS!$A1680)),"")</f>
        <v>45344</v>
      </c>
      <c r="C1680" s="115">
        <f>IF(A1680&lt;&gt;"",TIME(HOUR(TRANSACTIONS!$A1680),MINUTE(TRANSACTIONS!$A1680),SECOND(TRANSACTIONS!$A1680)),"")</f>
        <v>0.55795138888888884</v>
      </c>
      <c r="D1680" s="82" t="s">
        <v>64</v>
      </c>
      <c r="E1680" s="82" t="s">
        <v>6</v>
      </c>
      <c r="F1680" s="94">
        <v>200000</v>
      </c>
      <c r="G1680" s="117"/>
      <c r="H1680" s="117">
        <f>IFERROR(TRANSACTIONS!$F1680+TRANSACTIONS!$G1680,"")</f>
        <v>200000</v>
      </c>
      <c r="I1680" s="123" t="s">
        <v>41</v>
      </c>
    </row>
    <row r="1681" spans="1:9" x14ac:dyDescent="0.25">
      <c r="A1681" s="41">
        <v>45344.557953935182</v>
      </c>
      <c r="B1681" s="48">
        <f>IF(A1681&lt;&gt;"",DATE(YEAR(TRANSACTIONS!$A1681),MONTH(TRANSACTIONS!$A1681),DAY(TRANSACTIONS!$A1681)),"")</f>
        <v>45344</v>
      </c>
      <c r="C1681" s="49">
        <f>IF(A1681&lt;&gt;"",TIME(HOUR(TRANSACTIONS!$A1681),MINUTE(TRANSACTIONS!$A1681),SECOND(TRANSACTIONS!$A1681)),"")</f>
        <v>0.55795138888888884</v>
      </c>
      <c r="D1681" s="82" t="s">
        <v>25</v>
      </c>
      <c r="E1681" s="82" t="s">
        <v>7</v>
      </c>
      <c r="F1681" s="94">
        <v>3000</v>
      </c>
      <c r="G1681" s="46"/>
      <c r="H1681" s="46">
        <f>IFERROR(TRANSACTIONS!$F1681+TRANSACTIONS!$G1681,"")</f>
        <v>3000</v>
      </c>
      <c r="I1681" s="57" t="s">
        <v>41</v>
      </c>
    </row>
    <row r="1682" spans="1:9" x14ac:dyDescent="0.25">
      <c r="A1682" s="41">
        <v>45344.558097222223</v>
      </c>
      <c r="B1682" s="48">
        <f>IF(A1682&lt;&gt;"",DATE(YEAR(TRANSACTIONS!$A1682),MONTH(TRANSACTIONS!$A1682),DAY(TRANSACTIONS!$A1682)),"")</f>
        <v>45344</v>
      </c>
      <c r="C1682" s="49">
        <f>IF(A1682&lt;&gt;"",TIME(HOUR(TRANSACTIONS!$A1682),MINUTE(TRANSACTIONS!$A1682),SECOND(TRANSACTIONS!$A1682)),"")</f>
        <v>0.55810185185185179</v>
      </c>
      <c r="D1682" s="82" t="s">
        <v>25</v>
      </c>
      <c r="E1682" s="82" t="s">
        <v>7</v>
      </c>
      <c r="F1682" s="94">
        <v>60000</v>
      </c>
      <c r="G1682" s="46"/>
      <c r="H1682" s="46">
        <f>IFERROR(TRANSACTIONS!$F1682+TRANSACTIONS!$G1682,"")</f>
        <v>60000</v>
      </c>
      <c r="I1682" s="57" t="s">
        <v>41</v>
      </c>
    </row>
    <row r="1683" spans="1:9" x14ac:dyDescent="0.25">
      <c r="A1683" s="41">
        <v>45344.558122337963</v>
      </c>
      <c r="B1683" s="48">
        <f>IF(A1683&lt;&gt;"",DATE(YEAR(TRANSACTIONS!$A1683),MONTH(TRANSACTIONS!$A1683),DAY(TRANSACTIONS!$A1683)),"")</f>
        <v>45344</v>
      </c>
      <c r="C1683" s="49">
        <f>IF(A1683&lt;&gt;"",TIME(HOUR(TRANSACTIONS!$A1683),MINUTE(TRANSACTIONS!$A1683),SECOND(TRANSACTIONS!$A1683)),"")</f>
        <v>0.55812499999999998</v>
      </c>
      <c r="D1683" s="82" t="s">
        <v>62</v>
      </c>
      <c r="E1683" s="82" t="s">
        <v>7</v>
      </c>
      <c r="F1683" s="94">
        <v>2000</v>
      </c>
      <c r="G1683" s="46"/>
      <c r="H1683" s="46">
        <f>IFERROR(TRANSACTIONS!$F1683+TRANSACTIONS!$G1683,"")</f>
        <v>2000</v>
      </c>
      <c r="I1683" s="57" t="s">
        <v>41</v>
      </c>
    </row>
    <row r="1684" spans="1:9" x14ac:dyDescent="0.25">
      <c r="A1684" s="41">
        <v>45344.558161111112</v>
      </c>
      <c r="B1684" s="48">
        <f>IF(A1684&lt;&gt;"",DATE(YEAR(TRANSACTIONS!$A1684),MONTH(TRANSACTIONS!$A1684),DAY(TRANSACTIONS!$A1684)),"")</f>
        <v>45344</v>
      </c>
      <c r="C1684" s="49">
        <f>IF(A1684&lt;&gt;"",TIME(HOUR(TRANSACTIONS!$A1684),MINUTE(TRANSACTIONS!$A1684),SECOND(TRANSACTIONS!$A1684)),"")</f>
        <v>0.55815972222222221</v>
      </c>
      <c r="D1684" s="82" t="s">
        <v>62</v>
      </c>
      <c r="E1684" s="82" t="s">
        <v>7</v>
      </c>
      <c r="F1684" s="94">
        <v>1000</v>
      </c>
      <c r="G1684" s="46"/>
      <c r="H1684" s="46">
        <f>IFERROR(TRANSACTIONS!$F1684+TRANSACTIONS!$G1684,"")</f>
        <v>1000</v>
      </c>
      <c r="I1684" s="57" t="s">
        <v>41</v>
      </c>
    </row>
    <row r="1685" spans="1:9" x14ac:dyDescent="0.25">
      <c r="A1685" s="41">
        <v>45344.558168171294</v>
      </c>
      <c r="B1685" s="48">
        <f>IF(A1685&lt;&gt;"",DATE(YEAR(TRANSACTIONS!$A1685),MONTH(TRANSACTIONS!$A1685),DAY(TRANSACTIONS!$A1685)),"")</f>
        <v>45344</v>
      </c>
      <c r="C1685" s="49">
        <f>IF(A1685&lt;&gt;"",TIME(HOUR(TRANSACTIONS!$A1685),MINUTE(TRANSACTIONS!$A1685),SECOND(TRANSACTIONS!$A1685)),"")</f>
        <v>0.55817129629629625</v>
      </c>
      <c r="D1685" s="82" t="s">
        <v>62</v>
      </c>
      <c r="E1685" s="82" t="s">
        <v>7</v>
      </c>
      <c r="F1685" s="94">
        <v>5000</v>
      </c>
      <c r="G1685" s="46"/>
      <c r="H1685" s="46">
        <f>IFERROR(TRANSACTIONS!$F1685+TRANSACTIONS!$G1685,"")</f>
        <v>5000</v>
      </c>
      <c r="I1685" s="57" t="s">
        <v>41</v>
      </c>
    </row>
    <row r="1686" spans="1:9" x14ac:dyDescent="0.25">
      <c r="A1686" s="41">
        <v>45344.568617013887</v>
      </c>
      <c r="B1686" s="48">
        <f>IF(A1686&lt;&gt;"",DATE(YEAR(TRANSACTIONS!$A1686),MONTH(TRANSACTIONS!$A1686),DAY(TRANSACTIONS!$A1686)),"")</f>
        <v>45344</v>
      </c>
      <c r="C1686" s="49">
        <f>IF(A1686&lt;&gt;"",TIME(HOUR(TRANSACTIONS!$A1686),MINUTE(TRANSACTIONS!$A1686),SECOND(TRANSACTIONS!$A1686)),"")</f>
        <v>0.56862268518518522</v>
      </c>
      <c r="D1686" s="82" t="s">
        <v>62</v>
      </c>
      <c r="E1686" s="82" t="s">
        <v>7</v>
      </c>
      <c r="F1686" s="94">
        <v>1000</v>
      </c>
      <c r="G1686" s="46"/>
      <c r="H1686" s="46">
        <f>IFERROR(TRANSACTIONS!$F1686+TRANSACTIONS!$G1686,"")</f>
        <v>1000</v>
      </c>
      <c r="I1686" s="57" t="s">
        <v>41</v>
      </c>
    </row>
    <row r="1687" spans="1:9" x14ac:dyDescent="0.25">
      <c r="A1687" s="41">
        <v>45344.568671527777</v>
      </c>
      <c r="B1687" s="48">
        <f>IF(A1687&lt;&gt;"",DATE(YEAR(TRANSACTIONS!$A1687),MONTH(TRANSACTIONS!$A1687),DAY(TRANSACTIONS!$A1687)),"")</f>
        <v>45344</v>
      </c>
      <c r="C1687" s="49">
        <f>IF(A1687&lt;&gt;"",TIME(HOUR(TRANSACTIONS!$A1687),MINUTE(TRANSACTIONS!$A1687),SECOND(TRANSACTIONS!$A1687)),"")</f>
        <v>0.56866898148148148</v>
      </c>
      <c r="D1687" s="82" t="s">
        <v>62</v>
      </c>
      <c r="E1687" s="82" t="s">
        <v>7</v>
      </c>
      <c r="F1687" s="94">
        <v>100000</v>
      </c>
      <c r="G1687" s="46"/>
      <c r="H1687" s="46">
        <f>IFERROR(TRANSACTIONS!$F1687+TRANSACTIONS!$G1687,"")</f>
        <v>100000</v>
      </c>
      <c r="I1687" s="57" t="s">
        <v>41</v>
      </c>
    </row>
    <row r="1688" spans="1:9" x14ac:dyDescent="0.25">
      <c r="A1688" s="41">
        <v>45344.568680787037</v>
      </c>
      <c r="B1688" s="48">
        <f>IF(A1688&lt;&gt;"",DATE(YEAR(TRANSACTIONS!$A1688),MONTH(TRANSACTIONS!$A1688),DAY(TRANSACTIONS!$A1688)),"")</f>
        <v>45344</v>
      </c>
      <c r="C1688" s="49">
        <f>IF(A1688&lt;&gt;"",TIME(HOUR(TRANSACTIONS!$A1688),MINUTE(TRANSACTIONS!$A1688),SECOND(TRANSACTIONS!$A1688)),"")</f>
        <v>0.56868055555555552</v>
      </c>
      <c r="D1688" s="82" t="s">
        <v>62</v>
      </c>
      <c r="E1688" s="82" t="s">
        <v>6</v>
      </c>
      <c r="F1688" s="94">
        <v>5000</v>
      </c>
      <c r="G1688" s="46"/>
      <c r="H1688" s="46">
        <f>IFERROR(TRANSACTIONS!$F1688+TRANSACTIONS!$G1688,"")</f>
        <v>5000</v>
      </c>
      <c r="I1688" s="57" t="s">
        <v>41</v>
      </c>
    </row>
    <row r="1689" spans="1:9" x14ac:dyDescent="0.25">
      <c r="A1689" s="41">
        <v>45344.568690740743</v>
      </c>
      <c r="B1689" s="48">
        <f>IF(A1689&lt;&gt;"",DATE(YEAR(TRANSACTIONS!$A1689),MONTH(TRANSACTIONS!$A1689),DAY(TRANSACTIONS!$A1689)),"")</f>
        <v>45344</v>
      </c>
      <c r="C1689" s="49">
        <f>IF(A1689&lt;&gt;"",TIME(HOUR(TRANSACTIONS!$A1689),MINUTE(TRANSACTIONS!$A1689),SECOND(TRANSACTIONS!$A1689)),"")</f>
        <v>0.56869212962962956</v>
      </c>
      <c r="D1689" s="82" t="s">
        <v>62</v>
      </c>
      <c r="E1689" s="82" t="s">
        <v>7</v>
      </c>
      <c r="F1689" s="94">
        <v>25000</v>
      </c>
      <c r="G1689" s="46"/>
      <c r="H1689" s="46">
        <f>IFERROR(TRANSACTIONS!$F1689+TRANSACTIONS!$G1689,"")</f>
        <v>25000</v>
      </c>
      <c r="I1689" s="57" t="s">
        <v>41</v>
      </c>
    </row>
    <row r="1690" spans="1:9" x14ac:dyDescent="0.25">
      <c r="A1690" s="41">
        <v>45344.568698263887</v>
      </c>
      <c r="B1690" s="48">
        <f>IF(A1690&lt;&gt;"",DATE(YEAR(TRANSACTIONS!$A1690),MONTH(TRANSACTIONS!$A1690),DAY(TRANSACTIONS!$A1690)),"")</f>
        <v>45344</v>
      </c>
      <c r="C1690" s="49">
        <f>IF(A1690&lt;&gt;"",TIME(HOUR(TRANSACTIONS!$A1690),MINUTE(TRANSACTIONS!$A1690),SECOND(TRANSACTIONS!$A1690)),"")</f>
        <v>0.56870370370370371</v>
      </c>
      <c r="D1690" s="82" t="s">
        <v>62</v>
      </c>
      <c r="E1690" s="82" t="s">
        <v>7</v>
      </c>
      <c r="F1690" s="94">
        <v>2000</v>
      </c>
      <c r="G1690" s="46"/>
      <c r="H1690" s="46">
        <f>IFERROR(TRANSACTIONS!$F1690+TRANSACTIONS!$G1690,"")</f>
        <v>2000</v>
      </c>
      <c r="I1690" s="57" t="s">
        <v>41</v>
      </c>
    </row>
    <row r="1691" spans="1:9" x14ac:dyDescent="0.25">
      <c r="A1691" s="41">
        <v>45344.568707175924</v>
      </c>
      <c r="B1691" s="48">
        <f>IF(A1691&lt;&gt;"",DATE(YEAR(TRANSACTIONS!$A1691),MONTH(TRANSACTIONS!$A1691),DAY(TRANSACTIONS!$A1691)),"")</f>
        <v>45344</v>
      </c>
      <c r="C1691" s="49">
        <f>IF(A1691&lt;&gt;"",TIME(HOUR(TRANSACTIONS!$A1691),MINUTE(TRANSACTIONS!$A1691),SECOND(TRANSACTIONS!$A1691)),"")</f>
        <v>0.56870370370370371</v>
      </c>
      <c r="D1691" s="82" t="s">
        <v>62</v>
      </c>
      <c r="E1691" s="82" t="s">
        <v>7</v>
      </c>
      <c r="F1691" s="94">
        <v>1000</v>
      </c>
      <c r="G1691" s="46"/>
      <c r="H1691" s="46">
        <f>IFERROR(TRANSACTIONS!$F1691+TRANSACTIONS!$G1691,"")</f>
        <v>1000</v>
      </c>
      <c r="I1691" s="57" t="s">
        <v>41</v>
      </c>
    </row>
    <row r="1692" spans="1:9" x14ac:dyDescent="0.25">
      <c r="A1692" s="41">
        <v>45344.568739467592</v>
      </c>
      <c r="B1692" s="48">
        <f>IF(A1692&lt;&gt;"",DATE(YEAR(TRANSACTIONS!$A1692),MONTH(TRANSACTIONS!$A1692),DAY(TRANSACTIONS!$A1692)),"")</f>
        <v>45344</v>
      </c>
      <c r="C1692" s="49">
        <f>IF(A1692&lt;&gt;"",TIME(HOUR(TRANSACTIONS!$A1692),MINUTE(TRANSACTIONS!$A1692),SECOND(TRANSACTIONS!$A1692)),"")</f>
        <v>0.56873842592592594</v>
      </c>
      <c r="D1692" s="82" t="s">
        <v>62</v>
      </c>
      <c r="E1692" s="82" t="s">
        <v>7</v>
      </c>
      <c r="F1692" s="94">
        <v>5000</v>
      </c>
      <c r="G1692" s="46"/>
      <c r="H1692" s="46">
        <f>IFERROR(TRANSACTIONS!$F1692+TRANSACTIONS!$G1692,"")</f>
        <v>5000</v>
      </c>
      <c r="I1692" s="57" t="s">
        <v>41</v>
      </c>
    </row>
    <row r="1693" spans="1:9" x14ac:dyDescent="0.25">
      <c r="A1693" s="41">
        <v>45344.568748379628</v>
      </c>
      <c r="B1693" s="48">
        <f>IF(A1693&lt;&gt;"",DATE(YEAR(TRANSACTIONS!$A1693),MONTH(TRANSACTIONS!$A1693),DAY(TRANSACTIONS!$A1693)),"")</f>
        <v>45344</v>
      </c>
      <c r="C1693" s="49">
        <f>IF(A1693&lt;&gt;"",TIME(HOUR(TRANSACTIONS!$A1693),MINUTE(TRANSACTIONS!$A1693),SECOND(TRANSACTIONS!$A1693)),"")</f>
        <v>0.56874999999999998</v>
      </c>
      <c r="D1693" s="82" t="s">
        <v>62</v>
      </c>
      <c r="E1693" s="82" t="s">
        <v>7</v>
      </c>
      <c r="F1693" s="94">
        <v>5000</v>
      </c>
      <c r="G1693" s="46"/>
      <c r="H1693" s="46">
        <f>IFERROR(TRANSACTIONS!$F1693+TRANSACTIONS!$G1693,"")</f>
        <v>5000</v>
      </c>
      <c r="I1693" s="57" t="s">
        <v>41</v>
      </c>
    </row>
    <row r="1694" spans="1:9" x14ac:dyDescent="0.25">
      <c r="A1694" s="41">
        <v>45344.568800231478</v>
      </c>
      <c r="B1694" s="48">
        <f>IF(A1694&lt;&gt;"",DATE(YEAR(TRANSACTIONS!$A1694),MONTH(TRANSACTIONS!$A1694),DAY(TRANSACTIONS!$A1694)),"")</f>
        <v>45344</v>
      </c>
      <c r="C1694" s="49">
        <f>IF(A1694&lt;&gt;"",TIME(HOUR(TRANSACTIONS!$A1694),MINUTE(TRANSACTIONS!$A1694),SECOND(TRANSACTIONS!$A1694)),"")</f>
        <v>0.56879629629629636</v>
      </c>
      <c r="D1694" s="82" t="s">
        <v>62</v>
      </c>
      <c r="E1694" s="82" t="s">
        <v>7</v>
      </c>
      <c r="F1694" s="94">
        <v>3000</v>
      </c>
      <c r="G1694" s="46"/>
      <c r="H1694" s="46">
        <f>IFERROR(TRANSACTIONS!$F1694+TRANSACTIONS!$G1694,"")</f>
        <v>3000</v>
      </c>
      <c r="I1694" s="57" t="s">
        <v>41</v>
      </c>
    </row>
    <row r="1695" spans="1:9" x14ac:dyDescent="0.25">
      <c r="A1695" s="41">
        <v>45344.679256944444</v>
      </c>
      <c r="B1695" s="48">
        <f>IF(A1695&lt;&gt;"",DATE(YEAR(TRANSACTIONS!$A1695),MONTH(TRANSACTIONS!$A1695),DAY(TRANSACTIONS!$A1695)),"")</f>
        <v>45344</v>
      </c>
      <c r="C1695" s="49">
        <f>IF(A1695&lt;&gt;"",TIME(HOUR(TRANSACTIONS!$A1695),MINUTE(TRANSACTIONS!$A1695),SECOND(TRANSACTIONS!$A1695)),"")</f>
        <v>0.67925925925925934</v>
      </c>
      <c r="D1695" s="82" t="s">
        <v>62</v>
      </c>
      <c r="E1695" s="82" t="s">
        <v>7</v>
      </c>
      <c r="F1695" s="94">
        <v>10000</v>
      </c>
      <c r="G1695" s="46"/>
      <c r="H1695" s="46">
        <f>IFERROR(TRANSACTIONS!$F1695+TRANSACTIONS!$G1695,"")</f>
        <v>10000</v>
      </c>
      <c r="I1695" s="57" t="s">
        <v>41</v>
      </c>
    </row>
    <row r="1696" spans="1:9" x14ac:dyDescent="0.25">
      <c r="A1696" s="41">
        <v>45344.679293402776</v>
      </c>
      <c r="B1696" s="48">
        <f>IF(A1696&lt;&gt;"",DATE(YEAR(TRANSACTIONS!$A1696),MONTH(TRANSACTIONS!$A1696),DAY(TRANSACTIONS!$A1696)),"")</f>
        <v>45344</v>
      </c>
      <c r="C1696" s="49">
        <f>IF(A1696&lt;&gt;"",TIME(HOUR(TRANSACTIONS!$A1696),MINUTE(TRANSACTIONS!$A1696),SECOND(TRANSACTIONS!$A1696)),"")</f>
        <v>0.67929398148148146</v>
      </c>
      <c r="D1696" s="82" t="s">
        <v>62</v>
      </c>
      <c r="E1696" s="82" t="s">
        <v>7</v>
      </c>
      <c r="F1696" s="94">
        <v>5000</v>
      </c>
      <c r="G1696" s="46"/>
      <c r="H1696" s="46">
        <f>IFERROR(TRANSACTIONS!$F1696+TRANSACTIONS!$G1696,"")</f>
        <v>5000</v>
      </c>
      <c r="I1696" s="57" t="s">
        <v>41</v>
      </c>
    </row>
    <row r="1697" spans="1:10" x14ac:dyDescent="0.25">
      <c r="A1697" s="81">
        <v>45344.679318055554</v>
      </c>
      <c r="B1697" s="83">
        <f>IF(A1697&lt;&gt;"",DATE(YEAR(TRANSACTIONS!$A1697),MONTH(TRANSACTIONS!$A1697),DAY(TRANSACTIONS!$A1697)),"")</f>
        <v>45344</v>
      </c>
      <c r="C1697" s="84">
        <f>IF(A1697&lt;&gt;"",TIME(HOUR(TRANSACTIONS!$A1697),MINUTE(TRANSACTIONS!$A1697),SECOND(TRANSACTIONS!$A1697)),"")</f>
        <v>0.67931712962962953</v>
      </c>
      <c r="D1697" s="82" t="s">
        <v>62</v>
      </c>
      <c r="E1697" s="82" t="s">
        <v>6</v>
      </c>
      <c r="F1697" s="94">
        <v>30000</v>
      </c>
      <c r="G1697" s="86"/>
      <c r="H1697" s="86">
        <f>IFERROR(TRANSACTIONS!$F1697+TRANSACTIONS!$G1697,"")</f>
        <v>30000</v>
      </c>
      <c r="I1697" s="87" t="s">
        <v>41</v>
      </c>
      <c r="J1697" s="88"/>
    </row>
    <row r="1698" spans="1:10" x14ac:dyDescent="0.25">
      <c r="A1698" s="41">
        <v>45344.679326504629</v>
      </c>
      <c r="B1698" s="48">
        <f>IF(A1698&lt;&gt;"",DATE(YEAR(TRANSACTIONS!$A1698),MONTH(TRANSACTIONS!$A1698),DAY(TRANSACTIONS!$A1698)),"")</f>
        <v>45344</v>
      </c>
      <c r="C1698" s="49">
        <f>IF(A1698&lt;&gt;"",TIME(HOUR(TRANSACTIONS!$A1698),MINUTE(TRANSACTIONS!$A1698),SECOND(TRANSACTIONS!$A1698)),"")</f>
        <v>0.67932870370370368</v>
      </c>
      <c r="D1698" s="82" t="s">
        <v>62</v>
      </c>
      <c r="E1698" s="82" t="s">
        <v>7</v>
      </c>
      <c r="F1698" s="94">
        <v>5000</v>
      </c>
      <c r="G1698" s="46"/>
      <c r="H1698" s="46">
        <f>IFERROR(TRANSACTIONS!$F1698+TRANSACTIONS!$G1698,"")</f>
        <v>5000</v>
      </c>
      <c r="I1698" s="57" t="s">
        <v>41</v>
      </c>
    </row>
    <row r="1699" spans="1:10" x14ac:dyDescent="0.25">
      <c r="A1699" s="41">
        <v>45344.679334143519</v>
      </c>
      <c r="B1699" s="48">
        <f>IF(A1699&lt;&gt;"",DATE(YEAR(TRANSACTIONS!$A1699),MONTH(TRANSACTIONS!$A1699),DAY(TRANSACTIONS!$A1699)),"")</f>
        <v>45344</v>
      </c>
      <c r="C1699" s="49">
        <f>IF(A1699&lt;&gt;"",TIME(HOUR(TRANSACTIONS!$A1699),MINUTE(TRANSACTIONS!$A1699),SECOND(TRANSACTIONS!$A1699)),"")</f>
        <v>0.67932870370370368</v>
      </c>
      <c r="D1699" s="82" t="s">
        <v>62</v>
      </c>
      <c r="E1699" s="82" t="s">
        <v>6</v>
      </c>
      <c r="F1699" s="94">
        <v>1000</v>
      </c>
      <c r="G1699" s="46"/>
      <c r="H1699" s="46">
        <f>IFERROR(TRANSACTIONS!$F1699+TRANSACTIONS!$G1699,"")</f>
        <v>1000</v>
      </c>
      <c r="I1699" s="57" t="s">
        <v>41</v>
      </c>
    </row>
    <row r="1700" spans="1:10" x14ac:dyDescent="0.25">
      <c r="A1700" s="113">
        <v>45344.67934224537</v>
      </c>
      <c r="B1700" s="114">
        <f>IF(A1700&lt;&gt;"",DATE(YEAR(TRANSACTIONS!$A1700),MONTH(TRANSACTIONS!$A1700),DAY(TRANSACTIONS!$A1700)),"")</f>
        <v>45344</v>
      </c>
      <c r="C1700" s="115">
        <f>IF(A1700&lt;&gt;"",TIME(HOUR(TRANSACTIONS!$A1700),MINUTE(TRANSACTIONS!$A1700),SECOND(TRANSACTIONS!$A1700)),"")</f>
        <v>0.67934027777777783</v>
      </c>
      <c r="D1700" s="82" t="s">
        <v>62</v>
      </c>
      <c r="E1700" s="82" t="s">
        <v>6</v>
      </c>
      <c r="F1700" s="94">
        <v>3500</v>
      </c>
      <c r="G1700" s="117"/>
      <c r="H1700" s="117">
        <f>IFERROR(TRANSACTIONS!$F1700+TRANSACTIONS!$G1700,"")</f>
        <v>3500</v>
      </c>
      <c r="I1700" s="123" t="s">
        <v>41</v>
      </c>
    </row>
    <row r="1701" spans="1:10" x14ac:dyDescent="0.25">
      <c r="A1701" s="41">
        <v>45344.679349652775</v>
      </c>
      <c r="B1701" s="48">
        <f>IF(A1701&lt;&gt;"",DATE(YEAR(TRANSACTIONS!$A1701),MONTH(TRANSACTIONS!$A1701),DAY(TRANSACTIONS!$A1701)),"")</f>
        <v>45344</v>
      </c>
      <c r="C1701" s="49">
        <f>IF(A1701&lt;&gt;"",TIME(HOUR(TRANSACTIONS!$A1701),MINUTE(TRANSACTIONS!$A1701),SECOND(TRANSACTIONS!$A1701)),"")</f>
        <v>0.67935185185185187</v>
      </c>
      <c r="D1701" s="82" t="s">
        <v>62</v>
      </c>
      <c r="E1701" s="82" t="s">
        <v>7</v>
      </c>
      <c r="F1701" s="94">
        <v>200000</v>
      </c>
      <c r="G1701" s="46"/>
      <c r="H1701" s="46">
        <f>IFERROR(TRANSACTIONS!$F1701+TRANSACTIONS!$G1701,"")</f>
        <v>200000</v>
      </c>
      <c r="I1701" s="57" t="s">
        <v>41</v>
      </c>
    </row>
    <row r="1702" spans="1:10" x14ac:dyDescent="0.25">
      <c r="A1702" s="41">
        <v>45344.679363541669</v>
      </c>
      <c r="B1702" s="48">
        <f>IF(A1702&lt;&gt;"",DATE(YEAR(TRANSACTIONS!$A1702),MONTH(TRANSACTIONS!$A1702),DAY(TRANSACTIONS!$A1702)),"")</f>
        <v>45344</v>
      </c>
      <c r="C1702" s="49">
        <f>IF(A1702&lt;&gt;"",TIME(HOUR(TRANSACTIONS!$A1702),MINUTE(TRANSACTIONS!$A1702),SECOND(TRANSACTIONS!$A1702)),"")</f>
        <v>0.67936342592592591</v>
      </c>
      <c r="D1702" s="82" t="s">
        <v>62</v>
      </c>
      <c r="E1702" s="82" t="s">
        <v>6</v>
      </c>
      <c r="F1702" s="94">
        <v>75000</v>
      </c>
      <c r="G1702" s="46"/>
      <c r="H1702" s="46">
        <f>IFERROR(TRANSACTIONS!$F1702+TRANSACTIONS!$G1702,"")</f>
        <v>75000</v>
      </c>
      <c r="I1702" s="57" t="s">
        <v>41</v>
      </c>
    </row>
    <row r="1703" spans="1:10" x14ac:dyDescent="0.25">
      <c r="A1703" s="41">
        <v>45344.679386689815</v>
      </c>
      <c r="B1703" s="48">
        <f>IF(A1703&lt;&gt;"",DATE(YEAR(TRANSACTIONS!$A1703),MONTH(TRANSACTIONS!$A1703),DAY(TRANSACTIONS!$A1703)),"")</f>
        <v>45344</v>
      </c>
      <c r="C1703" s="49">
        <f>IF(A1703&lt;&gt;"",TIME(HOUR(TRANSACTIONS!$A1703),MINUTE(TRANSACTIONS!$A1703),SECOND(TRANSACTIONS!$A1703)),"")</f>
        <v>0.6793865740740741</v>
      </c>
      <c r="D1703" s="82" t="s">
        <v>62</v>
      </c>
      <c r="E1703" s="82" t="s">
        <v>7</v>
      </c>
      <c r="F1703" s="94">
        <v>4500</v>
      </c>
      <c r="G1703" s="46"/>
      <c r="H1703" s="46">
        <f>IFERROR(TRANSACTIONS!$F1703+TRANSACTIONS!$G1703,"")</f>
        <v>4500</v>
      </c>
      <c r="I1703" s="57" t="s">
        <v>41</v>
      </c>
    </row>
    <row r="1704" spans="1:10" x14ac:dyDescent="0.25">
      <c r="A1704" s="41">
        <v>45344.679400578701</v>
      </c>
      <c r="B1704" s="48">
        <f>IF(A1704&lt;&gt;"",DATE(YEAR(TRANSACTIONS!$A1704),MONTH(TRANSACTIONS!$A1704),DAY(TRANSACTIONS!$A1704)),"")</f>
        <v>45344</v>
      </c>
      <c r="C1704" s="49">
        <f>IF(A1704&lt;&gt;"",TIME(HOUR(TRANSACTIONS!$A1704),MINUTE(TRANSACTIONS!$A1704),SECOND(TRANSACTIONS!$A1704)),"")</f>
        <v>0.67939814814814825</v>
      </c>
      <c r="D1704" s="82" t="s">
        <v>62</v>
      </c>
      <c r="E1704" s="82" t="s">
        <v>6</v>
      </c>
      <c r="F1704" s="94">
        <v>10000</v>
      </c>
      <c r="G1704" s="46"/>
      <c r="H1704" s="46">
        <f>IFERROR(TRANSACTIONS!$F1704+TRANSACTIONS!$G1704,"")</f>
        <v>10000</v>
      </c>
      <c r="I1704" s="57" t="s">
        <v>41</v>
      </c>
    </row>
    <row r="1705" spans="1:10" x14ac:dyDescent="0.25">
      <c r="A1705" s="41">
        <v>45344.679407175929</v>
      </c>
      <c r="B1705" s="48">
        <f>IF(A1705&lt;&gt;"",DATE(YEAR(TRANSACTIONS!$A1705),MONTH(TRANSACTIONS!$A1705),DAY(TRANSACTIONS!$A1705)),"")</f>
        <v>45344</v>
      </c>
      <c r="C1705" s="49">
        <f>IF(A1705&lt;&gt;"",TIME(HOUR(TRANSACTIONS!$A1705),MINUTE(TRANSACTIONS!$A1705),SECOND(TRANSACTIONS!$A1705)),"")</f>
        <v>0.67940972222222218</v>
      </c>
      <c r="D1705" s="82" t="s">
        <v>62</v>
      </c>
      <c r="E1705" s="82" t="s">
        <v>6</v>
      </c>
      <c r="F1705" s="94">
        <v>400000</v>
      </c>
      <c r="G1705" s="46"/>
      <c r="H1705" s="46">
        <f>IFERROR(TRANSACTIONS!$F1705+TRANSACTIONS!$G1705,"")</f>
        <v>400000</v>
      </c>
      <c r="I1705" s="57" t="s">
        <v>41</v>
      </c>
    </row>
    <row r="1706" spans="1:10" x14ac:dyDescent="0.25">
      <c r="A1706" s="41">
        <v>45344.679414583334</v>
      </c>
      <c r="B1706" s="48">
        <f>IF(A1706&lt;&gt;"",DATE(YEAR(TRANSACTIONS!$A1706),MONTH(TRANSACTIONS!$A1706),DAY(TRANSACTIONS!$A1706)),"")</f>
        <v>45344</v>
      </c>
      <c r="C1706" s="49">
        <f>IF(A1706&lt;&gt;"",TIME(HOUR(TRANSACTIONS!$A1706),MINUTE(TRANSACTIONS!$A1706),SECOND(TRANSACTIONS!$A1706)),"")</f>
        <v>0.67940972222222218</v>
      </c>
      <c r="D1706" s="82" t="s">
        <v>62</v>
      </c>
      <c r="E1706" s="82" t="s">
        <v>6</v>
      </c>
      <c r="F1706" s="94">
        <v>80000</v>
      </c>
      <c r="G1706" s="46"/>
      <c r="H1706" s="46">
        <f>IFERROR(TRANSACTIONS!$F1706+TRANSACTIONS!$G1706,"")</f>
        <v>80000</v>
      </c>
      <c r="I1706" s="57" t="s">
        <v>41</v>
      </c>
    </row>
    <row r="1707" spans="1:10" x14ac:dyDescent="0.25">
      <c r="A1707" s="41">
        <v>45344.679423032409</v>
      </c>
      <c r="B1707" s="48">
        <f>IF(A1707&lt;&gt;"",DATE(YEAR(TRANSACTIONS!$A1707),MONTH(TRANSACTIONS!$A1707),DAY(TRANSACTIONS!$A1707)),"")</f>
        <v>45344</v>
      </c>
      <c r="C1707" s="49">
        <f>IF(A1707&lt;&gt;"",TIME(HOUR(TRANSACTIONS!$A1707),MINUTE(TRANSACTIONS!$A1707),SECOND(TRANSACTIONS!$A1707)),"")</f>
        <v>0.67942129629629633</v>
      </c>
      <c r="D1707" s="82" t="s">
        <v>62</v>
      </c>
      <c r="E1707" s="82" t="s">
        <v>7</v>
      </c>
      <c r="F1707" s="94">
        <v>4900</v>
      </c>
      <c r="G1707" s="46"/>
      <c r="H1707" s="46">
        <f>IFERROR(TRANSACTIONS!$F1707+TRANSACTIONS!$G1707,"")</f>
        <v>4900</v>
      </c>
      <c r="I1707" s="57" t="s">
        <v>41</v>
      </c>
    </row>
    <row r="1708" spans="1:10" x14ac:dyDescent="0.25">
      <c r="A1708" s="41">
        <v>45344.679441319444</v>
      </c>
      <c r="B1708" s="48">
        <f>IF(A1708&lt;&gt;"",DATE(YEAR(TRANSACTIONS!$A1708),MONTH(TRANSACTIONS!$A1708),DAY(TRANSACTIONS!$A1708)),"")</f>
        <v>45344</v>
      </c>
      <c r="C1708" s="49">
        <f>IF(A1708&lt;&gt;"",TIME(HOUR(TRANSACTIONS!$A1708),MINUTE(TRANSACTIONS!$A1708),SECOND(TRANSACTIONS!$A1708)),"")</f>
        <v>0.67944444444444441</v>
      </c>
      <c r="D1708" s="82" t="s">
        <v>62</v>
      </c>
      <c r="E1708" s="82" t="s">
        <v>7</v>
      </c>
      <c r="F1708" s="94">
        <v>1000</v>
      </c>
      <c r="G1708" s="46"/>
      <c r="H1708" s="46">
        <f>IFERROR(TRANSACTIONS!$F1708+TRANSACTIONS!$G1708,"")</f>
        <v>1000</v>
      </c>
      <c r="I1708" s="57" t="s">
        <v>41</v>
      </c>
    </row>
    <row r="1709" spans="1:10" x14ac:dyDescent="0.25">
      <c r="A1709" s="41">
        <v>45344.679449768519</v>
      </c>
      <c r="B1709" s="48">
        <f>IF(A1709&lt;&gt;"",DATE(YEAR(TRANSACTIONS!$A1709),MONTH(TRANSACTIONS!$A1709),DAY(TRANSACTIONS!$A1709)),"")</f>
        <v>45344</v>
      </c>
      <c r="C1709" s="49">
        <f>IF(A1709&lt;&gt;"",TIME(HOUR(TRANSACTIONS!$A1709),MINUTE(TRANSACTIONS!$A1709),SECOND(TRANSACTIONS!$A1709)),"")</f>
        <v>0.67944444444444441</v>
      </c>
      <c r="D1709" s="82" t="s">
        <v>25</v>
      </c>
      <c r="E1709" s="82" t="s">
        <v>6</v>
      </c>
      <c r="F1709" s="94">
        <v>2000</v>
      </c>
      <c r="G1709" s="46"/>
      <c r="H1709" s="46">
        <f>IFERROR(TRANSACTIONS!$F1709+TRANSACTIONS!$G1709,"")</f>
        <v>2000</v>
      </c>
      <c r="I1709" s="57" t="s">
        <v>41</v>
      </c>
    </row>
    <row r="1710" spans="1:10" x14ac:dyDescent="0.25">
      <c r="A1710" s="41">
        <v>45344.679457407408</v>
      </c>
      <c r="B1710" s="48">
        <f>IF(A1710&lt;&gt;"",DATE(YEAR(TRANSACTIONS!$A1710),MONTH(TRANSACTIONS!$A1710),DAY(TRANSACTIONS!$A1710)),"")</f>
        <v>45344</v>
      </c>
      <c r="C1710" s="49">
        <f>IF(A1710&lt;&gt;"",TIME(HOUR(TRANSACTIONS!$A1710),MINUTE(TRANSACTIONS!$A1710),SECOND(TRANSACTIONS!$A1710)),"")</f>
        <v>0.67945601851851845</v>
      </c>
      <c r="D1710" s="82"/>
      <c r="E1710" s="82"/>
      <c r="F1710" s="94"/>
      <c r="G1710" s="46"/>
      <c r="H1710" s="46">
        <f>IFERROR(TRANSACTIONS!$F1710+TRANSACTIONS!$G1710,"")</f>
        <v>0</v>
      </c>
      <c r="I1710" s="57" t="s">
        <v>41</v>
      </c>
    </row>
    <row r="1711" spans="1:10" x14ac:dyDescent="0.25">
      <c r="A1711" s="81">
        <v>45344.67946550926</v>
      </c>
      <c r="B1711" s="83">
        <f>IF(A1711&lt;&gt;"",DATE(YEAR(TRANSACTIONS!$A1711),MONTH(TRANSACTIONS!$A1711),DAY(TRANSACTIONS!$A1711)),"")</f>
        <v>45344</v>
      </c>
      <c r="C1711" s="84">
        <f>IF(A1711&lt;&gt;"",TIME(HOUR(TRANSACTIONS!$A1711),MINUTE(TRANSACTIONS!$A1711),SECOND(TRANSACTIONS!$A1711)),"")</f>
        <v>0.6794675925925926</v>
      </c>
      <c r="D1711" s="82" t="s">
        <v>25</v>
      </c>
      <c r="E1711" s="82" t="s">
        <v>7</v>
      </c>
      <c r="F1711" s="94">
        <v>40000</v>
      </c>
      <c r="G1711" s="86"/>
      <c r="H1711" s="86">
        <f>IFERROR(TRANSACTIONS!$F1711+TRANSACTIONS!$G1711,"")</f>
        <v>40000</v>
      </c>
      <c r="I1711" s="87" t="s">
        <v>41</v>
      </c>
    </row>
    <row r="1712" spans="1:10" x14ac:dyDescent="0.25">
      <c r="A1712" s="41">
        <v>45344.679559143522</v>
      </c>
      <c r="B1712" s="48">
        <f>IF(A1712&lt;&gt;"",DATE(YEAR(TRANSACTIONS!$A1712),MONTH(TRANSACTIONS!$A1712),DAY(TRANSACTIONS!$A1712)),"")</f>
        <v>45344</v>
      </c>
      <c r="C1712" s="49">
        <f>IF(A1712&lt;&gt;"",TIME(HOUR(TRANSACTIONS!$A1712),MINUTE(TRANSACTIONS!$A1712),SECOND(TRANSACTIONS!$A1712)),"")</f>
        <v>0.67956018518518524</v>
      </c>
      <c r="D1712" s="82" t="s">
        <v>25</v>
      </c>
      <c r="E1712" s="82" t="s">
        <v>7</v>
      </c>
      <c r="F1712" s="94">
        <v>2500</v>
      </c>
      <c r="G1712" s="46"/>
      <c r="H1712" s="46">
        <f>IFERROR(TRANSACTIONS!$F1712+TRANSACTIONS!$G1712,"")</f>
        <v>2500</v>
      </c>
      <c r="I1712" s="57" t="s">
        <v>41</v>
      </c>
    </row>
    <row r="1713" spans="1:10" x14ac:dyDescent="0.25">
      <c r="A1713" s="41">
        <v>45344.679569328706</v>
      </c>
      <c r="B1713" s="48">
        <f>IF(A1713&lt;&gt;"",DATE(YEAR(TRANSACTIONS!$A1713),MONTH(TRANSACTIONS!$A1713),DAY(TRANSACTIONS!$A1713)),"")</f>
        <v>45344</v>
      </c>
      <c r="C1713" s="49">
        <f>IF(A1713&lt;&gt;"",TIME(HOUR(TRANSACTIONS!$A1713),MINUTE(TRANSACTIONS!$A1713),SECOND(TRANSACTIONS!$A1713)),"")</f>
        <v>0.67957175925925928</v>
      </c>
      <c r="D1713" s="82" t="s">
        <v>25</v>
      </c>
      <c r="E1713" s="82" t="s">
        <v>6</v>
      </c>
      <c r="F1713" s="94">
        <v>200000</v>
      </c>
      <c r="G1713" s="46"/>
      <c r="H1713" s="46">
        <f>IFERROR(TRANSACTIONS!$F1713+TRANSACTIONS!$G1713,"")</f>
        <v>200000</v>
      </c>
      <c r="I1713" s="57" t="s">
        <v>41</v>
      </c>
    </row>
    <row r="1714" spans="1:10" x14ac:dyDescent="0.25">
      <c r="A1714" s="41">
        <v>45344.679578587966</v>
      </c>
      <c r="B1714" s="48">
        <f>IF(A1714&lt;&gt;"",DATE(YEAR(TRANSACTIONS!$A1714),MONTH(TRANSACTIONS!$A1714),DAY(TRANSACTIONS!$A1714)),"")</f>
        <v>45344</v>
      </c>
      <c r="C1714" s="49">
        <f>IF(A1714&lt;&gt;"",TIME(HOUR(TRANSACTIONS!$A1714),MINUTE(TRANSACTIONS!$A1714),SECOND(TRANSACTIONS!$A1714)),"")</f>
        <v>0.67958333333333332</v>
      </c>
      <c r="D1714" s="82" t="s">
        <v>25</v>
      </c>
      <c r="E1714" s="82" t="s">
        <v>7</v>
      </c>
      <c r="F1714" s="94">
        <v>4000</v>
      </c>
      <c r="G1714" s="46"/>
      <c r="H1714" s="46">
        <f>IFERROR(TRANSACTIONS!$F1714+TRANSACTIONS!$G1714,"")</f>
        <v>4000</v>
      </c>
      <c r="I1714" s="57" t="s">
        <v>41</v>
      </c>
    </row>
    <row r="1715" spans="1:10" x14ac:dyDescent="0.25">
      <c r="A1715" s="41">
        <v>45344.680136111114</v>
      </c>
      <c r="B1715" s="48">
        <f>IF(A1715&lt;&gt;"",DATE(YEAR(TRANSACTIONS!$A1715),MONTH(TRANSACTIONS!$A1715),DAY(TRANSACTIONS!$A1715)),"")</f>
        <v>45344</v>
      </c>
      <c r="C1715" s="49">
        <f>IF(A1715&lt;&gt;"",TIME(HOUR(TRANSACTIONS!$A1715),MINUTE(TRANSACTIONS!$A1715),SECOND(TRANSACTIONS!$A1715)),"")</f>
        <v>0.68013888888888896</v>
      </c>
      <c r="D1715" s="82" t="s">
        <v>25</v>
      </c>
      <c r="E1715" s="82" t="s">
        <v>7</v>
      </c>
      <c r="F1715" s="94">
        <v>25000</v>
      </c>
      <c r="G1715" s="46"/>
      <c r="H1715" s="46">
        <f>IFERROR(TRANSACTIONS!$F1715+TRANSACTIONS!$G1715,"")</f>
        <v>25000</v>
      </c>
      <c r="I1715" s="57" t="s">
        <v>41</v>
      </c>
    </row>
    <row r="1716" spans="1:10" x14ac:dyDescent="0.25">
      <c r="A1716" s="41">
        <v>45344.680174305555</v>
      </c>
      <c r="B1716" s="48">
        <f>IF(A1716&lt;&gt;"",DATE(YEAR(TRANSACTIONS!$A1716),MONTH(TRANSACTIONS!$A1716),DAY(TRANSACTIONS!$A1716)),"")</f>
        <v>45344</v>
      </c>
      <c r="C1716" s="49">
        <f>IF(A1716&lt;&gt;"",TIME(HOUR(TRANSACTIONS!$A1716),MINUTE(TRANSACTIONS!$A1716),SECOND(TRANSACTIONS!$A1716)),"")</f>
        <v>0.68017361111111108</v>
      </c>
      <c r="D1716" s="82" t="s">
        <v>25</v>
      </c>
      <c r="E1716" s="82" t="s">
        <v>7</v>
      </c>
      <c r="F1716" s="94">
        <v>10000</v>
      </c>
      <c r="G1716" s="46"/>
      <c r="H1716" s="46">
        <f>IFERROR(TRANSACTIONS!$F1716+TRANSACTIONS!$G1716,"")</f>
        <v>10000</v>
      </c>
      <c r="I1716" s="57" t="s">
        <v>41</v>
      </c>
    </row>
    <row r="1717" spans="1:10" x14ac:dyDescent="0.25">
      <c r="A1717" s="41">
        <v>45344.682405092593</v>
      </c>
      <c r="B1717" s="48">
        <f>IF(A1717&lt;&gt;"",DATE(YEAR(TRANSACTIONS!$A1717),MONTH(TRANSACTIONS!$A1717),DAY(TRANSACTIONS!$A1717)),"")</f>
        <v>45344</v>
      </c>
      <c r="C1717" s="49">
        <f>IF(A1717&lt;&gt;"",TIME(HOUR(TRANSACTIONS!$A1717),MINUTE(TRANSACTIONS!$A1717),SECOND(TRANSACTIONS!$A1717)),"")</f>
        <v>0.68240740740740735</v>
      </c>
      <c r="D1717" s="82" t="s">
        <v>25</v>
      </c>
      <c r="E1717" s="82" t="s">
        <v>6</v>
      </c>
      <c r="F1717" s="94">
        <v>1500</v>
      </c>
      <c r="G1717" s="46"/>
      <c r="H1717" s="46">
        <f>IFERROR(TRANSACTIONS!$F1717+TRANSACTIONS!$G1717,"")</f>
        <v>1500</v>
      </c>
      <c r="I1717" s="57" t="s">
        <v>41</v>
      </c>
    </row>
    <row r="1718" spans="1:10" x14ac:dyDescent="0.25">
      <c r="A1718" s="41">
        <v>45344.682458912037</v>
      </c>
      <c r="B1718" s="48">
        <f>IF(A1718&lt;&gt;"",DATE(YEAR(TRANSACTIONS!$A1718),MONTH(TRANSACTIONS!$A1718),DAY(TRANSACTIONS!$A1718)),"")</f>
        <v>45344</v>
      </c>
      <c r="C1718" s="49">
        <f>IF(A1718&lt;&gt;"",TIME(HOUR(TRANSACTIONS!$A1718),MINUTE(TRANSACTIONS!$A1718),SECOND(TRANSACTIONS!$A1718)),"")</f>
        <v>0.68245370370370362</v>
      </c>
      <c r="D1718" s="82" t="s">
        <v>25</v>
      </c>
      <c r="E1718" s="82" t="s">
        <v>7</v>
      </c>
      <c r="F1718" s="94">
        <v>17000</v>
      </c>
      <c r="G1718" s="46"/>
      <c r="H1718" s="46">
        <f>IFERROR(TRANSACTIONS!$F1718+TRANSACTIONS!$G1718,"")</f>
        <v>17000</v>
      </c>
      <c r="I1718" s="57" t="s">
        <v>41</v>
      </c>
    </row>
    <row r="1719" spans="1:10" x14ac:dyDescent="0.25">
      <c r="A1719" s="41"/>
      <c r="B1719" s="48" t="str">
        <f>IF(A1719&lt;&gt;"",DATE(YEAR(TRANSACTIONS!$A1719),MONTH(TRANSACTIONS!$A1719),DAY(TRANSACTIONS!$A1719)),"")</f>
        <v/>
      </c>
      <c r="C1719" s="49" t="str">
        <f>IF(A1719&lt;&gt;"",TIME(HOUR(TRANSACTIONS!$A1719),MINUTE(TRANSACTIONS!$A1719),SECOND(TRANSACTIONS!$A1719)),"")</f>
        <v/>
      </c>
      <c r="D1719" s="82"/>
      <c r="E1719" s="82"/>
      <c r="F1719" s="180"/>
      <c r="G1719" s="46"/>
      <c r="H1719" s="46">
        <f>IFERROR(TRANSACTIONS!$F1719+TRANSACTIONS!$G1719,"")</f>
        <v>0</v>
      </c>
      <c r="I1719" s="57" t="s">
        <v>41</v>
      </c>
    </row>
    <row r="1720" spans="1:10" x14ac:dyDescent="0.25">
      <c r="A1720" s="41">
        <v>45345.381915393518</v>
      </c>
      <c r="B1720" s="48">
        <f>IF(A1720&lt;&gt;"",DATE(YEAR(TRANSACTIONS!$A1720),MONTH(TRANSACTIONS!$A1720),DAY(TRANSACTIONS!$A1720)),"")</f>
        <v>45345</v>
      </c>
      <c r="C1720" s="49">
        <f>IF(A1720&lt;&gt;"",TIME(HOUR(TRANSACTIONS!$A1720),MINUTE(TRANSACTIONS!$A1720),SECOND(TRANSACTIONS!$A1720)),"")</f>
        <v>0.38190972222222225</v>
      </c>
      <c r="D1720" s="82" t="s">
        <v>62</v>
      </c>
      <c r="E1720" s="82" t="s">
        <v>7</v>
      </c>
      <c r="F1720" s="94">
        <v>10000</v>
      </c>
      <c r="G1720" s="46"/>
      <c r="H1720" s="46">
        <f>IFERROR(TRANSACTIONS!$F1720+TRANSACTIONS!$G1720,"")</f>
        <v>10000</v>
      </c>
      <c r="I1720" s="57" t="s">
        <v>41</v>
      </c>
    </row>
    <row r="1721" spans="1:10" x14ac:dyDescent="0.25">
      <c r="A1721" s="41">
        <v>45345.381924652778</v>
      </c>
      <c r="B1721" s="48">
        <f>IF(A1721&lt;&gt;"",DATE(YEAR(TRANSACTIONS!$A1721),MONTH(TRANSACTIONS!$A1721),DAY(TRANSACTIONS!$A1721)),"")</f>
        <v>45345</v>
      </c>
      <c r="C1721" s="49">
        <f>IF(A1721&lt;&gt;"",TIME(HOUR(TRANSACTIONS!$A1721),MINUTE(TRANSACTIONS!$A1721),SECOND(TRANSACTIONS!$A1721)),"")</f>
        <v>0.38192129629629629</v>
      </c>
      <c r="D1721" s="82" t="s">
        <v>62</v>
      </c>
      <c r="E1721" s="82" t="s">
        <v>7</v>
      </c>
      <c r="F1721" s="94">
        <v>1000</v>
      </c>
      <c r="G1721" s="46"/>
      <c r="H1721" s="46">
        <f>IFERROR(TRANSACTIONS!$F1721+TRANSACTIONS!$G1721,"")</f>
        <v>1000</v>
      </c>
      <c r="I1721" s="57" t="s">
        <v>41</v>
      </c>
    </row>
    <row r="1722" spans="1:10" x14ac:dyDescent="0.25">
      <c r="A1722" s="41">
        <v>45345.381987037035</v>
      </c>
      <c r="B1722" s="48">
        <f>IF(A1722&lt;&gt;"",DATE(YEAR(TRANSACTIONS!$A1722),MONTH(TRANSACTIONS!$A1722),DAY(TRANSACTIONS!$A1722)),"")</f>
        <v>45345</v>
      </c>
      <c r="C1722" s="49">
        <f>IF(A1722&lt;&gt;"",TIME(HOUR(TRANSACTIONS!$A1722),MINUTE(TRANSACTIONS!$A1722),SECOND(TRANSACTIONS!$A1722)),"")</f>
        <v>0.38199074074074074</v>
      </c>
      <c r="D1722" s="82" t="s">
        <v>62</v>
      </c>
      <c r="E1722" s="82" t="s">
        <v>6</v>
      </c>
      <c r="F1722" s="94">
        <v>10000</v>
      </c>
      <c r="G1722" s="46"/>
      <c r="H1722" s="46">
        <f>IFERROR(TRANSACTIONS!$F1722+TRANSACTIONS!$G1722,"")</f>
        <v>10000</v>
      </c>
      <c r="I1722" s="57" t="s">
        <v>41</v>
      </c>
    </row>
    <row r="1723" spans="1:10" x14ac:dyDescent="0.25">
      <c r="A1723" s="41">
        <v>45345.4053369213</v>
      </c>
      <c r="B1723" s="48">
        <f>IF(A1723&lt;&gt;"",DATE(YEAR(TRANSACTIONS!$A1723),MONTH(TRANSACTIONS!$A1723),DAY(TRANSACTIONS!$A1723)),"")</f>
        <v>45345</v>
      </c>
      <c r="C1723" s="49">
        <f>IF(A1723&lt;&gt;"",TIME(HOUR(TRANSACTIONS!$A1723),MINUTE(TRANSACTIONS!$A1723),SECOND(TRANSACTIONS!$A1723)),"")</f>
        <v>0.4053356481481481</v>
      </c>
      <c r="D1723" s="82" t="s">
        <v>62</v>
      </c>
      <c r="E1723" s="82" t="s">
        <v>6</v>
      </c>
      <c r="F1723" s="94">
        <v>5050</v>
      </c>
      <c r="G1723" s="46"/>
      <c r="H1723" s="46">
        <f>IFERROR(TRANSACTIONS!$F1723+TRANSACTIONS!$G1723,"")</f>
        <v>5050</v>
      </c>
      <c r="I1723" s="57" t="s">
        <v>41</v>
      </c>
    </row>
    <row r="1724" spans="1:10" x14ac:dyDescent="0.25">
      <c r="A1724" s="41">
        <v>45345.405365162034</v>
      </c>
      <c r="B1724" s="48">
        <f>IF(A1724&lt;&gt;"",DATE(YEAR(TRANSACTIONS!$A1724),MONTH(TRANSACTIONS!$A1724),DAY(TRANSACTIONS!$A1724)),"")</f>
        <v>45345</v>
      </c>
      <c r="C1724" s="49">
        <f>IF(A1724&lt;&gt;"",TIME(HOUR(TRANSACTIONS!$A1724),MINUTE(TRANSACTIONS!$A1724),SECOND(TRANSACTIONS!$A1724)),"")</f>
        <v>0.40537037037037038</v>
      </c>
      <c r="D1724" s="82" t="s">
        <v>62</v>
      </c>
      <c r="E1724" s="82" t="s">
        <v>7</v>
      </c>
      <c r="F1724" s="94">
        <v>2000</v>
      </c>
      <c r="G1724" s="46"/>
      <c r="H1724" s="46">
        <f>IFERROR(TRANSACTIONS!$F1724+TRANSACTIONS!$G1724,"")</f>
        <v>2000</v>
      </c>
      <c r="I1724" s="57" t="s">
        <v>41</v>
      </c>
    </row>
    <row r="1725" spans="1:10" x14ac:dyDescent="0.25">
      <c r="A1725" s="213">
        <v>45345.405373842594</v>
      </c>
      <c r="B1725" s="214">
        <f>IF(A1725&lt;&gt;"",DATE(YEAR(TRANSACTIONS!$A1725),MONTH(TRANSACTIONS!$A1725),DAY(TRANSACTIONS!$A1725)),"")</f>
        <v>45345</v>
      </c>
      <c r="C1725" s="215">
        <f>IF(A1725&lt;&gt;"",TIME(HOUR(TRANSACTIONS!$A1725),MINUTE(TRANSACTIONS!$A1725),SECOND(TRANSACTIONS!$A1725)),"")</f>
        <v>0.40537037037037038</v>
      </c>
      <c r="D1725" s="216" t="s">
        <v>62</v>
      </c>
      <c r="E1725" s="216" t="s">
        <v>6</v>
      </c>
      <c r="F1725" s="204">
        <v>23300</v>
      </c>
      <c r="G1725" s="217"/>
      <c r="H1725" s="217">
        <f>IFERROR(TRANSACTIONS!$F1725+TRANSACTIONS!$G1725,"")</f>
        <v>23300</v>
      </c>
      <c r="I1725" s="218" t="s">
        <v>41</v>
      </c>
      <c r="J1725" s="219" t="s">
        <v>40</v>
      </c>
    </row>
    <row r="1726" spans="1:10" x14ac:dyDescent="0.25">
      <c r="A1726" s="41">
        <v>45345.40538935185</v>
      </c>
      <c r="B1726" s="48">
        <f>IF(A1726&lt;&gt;"",DATE(YEAR(TRANSACTIONS!$A1726),MONTH(TRANSACTIONS!$A1726),DAY(TRANSACTIONS!$A1726)),"")</f>
        <v>45345</v>
      </c>
      <c r="C1726" s="49">
        <f>IF(A1726&lt;&gt;"",TIME(HOUR(TRANSACTIONS!$A1726),MINUTE(TRANSACTIONS!$A1726),SECOND(TRANSACTIONS!$A1726)),"")</f>
        <v>0.40539351851851851</v>
      </c>
      <c r="D1726" s="82" t="s">
        <v>62</v>
      </c>
      <c r="E1726" s="82" t="s">
        <v>7</v>
      </c>
      <c r="F1726" s="94">
        <v>8000</v>
      </c>
      <c r="G1726" s="46"/>
      <c r="H1726" s="46">
        <f>IFERROR(TRANSACTIONS!$F1726+TRANSACTIONS!$G1726,"")</f>
        <v>8000</v>
      </c>
      <c r="I1726" s="57" t="s">
        <v>41</v>
      </c>
    </row>
    <row r="1727" spans="1:10" x14ac:dyDescent="0.25">
      <c r="A1727" s="41">
        <v>45345.405398379633</v>
      </c>
      <c r="B1727" s="48">
        <f>IF(A1727&lt;&gt;"",DATE(YEAR(TRANSACTIONS!$A1727),MONTH(TRANSACTIONS!$A1727),DAY(TRANSACTIONS!$A1727)),"")</f>
        <v>45345</v>
      </c>
      <c r="C1727" s="49">
        <f>IF(A1727&lt;&gt;"",TIME(HOUR(TRANSACTIONS!$A1727),MINUTE(TRANSACTIONS!$A1727),SECOND(TRANSACTIONS!$A1727)),"")</f>
        <v>0.40539351851851851</v>
      </c>
      <c r="D1727" s="82" t="s">
        <v>62</v>
      </c>
      <c r="E1727" s="82" t="s">
        <v>6</v>
      </c>
      <c r="F1727" s="94">
        <v>5000</v>
      </c>
      <c r="G1727" s="46"/>
      <c r="H1727" s="46">
        <f>IFERROR(TRANSACTIONS!$F1727+TRANSACTIONS!$G1727,"")</f>
        <v>5000</v>
      </c>
      <c r="I1727" s="57" t="s">
        <v>41</v>
      </c>
    </row>
    <row r="1728" spans="1:10" x14ac:dyDescent="0.25">
      <c r="A1728" s="113">
        <v>45345.405405787038</v>
      </c>
      <c r="B1728" s="114">
        <f>IF(A1728&lt;&gt;"",DATE(YEAR(TRANSACTIONS!$A1728),MONTH(TRANSACTIONS!$A1728),DAY(TRANSACTIONS!$A1728)),"")</f>
        <v>45345</v>
      </c>
      <c r="C1728" s="115">
        <f>IF(A1728&lt;&gt;"",TIME(HOUR(TRANSACTIONS!$A1728),MINUTE(TRANSACTIONS!$A1728),SECOND(TRANSACTIONS!$A1728)),"")</f>
        <v>0.40540509259259255</v>
      </c>
      <c r="D1728" s="116" t="s">
        <v>62</v>
      </c>
      <c r="E1728" s="116" t="s">
        <v>7</v>
      </c>
      <c r="F1728" s="185">
        <v>5000</v>
      </c>
      <c r="G1728" s="117"/>
      <c r="H1728" s="117">
        <f>IFERROR(TRANSACTIONS!$F1728+TRANSACTIONS!$G1728,"")</f>
        <v>5000</v>
      </c>
      <c r="I1728" s="123" t="s">
        <v>41</v>
      </c>
      <c r="J1728" s="118"/>
    </row>
    <row r="1729" spans="1:10" x14ac:dyDescent="0.25">
      <c r="A1729" s="41">
        <v>45345.40541284722</v>
      </c>
      <c r="B1729" s="48">
        <f>IF(A1729&lt;&gt;"",DATE(YEAR(TRANSACTIONS!$A1729),MONTH(TRANSACTIONS!$A1729),DAY(TRANSACTIONS!$A1729)),"")</f>
        <v>45345</v>
      </c>
      <c r="C1729" s="49">
        <f>IF(A1729&lt;&gt;"",TIME(HOUR(TRANSACTIONS!$A1729),MINUTE(TRANSACTIONS!$A1729),SECOND(TRANSACTIONS!$A1729)),"")</f>
        <v>0.4054166666666667</v>
      </c>
      <c r="D1729" s="82" t="s">
        <v>62</v>
      </c>
      <c r="E1729" s="82" t="s">
        <v>6</v>
      </c>
      <c r="F1729" s="94">
        <v>1000</v>
      </c>
      <c r="G1729" s="46"/>
      <c r="H1729" s="46">
        <f>IFERROR(TRANSACTIONS!$F1729+TRANSACTIONS!$G1729,"")</f>
        <v>1000</v>
      </c>
      <c r="I1729" s="57" t="s">
        <v>41</v>
      </c>
    </row>
    <row r="1730" spans="1:10" x14ac:dyDescent="0.25">
      <c r="A1730" s="41">
        <v>45345.405420949071</v>
      </c>
      <c r="B1730" s="48">
        <f>IF(A1730&lt;&gt;"",DATE(YEAR(TRANSACTIONS!$A1730),MONTH(TRANSACTIONS!$A1730),DAY(TRANSACTIONS!$A1730)),"")</f>
        <v>45345</v>
      </c>
      <c r="C1730" s="49">
        <f>IF(A1730&lt;&gt;"",TIME(HOUR(TRANSACTIONS!$A1730),MINUTE(TRANSACTIONS!$A1730),SECOND(TRANSACTIONS!$A1730)),"")</f>
        <v>0.4054166666666667</v>
      </c>
      <c r="D1730" s="82" t="s">
        <v>62</v>
      </c>
      <c r="E1730" s="82" t="s">
        <v>7</v>
      </c>
      <c r="F1730" s="94">
        <v>5000</v>
      </c>
      <c r="G1730" s="46"/>
      <c r="H1730" s="46">
        <f>IFERROR(TRANSACTIONS!$F1730+TRANSACTIONS!$G1730,"")</f>
        <v>5000</v>
      </c>
      <c r="I1730" s="57" t="s">
        <v>41</v>
      </c>
    </row>
    <row r="1731" spans="1:10" x14ac:dyDescent="0.25">
      <c r="A1731" s="41">
        <v>45345.405428819446</v>
      </c>
      <c r="B1731" s="48">
        <f>IF(A1731&lt;&gt;"",DATE(YEAR(TRANSACTIONS!$A1731),MONTH(TRANSACTIONS!$A1731),DAY(TRANSACTIONS!$A1731)),"")</f>
        <v>45345</v>
      </c>
      <c r="C1731" s="49">
        <f>IF(A1731&lt;&gt;"",TIME(HOUR(TRANSACTIONS!$A1731),MINUTE(TRANSACTIONS!$A1731),SECOND(TRANSACTIONS!$A1731)),"")</f>
        <v>0.40542824074074074</v>
      </c>
      <c r="D1731" s="82" t="s">
        <v>62</v>
      </c>
      <c r="E1731" s="82" t="s">
        <v>6</v>
      </c>
      <c r="F1731" s="94">
        <v>500</v>
      </c>
      <c r="G1731" s="46"/>
      <c r="H1731" s="46">
        <f>IFERROR(TRANSACTIONS!$F1731+TRANSACTIONS!$G1731,"")</f>
        <v>500</v>
      </c>
      <c r="I1731" s="57" t="s">
        <v>41</v>
      </c>
    </row>
    <row r="1732" spans="1:10" x14ac:dyDescent="0.25">
      <c r="A1732" s="41">
        <v>45345.405440856484</v>
      </c>
      <c r="B1732" s="48">
        <f>IF(A1732&lt;&gt;"",DATE(YEAR(TRANSACTIONS!$A1732),MONTH(TRANSACTIONS!$A1732),DAY(TRANSACTIONS!$A1732)),"")</f>
        <v>45345</v>
      </c>
      <c r="C1732" s="49">
        <f>IF(A1732&lt;&gt;"",TIME(HOUR(TRANSACTIONS!$A1732),MINUTE(TRANSACTIONS!$A1732),SECOND(TRANSACTIONS!$A1732)),"")</f>
        <v>0.40543981481481484</v>
      </c>
      <c r="D1732" s="82" t="s">
        <v>62</v>
      </c>
      <c r="E1732" s="82" t="s">
        <v>7</v>
      </c>
      <c r="F1732" s="94">
        <v>5000</v>
      </c>
      <c r="G1732" s="46"/>
      <c r="H1732" s="46">
        <f>IFERROR(TRANSACTIONS!$F1732+TRANSACTIONS!$G1732,"")</f>
        <v>5000</v>
      </c>
      <c r="I1732" s="57" t="s">
        <v>41</v>
      </c>
    </row>
    <row r="1733" spans="1:10" x14ac:dyDescent="0.25">
      <c r="A1733" s="41">
        <v>45345.458257175924</v>
      </c>
      <c r="B1733" s="48">
        <f>IF(A1733&lt;&gt;"",DATE(YEAR(TRANSACTIONS!$A1733),MONTH(TRANSACTIONS!$A1733),DAY(TRANSACTIONS!$A1733)),"")</f>
        <v>45345</v>
      </c>
      <c r="C1733" s="49">
        <f>IF(A1733&lt;&gt;"",TIME(HOUR(TRANSACTIONS!$A1733),MINUTE(TRANSACTIONS!$A1733),SECOND(TRANSACTIONS!$A1733)),"")</f>
        <v>0.45825231481481482</v>
      </c>
      <c r="D1733" s="82" t="s">
        <v>62</v>
      </c>
      <c r="E1733" s="82" t="s">
        <v>7</v>
      </c>
      <c r="F1733" s="94">
        <v>3000</v>
      </c>
      <c r="G1733" s="46"/>
      <c r="H1733" s="46">
        <f>IFERROR(TRANSACTIONS!$F1733+TRANSACTIONS!$G1733,"")</f>
        <v>3000</v>
      </c>
      <c r="I1733" s="57" t="s">
        <v>41</v>
      </c>
    </row>
    <row r="1734" spans="1:10" x14ac:dyDescent="0.25">
      <c r="A1734" s="41">
        <v>45345.458278356484</v>
      </c>
      <c r="B1734" s="48">
        <f>IF(A1734&lt;&gt;"",DATE(YEAR(TRANSACTIONS!$A1734),MONTH(TRANSACTIONS!$A1734),DAY(TRANSACTIONS!$A1734)),"")</f>
        <v>45345</v>
      </c>
      <c r="C1734" s="49">
        <f>IF(A1734&lt;&gt;"",TIME(HOUR(TRANSACTIONS!$A1734),MINUTE(TRANSACTIONS!$A1734),SECOND(TRANSACTIONS!$A1734)),"")</f>
        <v>0.45827546296296301</v>
      </c>
      <c r="D1734" s="82" t="s">
        <v>62</v>
      </c>
      <c r="E1734" s="82" t="s">
        <v>7</v>
      </c>
      <c r="F1734" s="94">
        <v>8000</v>
      </c>
      <c r="G1734" s="46"/>
      <c r="H1734" s="46">
        <f>IFERROR(TRANSACTIONS!$F1734+TRANSACTIONS!$G1734,"")</f>
        <v>8000</v>
      </c>
      <c r="I1734" s="57" t="s">
        <v>41</v>
      </c>
    </row>
    <row r="1735" spans="1:10" x14ac:dyDescent="0.25">
      <c r="A1735" s="41">
        <v>45345.458286689813</v>
      </c>
      <c r="B1735" s="48">
        <f>IF(A1735&lt;&gt;"",DATE(YEAR(TRANSACTIONS!$A1735),MONTH(TRANSACTIONS!$A1735),DAY(TRANSACTIONS!$A1735)),"")</f>
        <v>45345</v>
      </c>
      <c r="C1735" s="49">
        <f>IF(A1735&lt;&gt;"",TIME(HOUR(TRANSACTIONS!$A1735),MINUTE(TRANSACTIONS!$A1735),SECOND(TRANSACTIONS!$A1735)),"")</f>
        <v>0.45828703703703705</v>
      </c>
      <c r="D1735" s="82" t="s">
        <v>62</v>
      </c>
      <c r="E1735" s="82" t="s">
        <v>6</v>
      </c>
      <c r="F1735" s="94">
        <v>5000</v>
      </c>
      <c r="G1735" s="46"/>
      <c r="H1735" s="46">
        <f>IFERROR(TRANSACTIONS!$F1735+TRANSACTIONS!$G1735,"")</f>
        <v>5000</v>
      </c>
      <c r="I1735" s="57" t="s">
        <v>41</v>
      </c>
    </row>
    <row r="1736" spans="1:10" x14ac:dyDescent="0.25">
      <c r="A1736" s="81">
        <v>45345.458294444441</v>
      </c>
      <c r="B1736" s="83">
        <f>IF(A1736&lt;&gt;"",DATE(YEAR(TRANSACTIONS!$A1736),MONTH(TRANSACTIONS!$A1736),DAY(TRANSACTIONS!$A1736)),"")</f>
        <v>45345</v>
      </c>
      <c r="C1736" s="84">
        <f>IF(A1736&lt;&gt;"",TIME(HOUR(TRANSACTIONS!$A1736),MINUTE(TRANSACTIONS!$A1736),SECOND(TRANSACTIONS!$A1736)),"")</f>
        <v>0.45829861111111114</v>
      </c>
      <c r="D1736" s="82" t="s">
        <v>62</v>
      </c>
      <c r="E1736" s="82" t="s">
        <v>7</v>
      </c>
      <c r="F1736" s="94">
        <v>2000</v>
      </c>
      <c r="G1736" s="86"/>
      <c r="H1736" s="86">
        <f>IFERROR(TRANSACTIONS!$F1736+TRANSACTIONS!$G1736,"")</f>
        <v>2000</v>
      </c>
      <c r="I1736" s="87" t="s">
        <v>41</v>
      </c>
      <c r="J1736" s="88"/>
    </row>
    <row r="1737" spans="1:10" x14ac:dyDescent="0.25">
      <c r="A1737" s="81">
        <v>45345.458302083331</v>
      </c>
      <c r="B1737" s="83">
        <f>IF(A1737&lt;&gt;"",DATE(YEAR(TRANSACTIONS!$A1737),MONTH(TRANSACTIONS!$A1737),DAY(TRANSACTIONS!$A1737)),"")</f>
        <v>45345</v>
      </c>
      <c r="C1737" s="84">
        <f>IF(A1737&lt;&gt;"",TIME(HOUR(TRANSACTIONS!$A1737),MINUTE(TRANSACTIONS!$A1737),SECOND(TRANSACTIONS!$A1737)),"")</f>
        <v>0.45829861111111114</v>
      </c>
      <c r="D1737" s="82" t="s">
        <v>62</v>
      </c>
      <c r="E1737" s="82" t="s">
        <v>7</v>
      </c>
      <c r="F1737" s="94">
        <v>15000</v>
      </c>
      <c r="G1737" s="86"/>
      <c r="H1737" s="86">
        <f>IFERROR(TRANSACTIONS!$F1737+TRANSACTIONS!$G1737,"")</f>
        <v>15000</v>
      </c>
      <c r="I1737" s="87" t="s">
        <v>41</v>
      </c>
      <c r="J1737" s="88"/>
    </row>
    <row r="1738" spans="1:10" x14ac:dyDescent="0.25">
      <c r="A1738" s="41">
        <v>45345.458314930554</v>
      </c>
      <c r="B1738" s="48">
        <f>IF(A1738&lt;&gt;"",DATE(YEAR(TRANSACTIONS!$A1738),MONTH(TRANSACTIONS!$A1738),DAY(TRANSACTIONS!$A1738)),"")</f>
        <v>45345</v>
      </c>
      <c r="C1738" s="49">
        <f>IF(A1738&lt;&gt;"",TIME(HOUR(TRANSACTIONS!$A1738),MINUTE(TRANSACTIONS!$A1738),SECOND(TRANSACTIONS!$A1738)),"")</f>
        <v>0.45831018518518518</v>
      </c>
      <c r="D1738" s="82" t="s">
        <v>62</v>
      </c>
      <c r="E1738" s="82" t="s">
        <v>7</v>
      </c>
      <c r="F1738" s="94">
        <v>10000</v>
      </c>
      <c r="G1738" s="46"/>
      <c r="H1738" s="46">
        <f>IFERROR(TRANSACTIONS!$F1738+TRANSACTIONS!$G1738,"")</f>
        <v>10000</v>
      </c>
      <c r="I1738" s="57" t="s">
        <v>41</v>
      </c>
    </row>
    <row r="1739" spans="1:10" x14ac:dyDescent="0.25">
      <c r="A1739" s="41">
        <v>45345.458322106482</v>
      </c>
      <c r="B1739" s="48">
        <f>IF(A1739&lt;&gt;"",DATE(YEAR(TRANSACTIONS!$A1739),MONTH(TRANSACTIONS!$A1739),DAY(TRANSACTIONS!$A1739)),"")</f>
        <v>45345</v>
      </c>
      <c r="C1739" s="49">
        <f>IF(A1739&lt;&gt;"",TIME(HOUR(TRANSACTIONS!$A1739),MINUTE(TRANSACTIONS!$A1739),SECOND(TRANSACTIONS!$A1739)),"")</f>
        <v>0.45832175925925928</v>
      </c>
      <c r="D1739" s="82" t="s">
        <v>62</v>
      </c>
      <c r="E1739" s="82" t="s">
        <v>6</v>
      </c>
      <c r="F1739" s="94">
        <v>7000</v>
      </c>
      <c r="G1739" s="46"/>
      <c r="H1739" s="46">
        <f>IFERROR(TRANSACTIONS!$F1739+TRANSACTIONS!$G1739,"")</f>
        <v>7000</v>
      </c>
      <c r="I1739" s="57" t="s">
        <v>41</v>
      </c>
    </row>
    <row r="1740" spans="1:10" x14ac:dyDescent="0.25">
      <c r="A1740" s="41">
        <v>45345.458328587963</v>
      </c>
      <c r="B1740" s="48">
        <f>IF(A1740&lt;&gt;"",DATE(YEAR(TRANSACTIONS!$A1740),MONTH(TRANSACTIONS!$A1740),DAY(TRANSACTIONS!$A1740)),"")</f>
        <v>45345</v>
      </c>
      <c r="C1740" s="49">
        <f>IF(A1740&lt;&gt;"",TIME(HOUR(TRANSACTIONS!$A1740),MINUTE(TRANSACTIONS!$A1740),SECOND(TRANSACTIONS!$A1740)),"")</f>
        <v>0.45833333333333331</v>
      </c>
      <c r="D1740" s="82" t="s">
        <v>62</v>
      </c>
      <c r="E1740" s="82" t="s">
        <v>7</v>
      </c>
      <c r="F1740" s="94">
        <v>110000</v>
      </c>
      <c r="G1740" s="46"/>
      <c r="H1740" s="46">
        <f>IFERROR(TRANSACTIONS!$F1740+TRANSACTIONS!$G1740,"")</f>
        <v>110000</v>
      </c>
      <c r="I1740" s="57" t="s">
        <v>41</v>
      </c>
    </row>
    <row r="1741" spans="1:10" x14ac:dyDescent="0.25">
      <c r="A1741" s="41">
        <v>45345.458337847223</v>
      </c>
      <c r="B1741" s="48">
        <f>IF(A1741&lt;&gt;"",DATE(YEAR(TRANSACTIONS!$A1741),MONTH(TRANSACTIONS!$A1741),DAY(TRANSACTIONS!$A1741)),"")</f>
        <v>45345</v>
      </c>
      <c r="C1741" s="49">
        <f>IF(A1741&lt;&gt;"",TIME(HOUR(TRANSACTIONS!$A1741),MINUTE(TRANSACTIONS!$A1741),SECOND(TRANSACTIONS!$A1741)),"")</f>
        <v>0.45833333333333331</v>
      </c>
      <c r="D1741" s="82" t="s">
        <v>62</v>
      </c>
      <c r="E1741" s="82" t="s">
        <v>6</v>
      </c>
      <c r="F1741" s="94">
        <v>7000</v>
      </c>
      <c r="G1741" s="46"/>
      <c r="H1741" s="46">
        <f>IFERROR(TRANSACTIONS!$F1741+TRANSACTIONS!$G1741,"")</f>
        <v>7000</v>
      </c>
      <c r="I1741" s="57" t="s">
        <v>41</v>
      </c>
    </row>
    <row r="1742" spans="1:10" x14ac:dyDescent="0.25">
      <c r="A1742" s="41">
        <v>45345.458350578701</v>
      </c>
      <c r="B1742" s="48">
        <f>IF(A1742&lt;&gt;"",DATE(YEAR(TRANSACTIONS!$A1742),MONTH(TRANSACTIONS!$A1742),DAY(TRANSACTIONS!$A1742)),"")</f>
        <v>45345</v>
      </c>
      <c r="C1742" s="49">
        <f>IF(A1742&lt;&gt;"",TIME(HOUR(TRANSACTIONS!$A1742),MINUTE(TRANSACTIONS!$A1742),SECOND(TRANSACTIONS!$A1742)),"")</f>
        <v>0.45834490740740735</v>
      </c>
      <c r="D1742" s="82" t="s">
        <v>62</v>
      </c>
      <c r="E1742" s="82" t="s">
        <v>7</v>
      </c>
      <c r="F1742" s="94">
        <v>6000</v>
      </c>
      <c r="G1742" s="46"/>
      <c r="H1742" s="46">
        <f>IFERROR(TRANSACTIONS!$F1742+TRANSACTIONS!$G1742,"")</f>
        <v>6000</v>
      </c>
      <c r="I1742" s="57" t="s">
        <v>41</v>
      </c>
    </row>
    <row r="1743" spans="1:10" x14ac:dyDescent="0.25">
      <c r="A1743" s="41">
        <v>45345.462742592594</v>
      </c>
      <c r="B1743" s="48">
        <f>IF(A1743&lt;&gt;"",DATE(YEAR(TRANSACTIONS!$A1743),MONTH(TRANSACTIONS!$A1743),DAY(TRANSACTIONS!$A1743)),"")</f>
        <v>45345</v>
      </c>
      <c r="C1743" s="49">
        <f>IF(A1743&lt;&gt;"",TIME(HOUR(TRANSACTIONS!$A1743),MINUTE(TRANSACTIONS!$A1743),SECOND(TRANSACTIONS!$A1743)),"")</f>
        <v>0.46274305555555556</v>
      </c>
      <c r="D1743" s="82" t="s">
        <v>62</v>
      </c>
      <c r="E1743" s="82" t="s">
        <v>6</v>
      </c>
      <c r="F1743" s="269">
        <v>100000</v>
      </c>
      <c r="G1743" s="46"/>
      <c r="H1743" s="46">
        <f>IFERROR(TRANSACTIONS!$F1743+TRANSACTIONS!$G1743,"")</f>
        <v>100000</v>
      </c>
      <c r="I1743" s="57" t="s">
        <v>41</v>
      </c>
    </row>
    <row r="1744" spans="1:10" ht="18.75" x14ac:dyDescent="0.3">
      <c r="A1744" s="41">
        <v>45345.462789930556</v>
      </c>
      <c r="B1744" s="48">
        <f>IF(A1744&lt;&gt;"",DATE(YEAR(TRANSACTIONS!$A1744),MONTH(TRANSACTIONS!$A1744),DAY(TRANSACTIONS!$A1744)),"")</f>
        <v>45345</v>
      </c>
      <c r="C1744" s="49">
        <f>IF(A1744&lt;&gt;"",TIME(HOUR(TRANSACTIONS!$A1744),MINUTE(TRANSACTIONS!$A1744),SECOND(TRANSACTIONS!$A1744)),"")</f>
        <v>0.46278935185185183</v>
      </c>
      <c r="D1744" s="82" t="s">
        <v>62</v>
      </c>
      <c r="E1744" s="82" t="s">
        <v>7</v>
      </c>
      <c r="F1744" s="270">
        <v>8500</v>
      </c>
      <c r="G1744" s="46"/>
      <c r="H1744" s="46">
        <f>IFERROR(TRANSACTIONS!$F1744+TRANSACTIONS!$G1744,"")</f>
        <v>8500</v>
      </c>
      <c r="I1744" s="57" t="s">
        <v>41</v>
      </c>
    </row>
    <row r="1745" spans="1:10" x14ac:dyDescent="0.25">
      <c r="A1745" s="41">
        <v>45345.462799537039</v>
      </c>
      <c r="B1745" s="48">
        <f>IF(A1745&lt;&gt;"",DATE(YEAR(TRANSACTIONS!$A1745),MONTH(TRANSACTIONS!$A1745),DAY(TRANSACTIONS!$A1745)),"")</f>
        <v>45345</v>
      </c>
      <c r="C1745" s="49">
        <f>IF(A1745&lt;&gt;"",TIME(HOUR(TRANSACTIONS!$A1745),MINUTE(TRANSACTIONS!$A1745),SECOND(TRANSACTIONS!$A1745)),"")</f>
        <v>0.46280092592592598</v>
      </c>
      <c r="D1745" s="82" t="s">
        <v>62</v>
      </c>
      <c r="E1745" s="82" t="s">
        <v>6</v>
      </c>
      <c r="F1745" s="94">
        <v>1000</v>
      </c>
      <c r="G1745" s="46"/>
      <c r="H1745" s="46">
        <f>IFERROR(TRANSACTIONS!$F1745+TRANSACTIONS!$G1745,"")</f>
        <v>1000</v>
      </c>
      <c r="I1745" s="57" t="s">
        <v>41</v>
      </c>
    </row>
    <row r="1746" spans="1:10" x14ac:dyDescent="0.25">
      <c r="A1746" s="41">
        <v>45345.805656365737</v>
      </c>
      <c r="B1746" s="48">
        <f>IF(A1746&lt;&gt;"",DATE(YEAR(TRANSACTIONS!$A1746),MONTH(TRANSACTIONS!$A1746),DAY(TRANSACTIONS!$A1746)),"")</f>
        <v>45345</v>
      </c>
      <c r="C1746" s="49">
        <f>IF(A1746&lt;&gt;"",TIME(HOUR(TRANSACTIONS!$A1746),MINUTE(TRANSACTIONS!$A1746),SECOND(TRANSACTIONS!$A1746)),"")</f>
        <v>0.80565972222222226</v>
      </c>
      <c r="D1746" s="82" t="s">
        <v>62</v>
      </c>
      <c r="E1746" s="82" t="s">
        <v>7</v>
      </c>
      <c r="F1746" s="94">
        <v>10000</v>
      </c>
      <c r="G1746" s="46"/>
      <c r="H1746" s="46">
        <f>IFERROR(TRANSACTIONS!$F1746+TRANSACTIONS!$G1746,"")</f>
        <v>10000</v>
      </c>
      <c r="I1746" s="57" t="s">
        <v>41</v>
      </c>
    </row>
    <row r="1747" spans="1:10" x14ac:dyDescent="0.25">
      <c r="A1747" s="41">
        <v>45345.806316319446</v>
      </c>
      <c r="B1747" s="48">
        <f>IF(A1747&lt;&gt;"",DATE(YEAR(TRANSACTIONS!$A1747),MONTH(TRANSACTIONS!$A1747),DAY(TRANSACTIONS!$A1747)),"")</f>
        <v>45345</v>
      </c>
      <c r="C1747" s="49">
        <f>IF(A1747&lt;&gt;"",TIME(HOUR(TRANSACTIONS!$A1747),MINUTE(TRANSACTIONS!$A1747),SECOND(TRANSACTIONS!$A1747)),"")</f>
        <v>0.80631944444444448</v>
      </c>
      <c r="D1747" s="82" t="s">
        <v>62</v>
      </c>
      <c r="E1747" s="82" t="s">
        <v>7</v>
      </c>
      <c r="F1747" s="94">
        <v>30000</v>
      </c>
      <c r="G1747" s="46"/>
      <c r="H1747" s="46">
        <f>IFERROR(TRANSACTIONS!$F1747+TRANSACTIONS!$G1747,"")</f>
        <v>30000</v>
      </c>
      <c r="I1747" s="57" t="s">
        <v>41</v>
      </c>
    </row>
    <row r="1748" spans="1:10" x14ac:dyDescent="0.25">
      <c r="A1748" s="41">
        <v>45345.806340162038</v>
      </c>
      <c r="B1748" s="48">
        <f>IF(A1748&lt;&gt;"",DATE(YEAR(TRANSACTIONS!$A1748),MONTH(TRANSACTIONS!$A1748),DAY(TRANSACTIONS!$A1748)),"")</f>
        <v>45345</v>
      </c>
      <c r="C1748" s="49">
        <f>IF(A1748&lt;&gt;"",TIME(HOUR(TRANSACTIONS!$A1748),MINUTE(TRANSACTIONS!$A1748),SECOND(TRANSACTIONS!$A1748)),"")</f>
        <v>0.80634259259259267</v>
      </c>
      <c r="D1748" s="82" t="s">
        <v>62</v>
      </c>
      <c r="E1748" s="82" t="s">
        <v>7</v>
      </c>
      <c r="F1748" s="94">
        <v>1000</v>
      </c>
      <c r="G1748" s="46"/>
      <c r="H1748" s="46">
        <f>IFERROR(TRANSACTIONS!$F1748+TRANSACTIONS!$G1748,"")</f>
        <v>1000</v>
      </c>
      <c r="I1748" s="57" t="s">
        <v>41</v>
      </c>
    </row>
    <row r="1749" spans="1:10" x14ac:dyDescent="0.25">
      <c r="A1749" s="41">
        <v>45345.806322685188</v>
      </c>
      <c r="B1749" s="48">
        <f>IF(A1749&lt;&gt;"",DATE(YEAR(TRANSACTIONS!$A1749),MONTH(TRANSACTIONS!$A1749),DAY(TRANSACTIONS!$A1749)),"")</f>
        <v>45345</v>
      </c>
      <c r="C1749" s="49">
        <f>IF(A1749&lt;&gt;"",TIME(HOUR(TRANSACTIONS!$A1749),MINUTE(TRANSACTIONS!$A1749),SECOND(TRANSACTIONS!$A1749)),"")</f>
        <v>0.80631944444444448</v>
      </c>
      <c r="D1749" s="82" t="s">
        <v>62</v>
      </c>
      <c r="E1749" s="82" t="s">
        <v>6</v>
      </c>
      <c r="F1749" s="94">
        <v>5600</v>
      </c>
      <c r="G1749" s="46"/>
      <c r="H1749" s="46">
        <f>IFERROR(TRANSACTIONS!$F1749+TRANSACTIONS!$G1749,"")</f>
        <v>5600</v>
      </c>
      <c r="I1749" s="57" t="s">
        <v>41</v>
      </c>
    </row>
    <row r="1750" spans="1:10" x14ac:dyDescent="0.25">
      <c r="A1750" s="41">
        <v>45345.806364930555</v>
      </c>
      <c r="B1750" s="48">
        <f>IF(A1750&lt;&gt;"",DATE(YEAR(TRANSACTIONS!$A1750),MONTH(TRANSACTIONS!$A1750),DAY(TRANSACTIONS!$A1750)),"")</f>
        <v>45345</v>
      </c>
      <c r="C1750" s="49">
        <f>IF(A1750&lt;&gt;"",TIME(HOUR(TRANSACTIONS!$A1750),MINUTE(TRANSACTIONS!$A1750),SECOND(TRANSACTIONS!$A1750)),"")</f>
        <v>0.80636574074074074</v>
      </c>
      <c r="D1750" s="82" t="s">
        <v>62</v>
      </c>
      <c r="E1750" s="82" t="s">
        <v>6</v>
      </c>
      <c r="F1750" s="94">
        <v>2300</v>
      </c>
      <c r="G1750" s="46"/>
      <c r="H1750" s="46">
        <f>IFERROR(TRANSACTIONS!$F1750+TRANSACTIONS!$G1750,"")</f>
        <v>2300</v>
      </c>
      <c r="I1750" s="57" t="s">
        <v>41</v>
      </c>
    </row>
    <row r="1751" spans="1:10" x14ac:dyDescent="0.25">
      <c r="A1751" s="41">
        <v>45345.806438078704</v>
      </c>
      <c r="B1751" s="48">
        <f>IF(A1751&lt;&gt;"",DATE(YEAR(TRANSACTIONS!$A1751),MONTH(TRANSACTIONS!$A1751),DAY(TRANSACTIONS!$A1751)),"")</f>
        <v>45345</v>
      </c>
      <c r="C1751" s="49">
        <f>IF(A1751&lt;&gt;"",TIME(HOUR(TRANSACTIONS!$A1751),MINUTE(TRANSACTIONS!$A1751),SECOND(TRANSACTIONS!$A1751)),"")</f>
        <v>0.80643518518518509</v>
      </c>
      <c r="D1751" s="82" t="s">
        <v>62</v>
      </c>
      <c r="E1751" s="82" t="s">
        <v>6</v>
      </c>
      <c r="F1751" s="94">
        <v>1000</v>
      </c>
      <c r="G1751" s="46"/>
      <c r="H1751" s="46">
        <f>IFERROR(TRANSACTIONS!$F1751+TRANSACTIONS!$G1751,"")</f>
        <v>1000</v>
      </c>
      <c r="I1751" s="57" t="s">
        <v>41</v>
      </c>
    </row>
    <row r="1752" spans="1:10" x14ac:dyDescent="0.25">
      <c r="A1752" s="41">
        <v>45345.806459953703</v>
      </c>
      <c r="B1752" s="48">
        <f>IF(A1752&lt;&gt;"",DATE(YEAR(TRANSACTIONS!$A1752),MONTH(TRANSACTIONS!$A1752),DAY(TRANSACTIONS!$A1752)),"")</f>
        <v>45345</v>
      </c>
      <c r="C1752" s="49">
        <f>IF(A1752&lt;&gt;"",TIME(HOUR(TRANSACTIONS!$A1752),MINUTE(TRANSACTIONS!$A1752),SECOND(TRANSACTIONS!$A1752)),"")</f>
        <v>0.80645833333333339</v>
      </c>
      <c r="D1752" s="82" t="s">
        <v>62</v>
      </c>
      <c r="E1752" s="82" t="s">
        <v>7</v>
      </c>
      <c r="F1752" s="94">
        <v>3000</v>
      </c>
      <c r="G1752" s="46"/>
      <c r="H1752" s="46">
        <f>IFERROR(TRANSACTIONS!$F1752+TRANSACTIONS!$G1752,"")</f>
        <v>3000</v>
      </c>
      <c r="I1752" s="57" t="s">
        <v>41</v>
      </c>
    </row>
    <row r="1753" spans="1:10" x14ac:dyDescent="0.25">
      <c r="A1753" s="41">
        <v>45345.806445601855</v>
      </c>
      <c r="B1753" s="48">
        <f>IF(A1753&lt;&gt;"",DATE(YEAR(TRANSACTIONS!$A1753),MONTH(TRANSACTIONS!$A1753),DAY(TRANSACTIONS!$A1753)),"")</f>
        <v>45345</v>
      </c>
      <c r="C1753" s="49">
        <f>IF(A1753&lt;&gt;"",TIME(HOUR(TRANSACTIONS!$A1753),MINUTE(TRANSACTIONS!$A1753),SECOND(TRANSACTIONS!$A1753)),"")</f>
        <v>0.80644675925925924</v>
      </c>
      <c r="D1753" s="82" t="s">
        <v>62</v>
      </c>
      <c r="E1753" s="82" t="s">
        <v>6</v>
      </c>
      <c r="F1753" s="94">
        <v>20000</v>
      </c>
      <c r="G1753" s="46"/>
      <c r="H1753" s="46">
        <f>IFERROR(TRANSACTIONS!$F1753+TRANSACTIONS!$G1753,"")</f>
        <v>20000</v>
      </c>
      <c r="I1753" s="57" t="s">
        <v>41</v>
      </c>
    </row>
    <row r="1754" spans="1:10" x14ac:dyDescent="0.25">
      <c r="A1754" s="41">
        <v>45345.806470717594</v>
      </c>
      <c r="B1754" s="48">
        <f>IF(A1754&lt;&gt;"",DATE(YEAR(TRANSACTIONS!$A1754),MONTH(TRANSACTIONS!$A1754),DAY(TRANSACTIONS!$A1754)),"")</f>
        <v>45345</v>
      </c>
      <c r="C1754" s="49">
        <f>IF(A1754&lt;&gt;"",TIME(HOUR(TRANSACTIONS!$A1754),MINUTE(TRANSACTIONS!$A1754),SECOND(TRANSACTIONS!$A1754)),"")</f>
        <v>0.80646990740740743</v>
      </c>
      <c r="D1754" s="82" t="s">
        <v>62</v>
      </c>
      <c r="E1754" s="82" t="s">
        <v>6</v>
      </c>
      <c r="F1754" s="94">
        <v>5000</v>
      </c>
      <c r="G1754" s="46"/>
      <c r="H1754" s="46">
        <f>IFERROR(TRANSACTIONS!$F1754+TRANSACTIONS!$G1754,"")</f>
        <v>5000</v>
      </c>
      <c r="I1754" s="57" t="s">
        <v>41</v>
      </c>
    </row>
    <row r="1755" spans="1:10" x14ac:dyDescent="0.25">
      <c r="A1755" s="113">
        <v>45345.806490625</v>
      </c>
      <c r="B1755" s="114">
        <f>IF(A1755&lt;&gt;"",DATE(YEAR(TRANSACTIONS!$A1755),MONTH(TRANSACTIONS!$A1755),DAY(TRANSACTIONS!$A1755)),"")</f>
        <v>45345</v>
      </c>
      <c r="C1755" s="115">
        <f>IF(A1755&lt;&gt;"",TIME(HOUR(TRANSACTIONS!$A1755),MINUTE(TRANSACTIONS!$A1755),SECOND(TRANSACTIONS!$A1755)),"")</f>
        <v>0.8064930555555555</v>
      </c>
      <c r="D1755" s="82" t="s">
        <v>62</v>
      </c>
      <c r="E1755" s="82" t="s">
        <v>6</v>
      </c>
      <c r="F1755" s="94">
        <v>40000</v>
      </c>
      <c r="G1755" s="117"/>
      <c r="H1755" s="117">
        <f>IFERROR(TRANSACTIONS!$F1755+TRANSACTIONS!$G1755,"")</f>
        <v>40000</v>
      </c>
      <c r="I1755" s="123" t="s">
        <v>41</v>
      </c>
    </row>
    <row r="1756" spans="1:10" x14ac:dyDescent="0.25">
      <c r="A1756" s="81">
        <v>45345.809575462961</v>
      </c>
      <c r="B1756" s="83">
        <f>IF(A1756&lt;&gt;"",DATE(YEAR(TRANSACTIONS!$A1756),MONTH(TRANSACTIONS!$A1756),DAY(TRANSACTIONS!$A1756)),"")</f>
        <v>45345</v>
      </c>
      <c r="C1756" s="84">
        <f>IF(A1756&lt;&gt;"",TIME(HOUR(TRANSACTIONS!$A1756),MINUTE(TRANSACTIONS!$A1756),SECOND(TRANSACTIONS!$A1756)),"")</f>
        <v>0.80957175925925917</v>
      </c>
      <c r="D1756" s="82" t="s">
        <v>62</v>
      </c>
      <c r="E1756" s="82" t="s">
        <v>7</v>
      </c>
      <c r="F1756" s="94">
        <v>4000</v>
      </c>
      <c r="G1756" s="86"/>
      <c r="H1756" s="86">
        <f>IFERROR(TRANSACTIONS!$F1756+TRANSACTIONS!$G1756,"")</f>
        <v>4000</v>
      </c>
      <c r="I1756" s="87" t="s">
        <v>41</v>
      </c>
    </row>
    <row r="1757" spans="1:10" ht="18.75" x14ac:dyDescent="0.3">
      <c r="A1757" s="81">
        <v>45345.809894791666</v>
      </c>
      <c r="B1757" s="83">
        <f>IF(A1757&lt;&gt;"",DATE(YEAR(TRANSACTIONS!$A1757),MONTH(TRANSACTIONS!$A1757),DAY(TRANSACTIONS!$A1757)),"")</f>
        <v>45345</v>
      </c>
      <c r="C1757" s="84">
        <f>IF(A1757&lt;&gt;"",TIME(HOUR(TRANSACTIONS!$A1757),MINUTE(TRANSACTIONS!$A1757),SECOND(TRANSACTIONS!$A1757)),"")</f>
        <v>0.80989583333333337</v>
      </c>
      <c r="D1757" s="82" t="s">
        <v>62</v>
      </c>
      <c r="E1757" s="82" t="s">
        <v>7</v>
      </c>
      <c r="F1757" s="270">
        <v>1000</v>
      </c>
      <c r="G1757" s="86"/>
      <c r="H1757" s="86">
        <f>IFERROR(TRANSACTIONS!$F1757+TRANSACTIONS!$G1757,"")</f>
        <v>1000</v>
      </c>
      <c r="I1757" s="87" t="s">
        <v>41</v>
      </c>
      <c r="J1757" s="88"/>
    </row>
    <row r="1758" spans="1:10" x14ac:dyDescent="0.25">
      <c r="A1758" s="41">
        <v>45345.834819328702</v>
      </c>
      <c r="B1758" s="48">
        <f>IF(A1758&lt;&gt;"",DATE(YEAR(TRANSACTIONS!$A1758),MONTH(TRANSACTIONS!$A1758),DAY(TRANSACTIONS!$A1758)),"")</f>
        <v>45345</v>
      </c>
      <c r="C1758" s="49">
        <f>IF(A1758&lt;&gt;"",TIME(HOUR(TRANSACTIONS!$A1758),MINUTE(TRANSACTIONS!$A1758),SECOND(TRANSACTIONS!$A1758)),"")</f>
        <v>0.83481481481481479</v>
      </c>
      <c r="D1758" s="82" t="s">
        <v>62</v>
      </c>
      <c r="E1758" s="82" t="s">
        <v>7</v>
      </c>
      <c r="F1758" s="94">
        <v>20000</v>
      </c>
      <c r="G1758" s="46"/>
      <c r="H1758" s="46">
        <f>IFERROR(TRANSACTIONS!$F1758+TRANSACTIONS!$G1758,"")</f>
        <v>20000</v>
      </c>
      <c r="I1758" s="57" t="s">
        <v>41</v>
      </c>
    </row>
    <row r="1759" spans="1:10" x14ac:dyDescent="0.25">
      <c r="A1759" s="41">
        <v>45345.834822685189</v>
      </c>
      <c r="B1759" s="48">
        <f>IF(A1759&lt;&gt;"",DATE(YEAR(TRANSACTIONS!$A1759),MONTH(TRANSACTIONS!$A1759),DAY(TRANSACTIONS!$A1759)),"")</f>
        <v>45345</v>
      </c>
      <c r="C1759" s="49">
        <f>IF(A1759&lt;&gt;"",TIME(HOUR(TRANSACTIONS!$A1759),MINUTE(TRANSACTIONS!$A1759),SECOND(TRANSACTIONS!$A1759)),"")</f>
        <v>0.83482638888888883</v>
      </c>
      <c r="D1759" s="82" t="s">
        <v>62</v>
      </c>
      <c r="E1759" s="177" t="s">
        <v>7</v>
      </c>
      <c r="F1759" s="268">
        <v>100000</v>
      </c>
      <c r="G1759" s="46"/>
      <c r="H1759" s="46">
        <f>IFERROR(TRANSACTIONS!$F1759+TRANSACTIONS!$G1759,"")</f>
        <v>100000</v>
      </c>
      <c r="I1759" s="57" t="s">
        <v>41</v>
      </c>
    </row>
    <row r="1760" spans="1:10" x14ac:dyDescent="0.25">
      <c r="A1760" s="41">
        <v>45345.834864699071</v>
      </c>
      <c r="B1760" s="48">
        <f>IF(A1760&lt;&gt;"",DATE(YEAR(TRANSACTIONS!$A1760),MONTH(TRANSACTIONS!$A1760),DAY(TRANSACTIONS!$A1760)),"")</f>
        <v>45345</v>
      </c>
      <c r="C1760" s="49">
        <f>IF(A1760&lt;&gt;"",TIME(HOUR(TRANSACTIONS!$A1760),MINUTE(TRANSACTIONS!$A1760),SECOND(TRANSACTIONS!$A1760)),"")</f>
        <v>0.83486111111111105</v>
      </c>
      <c r="D1760" s="82" t="s">
        <v>62</v>
      </c>
      <c r="E1760" s="177" t="s">
        <v>7</v>
      </c>
      <c r="F1760" s="268">
        <v>2000</v>
      </c>
      <c r="G1760" s="46"/>
      <c r="H1760" s="46">
        <f>IFERROR(TRANSACTIONS!$F1760+TRANSACTIONS!$G1760,"")</f>
        <v>2000</v>
      </c>
      <c r="I1760" s="57" t="s">
        <v>41</v>
      </c>
    </row>
    <row r="1761" spans="1:9" x14ac:dyDescent="0.25">
      <c r="A1761" s="41">
        <v>45345.834856828704</v>
      </c>
      <c r="B1761" s="48">
        <f>IF(A1761&lt;&gt;"",DATE(YEAR(TRANSACTIONS!$A1761),MONTH(TRANSACTIONS!$A1761),DAY(TRANSACTIONS!$A1761)),"")</f>
        <v>45345</v>
      </c>
      <c r="C1761" s="49">
        <f>IF(A1761&lt;&gt;"",TIME(HOUR(TRANSACTIONS!$A1761),MINUTE(TRANSACTIONS!$A1761),SECOND(TRANSACTIONS!$A1761)),"")</f>
        <v>0.83486111111111105</v>
      </c>
      <c r="D1761" s="82" t="s">
        <v>62</v>
      </c>
      <c r="E1761" s="177" t="s">
        <v>7</v>
      </c>
      <c r="F1761" s="268">
        <v>2000</v>
      </c>
      <c r="G1761" s="46"/>
      <c r="H1761" s="46">
        <f>IFERROR(TRANSACTIONS!$F1761+TRANSACTIONS!$G1761,"")</f>
        <v>2000</v>
      </c>
      <c r="I1761" s="57" t="s">
        <v>41</v>
      </c>
    </row>
    <row r="1762" spans="1:9" x14ac:dyDescent="0.25">
      <c r="A1762" s="41">
        <v>45345.834880092596</v>
      </c>
      <c r="B1762" s="48">
        <f>IF(A1762&lt;&gt;"",DATE(YEAR(TRANSACTIONS!$A1762),MONTH(TRANSACTIONS!$A1762),DAY(TRANSACTIONS!$A1762)),"")</f>
        <v>45345</v>
      </c>
      <c r="C1762" s="49">
        <f>IF(A1762&lt;&gt;"",TIME(HOUR(TRANSACTIONS!$A1762),MINUTE(TRANSACTIONS!$A1762),SECOND(TRANSACTIONS!$A1762)),"")</f>
        <v>0.83488425925925924</v>
      </c>
      <c r="D1762" s="82" t="s">
        <v>62</v>
      </c>
      <c r="E1762" s="177" t="s">
        <v>7</v>
      </c>
      <c r="F1762" s="268">
        <v>1000</v>
      </c>
      <c r="G1762" s="46"/>
      <c r="H1762" s="46">
        <f>IFERROR(TRANSACTIONS!$F1762+TRANSACTIONS!$G1762,"")</f>
        <v>1000</v>
      </c>
      <c r="I1762" s="57" t="s">
        <v>41</v>
      </c>
    </row>
    <row r="1763" spans="1:9" x14ac:dyDescent="0.25">
      <c r="A1763" s="41">
        <v>45345.834889814818</v>
      </c>
      <c r="B1763" s="48">
        <f>IF(A1763&lt;&gt;"",DATE(YEAR(TRANSACTIONS!$A1763),MONTH(TRANSACTIONS!$A1763),DAY(TRANSACTIONS!$A1763)),"")</f>
        <v>45345</v>
      </c>
      <c r="C1763" s="49">
        <f>IF(A1763&lt;&gt;"",TIME(HOUR(TRANSACTIONS!$A1763),MINUTE(TRANSACTIONS!$A1763),SECOND(TRANSACTIONS!$A1763)),"")</f>
        <v>0.83488425925925924</v>
      </c>
      <c r="D1763" s="82" t="s">
        <v>62</v>
      </c>
      <c r="E1763" s="177" t="s">
        <v>6</v>
      </c>
      <c r="F1763" s="268">
        <v>2000</v>
      </c>
      <c r="G1763" s="46"/>
      <c r="H1763" s="46">
        <f>IFERROR(TRANSACTIONS!$F1763+TRANSACTIONS!$G1763,"")</f>
        <v>2000</v>
      </c>
      <c r="I1763" s="57" t="s">
        <v>41</v>
      </c>
    </row>
    <row r="1764" spans="1:9" x14ac:dyDescent="0.25">
      <c r="A1764" s="41">
        <v>45345.834900578702</v>
      </c>
      <c r="B1764" s="48">
        <f>IF(A1764&lt;&gt;"",DATE(YEAR(TRANSACTIONS!$A1764),MONTH(TRANSACTIONS!$A1764),DAY(TRANSACTIONS!$A1764)),"")</f>
        <v>45345</v>
      </c>
      <c r="C1764" s="49">
        <f>IF(A1764&lt;&gt;"",TIME(HOUR(TRANSACTIONS!$A1764),MINUTE(TRANSACTIONS!$A1764),SECOND(TRANSACTIONS!$A1764)),"")</f>
        <v>0.83489583333333339</v>
      </c>
      <c r="D1764" s="82" t="s">
        <v>62</v>
      </c>
      <c r="E1764" s="177" t="s">
        <v>7</v>
      </c>
      <c r="F1764" s="268">
        <v>8000</v>
      </c>
      <c r="G1764" s="46"/>
      <c r="H1764" s="46">
        <f>IFERROR(TRANSACTIONS!$F1764+TRANSACTIONS!$G1764,"")</f>
        <v>8000</v>
      </c>
      <c r="I1764" s="57" t="s">
        <v>41</v>
      </c>
    </row>
    <row r="1765" spans="1:9" x14ac:dyDescent="0.25">
      <c r="A1765" s="41">
        <v>45345.834925000003</v>
      </c>
      <c r="B1765" s="48">
        <f>IF(A1765&lt;&gt;"",DATE(YEAR(TRANSACTIONS!$A1765),MONTH(TRANSACTIONS!$A1765),DAY(TRANSACTIONS!$A1765)),"")</f>
        <v>45345</v>
      </c>
      <c r="C1765" s="49">
        <f>IF(A1765&lt;&gt;"",TIME(HOUR(TRANSACTIONS!$A1765),MINUTE(TRANSACTIONS!$A1765),SECOND(TRANSACTIONS!$A1765)),"")</f>
        <v>0.83493055555555562</v>
      </c>
      <c r="D1765" s="82" t="s">
        <v>62</v>
      </c>
      <c r="E1765" s="177" t="s">
        <v>6</v>
      </c>
      <c r="F1765" s="268">
        <v>500</v>
      </c>
      <c r="G1765" s="46"/>
      <c r="H1765" s="46">
        <f>IFERROR(TRANSACTIONS!$F1765+TRANSACTIONS!$G1765,"")</f>
        <v>500</v>
      </c>
      <c r="I1765" s="57" t="s">
        <v>41</v>
      </c>
    </row>
    <row r="1766" spans="1:9" x14ac:dyDescent="0.25">
      <c r="A1766" s="41">
        <v>45345.834909953701</v>
      </c>
      <c r="B1766" s="48">
        <f>IF(A1766&lt;&gt;"",DATE(YEAR(TRANSACTIONS!$A1766),MONTH(TRANSACTIONS!$A1766),DAY(TRANSACTIONS!$A1766)),"")</f>
        <v>45345</v>
      </c>
      <c r="C1766" s="49">
        <f>IF(A1766&lt;&gt;"",TIME(HOUR(TRANSACTIONS!$A1766),MINUTE(TRANSACTIONS!$A1766),SECOND(TRANSACTIONS!$A1766)),"")</f>
        <v>0.83490740740740732</v>
      </c>
      <c r="D1766" s="82" t="s">
        <v>62</v>
      </c>
      <c r="E1766" s="177" t="s">
        <v>6</v>
      </c>
      <c r="F1766" s="268">
        <v>101000</v>
      </c>
      <c r="G1766" s="46"/>
      <c r="H1766" s="46">
        <f>IFERROR(TRANSACTIONS!$F1766+TRANSACTIONS!$G1766,"")</f>
        <v>101000</v>
      </c>
      <c r="I1766" s="57" t="s">
        <v>41</v>
      </c>
    </row>
    <row r="1767" spans="1:9" x14ac:dyDescent="0.25">
      <c r="A1767" s="41">
        <v>45345.834933449078</v>
      </c>
      <c r="B1767" s="48">
        <f>IF(A1767&lt;&gt;"",DATE(YEAR(TRANSACTIONS!$A1767),MONTH(TRANSACTIONS!$A1767),DAY(TRANSACTIONS!$A1767)),"")</f>
        <v>45345</v>
      </c>
      <c r="C1767" s="49">
        <f>IF(A1767&lt;&gt;"",TIME(HOUR(TRANSACTIONS!$A1767),MINUTE(TRANSACTIONS!$A1767),SECOND(TRANSACTIONS!$A1767)),"")</f>
        <v>0.83493055555555562</v>
      </c>
      <c r="D1767" s="82" t="s">
        <v>62</v>
      </c>
      <c r="E1767" s="177" t="s">
        <v>6</v>
      </c>
      <c r="F1767" s="268">
        <v>61000</v>
      </c>
      <c r="G1767" s="46"/>
      <c r="H1767" s="46">
        <f>IFERROR(TRANSACTIONS!$F1767+TRANSACTIONS!$G1767,"")</f>
        <v>61000</v>
      </c>
      <c r="I1767" s="57" t="s">
        <v>41</v>
      </c>
    </row>
    <row r="1768" spans="1:9" x14ac:dyDescent="0.25">
      <c r="A1768" s="41">
        <v>45345.834963425928</v>
      </c>
      <c r="B1768" s="48">
        <f>IF(A1768&lt;&gt;"",DATE(YEAR(TRANSACTIONS!$A1768),MONTH(TRANSACTIONS!$A1768),DAY(TRANSACTIONS!$A1768)),"")</f>
        <v>45345</v>
      </c>
      <c r="C1768" s="49">
        <f>IF(A1768&lt;&gt;"",TIME(HOUR(TRANSACTIONS!$A1768),MINUTE(TRANSACTIONS!$A1768),SECOND(TRANSACTIONS!$A1768)),"")</f>
        <v>0.83496527777777774</v>
      </c>
      <c r="D1768" s="82" t="s">
        <v>62</v>
      </c>
      <c r="E1768" s="177" t="s">
        <v>7</v>
      </c>
      <c r="F1768" s="268">
        <v>5000</v>
      </c>
      <c r="G1768" s="46"/>
      <c r="H1768" s="46">
        <f>IFERROR(TRANSACTIONS!$F1768+TRANSACTIONS!$G1768,"")</f>
        <v>5000</v>
      </c>
      <c r="I1768" s="57" t="s">
        <v>41</v>
      </c>
    </row>
    <row r="1769" spans="1:9" x14ac:dyDescent="0.25">
      <c r="A1769" s="41">
        <v>45345.835079050928</v>
      </c>
      <c r="B1769" s="48">
        <f>IF(A1769&lt;&gt;"",DATE(YEAR(TRANSACTIONS!$A1769),MONTH(TRANSACTIONS!$A1769),DAY(TRANSACTIONS!$A1769)),"")</f>
        <v>45345</v>
      </c>
      <c r="C1769" s="49">
        <f>IF(A1769&lt;&gt;"",TIME(HOUR(TRANSACTIONS!$A1769),MINUTE(TRANSACTIONS!$A1769),SECOND(TRANSACTIONS!$A1769)),"")</f>
        <v>0.83508101851851846</v>
      </c>
      <c r="D1769" s="82" t="s">
        <v>62</v>
      </c>
      <c r="E1769" s="177" t="s">
        <v>6</v>
      </c>
      <c r="F1769" s="268">
        <v>2000</v>
      </c>
      <c r="G1769" s="46"/>
      <c r="H1769" s="46">
        <f>IFERROR(TRANSACTIONS!$F1769+TRANSACTIONS!$G1769,"")</f>
        <v>2000</v>
      </c>
      <c r="I1769" s="57" t="s">
        <v>41</v>
      </c>
    </row>
    <row r="1770" spans="1:9" x14ac:dyDescent="0.25">
      <c r="A1770" s="41">
        <v>45345.835117592593</v>
      </c>
      <c r="B1770" s="48">
        <f>IF(A1770&lt;&gt;"",DATE(YEAR(TRANSACTIONS!$A1770),MONTH(TRANSACTIONS!$A1770),DAY(TRANSACTIONS!$A1770)),"")</f>
        <v>45345</v>
      </c>
      <c r="C1770" s="49">
        <f>IF(A1770&lt;&gt;"",TIME(HOUR(TRANSACTIONS!$A1770),MINUTE(TRANSACTIONS!$A1770),SECOND(TRANSACTIONS!$A1770)),"")</f>
        <v>0.8351157407407408</v>
      </c>
      <c r="D1770" s="82" t="s">
        <v>62</v>
      </c>
      <c r="E1770" s="177" t="s">
        <v>6</v>
      </c>
      <c r="F1770" s="268">
        <v>2000</v>
      </c>
      <c r="G1770" s="46"/>
      <c r="H1770" s="46">
        <f>IFERROR(TRANSACTIONS!$F1770+TRANSACTIONS!$G1770,"")</f>
        <v>2000</v>
      </c>
      <c r="I1770" s="57" t="s">
        <v>41</v>
      </c>
    </row>
    <row r="1771" spans="1:9" x14ac:dyDescent="0.25">
      <c r="A1771" s="41">
        <v>45345.835128472223</v>
      </c>
      <c r="B1771" s="48">
        <f>IF(A1771&lt;&gt;"",DATE(YEAR(TRANSACTIONS!$A1771),MONTH(TRANSACTIONS!$A1771),DAY(TRANSACTIONS!$A1771)),"")</f>
        <v>45345</v>
      </c>
      <c r="C1771" s="49">
        <f>IF(A1771&lt;&gt;"",TIME(HOUR(TRANSACTIONS!$A1771),MINUTE(TRANSACTIONS!$A1771),SECOND(TRANSACTIONS!$A1771)),"")</f>
        <v>0.83512731481481473</v>
      </c>
      <c r="D1771" s="82" t="s">
        <v>62</v>
      </c>
      <c r="E1771" s="177" t="s">
        <v>7</v>
      </c>
      <c r="F1771" s="268">
        <v>40000</v>
      </c>
      <c r="G1771" s="46"/>
      <c r="H1771" s="46">
        <f>IFERROR(TRANSACTIONS!$F1771+TRANSACTIONS!$G1771,"")</f>
        <v>40000</v>
      </c>
      <c r="I1771" s="57" t="s">
        <v>41</v>
      </c>
    </row>
    <row r="1772" spans="1:9" x14ac:dyDescent="0.25">
      <c r="A1772" s="41">
        <v>45345.835137152775</v>
      </c>
      <c r="B1772" s="48">
        <f>IF(A1772&lt;&gt;"",DATE(YEAR(TRANSACTIONS!$A1772),MONTH(TRANSACTIONS!$A1772),DAY(TRANSACTIONS!$A1772)),"")</f>
        <v>45345</v>
      </c>
      <c r="C1772" s="49">
        <f>IF(A1772&lt;&gt;"",TIME(HOUR(TRANSACTIONS!$A1772),MINUTE(TRANSACTIONS!$A1772),SECOND(TRANSACTIONS!$A1772)),"")</f>
        <v>0.83513888888888888</v>
      </c>
      <c r="D1772" s="82" t="s">
        <v>62</v>
      </c>
      <c r="E1772" s="177" t="s">
        <v>7</v>
      </c>
      <c r="F1772" s="268">
        <v>5000</v>
      </c>
      <c r="G1772" s="46"/>
      <c r="H1772" s="46">
        <f>IFERROR(TRANSACTIONS!$F1772+TRANSACTIONS!$G1772,"")</f>
        <v>5000</v>
      </c>
      <c r="I1772" s="57" t="s">
        <v>41</v>
      </c>
    </row>
    <row r="1773" spans="1:9" x14ac:dyDescent="0.25">
      <c r="A1773" s="41">
        <v>45345.835146296296</v>
      </c>
      <c r="B1773" s="48">
        <f>IF(A1773&lt;&gt;"",DATE(YEAR(TRANSACTIONS!$A1773),MONTH(TRANSACTIONS!$A1773),DAY(TRANSACTIONS!$A1773)),"")</f>
        <v>45345</v>
      </c>
      <c r="C1773" s="49">
        <f>IF(A1773&lt;&gt;"",TIME(HOUR(TRANSACTIONS!$A1773),MINUTE(TRANSACTIONS!$A1773),SECOND(TRANSACTIONS!$A1773)),"")</f>
        <v>0.83515046296296302</v>
      </c>
      <c r="D1773" s="82" t="s">
        <v>62</v>
      </c>
      <c r="E1773" s="177" t="s">
        <v>7</v>
      </c>
      <c r="F1773" s="268">
        <v>1000</v>
      </c>
      <c r="G1773" s="46"/>
      <c r="H1773" s="46">
        <f>IFERROR(TRANSACTIONS!$F1773+TRANSACTIONS!$G1773,"")</f>
        <v>1000</v>
      </c>
      <c r="I1773" s="57" t="s">
        <v>41</v>
      </c>
    </row>
    <row r="1774" spans="1:9" x14ac:dyDescent="0.25">
      <c r="A1774" s="41">
        <v>45345.835277546299</v>
      </c>
      <c r="B1774" s="48">
        <f>IF(A1774&lt;&gt;"",DATE(YEAR(TRANSACTIONS!$A1774),MONTH(TRANSACTIONS!$A1774),DAY(TRANSACTIONS!$A1774)),"")</f>
        <v>45345</v>
      </c>
      <c r="C1774" s="49">
        <f>IF(A1774&lt;&gt;"",TIME(HOUR(TRANSACTIONS!$A1774),MINUTE(TRANSACTIONS!$A1774),SECOND(TRANSACTIONS!$A1774)),"")</f>
        <v>0.83527777777777779</v>
      </c>
      <c r="D1774" s="82" t="s">
        <v>62</v>
      </c>
      <c r="E1774" s="177" t="s">
        <v>6</v>
      </c>
      <c r="F1774" s="268">
        <v>3000</v>
      </c>
      <c r="G1774" s="46"/>
      <c r="H1774" s="46">
        <f>IFERROR(TRANSACTIONS!$F1774+TRANSACTIONS!$G1774,"")</f>
        <v>3000</v>
      </c>
      <c r="I1774" s="57" t="s">
        <v>41</v>
      </c>
    </row>
    <row r="1775" spans="1:9" x14ac:dyDescent="0.25">
      <c r="A1775" s="41">
        <v>45345.835153935186</v>
      </c>
      <c r="B1775" s="48">
        <f>IF(A1775&lt;&gt;"",DATE(YEAR(TRANSACTIONS!$A1775),MONTH(TRANSACTIONS!$A1775),DAY(TRANSACTIONS!$A1775)),"")</f>
        <v>45345</v>
      </c>
      <c r="C1775" s="49">
        <f>IF(A1775&lt;&gt;"",TIME(HOUR(TRANSACTIONS!$A1775),MINUTE(TRANSACTIONS!$A1775),SECOND(TRANSACTIONS!$A1775)),"")</f>
        <v>0.83515046296296302</v>
      </c>
      <c r="D1775" s="82" t="s">
        <v>62</v>
      </c>
      <c r="E1775" s="82" t="s">
        <v>7</v>
      </c>
      <c r="F1775" s="268">
        <v>295000</v>
      </c>
      <c r="G1775" s="46"/>
      <c r="H1775" s="46">
        <f>IFERROR(TRANSACTIONS!$F1775+TRANSACTIONS!$G1775,"")</f>
        <v>295000</v>
      </c>
      <c r="I1775" s="57" t="s">
        <v>41</v>
      </c>
    </row>
    <row r="1776" spans="1:9" x14ac:dyDescent="0.25">
      <c r="A1776" s="41">
        <v>45345.835285879628</v>
      </c>
      <c r="B1776" s="48">
        <f>IF(A1776&lt;&gt;"",DATE(YEAR(TRANSACTIONS!$A1776),MONTH(TRANSACTIONS!$A1776),DAY(TRANSACTIONS!$A1776)),"")</f>
        <v>45345</v>
      </c>
      <c r="C1776" s="49">
        <f>IF(A1776&lt;&gt;"",TIME(HOUR(TRANSACTIONS!$A1776),MINUTE(TRANSACTIONS!$A1776),SECOND(TRANSACTIONS!$A1776)),"")</f>
        <v>0.83528935185185194</v>
      </c>
      <c r="D1776" s="82" t="s">
        <v>62</v>
      </c>
      <c r="E1776" s="82" t="s">
        <v>7</v>
      </c>
      <c r="F1776" s="94">
        <v>5000</v>
      </c>
      <c r="G1776" s="46"/>
      <c r="H1776" s="46">
        <f>IFERROR(TRANSACTIONS!$F1776+TRANSACTIONS!$G1776,"")</f>
        <v>5000</v>
      </c>
      <c r="I1776" s="57" t="s">
        <v>41</v>
      </c>
    </row>
    <row r="1777" spans="1:9" x14ac:dyDescent="0.25">
      <c r="A1777" s="41">
        <v>45345.835296412035</v>
      </c>
      <c r="B1777" s="48">
        <f>IF(A1777&lt;&gt;"",DATE(YEAR(TRANSACTIONS!$A1777),MONTH(TRANSACTIONS!$A1777),DAY(TRANSACTIONS!$A1777)),"")</f>
        <v>45345</v>
      </c>
      <c r="C1777" s="49">
        <f>IF(A1777&lt;&gt;"",TIME(HOUR(TRANSACTIONS!$A1777),MINUTE(TRANSACTIONS!$A1777),SECOND(TRANSACTIONS!$A1777)),"")</f>
        <v>0.83530092592592586</v>
      </c>
      <c r="D1777" s="82" t="s">
        <v>62</v>
      </c>
      <c r="E1777" s="82" t="s">
        <v>6</v>
      </c>
      <c r="F1777" s="94">
        <v>6000</v>
      </c>
      <c r="G1777" s="46"/>
      <c r="H1777" s="46">
        <f>IFERROR(TRANSACTIONS!$F1777+TRANSACTIONS!$G1777,"")</f>
        <v>6000</v>
      </c>
      <c r="I1777" s="57" t="s">
        <v>41</v>
      </c>
    </row>
    <row r="1778" spans="1:9" x14ac:dyDescent="0.25">
      <c r="A1778" s="41">
        <v>45345.835304398148</v>
      </c>
      <c r="B1778" s="48">
        <f>IF(A1778&lt;&gt;"",DATE(YEAR(TRANSACTIONS!$A1778),MONTH(TRANSACTIONS!$A1778),DAY(TRANSACTIONS!$A1778)),"")</f>
        <v>45345</v>
      </c>
      <c r="C1778" s="49">
        <f>IF(A1778&lt;&gt;"",TIME(HOUR(TRANSACTIONS!$A1778),MINUTE(TRANSACTIONS!$A1778),SECOND(TRANSACTIONS!$A1778)),"")</f>
        <v>0.83530092592592586</v>
      </c>
      <c r="D1778" s="82" t="s">
        <v>62</v>
      </c>
      <c r="E1778" s="82" t="s">
        <v>6</v>
      </c>
      <c r="F1778" s="94">
        <v>2000</v>
      </c>
      <c r="G1778" s="46"/>
      <c r="H1778" s="46">
        <f>IFERROR(TRANSACTIONS!$F1778+TRANSACTIONS!$G1778,"")</f>
        <v>2000</v>
      </c>
      <c r="I1778" s="57" t="s">
        <v>41</v>
      </c>
    </row>
    <row r="1779" spans="1:9" x14ac:dyDescent="0.25">
      <c r="A1779" s="41">
        <v>45345.835332060182</v>
      </c>
      <c r="B1779" s="48">
        <f>IF(A1779&lt;&gt;"",DATE(YEAR(TRANSACTIONS!$A1779),MONTH(TRANSACTIONS!$A1779),DAY(TRANSACTIONS!$A1779)),"")</f>
        <v>45345</v>
      </c>
      <c r="C1779" s="49">
        <f>IF(A1779&lt;&gt;"",TIME(HOUR(TRANSACTIONS!$A1779),MINUTE(TRANSACTIONS!$A1779),SECOND(TRANSACTIONS!$A1779)),"")</f>
        <v>0.8353356481481482</v>
      </c>
      <c r="D1779" s="82" t="s">
        <v>62</v>
      </c>
      <c r="E1779" s="82" t="s">
        <v>7</v>
      </c>
      <c r="F1779" s="94">
        <v>75000</v>
      </c>
      <c r="G1779" s="46"/>
      <c r="H1779" s="46">
        <f>IFERROR(TRANSACTIONS!$F1779+TRANSACTIONS!$G1779,"")</f>
        <v>75000</v>
      </c>
      <c r="I1779" s="57" t="s">
        <v>41</v>
      </c>
    </row>
    <row r="1780" spans="1:9" x14ac:dyDescent="0.25">
      <c r="A1780" s="41">
        <v>45345.835314467593</v>
      </c>
      <c r="B1780" s="48">
        <f>IF(A1780&lt;&gt;"",DATE(YEAR(TRANSACTIONS!$A1780),MONTH(TRANSACTIONS!$A1780),DAY(TRANSACTIONS!$A1780)),"")</f>
        <v>45345</v>
      </c>
      <c r="C1780" s="49">
        <f>IF(A1780&lt;&gt;"",TIME(HOUR(TRANSACTIONS!$A1780),MINUTE(TRANSACTIONS!$A1780),SECOND(TRANSACTIONS!$A1780)),"")</f>
        <v>0.83531250000000001</v>
      </c>
      <c r="D1780" s="82" t="s">
        <v>62</v>
      </c>
      <c r="E1780" s="82" t="s">
        <v>7</v>
      </c>
      <c r="F1780" s="94">
        <v>3000</v>
      </c>
      <c r="G1780" s="46"/>
      <c r="H1780" s="46">
        <f>IFERROR(TRANSACTIONS!$F1780+TRANSACTIONS!$G1780,"")</f>
        <v>3000</v>
      </c>
      <c r="I1780" s="57" t="s">
        <v>41</v>
      </c>
    </row>
    <row r="1781" spans="1:9" x14ac:dyDescent="0.25">
      <c r="A1781" s="41">
        <v>45345.835340277779</v>
      </c>
      <c r="B1781" s="48">
        <f>IF(A1781&lt;&gt;"",DATE(YEAR(TRANSACTIONS!$A1781),MONTH(TRANSACTIONS!$A1781),DAY(TRANSACTIONS!$A1781)),"")</f>
        <v>45345</v>
      </c>
      <c r="C1781" s="49">
        <f>IF(A1781&lt;&gt;"",TIME(HOUR(TRANSACTIONS!$A1781),MINUTE(TRANSACTIONS!$A1781),SECOND(TRANSACTIONS!$A1781)),"")</f>
        <v>0.8353356481481482</v>
      </c>
      <c r="D1781" s="82" t="s">
        <v>62</v>
      </c>
      <c r="E1781" s="82" t="s">
        <v>7</v>
      </c>
      <c r="F1781" s="94">
        <v>5000</v>
      </c>
      <c r="G1781" s="46"/>
      <c r="H1781" s="46">
        <f>IFERROR(TRANSACTIONS!$F1781+TRANSACTIONS!$G1781,"")</f>
        <v>5000</v>
      </c>
      <c r="I1781" s="57" t="s">
        <v>41</v>
      </c>
    </row>
    <row r="1782" spans="1:9" x14ac:dyDescent="0.25">
      <c r="A1782" s="113">
        <v>45345.83538611111</v>
      </c>
      <c r="B1782" s="114">
        <f>IF(A1782&lt;&gt;"",DATE(YEAR(TRANSACTIONS!$A1782),MONTH(TRANSACTIONS!$A1782),DAY(TRANSACTIONS!$A1782)),"")</f>
        <v>45345</v>
      </c>
      <c r="C1782" s="115">
        <f>IF(A1782&lt;&gt;"",TIME(HOUR(TRANSACTIONS!$A1782),MINUTE(TRANSACTIONS!$A1782),SECOND(TRANSACTIONS!$A1782)),"")</f>
        <v>0.83538194444444447</v>
      </c>
      <c r="D1782" s="82" t="s">
        <v>62</v>
      </c>
      <c r="E1782" s="82" t="s">
        <v>7</v>
      </c>
      <c r="F1782" s="94">
        <v>17500</v>
      </c>
      <c r="G1782" s="117"/>
      <c r="H1782" s="117">
        <f>IFERROR(TRANSACTIONS!$F1782+TRANSACTIONS!$G1782,"")</f>
        <v>17500</v>
      </c>
      <c r="I1782" s="123" t="s">
        <v>41</v>
      </c>
    </row>
    <row r="1783" spans="1:9" x14ac:dyDescent="0.25">
      <c r="A1783" s="41">
        <v>45345.835377546297</v>
      </c>
      <c r="B1783" s="48">
        <f>IF(A1783&lt;&gt;"",DATE(YEAR(TRANSACTIONS!$A1783),MONTH(TRANSACTIONS!$A1783),DAY(TRANSACTIONS!$A1783)),"")</f>
        <v>45345</v>
      </c>
      <c r="C1783" s="49">
        <f>IF(A1783&lt;&gt;"",TIME(HOUR(TRANSACTIONS!$A1783),MINUTE(TRANSACTIONS!$A1783),SECOND(TRANSACTIONS!$A1783)),"")</f>
        <v>0.83538194444444447</v>
      </c>
      <c r="D1783" s="82" t="s">
        <v>62</v>
      </c>
      <c r="E1783" s="82" t="s">
        <v>7</v>
      </c>
      <c r="F1783" s="94">
        <v>1000</v>
      </c>
      <c r="G1783" s="46"/>
      <c r="H1783" s="46">
        <f>IFERROR(TRANSACTIONS!$F1783+TRANSACTIONS!$G1783,"")</f>
        <v>1000</v>
      </c>
      <c r="I1783" s="57" t="s">
        <v>41</v>
      </c>
    </row>
    <row r="1784" spans="1:9" x14ac:dyDescent="0.25">
      <c r="A1784" s="41">
        <v>45345.835429861108</v>
      </c>
      <c r="B1784" s="48">
        <f>IF(A1784&lt;&gt;"",DATE(YEAR(TRANSACTIONS!$A1784),MONTH(TRANSACTIONS!$A1784),DAY(TRANSACTIONS!$A1784)),"")</f>
        <v>45345</v>
      </c>
      <c r="C1784" s="49">
        <f>IF(A1784&lt;&gt;"",TIME(HOUR(TRANSACTIONS!$A1784),MINUTE(TRANSACTIONS!$A1784),SECOND(TRANSACTIONS!$A1784)),"")</f>
        <v>0.83542824074074085</v>
      </c>
      <c r="D1784" s="82" t="s">
        <v>62</v>
      </c>
      <c r="E1784" s="82" t="s">
        <v>6</v>
      </c>
      <c r="F1784" s="94">
        <v>17500</v>
      </c>
      <c r="G1784" s="46"/>
      <c r="H1784" s="46">
        <f>IFERROR(TRANSACTIONS!$F1784+TRANSACTIONS!$G1784,"")</f>
        <v>17500</v>
      </c>
      <c r="I1784" s="57" t="s">
        <v>41</v>
      </c>
    </row>
    <row r="1785" spans="1:9" x14ac:dyDescent="0.25">
      <c r="A1785" s="41">
        <v>45345.835731828702</v>
      </c>
      <c r="B1785" s="48">
        <f>IF(A1785&lt;&gt;"",DATE(YEAR(TRANSACTIONS!$A1785),MONTH(TRANSACTIONS!$A1785),DAY(TRANSACTIONS!$A1785)),"")</f>
        <v>45345</v>
      </c>
      <c r="C1785" s="49">
        <f>IF(A1785&lt;&gt;"",TIME(HOUR(TRANSACTIONS!$A1785),MINUTE(TRANSACTIONS!$A1785),SECOND(TRANSACTIONS!$A1785)),"")</f>
        <v>0.83572916666666675</v>
      </c>
      <c r="D1785" s="82" t="s">
        <v>62</v>
      </c>
      <c r="E1785" s="82" t="s">
        <v>6</v>
      </c>
      <c r="F1785" s="94">
        <v>2025</v>
      </c>
      <c r="G1785" s="46"/>
      <c r="H1785" s="46">
        <f>IFERROR(TRANSACTIONS!$F1785+TRANSACTIONS!$G1785,"")</f>
        <v>2025</v>
      </c>
      <c r="I1785" s="57" t="s">
        <v>41</v>
      </c>
    </row>
    <row r="1786" spans="1:9" x14ac:dyDescent="0.25">
      <c r="A1786" s="41">
        <v>45345.835754745371</v>
      </c>
      <c r="B1786" s="48">
        <f>IF(A1786&lt;&gt;"",DATE(YEAR(TRANSACTIONS!$A1786),MONTH(TRANSACTIONS!$A1786),DAY(TRANSACTIONS!$A1786)),"")</f>
        <v>45345</v>
      </c>
      <c r="C1786" s="49">
        <f>IF(A1786&lt;&gt;"",TIME(HOUR(TRANSACTIONS!$A1786),MINUTE(TRANSACTIONS!$A1786),SECOND(TRANSACTIONS!$A1786)),"")</f>
        <v>0.83575231481481482</v>
      </c>
      <c r="D1786" s="82" t="s">
        <v>62</v>
      </c>
      <c r="E1786" s="82" t="s">
        <v>6</v>
      </c>
      <c r="F1786" s="94">
        <v>5000</v>
      </c>
      <c r="G1786" s="46"/>
      <c r="H1786" s="46">
        <f>IFERROR(TRANSACTIONS!$F1786+TRANSACTIONS!$G1786,"")</f>
        <v>5000</v>
      </c>
      <c r="I1786" s="57" t="s">
        <v>41</v>
      </c>
    </row>
    <row r="1787" spans="1:9" x14ac:dyDescent="0.25">
      <c r="A1787" s="41">
        <v>45345.835740972223</v>
      </c>
      <c r="B1787" s="48">
        <f>IF(A1787&lt;&gt;"",DATE(YEAR(TRANSACTIONS!$A1787),MONTH(TRANSACTIONS!$A1787),DAY(TRANSACTIONS!$A1787)),"")</f>
        <v>45345</v>
      </c>
      <c r="C1787" s="49">
        <f>IF(A1787&lt;&gt;"",TIME(HOUR(TRANSACTIONS!$A1787),MINUTE(TRANSACTIONS!$A1787),SECOND(TRANSACTIONS!$A1787)),"")</f>
        <v>0.83574074074074067</v>
      </c>
      <c r="D1787" s="82" t="s">
        <v>62</v>
      </c>
      <c r="E1787" s="82" t="s">
        <v>7</v>
      </c>
      <c r="F1787" s="94">
        <v>2000</v>
      </c>
      <c r="G1787" s="46"/>
      <c r="H1787" s="46">
        <f>IFERROR(TRANSACTIONS!$F1787+TRANSACTIONS!$G1787,"")</f>
        <v>2000</v>
      </c>
      <c r="I1787" s="57" t="s">
        <v>41</v>
      </c>
    </row>
    <row r="1788" spans="1:9" x14ac:dyDescent="0.25">
      <c r="A1788" s="41">
        <v>45345.83616446759</v>
      </c>
      <c r="B1788" s="48">
        <f>IF(A1788&lt;&gt;"",DATE(YEAR(TRANSACTIONS!$A1788),MONTH(TRANSACTIONS!$A1788),DAY(TRANSACTIONS!$A1788)),"")</f>
        <v>45345</v>
      </c>
      <c r="C1788" s="49">
        <f>IF(A1788&lt;&gt;"",TIME(HOUR(TRANSACTIONS!$A1788),MINUTE(TRANSACTIONS!$A1788),SECOND(TRANSACTIONS!$A1788)),"")</f>
        <v>0.83616898148148155</v>
      </c>
      <c r="D1788" s="82" t="s">
        <v>62</v>
      </c>
      <c r="E1788" s="82" t="s">
        <v>7</v>
      </c>
      <c r="F1788" s="268">
        <v>500000</v>
      </c>
      <c r="G1788" s="46"/>
      <c r="H1788" s="46">
        <f>IFERROR(TRANSACTIONS!$F1788+TRANSACTIONS!$G1788,"")</f>
        <v>500000</v>
      </c>
      <c r="I1788" s="57" t="s">
        <v>41</v>
      </c>
    </row>
    <row r="1789" spans="1:9" ht="15.75" customHeight="1" x14ac:dyDescent="0.25">
      <c r="A1789" s="41">
        <v>45345.836182638886</v>
      </c>
      <c r="B1789" s="48">
        <f>IF(A1789&lt;&gt;"",DATE(YEAR(TRANSACTIONS!$A1789),MONTH(TRANSACTIONS!$A1789),DAY(TRANSACTIONS!$A1789)),"")</f>
        <v>45345</v>
      </c>
      <c r="C1789" s="49">
        <f>IF(A1789&lt;&gt;"",TIME(HOUR(TRANSACTIONS!$A1789),MINUTE(TRANSACTIONS!$A1789),SECOND(TRANSACTIONS!$A1789)),"")</f>
        <v>0.83618055555555548</v>
      </c>
      <c r="D1789" s="82" t="s">
        <v>62</v>
      </c>
      <c r="E1789" s="82" t="s">
        <v>7</v>
      </c>
      <c r="F1789" s="94">
        <v>2500</v>
      </c>
      <c r="G1789" s="46"/>
      <c r="H1789" s="46">
        <f>IFERROR(TRANSACTIONS!$F1789+TRANSACTIONS!$G1789,"")</f>
        <v>2500</v>
      </c>
      <c r="I1789" s="57" t="s">
        <v>41</v>
      </c>
    </row>
    <row r="1790" spans="1:9" x14ac:dyDescent="0.25">
      <c r="A1790" s="41">
        <v>45345.836206018517</v>
      </c>
      <c r="B1790" s="48">
        <f>IF(A1790&lt;&gt;"",DATE(YEAR(TRANSACTIONS!$A1790),MONTH(TRANSACTIONS!$A1790),DAY(TRANSACTIONS!$A1790)),"")</f>
        <v>45345</v>
      </c>
      <c r="C1790" s="49">
        <f>IF(A1790&lt;&gt;"",TIME(HOUR(TRANSACTIONS!$A1790),MINUTE(TRANSACTIONS!$A1790),SECOND(TRANSACTIONS!$A1790)),"")</f>
        <v>0.83620370370370367</v>
      </c>
      <c r="D1790" s="82" t="s">
        <v>62</v>
      </c>
      <c r="E1790" s="82" t="s">
        <v>6</v>
      </c>
      <c r="F1790" s="94">
        <v>2000</v>
      </c>
      <c r="G1790" s="46"/>
      <c r="H1790" s="46">
        <f>IFERROR(TRANSACTIONS!$F1790+TRANSACTIONS!$G1790,"")</f>
        <v>2000</v>
      </c>
      <c r="I1790" s="57" t="s">
        <v>41</v>
      </c>
    </row>
    <row r="1791" spans="1:9" x14ac:dyDescent="0.25">
      <c r="A1791" s="41">
        <v>45345.836190509261</v>
      </c>
      <c r="B1791" s="48">
        <f>IF(A1791&lt;&gt;"",DATE(YEAR(TRANSACTIONS!$A1791),MONTH(TRANSACTIONS!$A1791),DAY(TRANSACTIONS!$A1791)),"")</f>
        <v>45345</v>
      </c>
      <c r="C1791" s="49">
        <f>IF(A1791&lt;&gt;"",TIME(HOUR(TRANSACTIONS!$A1791),MINUTE(TRANSACTIONS!$A1791),SECOND(TRANSACTIONS!$A1791)),"")</f>
        <v>0.83619212962962963</v>
      </c>
      <c r="D1791" s="82" t="s">
        <v>62</v>
      </c>
      <c r="E1791" s="82" t="s">
        <v>6</v>
      </c>
      <c r="F1791" s="94">
        <v>45000</v>
      </c>
      <c r="G1791" s="46"/>
      <c r="H1791" s="46">
        <f>IFERROR(TRANSACTIONS!$F1791+TRANSACTIONS!$G1791,"")</f>
        <v>45000</v>
      </c>
      <c r="I1791" s="57" t="s">
        <v>41</v>
      </c>
    </row>
    <row r="1792" spans="1:9" x14ac:dyDescent="0.25">
      <c r="A1792" s="41">
        <v>45345.836225347222</v>
      </c>
      <c r="B1792" s="48">
        <f>IF(A1792&lt;&gt;"",DATE(YEAR(TRANSACTIONS!$A1792),MONTH(TRANSACTIONS!$A1792),DAY(TRANSACTIONS!$A1792)),"")</f>
        <v>45345</v>
      </c>
      <c r="C1792" s="49">
        <f>IF(A1792&lt;&gt;"",TIME(HOUR(TRANSACTIONS!$A1792),MINUTE(TRANSACTIONS!$A1792),SECOND(TRANSACTIONS!$A1792)),"")</f>
        <v>0.83622685185185175</v>
      </c>
      <c r="D1792" s="82" t="s">
        <v>62</v>
      </c>
      <c r="E1792" s="82" t="s">
        <v>6</v>
      </c>
      <c r="F1792" s="94">
        <v>500</v>
      </c>
      <c r="G1792" s="46"/>
      <c r="H1792" s="46">
        <f>IFERROR(TRANSACTIONS!$F1792+TRANSACTIONS!$G1792,"")</f>
        <v>500</v>
      </c>
      <c r="I1792" s="57" t="s">
        <v>41</v>
      </c>
    </row>
    <row r="1793" spans="1:9" x14ac:dyDescent="0.25">
      <c r="A1793" s="41">
        <v>45345.836246643521</v>
      </c>
      <c r="B1793" s="48">
        <f>IF(A1793&lt;&gt;"",DATE(YEAR(TRANSACTIONS!$A1793),MONTH(TRANSACTIONS!$A1793),DAY(TRANSACTIONS!$A1793)),"")</f>
        <v>45345</v>
      </c>
      <c r="C1793" s="49">
        <f>IF(A1793&lt;&gt;"",TIME(HOUR(TRANSACTIONS!$A1793),MINUTE(TRANSACTIONS!$A1793),SECOND(TRANSACTIONS!$A1793)),"")</f>
        <v>0.83625000000000005</v>
      </c>
      <c r="D1793" s="82" t="s">
        <v>62</v>
      </c>
      <c r="E1793" s="82" t="s">
        <v>7</v>
      </c>
      <c r="F1793" s="94">
        <v>17000</v>
      </c>
      <c r="G1793" s="46"/>
      <c r="H1793" s="46">
        <f>IFERROR(TRANSACTIONS!$F1793+TRANSACTIONS!$G1793,"")</f>
        <v>17000</v>
      </c>
      <c r="I1793" s="57" t="s">
        <v>41</v>
      </c>
    </row>
    <row r="1794" spans="1:9" x14ac:dyDescent="0.25">
      <c r="A1794" s="41">
        <v>45345.83625335648</v>
      </c>
      <c r="B1794" s="48">
        <f>IF(A1794&lt;&gt;"",DATE(YEAR(TRANSACTIONS!$A1794),MONTH(TRANSACTIONS!$A1794),DAY(TRANSACTIONS!$A1794)),"")</f>
        <v>45345</v>
      </c>
      <c r="C1794" s="49">
        <f>IF(A1794&lt;&gt;"",TIME(HOUR(TRANSACTIONS!$A1794),MINUTE(TRANSACTIONS!$A1794),SECOND(TRANSACTIONS!$A1794)),"")</f>
        <v>0.83625000000000005</v>
      </c>
      <c r="D1794" s="82" t="s">
        <v>62</v>
      </c>
      <c r="E1794" s="82" t="s">
        <v>6</v>
      </c>
      <c r="F1794" s="94">
        <v>61000</v>
      </c>
      <c r="G1794" s="46"/>
      <c r="H1794" s="46">
        <f>IFERROR(TRANSACTIONS!$F1794+TRANSACTIONS!$G1794,"")</f>
        <v>61000</v>
      </c>
      <c r="I1794" s="57" t="s">
        <v>41</v>
      </c>
    </row>
    <row r="1795" spans="1:9" x14ac:dyDescent="0.25">
      <c r="A1795" s="41">
        <v>45345.836261342592</v>
      </c>
      <c r="B1795" s="48">
        <f>IF(A1795&lt;&gt;"",DATE(YEAR(TRANSACTIONS!$A1795),MONTH(TRANSACTIONS!$A1795),DAY(TRANSACTIONS!$A1795)),"")</f>
        <v>45345</v>
      </c>
      <c r="C1795" s="49">
        <f>IF(A1795&lt;&gt;"",TIME(HOUR(TRANSACTIONS!$A1795),MINUTE(TRANSACTIONS!$A1795),SECOND(TRANSACTIONS!$A1795)),"")</f>
        <v>0.83626157407407409</v>
      </c>
      <c r="D1795" s="82" t="s">
        <v>62</v>
      </c>
      <c r="E1795" s="82" t="s">
        <v>7</v>
      </c>
      <c r="F1795" s="94">
        <v>10000</v>
      </c>
      <c r="G1795" s="46"/>
      <c r="H1795" s="46">
        <f>IFERROR(TRANSACTIONS!$F1795+TRANSACTIONS!$G1795,"")</f>
        <v>10000</v>
      </c>
      <c r="I1795" s="57" t="s">
        <v>41</v>
      </c>
    </row>
    <row r="1796" spans="1:9" x14ac:dyDescent="0.25">
      <c r="A1796" s="41">
        <v>45345.836268981482</v>
      </c>
      <c r="B1796" s="48">
        <f>IF(A1796&lt;&gt;"",DATE(YEAR(TRANSACTIONS!$A1796),MONTH(TRANSACTIONS!$A1796),DAY(TRANSACTIONS!$A1796)),"")</f>
        <v>45345</v>
      </c>
      <c r="C1796" s="49">
        <f>IF(A1796&lt;&gt;"",TIME(HOUR(TRANSACTIONS!$A1796),MINUTE(TRANSACTIONS!$A1796),SECOND(TRANSACTIONS!$A1796)),"")</f>
        <v>0.83627314814814813</v>
      </c>
      <c r="D1796" s="82" t="s">
        <v>62</v>
      </c>
      <c r="E1796" s="82" t="s">
        <v>7</v>
      </c>
      <c r="F1796" s="94">
        <v>500</v>
      </c>
      <c r="G1796" s="46"/>
      <c r="H1796" s="46">
        <f>IFERROR(TRANSACTIONS!$F1796+TRANSACTIONS!$G1796,"")</f>
        <v>500</v>
      </c>
      <c r="I1796" s="57" t="s">
        <v>41</v>
      </c>
    </row>
    <row r="1797" spans="1:9" x14ac:dyDescent="0.25">
      <c r="A1797" s="71">
        <v>45345.836276388887</v>
      </c>
      <c r="B1797" s="73">
        <f>IF(A1797&lt;&gt;"",DATE(YEAR(TRANSACTIONS!$A1797),MONTH(TRANSACTIONS!$A1797),DAY(TRANSACTIONS!$A1797)),"")</f>
        <v>45345</v>
      </c>
      <c r="C1797" s="74">
        <f>IF(A1797&lt;&gt;"",TIME(HOUR(TRANSACTIONS!$A1797),MINUTE(TRANSACTIONS!$A1797),SECOND(TRANSACTIONS!$A1797)),"")</f>
        <v>0.83627314814814813</v>
      </c>
      <c r="D1797" s="82" t="s">
        <v>62</v>
      </c>
      <c r="E1797" s="82" t="s">
        <v>6</v>
      </c>
      <c r="F1797" s="94">
        <v>2000</v>
      </c>
      <c r="G1797" s="75"/>
      <c r="H1797" s="75">
        <f>IFERROR(TRANSACTIONS!$F1797+TRANSACTIONS!$G1797,"")</f>
        <v>2000</v>
      </c>
      <c r="I1797" s="89" t="s">
        <v>41</v>
      </c>
    </row>
    <row r="1798" spans="1:9" x14ac:dyDescent="0.25">
      <c r="A1798" s="41">
        <v>45345.836297106478</v>
      </c>
      <c r="B1798" s="48">
        <f>IF(A1798&lt;&gt;"",DATE(YEAR(TRANSACTIONS!$A1798),MONTH(TRANSACTIONS!$A1798),DAY(TRANSACTIONS!$A1798)),"")</f>
        <v>45345</v>
      </c>
      <c r="C1798" s="49">
        <f>IF(A1798&lt;&gt;"",TIME(HOUR(TRANSACTIONS!$A1798),MINUTE(TRANSACTIONS!$A1798),SECOND(TRANSACTIONS!$A1798)),"")</f>
        <v>0.83629629629629632</v>
      </c>
      <c r="D1798" s="82" t="s">
        <v>62</v>
      </c>
      <c r="E1798" s="82" t="s">
        <v>6</v>
      </c>
      <c r="F1798" s="94">
        <v>15000</v>
      </c>
      <c r="G1798" s="46"/>
      <c r="H1798" s="46">
        <f>IFERROR(TRANSACTIONS!$F1798+TRANSACTIONS!$G1798,"")</f>
        <v>15000</v>
      </c>
      <c r="I1798" s="57" t="s">
        <v>41</v>
      </c>
    </row>
    <row r="1799" spans="1:9" x14ac:dyDescent="0.25">
      <c r="A1799" s="41">
        <v>45345.836321527779</v>
      </c>
      <c r="B1799" s="48">
        <f>IF(A1799&lt;&gt;"",DATE(YEAR(TRANSACTIONS!$A1799),MONTH(TRANSACTIONS!$A1799),DAY(TRANSACTIONS!$A1799)),"")</f>
        <v>45345</v>
      </c>
      <c r="C1799" s="49">
        <f>IF(A1799&lt;&gt;"",TIME(HOUR(TRANSACTIONS!$A1799),MINUTE(TRANSACTIONS!$A1799),SECOND(TRANSACTIONS!$A1799)),"")</f>
        <v>0.83631944444444439</v>
      </c>
      <c r="D1799" s="82" t="s">
        <v>62</v>
      </c>
      <c r="E1799" s="82" t="s">
        <v>6</v>
      </c>
      <c r="F1799" s="94">
        <v>4550</v>
      </c>
      <c r="G1799" s="46"/>
      <c r="H1799" s="46">
        <f>IFERROR(TRANSACTIONS!$F1799+TRANSACTIONS!$G1799,"")</f>
        <v>4550</v>
      </c>
      <c r="I1799" s="57" t="s">
        <v>41</v>
      </c>
    </row>
    <row r="1800" spans="1:9" x14ac:dyDescent="0.25">
      <c r="A1800" s="41">
        <v>45345.836329861108</v>
      </c>
      <c r="B1800" s="48">
        <f>IF(A1800&lt;&gt;"",DATE(YEAR(TRANSACTIONS!$A1800),MONTH(TRANSACTIONS!$A1800),DAY(TRANSACTIONS!$A1800)),"")</f>
        <v>45345</v>
      </c>
      <c r="C1800" s="49">
        <f>IF(A1800&lt;&gt;"",TIME(HOUR(TRANSACTIONS!$A1800),MINUTE(TRANSACTIONS!$A1800),SECOND(TRANSACTIONS!$A1800)),"")</f>
        <v>0.83633101851851854</v>
      </c>
      <c r="D1800" s="82" t="s">
        <v>62</v>
      </c>
      <c r="E1800" s="82" t="s">
        <v>7</v>
      </c>
      <c r="F1800" s="94">
        <v>10000</v>
      </c>
      <c r="G1800" s="46"/>
      <c r="H1800" s="46">
        <f>IFERROR(TRANSACTIONS!$F1800+TRANSACTIONS!$G1800,"")</f>
        <v>10000</v>
      </c>
      <c r="I1800" s="57" t="s">
        <v>41</v>
      </c>
    </row>
    <row r="1801" spans="1:9" x14ac:dyDescent="0.25">
      <c r="A1801" s="41">
        <v>45345.83633726852</v>
      </c>
      <c r="B1801" s="48">
        <f>IF(A1801&lt;&gt;"",DATE(YEAR(TRANSACTIONS!$A1801),MONTH(TRANSACTIONS!$A1801),DAY(TRANSACTIONS!$A1801)),"")</f>
        <v>45345</v>
      </c>
      <c r="C1801" s="49">
        <f>IF(A1801&lt;&gt;"",TIME(HOUR(TRANSACTIONS!$A1801),MINUTE(TRANSACTIONS!$A1801),SECOND(TRANSACTIONS!$A1801)),"")</f>
        <v>0.83634259259259258</v>
      </c>
      <c r="D1801" s="82" t="s">
        <v>62</v>
      </c>
      <c r="E1801" s="82" t="s">
        <v>7</v>
      </c>
      <c r="F1801" s="94">
        <v>2000</v>
      </c>
      <c r="G1801" s="46"/>
      <c r="H1801" s="46">
        <f>IFERROR(TRANSACTIONS!$F1801+TRANSACTIONS!$G1801,"")</f>
        <v>2000</v>
      </c>
      <c r="I1801" s="57" t="s">
        <v>41</v>
      </c>
    </row>
    <row r="1802" spans="1:9" x14ac:dyDescent="0.25">
      <c r="A1802" s="41">
        <v>45345.836587152779</v>
      </c>
      <c r="B1802" s="48">
        <f>IF(A1802&lt;&gt;"",DATE(YEAR(TRANSACTIONS!$A1802),MONTH(TRANSACTIONS!$A1802),DAY(TRANSACTIONS!$A1802)),"")</f>
        <v>45345</v>
      </c>
      <c r="C1802" s="49">
        <f>IF(A1802&lt;&gt;"",TIME(HOUR(TRANSACTIONS!$A1802),MINUTE(TRANSACTIONS!$A1802),SECOND(TRANSACTIONS!$A1802)),"")</f>
        <v>0.83658564814814806</v>
      </c>
      <c r="D1802" s="82" t="s">
        <v>62</v>
      </c>
      <c r="E1802" s="82" t="s">
        <v>7</v>
      </c>
      <c r="F1802" s="94">
        <v>3000</v>
      </c>
      <c r="G1802" s="46"/>
      <c r="H1802" s="46">
        <f>IFERROR(TRANSACTIONS!$F1802+TRANSACTIONS!$G1802,"")</f>
        <v>3000</v>
      </c>
      <c r="I1802" s="57" t="s">
        <v>41</v>
      </c>
    </row>
    <row r="1803" spans="1:9" x14ac:dyDescent="0.25">
      <c r="A1803" s="41">
        <v>45345.836631481485</v>
      </c>
      <c r="B1803" s="48">
        <f>IF(A1803&lt;&gt;"",DATE(YEAR(TRANSACTIONS!$A1803),MONTH(TRANSACTIONS!$A1803),DAY(TRANSACTIONS!$A1803)),"")</f>
        <v>45345</v>
      </c>
      <c r="C1803" s="49">
        <f>IF(A1803&lt;&gt;"",TIME(HOUR(TRANSACTIONS!$A1803),MINUTE(TRANSACTIONS!$A1803),SECOND(TRANSACTIONS!$A1803)),"")</f>
        <v>0.83663194444444444</v>
      </c>
      <c r="D1803" s="82" t="s">
        <v>62</v>
      </c>
      <c r="E1803" s="82" t="s">
        <v>6</v>
      </c>
      <c r="F1803" s="94">
        <v>2000</v>
      </c>
      <c r="G1803" s="46"/>
      <c r="H1803" s="46">
        <f>IFERROR(TRANSACTIONS!$F1803+TRANSACTIONS!$G1803,"")</f>
        <v>2000</v>
      </c>
      <c r="I1803" s="57" t="s">
        <v>41</v>
      </c>
    </row>
    <row r="1804" spans="1:9" x14ac:dyDescent="0.25">
      <c r="A1804" s="41">
        <v>45345.836638310182</v>
      </c>
      <c r="B1804" s="48">
        <f>IF(A1804&lt;&gt;"",DATE(YEAR(TRANSACTIONS!$A1804),MONTH(TRANSACTIONS!$A1804),DAY(TRANSACTIONS!$A1804)),"")</f>
        <v>45345</v>
      </c>
      <c r="C1804" s="49">
        <f>IF(A1804&lt;&gt;"",TIME(HOUR(TRANSACTIONS!$A1804),MINUTE(TRANSACTIONS!$A1804),SECOND(TRANSACTIONS!$A1804)),"")</f>
        <v>0.83664351851851848</v>
      </c>
      <c r="D1804" s="82" t="s">
        <v>62</v>
      </c>
      <c r="E1804" s="82" t="s">
        <v>7</v>
      </c>
      <c r="F1804" s="268">
        <v>140000</v>
      </c>
      <c r="G1804" s="46"/>
      <c r="H1804" s="46">
        <f>IFERROR(TRANSACTIONS!$F1804+TRANSACTIONS!$G1804,"")</f>
        <v>140000</v>
      </c>
      <c r="I1804" s="57" t="s">
        <v>41</v>
      </c>
    </row>
    <row r="1805" spans="1:9" x14ac:dyDescent="0.25">
      <c r="A1805" s="41">
        <v>45345.836649537036</v>
      </c>
      <c r="B1805" s="48">
        <f>IF(A1805&lt;&gt;"",DATE(YEAR(TRANSACTIONS!$A1805),MONTH(TRANSACTIONS!$A1805),DAY(TRANSACTIONS!$A1805)),"")</f>
        <v>45345</v>
      </c>
      <c r="C1805" s="49">
        <f>IF(A1805&lt;&gt;"",TIME(HOUR(TRANSACTIONS!$A1805),MINUTE(TRANSACTIONS!$A1805),SECOND(TRANSACTIONS!$A1805)),"")</f>
        <v>0.83665509259259263</v>
      </c>
      <c r="D1805" s="82" t="s">
        <v>62</v>
      </c>
      <c r="E1805" s="82" t="s">
        <v>7</v>
      </c>
      <c r="F1805" s="94">
        <v>2000</v>
      </c>
      <c r="G1805" s="46"/>
      <c r="H1805" s="46">
        <f>IFERROR(TRANSACTIONS!$F1805+TRANSACTIONS!$G1805,"")</f>
        <v>2000</v>
      </c>
      <c r="I1805" s="57" t="s">
        <v>41</v>
      </c>
    </row>
    <row r="1806" spans="1:9" x14ac:dyDescent="0.25">
      <c r="A1806" s="41">
        <v>45345.836656712963</v>
      </c>
      <c r="B1806" s="48">
        <f>IF(A1806&lt;&gt;"",DATE(YEAR(TRANSACTIONS!$A1806),MONTH(TRANSACTIONS!$A1806),DAY(TRANSACTIONS!$A1806)),"")</f>
        <v>45345</v>
      </c>
      <c r="C1806" s="49">
        <f>IF(A1806&lt;&gt;"",TIME(HOUR(TRANSACTIONS!$A1806),MINUTE(TRANSACTIONS!$A1806),SECOND(TRANSACTIONS!$A1806)),"")</f>
        <v>0.83665509259259263</v>
      </c>
      <c r="D1806" s="82" t="s">
        <v>62</v>
      </c>
      <c r="E1806" s="82" t="s">
        <v>7</v>
      </c>
      <c r="F1806" s="94">
        <v>500</v>
      </c>
      <c r="G1806" s="46"/>
      <c r="H1806" s="46">
        <f>IFERROR(TRANSACTIONS!$F1806+TRANSACTIONS!$G1806,"")</f>
        <v>500</v>
      </c>
      <c r="I1806" s="57" t="s">
        <v>41</v>
      </c>
    </row>
    <row r="1807" spans="1:9" x14ac:dyDescent="0.25">
      <c r="A1807" s="41">
        <v>45345.836664120368</v>
      </c>
      <c r="B1807" s="48">
        <f>IF(A1807&lt;&gt;"",DATE(YEAR(TRANSACTIONS!$A1807),MONTH(TRANSACTIONS!$A1807),DAY(TRANSACTIONS!$A1807)),"")</f>
        <v>45345</v>
      </c>
      <c r="C1807" s="49">
        <f>IF(A1807&lt;&gt;"",TIME(HOUR(TRANSACTIONS!$A1807),MINUTE(TRANSACTIONS!$A1807),SECOND(TRANSACTIONS!$A1807)),"")</f>
        <v>0.83666666666666656</v>
      </c>
      <c r="D1807" s="82" t="s">
        <v>62</v>
      </c>
      <c r="E1807" s="82" t="s">
        <v>7</v>
      </c>
      <c r="F1807" s="94">
        <v>2000</v>
      </c>
      <c r="G1807" s="46"/>
      <c r="H1807" s="46">
        <f>IFERROR(TRANSACTIONS!$F1807+TRANSACTIONS!$G1807,"")</f>
        <v>2000</v>
      </c>
      <c r="I1807" s="57" t="s">
        <v>41</v>
      </c>
    </row>
    <row r="1808" spans="1:9" x14ac:dyDescent="0.25">
      <c r="A1808" s="41">
        <v>45345.836672685182</v>
      </c>
      <c r="B1808" s="48">
        <f>IF(A1808&lt;&gt;"",DATE(YEAR(TRANSACTIONS!$A1808),MONTH(TRANSACTIONS!$A1808),DAY(TRANSACTIONS!$A1808)),"")</f>
        <v>45345</v>
      </c>
      <c r="C1808" s="49">
        <f>IF(A1808&lt;&gt;"",TIME(HOUR(TRANSACTIONS!$A1808),MINUTE(TRANSACTIONS!$A1808),SECOND(TRANSACTIONS!$A1808)),"")</f>
        <v>0.83667824074074071</v>
      </c>
      <c r="D1808" s="82" t="s">
        <v>62</v>
      </c>
      <c r="E1808" s="82" t="s">
        <v>7</v>
      </c>
      <c r="F1808" s="94">
        <v>5000</v>
      </c>
      <c r="G1808" s="46"/>
      <c r="H1808" s="46">
        <f>IFERROR(TRANSACTIONS!$F1808+TRANSACTIONS!$G1808,"")</f>
        <v>5000</v>
      </c>
      <c r="I1808" s="57" t="s">
        <v>41</v>
      </c>
    </row>
    <row r="1809" spans="1:9" x14ac:dyDescent="0.25">
      <c r="A1809" s="41">
        <v>45345.836680439817</v>
      </c>
      <c r="B1809" s="48">
        <f>IF(A1809&lt;&gt;"",DATE(YEAR(TRANSACTIONS!$A1809),MONTH(TRANSACTIONS!$A1809),DAY(TRANSACTIONS!$A1809)),"")</f>
        <v>45345</v>
      </c>
      <c r="C1809" s="49">
        <f>IF(A1809&lt;&gt;"",TIME(HOUR(TRANSACTIONS!$A1809),MINUTE(TRANSACTIONS!$A1809),SECOND(TRANSACTIONS!$A1809)),"")</f>
        <v>0.83667824074074071</v>
      </c>
      <c r="D1809" s="82" t="s">
        <v>62</v>
      </c>
      <c r="E1809" s="82" t="s">
        <v>7</v>
      </c>
      <c r="F1809" s="94">
        <v>6500</v>
      </c>
      <c r="G1809" s="46"/>
      <c r="H1809" s="46">
        <f>IFERROR(TRANSACTIONS!$F1809+TRANSACTIONS!$G1809,"")</f>
        <v>6500</v>
      </c>
      <c r="I1809" s="57" t="s">
        <v>41</v>
      </c>
    </row>
    <row r="1810" spans="1:9" x14ac:dyDescent="0.25">
      <c r="A1810" s="41">
        <v>45345.836765277774</v>
      </c>
      <c r="B1810" s="48">
        <f>IF(A1810&lt;&gt;"",DATE(YEAR(TRANSACTIONS!$A1810),MONTH(TRANSACTIONS!$A1810),DAY(TRANSACTIONS!$A1810)),"")</f>
        <v>45345</v>
      </c>
      <c r="C1810" s="49">
        <f>IF(A1810&lt;&gt;"",TIME(HOUR(TRANSACTIONS!$A1810),MINUTE(TRANSACTIONS!$A1810),SECOND(TRANSACTIONS!$A1810)),"")</f>
        <v>0.83677083333333335</v>
      </c>
      <c r="D1810" s="82" t="s">
        <v>62</v>
      </c>
      <c r="E1810" s="82" t="s">
        <v>6</v>
      </c>
      <c r="F1810" s="94">
        <v>30000</v>
      </c>
      <c r="G1810" s="46"/>
      <c r="H1810" s="46">
        <f>IFERROR(TRANSACTIONS!$F1810+TRANSACTIONS!$G1810,"")</f>
        <v>30000</v>
      </c>
      <c r="I1810" s="57" t="s">
        <v>41</v>
      </c>
    </row>
    <row r="1811" spans="1:9" x14ac:dyDescent="0.25">
      <c r="A1811" s="41">
        <v>45345.836790856483</v>
      </c>
      <c r="B1811" s="48">
        <f>IF(A1811&lt;&gt;"",DATE(YEAR(TRANSACTIONS!$A1811),MONTH(TRANSACTIONS!$A1811),DAY(TRANSACTIONS!$A1811)),"")</f>
        <v>45345</v>
      </c>
      <c r="C1811" s="49">
        <f>IF(A1811&lt;&gt;"",TIME(HOUR(TRANSACTIONS!$A1811),MINUTE(TRANSACTIONS!$A1811),SECOND(TRANSACTIONS!$A1811)),"")</f>
        <v>0.83679398148148154</v>
      </c>
      <c r="D1811" s="82" t="s">
        <v>62</v>
      </c>
      <c r="E1811" s="82" t="s">
        <v>6</v>
      </c>
      <c r="F1811" s="268">
        <v>108000</v>
      </c>
      <c r="G1811" s="46"/>
      <c r="H1811" s="46">
        <f>IFERROR(TRANSACTIONS!$F1811+TRANSACTIONS!$G1811,"")</f>
        <v>108000</v>
      </c>
      <c r="I1811" s="57" t="s">
        <v>41</v>
      </c>
    </row>
    <row r="1812" spans="1:9" x14ac:dyDescent="0.25">
      <c r="A1812" s="41">
        <v>45345.836805208331</v>
      </c>
      <c r="B1812" s="48">
        <f>IF(A1812&lt;&gt;"",DATE(YEAR(TRANSACTIONS!$A1812),MONTH(TRANSACTIONS!$A1812),DAY(TRANSACTIONS!$A1812)),"")</f>
        <v>45345</v>
      </c>
      <c r="C1812" s="49">
        <f>IF(A1812&lt;&gt;"",TIME(HOUR(TRANSACTIONS!$A1812),MINUTE(TRANSACTIONS!$A1812),SECOND(TRANSACTIONS!$A1812)),"")</f>
        <v>0.83680555555555547</v>
      </c>
      <c r="D1812" s="82" t="s">
        <v>62</v>
      </c>
      <c r="E1812" s="82" t="s">
        <v>6</v>
      </c>
      <c r="F1812" s="268">
        <v>436000</v>
      </c>
      <c r="G1812" s="46"/>
      <c r="H1812" s="46">
        <f>IFERROR(TRANSACTIONS!$F1812+TRANSACTIONS!$G1812,"")</f>
        <v>436000</v>
      </c>
      <c r="I1812" s="57" t="s">
        <v>41</v>
      </c>
    </row>
    <row r="1813" spans="1:9" x14ac:dyDescent="0.25">
      <c r="A1813" s="41">
        <v>45345.836798495373</v>
      </c>
      <c r="B1813" s="48">
        <f>IF(A1813&lt;&gt;"",DATE(YEAR(TRANSACTIONS!$A1813),MONTH(TRANSACTIONS!$A1813),DAY(TRANSACTIONS!$A1813)),"")</f>
        <v>45345</v>
      </c>
      <c r="C1813" s="49">
        <f>IF(A1813&lt;&gt;"",TIME(HOUR(TRANSACTIONS!$A1813),MINUTE(TRANSACTIONS!$A1813),SECOND(TRANSACTIONS!$A1813)),"")</f>
        <v>0.83679398148148154</v>
      </c>
      <c r="D1813" s="82" t="s">
        <v>62</v>
      </c>
      <c r="E1813" s="82" t="s">
        <v>6</v>
      </c>
      <c r="F1813" s="94">
        <v>4000</v>
      </c>
      <c r="G1813" s="46"/>
      <c r="H1813" s="46">
        <f>IFERROR(TRANSACTIONS!$F1813+TRANSACTIONS!$G1813,"")</f>
        <v>4000</v>
      </c>
      <c r="I1813" s="57" t="s">
        <v>41</v>
      </c>
    </row>
    <row r="1814" spans="1:9" x14ac:dyDescent="0.25">
      <c r="A1814" s="41">
        <v>45345.836829398148</v>
      </c>
      <c r="B1814" s="48">
        <f>IF(A1814&lt;&gt;"",DATE(YEAR(TRANSACTIONS!$A1814),MONTH(TRANSACTIONS!$A1814),DAY(TRANSACTIONS!$A1814)),"")</f>
        <v>45345</v>
      </c>
      <c r="C1814" s="49">
        <f>IF(A1814&lt;&gt;"",TIME(HOUR(TRANSACTIONS!$A1814),MINUTE(TRANSACTIONS!$A1814),SECOND(TRANSACTIONS!$A1814)),"")</f>
        <v>0.83682870370370377</v>
      </c>
      <c r="D1814" s="82" t="s">
        <v>62</v>
      </c>
      <c r="E1814" s="82" t="s">
        <v>6</v>
      </c>
      <c r="F1814" s="94">
        <v>45000</v>
      </c>
      <c r="G1814" s="46"/>
      <c r="H1814" s="46">
        <f>IFERROR(TRANSACTIONS!$F1814+TRANSACTIONS!$G1814,"")</f>
        <v>45000</v>
      </c>
      <c r="I1814" s="57" t="s">
        <v>41</v>
      </c>
    </row>
    <row r="1815" spans="1:9" x14ac:dyDescent="0.25">
      <c r="A1815" s="41">
        <v>45345.836852199071</v>
      </c>
      <c r="B1815" s="48">
        <f>IF(A1815&lt;&gt;"",DATE(YEAR(TRANSACTIONS!$A1815),MONTH(TRANSACTIONS!$A1815),DAY(TRANSACTIONS!$A1815)),"")</f>
        <v>45345</v>
      </c>
      <c r="C1815" s="49">
        <f>IF(A1815&lt;&gt;"",TIME(HOUR(TRANSACTIONS!$A1815),MINUTE(TRANSACTIONS!$A1815),SECOND(TRANSACTIONS!$A1815)),"")</f>
        <v>0.83685185185185185</v>
      </c>
      <c r="D1815" s="82" t="s">
        <v>62</v>
      </c>
      <c r="E1815" s="82" t="s">
        <v>7</v>
      </c>
      <c r="F1815" s="94">
        <v>19000</v>
      </c>
      <c r="G1815" s="46"/>
      <c r="H1815" s="46">
        <f>IFERROR(TRANSACTIONS!$F1815+TRANSACTIONS!$G1815,"")</f>
        <v>19000</v>
      </c>
      <c r="I1815" s="57" t="s">
        <v>41</v>
      </c>
    </row>
    <row r="1816" spans="1:9" x14ac:dyDescent="0.25">
      <c r="A1816" s="41">
        <v>45345.836839699077</v>
      </c>
      <c r="B1816" s="48">
        <f>IF(A1816&lt;&gt;"",DATE(YEAR(TRANSACTIONS!$A1816),MONTH(TRANSACTIONS!$A1816),DAY(TRANSACTIONS!$A1816)),"")</f>
        <v>45345</v>
      </c>
      <c r="C1816" s="49">
        <f>IF(A1816&lt;&gt;"",TIME(HOUR(TRANSACTIONS!$A1816),MINUTE(TRANSACTIONS!$A1816),SECOND(TRANSACTIONS!$A1816)),"")</f>
        <v>0.83684027777777781</v>
      </c>
      <c r="D1816" s="82" t="s">
        <v>62</v>
      </c>
      <c r="E1816" s="82" t="s">
        <v>7</v>
      </c>
      <c r="F1816" s="94">
        <v>10000</v>
      </c>
      <c r="G1816" s="46"/>
      <c r="H1816" s="46">
        <f>IFERROR(TRANSACTIONS!$F1816+TRANSACTIONS!$G1816,"")</f>
        <v>10000</v>
      </c>
      <c r="I1816" s="57" t="s">
        <v>41</v>
      </c>
    </row>
    <row r="1817" spans="1:9" x14ac:dyDescent="0.25">
      <c r="A1817" s="41">
        <v>45345.836862847224</v>
      </c>
      <c r="B1817" s="48">
        <f>IF(A1817&lt;&gt;"",DATE(YEAR(TRANSACTIONS!$A1817),MONTH(TRANSACTIONS!$A1817),DAY(TRANSACTIONS!$A1817)),"")</f>
        <v>45345</v>
      </c>
      <c r="C1817" s="49">
        <f>IF(A1817&lt;&gt;"",TIME(HOUR(TRANSACTIONS!$A1817),MINUTE(TRANSACTIONS!$A1817),SECOND(TRANSACTIONS!$A1817)),"")</f>
        <v>0.83686342592592589</v>
      </c>
      <c r="D1817" s="82" t="s">
        <v>62</v>
      </c>
      <c r="E1817" s="82" t="s">
        <v>7</v>
      </c>
      <c r="F1817" s="94">
        <v>20000</v>
      </c>
      <c r="G1817" s="46"/>
      <c r="H1817" s="46">
        <f>IFERROR(TRANSACTIONS!$F1817+TRANSACTIONS!$G1817,"")</f>
        <v>20000</v>
      </c>
      <c r="I1817" s="57" t="s">
        <v>41</v>
      </c>
    </row>
    <row r="1818" spans="1:9" x14ac:dyDescent="0.25">
      <c r="A1818" s="41">
        <v>45345.836877662034</v>
      </c>
      <c r="B1818" s="48">
        <f>IF(A1818&lt;&gt;"",DATE(YEAR(TRANSACTIONS!$A1818),MONTH(TRANSACTIONS!$A1818),DAY(TRANSACTIONS!$A1818)),"")</f>
        <v>45345</v>
      </c>
      <c r="C1818" s="49">
        <f>IF(A1818&lt;&gt;"",TIME(HOUR(TRANSACTIONS!$A1818),MINUTE(TRANSACTIONS!$A1818),SECOND(TRANSACTIONS!$A1818)),"")</f>
        <v>0.83687500000000004</v>
      </c>
      <c r="D1818" s="82" t="s">
        <v>62</v>
      </c>
      <c r="E1818" s="82" t="s">
        <v>7</v>
      </c>
      <c r="F1818" s="94">
        <v>2000</v>
      </c>
      <c r="G1818" s="46"/>
      <c r="H1818" s="46">
        <f>IFERROR(TRANSACTIONS!$F1818+TRANSACTIONS!$G1818,"")</f>
        <v>2000</v>
      </c>
      <c r="I1818" s="57" t="s">
        <v>41</v>
      </c>
    </row>
    <row r="1819" spans="1:9" x14ac:dyDescent="0.25">
      <c r="A1819" s="71">
        <v>45345.836884953707</v>
      </c>
      <c r="B1819" s="73">
        <f>IF(A1819&lt;&gt;"",DATE(YEAR(TRANSACTIONS!$A1819),MONTH(TRANSACTIONS!$A1819),DAY(TRANSACTIONS!$A1819)),"")</f>
        <v>45345</v>
      </c>
      <c r="C1819" s="74">
        <f>IF(A1819&lt;&gt;"",TIME(HOUR(TRANSACTIONS!$A1819),MINUTE(TRANSACTIONS!$A1819),SECOND(TRANSACTIONS!$A1819)),"")</f>
        <v>0.83688657407407396</v>
      </c>
      <c r="D1819" s="72" t="s">
        <v>62</v>
      </c>
      <c r="E1819" s="72" t="s">
        <v>6</v>
      </c>
      <c r="F1819" s="180">
        <v>60000</v>
      </c>
      <c r="G1819" s="75"/>
      <c r="H1819" s="75">
        <f>IFERROR(TRANSACTIONS!$F1819+TRANSACTIONS!$G1819,"")</f>
        <v>60000</v>
      </c>
      <c r="I1819" s="89" t="s">
        <v>41</v>
      </c>
    </row>
    <row r="1820" spans="1:9" x14ac:dyDescent="0.25">
      <c r="A1820" s="41">
        <v>45345.836904861113</v>
      </c>
      <c r="B1820" s="48">
        <f>IF(A1820&lt;&gt;"",DATE(YEAR(TRANSACTIONS!$A1820),MONTH(TRANSACTIONS!$A1820),DAY(TRANSACTIONS!$A1820)),"")</f>
        <v>45345</v>
      </c>
      <c r="C1820" s="49">
        <f>IF(A1820&lt;&gt;"",TIME(HOUR(TRANSACTIONS!$A1820),MINUTE(TRANSACTIONS!$A1820),SECOND(TRANSACTIONS!$A1820)),"")</f>
        <v>0.83690972222222226</v>
      </c>
      <c r="D1820" s="82" t="s">
        <v>62</v>
      </c>
      <c r="E1820" s="82" t="s">
        <v>7</v>
      </c>
      <c r="F1820" s="94">
        <v>5000</v>
      </c>
      <c r="G1820" s="46"/>
      <c r="H1820" s="46">
        <f>IFERROR(TRANSACTIONS!$F1820+TRANSACTIONS!$G1820,"")</f>
        <v>5000</v>
      </c>
      <c r="I1820" s="57" t="s">
        <v>41</v>
      </c>
    </row>
    <row r="1821" spans="1:9" x14ac:dyDescent="0.25">
      <c r="A1821" s="41">
        <v>45345.836892476851</v>
      </c>
      <c r="B1821" s="48">
        <f>IF(A1821&lt;&gt;"",DATE(YEAR(TRANSACTIONS!$A1821),MONTH(TRANSACTIONS!$A1821),DAY(TRANSACTIONS!$A1821)),"")</f>
        <v>45345</v>
      </c>
      <c r="C1821" s="49">
        <f>IF(A1821&lt;&gt;"",TIME(HOUR(TRANSACTIONS!$A1821),MINUTE(TRANSACTIONS!$A1821),SECOND(TRANSACTIONS!$A1821)),"")</f>
        <v>0.83689814814814811</v>
      </c>
      <c r="D1821" s="82" t="s">
        <v>62</v>
      </c>
      <c r="E1821" s="82" t="s">
        <v>6</v>
      </c>
      <c r="F1821" s="94">
        <v>50000</v>
      </c>
      <c r="G1821" s="46"/>
      <c r="H1821" s="46">
        <f>IFERROR(TRANSACTIONS!$F1821+TRANSACTIONS!$G1821,"")</f>
        <v>50000</v>
      </c>
      <c r="I1821" s="57" t="s">
        <v>41</v>
      </c>
    </row>
    <row r="1822" spans="1:9" x14ac:dyDescent="0.25">
      <c r="A1822" s="41">
        <v>45345.836917129629</v>
      </c>
      <c r="B1822" s="48">
        <f>IF(A1822&lt;&gt;"",DATE(YEAR(TRANSACTIONS!$A1822),MONTH(TRANSACTIONS!$A1822),DAY(TRANSACTIONS!$A1822)),"")</f>
        <v>45345</v>
      </c>
      <c r="C1822" s="49">
        <f>IF(A1822&lt;&gt;"",TIME(HOUR(TRANSACTIONS!$A1822),MINUTE(TRANSACTIONS!$A1822),SECOND(TRANSACTIONS!$A1822)),"")</f>
        <v>0.8369212962962963</v>
      </c>
      <c r="D1822" s="82" t="s">
        <v>62</v>
      </c>
      <c r="E1822" s="82" t="s">
        <v>7</v>
      </c>
      <c r="F1822" s="94">
        <v>5000</v>
      </c>
      <c r="G1822" s="46"/>
      <c r="H1822" s="46">
        <f>IFERROR(TRANSACTIONS!$F1822+TRANSACTIONS!$G1822,"")</f>
        <v>5000</v>
      </c>
      <c r="I1822" s="57" t="s">
        <v>41</v>
      </c>
    </row>
    <row r="1823" spans="1:9" x14ac:dyDescent="0.25">
      <c r="A1823" s="41">
        <v>45345.836930324076</v>
      </c>
      <c r="B1823" s="48">
        <f>IF(A1823&lt;&gt;"",DATE(YEAR(TRANSACTIONS!$A1823),MONTH(TRANSACTIONS!$A1823),DAY(TRANSACTIONS!$A1823)),"")</f>
        <v>45345</v>
      </c>
      <c r="C1823" s="49">
        <f>IF(A1823&lt;&gt;"",TIME(HOUR(TRANSACTIONS!$A1823),MINUTE(TRANSACTIONS!$A1823),SECOND(TRANSACTIONS!$A1823)),"")</f>
        <v>0.83693287037037034</v>
      </c>
      <c r="D1823" s="82" t="s">
        <v>62</v>
      </c>
      <c r="E1823" s="82" t="s">
        <v>6</v>
      </c>
      <c r="F1823" s="94">
        <v>1600</v>
      </c>
      <c r="G1823" s="46"/>
      <c r="H1823" s="46">
        <f>IFERROR(TRANSACTIONS!$F1823+TRANSACTIONS!$G1823,"")</f>
        <v>1600</v>
      </c>
      <c r="I1823" s="57" t="s">
        <v>41</v>
      </c>
    </row>
    <row r="1824" spans="1:9" x14ac:dyDescent="0.25">
      <c r="A1824" s="41">
        <v>45345.836960995373</v>
      </c>
      <c r="B1824" s="48">
        <f>IF(A1824&lt;&gt;"",DATE(YEAR(TRANSACTIONS!$A1824),MONTH(TRANSACTIONS!$A1824),DAY(TRANSACTIONS!$A1824)),"")</f>
        <v>45345</v>
      </c>
      <c r="C1824" s="49">
        <f>IF(A1824&lt;&gt;"",TIME(HOUR(TRANSACTIONS!$A1824),MINUTE(TRANSACTIONS!$A1824),SECOND(TRANSACTIONS!$A1824)),"")</f>
        <v>0.83695601851851853</v>
      </c>
      <c r="D1824" s="82" t="s">
        <v>62</v>
      </c>
      <c r="E1824" s="82" t="s">
        <v>7</v>
      </c>
      <c r="F1824" s="94">
        <v>4500</v>
      </c>
      <c r="G1824" s="46"/>
      <c r="H1824" s="46">
        <f>IFERROR(TRANSACTIONS!$F1824+TRANSACTIONS!$G1824,"")</f>
        <v>4500</v>
      </c>
      <c r="I1824" s="57" t="s">
        <v>41</v>
      </c>
    </row>
    <row r="1825" spans="1:10" x14ac:dyDescent="0.25">
      <c r="A1825" s="41">
        <v>45345.836968634256</v>
      </c>
      <c r="B1825" s="48">
        <f>IF(A1825&lt;&gt;"",DATE(YEAR(TRANSACTIONS!$A1825),MONTH(TRANSACTIONS!$A1825),DAY(TRANSACTIONS!$A1825)),"")</f>
        <v>45345</v>
      </c>
      <c r="C1825" s="49">
        <f>IF(A1825&lt;&gt;"",TIME(HOUR(TRANSACTIONS!$A1825),MINUTE(TRANSACTIONS!$A1825),SECOND(TRANSACTIONS!$A1825)),"")</f>
        <v>0.83696759259259268</v>
      </c>
      <c r="D1825" s="82" t="s">
        <v>62</v>
      </c>
      <c r="E1825" s="82" t="s">
        <v>6</v>
      </c>
      <c r="F1825" s="94">
        <v>7000</v>
      </c>
      <c r="G1825" s="46"/>
      <c r="H1825" s="46">
        <f>IFERROR(TRANSACTIONS!$F1825+TRANSACTIONS!$G1825,"")</f>
        <v>7000</v>
      </c>
      <c r="I1825" s="57" t="s">
        <v>41</v>
      </c>
    </row>
    <row r="1826" spans="1:10" x14ac:dyDescent="0.25">
      <c r="A1826" s="41">
        <v>45345.836976041668</v>
      </c>
      <c r="B1826" s="48">
        <f>IF(A1826&lt;&gt;"",DATE(YEAR(TRANSACTIONS!$A1826),MONTH(TRANSACTIONS!$A1826),DAY(TRANSACTIONS!$A1826)),"")</f>
        <v>45345</v>
      </c>
      <c r="C1826" s="49">
        <f>IF(A1826&lt;&gt;"",TIME(HOUR(TRANSACTIONS!$A1826),MINUTE(TRANSACTIONS!$A1826),SECOND(TRANSACTIONS!$A1826)),"")</f>
        <v>0.83697916666666661</v>
      </c>
      <c r="D1826" s="82" t="s">
        <v>62</v>
      </c>
      <c r="E1826" s="82" t="s">
        <v>7</v>
      </c>
      <c r="F1826" s="94">
        <v>5000</v>
      </c>
      <c r="G1826" s="46"/>
      <c r="H1826" s="46">
        <f>IFERROR(TRANSACTIONS!$F1826+TRANSACTIONS!$G1826,"")</f>
        <v>5000</v>
      </c>
      <c r="I1826" s="57" t="s">
        <v>41</v>
      </c>
    </row>
    <row r="1827" spans="1:10" x14ac:dyDescent="0.25">
      <c r="A1827" s="41">
        <v>45345.837001157408</v>
      </c>
      <c r="B1827" s="48">
        <f>IF(A1827&lt;&gt;"",DATE(YEAR(TRANSACTIONS!$A1827),MONTH(TRANSACTIONS!$A1827),DAY(TRANSACTIONS!$A1827)),"")</f>
        <v>45345</v>
      </c>
      <c r="C1827" s="49">
        <f>IF(A1827&lt;&gt;"",TIME(HOUR(TRANSACTIONS!$A1827),MINUTE(TRANSACTIONS!$A1827),SECOND(TRANSACTIONS!$A1827)),"")</f>
        <v>0.8370023148148148</v>
      </c>
      <c r="D1827" s="82" t="s">
        <v>62</v>
      </c>
      <c r="E1827" s="82" t="s">
        <v>7</v>
      </c>
      <c r="F1827" s="94">
        <v>45000</v>
      </c>
      <c r="G1827" s="46"/>
      <c r="H1827" s="46">
        <f>IFERROR(TRANSACTIONS!$F1827+TRANSACTIONS!$G1827,"")</f>
        <v>45000</v>
      </c>
      <c r="I1827" s="57" t="s">
        <v>41</v>
      </c>
    </row>
    <row r="1828" spans="1:10" x14ac:dyDescent="0.25">
      <c r="A1828" s="41">
        <v>45345.837010532407</v>
      </c>
      <c r="B1828" s="48">
        <f>IF(A1828&lt;&gt;"",DATE(YEAR(TRANSACTIONS!$A1828),MONTH(TRANSACTIONS!$A1828),DAY(TRANSACTIONS!$A1828)),"")</f>
        <v>45345</v>
      </c>
      <c r="C1828" s="49">
        <f>IF(A1828&lt;&gt;"",TIME(HOUR(TRANSACTIONS!$A1828),MINUTE(TRANSACTIONS!$A1828),SECOND(TRANSACTIONS!$A1828)),"")</f>
        <v>0.83701388888888895</v>
      </c>
      <c r="D1828" s="82" t="s">
        <v>62</v>
      </c>
      <c r="E1828" s="82" t="s">
        <v>6</v>
      </c>
      <c r="F1828" s="94">
        <v>10000</v>
      </c>
      <c r="G1828" s="46"/>
      <c r="H1828" s="46">
        <f>IFERROR(TRANSACTIONS!$F1828+TRANSACTIONS!$G1828,"")</f>
        <v>10000</v>
      </c>
      <c r="I1828" s="57" t="s">
        <v>41</v>
      </c>
    </row>
    <row r="1829" spans="1:10" x14ac:dyDescent="0.25">
      <c r="A1829" s="41">
        <v>45345.837018402781</v>
      </c>
      <c r="B1829" s="48">
        <f>IF(A1829&lt;&gt;"",DATE(YEAR(TRANSACTIONS!$A1829),MONTH(TRANSACTIONS!$A1829),DAY(TRANSACTIONS!$A1829)),"")</f>
        <v>45345</v>
      </c>
      <c r="C1829" s="49">
        <f>IF(A1829&lt;&gt;"",TIME(HOUR(TRANSACTIONS!$A1829),MINUTE(TRANSACTIONS!$A1829),SECOND(TRANSACTIONS!$A1829)),"")</f>
        <v>0.83701388888888895</v>
      </c>
      <c r="D1829" s="82" t="s">
        <v>62</v>
      </c>
      <c r="E1829" s="82" t="s">
        <v>6</v>
      </c>
      <c r="F1829" s="94">
        <v>10000</v>
      </c>
      <c r="G1829" s="46"/>
      <c r="H1829" s="46">
        <f>IFERROR(TRANSACTIONS!$F1829+TRANSACTIONS!$G1829,"")</f>
        <v>10000</v>
      </c>
      <c r="I1829" s="57" t="s">
        <v>41</v>
      </c>
    </row>
    <row r="1830" spans="1:10" x14ac:dyDescent="0.25">
      <c r="A1830" s="41">
        <v>45345.837025578701</v>
      </c>
      <c r="B1830" s="48">
        <f>IF(A1830&lt;&gt;"",DATE(YEAR(TRANSACTIONS!$A1830),MONTH(TRANSACTIONS!$A1830),DAY(TRANSACTIONS!$A1830)),"")</f>
        <v>45345</v>
      </c>
      <c r="C1830" s="49">
        <f>IF(A1830&lt;&gt;"",TIME(HOUR(TRANSACTIONS!$A1830),MINUTE(TRANSACTIONS!$A1830),SECOND(TRANSACTIONS!$A1830)),"")</f>
        <v>0.83702546296296287</v>
      </c>
      <c r="D1830" s="82" t="s">
        <v>62</v>
      </c>
      <c r="E1830" s="82" t="s">
        <v>6</v>
      </c>
      <c r="F1830" s="94">
        <v>5000</v>
      </c>
      <c r="G1830" s="46"/>
      <c r="H1830" s="46">
        <f>IFERROR(TRANSACTIONS!$F1830+TRANSACTIONS!$G1830,"")</f>
        <v>5000</v>
      </c>
      <c r="I1830" s="57" t="s">
        <v>41</v>
      </c>
    </row>
    <row r="1831" spans="1:10" x14ac:dyDescent="0.25">
      <c r="A1831" s="81">
        <v>45345.837034259261</v>
      </c>
      <c r="B1831" s="83">
        <f>IF(A1831&lt;&gt;"",DATE(YEAR(TRANSACTIONS!$A1831),MONTH(TRANSACTIONS!$A1831),DAY(TRANSACTIONS!$A1831)),"")</f>
        <v>45345</v>
      </c>
      <c r="C1831" s="84">
        <f>IF(A1831&lt;&gt;"",TIME(HOUR(TRANSACTIONS!$A1831),MINUTE(TRANSACTIONS!$A1831),SECOND(TRANSACTIONS!$A1831)),"")</f>
        <v>0.83703703703703702</v>
      </c>
      <c r="D1831" s="82" t="s">
        <v>62</v>
      </c>
      <c r="E1831" s="82" t="s">
        <v>7</v>
      </c>
      <c r="F1831" s="94">
        <v>25000</v>
      </c>
      <c r="G1831" s="86"/>
      <c r="H1831" s="86">
        <f>IFERROR(TRANSACTIONS!$F1831+TRANSACTIONS!$G1831,"")</f>
        <v>25000</v>
      </c>
      <c r="I1831" s="87" t="s">
        <v>41</v>
      </c>
    </row>
    <row r="1832" spans="1:10" x14ac:dyDescent="0.25">
      <c r="A1832" s="81">
        <v>45345.837058449077</v>
      </c>
      <c r="B1832" s="83">
        <f>IF(A1832&lt;&gt;"",DATE(YEAR(TRANSACTIONS!$A1832),MONTH(TRANSACTIONS!$A1832),DAY(TRANSACTIONS!$A1832)),"")</f>
        <v>45345</v>
      </c>
      <c r="C1832" s="84">
        <f>IF(A1832&lt;&gt;"",TIME(HOUR(TRANSACTIONS!$A1832),MINUTE(TRANSACTIONS!$A1832),SECOND(TRANSACTIONS!$A1832)),"")</f>
        <v>0.83706018518518521</v>
      </c>
      <c r="D1832" s="82" t="s">
        <v>62</v>
      </c>
      <c r="E1832" s="82" t="s">
        <v>7</v>
      </c>
      <c r="F1832" s="94">
        <v>1000</v>
      </c>
      <c r="G1832" s="86"/>
      <c r="H1832" s="86">
        <f>IFERROR(TRANSACTIONS!$F1832+TRANSACTIONS!$G1832,"")</f>
        <v>1000</v>
      </c>
      <c r="I1832" s="87" t="s">
        <v>41</v>
      </c>
      <c r="J1832" s="88"/>
    </row>
    <row r="1833" spans="1:10" x14ac:dyDescent="0.25">
      <c r="A1833" s="81">
        <v>45345.842267361113</v>
      </c>
      <c r="B1833" s="83">
        <f>IF(A1833&lt;&gt;"",DATE(YEAR(TRANSACTIONS!$A1833),MONTH(TRANSACTIONS!$A1833),DAY(TRANSACTIONS!$A1833)),"")</f>
        <v>45345</v>
      </c>
      <c r="C1833" s="84">
        <f>IF(A1833&lt;&gt;"",TIME(HOUR(TRANSACTIONS!$A1833),MINUTE(TRANSACTIONS!$A1833),SECOND(TRANSACTIONS!$A1833)),"")</f>
        <v>0.84226851851851858</v>
      </c>
      <c r="D1833" s="82" t="s">
        <v>62</v>
      </c>
      <c r="E1833" s="82" t="s">
        <v>6</v>
      </c>
      <c r="F1833" s="94">
        <v>5000</v>
      </c>
      <c r="G1833" s="86"/>
      <c r="H1833" s="86">
        <f>IFERROR(TRANSACTIONS!$F1833+TRANSACTIONS!$G1833,"")</f>
        <v>5000</v>
      </c>
      <c r="I1833" s="87" t="s">
        <v>41</v>
      </c>
      <c r="J1833" s="88"/>
    </row>
    <row r="1834" spans="1:10" x14ac:dyDescent="0.25">
      <c r="A1834" s="41">
        <v>45345.842647106481</v>
      </c>
      <c r="B1834" s="48">
        <f>IF(A1834&lt;&gt;"",DATE(YEAR(TRANSACTIONS!$A1834),MONTH(TRANSACTIONS!$A1834),DAY(TRANSACTIONS!$A1834)),"")</f>
        <v>45345</v>
      </c>
      <c r="C1834" s="49">
        <f>IF(A1834&lt;&gt;"",TIME(HOUR(TRANSACTIONS!$A1834),MINUTE(TRANSACTIONS!$A1834),SECOND(TRANSACTIONS!$A1834)),"")</f>
        <v>0.84265046296296298</v>
      </c>
      <c r="D1834" s="82" t="s">
        <v>62</v>
      </c>
      <c r="E1834" s="82" t="s">
        <v>7</v>
      </c>
      <c r="F1834" s="94">
        <v>500</v>
      </c>
      <c r="G1834" s="46"/>
      <c r="H1834" s="46">
        <f>IFERROR(TRANSACTIONS!$F1834+TRANSACTIONS!$G1834,"")</f>
        <v>500</v>
      </c>
      <c r="I1834" s="57" t="s">
        <v>41</v>
      </c>
    </row>
    <row r="1835" spans="1:10" x14ac:dyDescent="0.25">
      <c r="A1835" s="41">
        <v>45345.842288194443</v>
      </c>
      <c r="B1835" s="48">
        <f>IF(A1835&lt;&gt;"",DATE(YEAR(TRANSACTIONS!$A1835),MONTH(TRANSACTIONS!$A1835),DAY(TRANSACTIONS!$A1835)),"")</f>
        <v>45345</v>
      </c>
      <c r="C1835" s="49">
        <f>IF(A1835&lt;&gt;"",TIME(HOUR(TRANSACTIONS!$A1835),MINUTE(TRANSACTIONS!$A1835),SECOND(TRANSACTIONS!$A1835)),"")</f>
        <v>0.84229166666666666</v>
      </c>
      <c r="D1835" s="82" t="s">
        <v>62</v>
      </c>
      <c r="E1835" s="82" t="s">
        <v>7</v>
      </c>
      <c r="F1835" s="94">
        <v>5000</v>
      </c>
      <c r="G1835" s="46"/>
      <c r="H1835" s="46">
        <f>IFERROR(TRANSACTIONS!$F1835+TRANSACTIONS!$G1835,"")</f>
        <v>5000</v>
      </c>
      <c r="I1835" s="57" t="s">
        <v>41</v>
      </c>
    </row>
    <row r="1836" spans="1:10" x14ac:dyDescent="0.25">
      <c r="A1836" s="41">
        <v>45345.842696180553</v>
      </c>
      <c r="B1836" s="48">
        <f>IF(A1836&lt;&gt;"",DATE(YEAR(TRANSACTIONS!$A1836),MONTH(TRANSACTIONS!$A1836),DAY(TRANSACTIONS!$A1836)),"")</f>
        <v>45345</v>
      </c>
      <c r="C1836" s="49">
        <f>IF(A1836&lt;&gt;"",TIME(HOUR(TRANSACTIONS!$A1836),MINUTE(TRANSACTIONS!$A1836),SECOND(TRANSACTIONS!$A1836)),"")</f>
        <v>0.84269675925925924</v>
      </c>
      <c r="D1836" s="82" t="s">
        <v>62</v>
      </c>
      <c r="E1836" s="82" t="s">
        <v>6</v>
      </c>
      <c r="F1836" s="94">
        <v>1000</v>
      </c>
      <c r="G1836" s="46"/>
      <c r="H1836" s="46">
        <f>IFERROR(TRANSACTIONS!$F1836+TRANSACTIONS!$G1836,"")</f>
        <v>1000</v>
      </c>
      <c r="I1836" s="57" t="s">
        <v>41</v>
      </c>
    </row>
    <row r="1837" spans="1:10" x14ac:dyDescent="0.25">
      <c r="A1837" s="41">
        <v>45345.84271099537</v>
      </c>
      <c r="B1837" s="48">
        <f>IF(A1837&lt;&gt;"",DATE(YEAR(TRANSACTIONS!$A1837),MONTH(TRANSACTIONS!$A1837),DAY(TRANSACTIONS!$A1837)),"")</f>
        <v>45345</v>
      </c>
      <c r="C1837" s="49">
        <f>IF(A1837&lt;&gt;"",TIME(HOUR(TRANSACTIONS!$A1837),MINUTE(TRANSACTIONS!$A1837),SECOND(TRANSACTIONS!$A1837)),"")</f>
        <v>0.84270833333333339</v>
      </c>
      <c r="D1837" s="82" t="s">
        <v>62</v>
      </c>
      <c r="E1837" s="82" t="s">
        <v>7</v>
      </c>
      <c r="F1837" s="94">
        <v>6500</v>
      </c>
      <c r="G1837" s="46"/>
      <c r="H1837" s="46">
        <f>IFERROR(TRANSACTIONS!$F1837+TRANSACTIONS!$G1837,"")</f>
        <v>6500</v>
      </c>
      <c r="I1837" s="57" t="s">
        <v>41</v>
      </c>
    </row>
    <row r="1838" spans="1:10" x14ac:dyDescent="0.25">
      <c r="A1838" s="81"/>
      <c r="B1838" s="83" t="str">
        <f>IF(A1838&lt;&gt;"",DATE(YEAR(TRANSACTIONS!$A1838),MONTH(TRANSACTIONS!$A1838),DAY(TRANSACTIONS!$A1838)),"")</f>
        <v/>
      </c>
      <c r="C1838" s="84" t="str">
        <f>IF(A1838&lt;&gt;"",TIME(HOUR(TRANSACTIONS!$A1838),MINUTE(TRANSACTIONS!$A1838),SECOND(TRANSACTIONS!$A1838)),"")</f>
        <v/>
      </c>
      <c r="D1838" s="82"/>
      <c r="E1838" s="82"/>
      <c r="F1838" s="94"/>
      <c r="G1838" s="86"/>
      <c r="H1838" s="86">
        <f>IFERROR(TRANSACTIONS!$F1838+TRANSACTIONS!$G1838,"")</f>
        <v>0</v>
      </c>
      <c r="I1838" s="87" t="s">
        <v>41</v>
      </c>
    </row>
    <row r="1839" spans="1:10" x14ac:dyDescent="0.25">
      <c r="A1839" s="41">
        <v>45346.49504710648</v>
      </c>
      <c r="B1839" s="48">
        <f>IF(A1839&lt;&gt;"",DATE(YEAR(TRANSACTIONS!$A1839),MONTH(TRANSACTIONS!$A1839),DAY(TRANSACTIONS!$A1839)),"")</f>
        <v>45346</v>
      </c>
      <c r="C1839" s="49">
        <f>IF(A1839&lt;&gt;"",TIME(HOUR(TRANSACTIONS!$A1839),MINUTE(TRANSACTIONS!$A1839),SECOND(TRANSACTIONS!$A1839)),"")</f>
        <v>0.49504629629629626</v>
      </c>
      <c r="D1839" s="82" t="s">
        <v>62</v>
      </c>
      <c r="E1839" s="82" t="s">
        <v>6</v>
      </c>
      <c r="F1839" s="94">
        <v>2000</v>
      </c>
      <c r="G1839" s="46"/>
      <c r="H1839" s="46">
        <f>IFERROR(TRANSACTIONS!$F1839+TRANSACTIONS!$G1839,"")</f>
        <v>2000</v>
      </c>
      <c r="I1839" s="57" t="s">
        <v>41</v>
      </c>
    </row>
    <row r="1840" spans="1:10" x14ac:dyDescent="0.25">
      <c r="A1840" s="41">
        <v>45346.495051273145</v>
      </c>
      <c r="B1840" s="48">
        <f>IF(A1840&lt;&gt;"",DATE(YEAR(TRANSACTIONS!$A1840),MONTH(TRANSACTIONS!$A1840),DAY(TRANSACTIONS!$A1840)),"")</f>
        <v>45346</v>
      </c>
      <c r="C1840" s="49">
        <f>IF(A1840&lt;&gt;"",TIME(HOUR(TRANSACTIONS!$A1840),MINUTE(TRANSACTIONS!$A1840),SECOND(TRANSACTIONS!$A1840)),"")</f>
        <v>0.49504629629629626</v>
      </c>
      <c r="D1840" s="82" t="s">
        <v>62</v>
      </c>
      <c r="E1840" s="82" t="s">
        <v>7</v>
      </c>
      <c r="F1840" s="94">
        <v>10000</v>
      </c>
      <c r="G1840" s="46"/>
      <c r="H1840" s="46">
        <f>IFERROR(TRANSACTIONS!$F1840+TRANSACTIONS!$G1840,"")</f>
        <v>10000</v>
      </c>
      <c r="I1840" s="57" t="s">
        <v>41</v>
      </c>
    </row>
    <row r="1841" spans="1:11" x14ac:dyDescent="0.25">
      <c r="A1841" s="41">
        <v>45346.495107291666</v>
      </c>
      <c r="B1841" s="48">
        <f>IF(A1841&lt;&gt;"",DATE(YEAR(TRANSACTIONS!$A1841),MONTH(TRANSACTIONS!$A1841),DAY(TRANSACTIONS!$A1841)),"")</f>
        <v>45346</v>
      </c>
      <c r="C1841" s="49">
        <f>IF(A1841&lt;&gt;"",TIME(HOUR(TRANSACTIONS!$A1841),MINUTE(TRANSACTIONS!$A1841),SECOND(TRANSACTIONS!$A1841)),"")</f>
        <v>0.49510416666666668</v>
      </c>
      <c r="D1841" s="82" t="s">
        <v>62</v>
      </c>
      <c r="E1841" s="82" t="s">
        <v>6</v>
      </c>
      <c r="F1841" s="94">
        <v>13000</v>
      </c>
      <c r="G1841" s="46"/>
      <c r="H1841" s="46">
        <f>IFERROR(TRANSACTIONS!$F1841+TRANSACTIONS!$G1841,"")</f>
        <v>13000</v>
      </c>
      <c r="I1841" s="57" t="s">
        <v>41</v>
      </c>
    </row>
    <row r="1842" spans="1:11" x14ac:dyDescent="0.25">
      <c r="A1842" s="113">
        <v>45346.495121759261</v>
      </c>
      <c r="B1842" s="114">
        <f>IF(A1842&lt;&gt;"",DATE(YEAR(TRANSACTIONS!$A1842),MONTH(TRANSACTIONS!$A1842),DAY(TRANSACTIONS!$A1842)),"")</f>
        <v>45346</v>
      </c>
      <c r="C1842" s="115">
        <f>IF(A1842&lt;&gt;"",TIME(HOUR(TRANSACTIONS!$A1842),MINUTE(TRANSACTIONS!$A1842),SECOND(TRANSACTIONS!$A1842)),"")</f>
        <v>0.49512731481481481</v>
      </c>
      <c r="D1842" s="82" t="s">
        <v>62</v>
      </c>
      <c r="E1842" s="82" t="s">
        <v>6</v>
      </c>
      <c r="F1842" s="94">
        <v>31200</v>
      </c>
      <c r="G1842" s="117"/>
      <c r="H1842" s="117">
        <f>IFERROR(TRANSACTIONS!$F1842+TRANSACTIONS!$G1842,"")</f>
        <v>31200</v>
      </c>
      <c r="I1842" s="123" t="s">
        <v>41</v>
      </c>
      <c r="J1842" s="118"/>
    </row>
    <row r="1843" spans="1:11" x14ac:dyDescent="0.25">
      <c r="A1843" s="41">
        <v>45346.495138310187</v>
      </c>
      <c r="B1843" s="48">
        <f>IF(A1843&lt;&gt;"",DATE(YEAR(TRANSACTIONS!$A1843),MONTH(TRANSACTIONS!$A1843),DAY(TRANSACTIONS!$A1843)),"")</f>
        <v>45346</v>
      </c>
      <c r="C1843" s="49">
        <f>IF(A1843&lt;&gt;"",TIME(HOUR(TRANSACTIONS!$A1843),MINUTE(TRANSACTIONS!$A1843),SECOND(TRANSACTIONS!$A1843)),"")</f>
        <v>0.49513888888888885</v>
      </c>
      <c r="D1843" s="82" t="s">
        <v>62</v>
      </c>
      <c r="E1843" s="82" t="s">
        <v>6</v>
      </c>
      <c r="F1843" s="94">
        <v>3000</v>
      </c>
      <c r="G1843" s="46"/>
      <c r="H1843" s="46">
        <f>IFERROR(TRANSACTIONS!$F1843+TRANSACTIONS!$G1843,"")</f>
        <v>3000</v>
      </c>
      <c r="I1843" s="57" t="s">
        <v>41</v>
      </c>
    </row>
    <row r="1844" spans="1:11" x14ac:dyDescent="0.25">
      <c r="A1844" s="41">
        <v>45346.495146875001</v>
      </c>
      <c r="B1844" s="48">
        <f>IF(A1844&lt;&gt;"",DATE(YEAR(TRANSACTIONS!$A1844),MONTH(TRANSACTIONS!$A1844),DAY(TRANSACTIONS!$A1844)),"")</f>
        <v>45346</v>
      </c>
      <c r="C1844" s="49">
        <f>IF(A1844&lt;&gt;"",TIME(HOUR(TRANSACTIONS!$A1844),MINUTE(TRANSACTIONS!$A1844),SECOND(TRANSACTIONS!$A1844)),"")</f>
        <v>0.495150462962963</v>
      </c>
      <c r="D1844" s="82" t="s">
        <v>62</v>
      </c>
      <c r="E1844" s="82" t="s">
        <v>7</v>
      </c>
      <c r="F1844" s="94">
        <v>8000</v>
      </c>
      <c r="G1844" s="46"/>
      <c r="H1844" s="46">
        <f>IFERROR(TRANSACTIONS!$F1844+TRANSACTIONS!$G1844,"")</f>
        <v>8000</v>
      </c>
      <c r="I1844" s="57" t="s">
        <v>41</v>
      </c>
    </row>
    <row r="1845" spans="1:11" x14ac:dyDescent="0.25">
      <c r="A1845" s="113">
        <v>45346.495154976852</v>
      </c>
      <c r="B1845" s="114">
        <f>IF(A1845&lt;&gt;"",DATE(YEAR(TRANSACTIONS!$A1845),MONTH(TRANSACTIONS!$A1845),DAY(TRANSACTIONS!$A1845)),"")</f>
        <v>45346</v>
      </c>
      <c r="C1845" s="115">
        <f>IF(A1845&lt;&gt;"",TIME(HOUR(TRANSACTIONS!$A1845),MINUTE(TRANSACTIONS!$A1845),SECOND(TRANSACTIONS!$A1845)),"")</f>
        <v>0.495150462962963</v>
      </c>
      <c r="D1845" s="82" t="s">
        <v>62</v>
      </c>
      <c r="E1845" s="82"/>
      <c r="F1845" s="94">
        <v>5000</v>
      </c>
      <c r="G1845" s="117"/>
      <c r="H1845" s="117">
        <f>IFERROR(TRANSACTIONS!$F1845+TRANSACTIONS!$G1845,"")</f>
        <v>5000</v>
      </c>
      <c r="I1845" s="123" t="s">
        <v>41</v>
      </c>
    </row>
    <row r="1846" spans="1:11" x14ac:dyDescent="0.25">
      <c r="A1846" s="41">
        <v>45346.495162615742</v>
      </c>
      <c r="B1846" s="48">
        <f>IF(A1846&lt;&gt;"",DATE(YEAR(TRANSACTIONS!$A1846),MONTH(TRANSACTIONS!$A1846),DAY(TRANSACTIONS!$A1846)),"")</f>
        <v>45346</v>
      </c>
      <c r="C1846" s="49">
        <f>IF(A1846&lt;&gt;"",TIME(HOUR(TRANSACTIONS!$A1846),MINUTE(TRANSACTIONS!$A1846),SECOND(TRANSACTIONS!$A1846)),"")</f>
        <v>0.49516203703703704</v>
      </c>
      <c r="D1846" s="82" t="s">
        <v>62</v>
      </c>
      <c r="E1846" s="82" t="s">
        <v>7</v>
      </c>
      <c r="F1846" s="94">
        <v>5000</v>
      </c>
      <c r="G1846" s="46"/>
      <c r="H1846" s="46">
        <f>IFERROR(TRANSACTIONS!$F1846+TRANSACTIONS!$G1846,"")</f>
        <v>5000</v>
      </c>
      <c r="I1846" s="57" t="s">
        <v>41</v>
      </c>
    </row>
    <row r="1847" spans="1:11" x14ac:dyDescent="0.25">
      <c r="A1847" s="41">
        <v>45346.49517037037</v>
      </c>
      <c r="B1847" s="48">
        <f>IF(A1847&lt;&gt;"",DATE(YEAR(TRANSACTIONS!$A1847),MONTH(TRANSACTIONS!$A1847),DAY(TRANSACTIONS!$A1847)),"")</f>
        <v>45346</v>
      </c>
      <c r="C1847" s="49">
        <f>IF(A1847&lt;&gt;"",TIME(HOUR(TRANSACTIONS!$A1847),MINUTE(TRANSACTIONS!$A1847),SECOND(TRANSACTIONS!$A1847)),"")</f>
        <v>0.49517361111111113</v>
      </c>
      <c r="D1847" s="82" t="s">
        <v>62</v>
      </c>
      <c r="E1847" s="82" t="s">
        <v>7</v>
      </c>
      <c r="F1847" s="94">
        <v>1000</v>
      </c>
      <c r="G1847" s="46"/>
      <c r="H1847" s="46">
        <f>IFERROR(TRANSACTIONS!$F1847+TRANSACTIONS!$G1847,"")</f>
        <v>1000</v>
      </c>
      <c r="I1847" s="57" t="s">
        <v>41</v>
      </c>
    </row>
    <row r="1848" spans="1:11" x14ac:dyDescent="0.25">
      <c r="A1848" s="41">
        <v>45346.495192708331</v>
      </c>
      <c r="B1848" s="48">
        <f>IF(A1848&lt;&gt;"",DATE(YEAR(TRANSACTIONS!$A1848),MONTH(TRANSACTIONS!$A1848),DAY(TRANSACTIONS!$A1848)),"")</f>
        <v>45346</v>
      </c>
      <c r="C1848" s="49">
        <f>IF(A1848&lt;&gt;"",TIME(HOUR(TRANSACTIONS!$A1848),MINUTE(TRANSACTIONS!$A1848),SECOND(TRANSACTIONS!$A1848)),"")</f>
        <v>0.49519675925925927</v>
      </c>
      <c r="D1848" s="82" t="s">
        <v>62</v>
      </c>
      <c r="E1848" s="82" t="s">
        <v>6</v>
      </c>
      <c r="F1848" s="94">
        <v>2000</v>
      </c>
      <c r="G1848" s="46"/>
      <c r="H1848" s="46">
        <f>IFERROR(TRANSACTIONS!$F1848+TRANSACTIONS!$G1848,"")</f>
        <v>2000</v>
      </c>
      <c r="I1848" s="57" t="s">
        <v>41</v>
      </c>
    </row>
    <row r="1849" spans="1:11" x14ac:dyDescent="0.25">
      <c r="A1849" s="113">
        <v>45346.495178703706</v>
      </c>
      <c r="B1849" s="114">
        <f>IF(A1849&lt;&gt;"",DATE(YEAR(TRANSACTIONS!$A1849),MONTH(TRANSACTIONS!$A1849),DAY(TRANSACTIONS!$A1849)),"")</f>
        <v>45346</v>
      </c>
      <c r="C1849" s="115">
        <f>IF(A1849&lt;&gt;"",TIME(HOUR(TRANSACTIONS!$A1849),MINUTE(TRANSACTIONS!$A1849),SECOND(TRANSACTIONS!$A1849)),"")</f>
        <v>0.49517361111111113</v>
      </c>
      <c r="D1849" s="116" t="s">
        <v>62</v>
      </c>
      <c r="E1849" s="116" t="s">
        <v>7</v>
      </c>
      <c r="F1849" s="94">
        <v>2000</v>
      </c>
      <c r="G1849" s="117"/>
      <c r="H1849" s="117">
        <f>IFERROR(TRANSACTIONS!$F1849+TRANSACTIONS!$G1849,"")</f>
        <v>2000</v>
      </c>
      <c r="I1849" s="123" t="s">
        <v>41</v>
      </c>
      <c r="J1849" s="118"/>
      <c r="K1849" s="118"/>
    </row>
    <row r="1850" spans="1:11" x14ac:dyDescent="0.25">
      <c r="A1850" s="113">
        <v>45346.495203240738</v>
      </c>
      <c r="B1850" s="114">
        <f>IF(A1850&lt;&gt;"",DATE(YEAR(TRANSACTIONS!$A1850),MONTH(TRANSACTIONS!$A1850),DAY(TRANSACTIONS!$A1850)),"")</f>
        <v>45346</v>
      </c>
      <c r="C1850" s="115">
        <f>IF(A1850&lt;&gt;"",TIME(HOUR(TRANSACTIONS!$A1850),MINUTE(TRANSACTIONS!$A1850),SECOND(TRANSACTIONS!$A1850)),"")</f>
        <v>0.49520833333333331</v>
      </c>
      <c r="D1850" s="116" t="s">
        <v>62</v>
      </c>
      <c r="E1850" s="116" t="s">
        <v>6</v>
      </c>
      <c r="F1850" s="94">
        <v>121200</v>
      </c>
      <c r="G1850" s="117"/>
      <c r="H1850" s="117">
        <f>IFERROR(TRANSACTIONS!$F1850+TRANSACTIONS!$G1850,"")</f>
        <v>121200</v>
      </c>
      <c r="I1850" s="123" t="s">
        <v>41</v>
      </c>
      <c r="J1850" s="118"/>
      <c r="K1850" s="118"/>
    </row>
    <row r="1851" spans="1:11" x14ac:dyDescent="0.25">
      <c r="A1851" s="41">
        <v>45346.495228703701</v>
      </c>
      <c r="B1851" s="48">
        <f>IF(A1851&lt;&gt;"",DATE(YEAR(TRANSACTIONS!$A1851),MONTH(TRANSACTIONS!$A1851),DAY(TRANSACTIONS!$A1851)),"")</f>
        <v>45346</v>
      </c>
      <c r="C1851" s="49">
        <f>IF(A1851&lt;&gt;"",TIME(HOUR(TRANSACTIONS!$A1851),MINUTE(TRANSACTIONS!$A1851),SECOND(TRANSACTIONS!$A1851)),"")</f>
        <v>0.49523148148148149</v>
      </c>
      <c r="D1851" s="82" t="s">
        <v>62</v>
      </c>
      <c r="E1851" s="82" t="s">
        <v>6</v>
      </c>
      <c r="F1851" s="94">
        <v>10000</v>
      </c>
      <c r="G1851" s="46"/>
      <c r="H1851" s="46">
        <f>IFERROR(TRANSACTIONS!$F1851+TRANSACTIONS!$G1851,"")</f>
        <v>10000</v>
      </c>
      <c r="I1851" s="57" t="s">
        <v>41</v>
      </c>
    </row>
    <row r="1852" spans="1:11" x14ac:dyDescent="0.25">
      <c r="A1852" s="41">
        <v>45346.495238888892</v>
      </c>
      <c r="B1852" s="48">
        <f>IF(A1852&lt;&gt;"",DATE(YEAR(TRANSACTIONS!$A1852),MONTH(TRANSACTIONS!$A1852),DAY(TRANSACTIONS!$A1852)),"")</f>
        <v>45346</v>
      </c>
      <c r="C1852" s="49">
        <f>IF(A1852&lt;&gt;"",TIME(HOUR(TRANSACTIONS!$A1852),MINUTE(TRANSACTIONS!$A1852),SECOND(TRANSACTIONS!$A1852)),"")</f>
        <v>0.49524305555555559</v>
      </c>
      <c r="D1852" s="82" t="s">
        <v>62</v>
      </c>
      <c r="E1852" s="82" t="s">
        <v>7</v>
      </c>
      <c r="F1852" s="94">
        <v>15000</v>
      </c>
      <c r="G1852" s="46"/>
      <c r="H1852" s="46">
        <f>IFERROR(TRANSACTIONS!$F1852+TRANSACTIONS!$G1852,"")</f>
        <v>15000</v>
      </c>
      <c r="I1852" s="57" t="s">
        <v>41</v>
      </c>
    </row>
    <row r="1853" spans="1:11" x14ac:dyDescent="0.25">
      <c r="A1853" s="41">
        <v>45346.495252199071</v>
      </c>
      <c r="B1853" s="48">
        <f>IF(A1853&lt;&gt;"",DATE(YEAR(TRANSACTIONS!$A1853),MONTH(TRANSACTIONS!$A1853),DAY(TRANSACTIONS!$A1853)),"")</f>
        <v>45346</v>
      </c>
      <c r="C1853" s="49">
        <f>IF(A1853&lt;&gt;"",TIME(HOUR(TRANSACTIONS!$A1853),MINUTE(TRANSACTIONS!$A1853),SECOND(TRANSACTIONS!$A1853)),"")</f>
        <v>0.49525462962962963</v>
      </c>
      <c r="D1853" s="82" t="s">
        <v>62</v>
      </c>
      <c r="E1853" s="82" t="s">
        <v>7</v>
      </c>
      <c r="F1853" s="94">
        <v>2000</v>
      </c>
      <c r="G1853" s="46"/>
      <c r="H1853" s="46">
        <f>IFERROR(TRANSACTIONS!$F1853+TRANSACTIONS!$G1853,"")</f>
        <v>2000</v>
      </c>
      <c r="I1853" s="57" t="s">
        <v>41</v>
      </c>
    </row>
    <row r="1854" spans="1:11" x14ac:dyDescent="0.25">
      <c r="A1854" s="41">
        <v>45346.495264699071</v>
      </c>
      <c r="B1854" s="48">
        <f>IF(A1854&lt;&gt;"",DATE(YEAR(TRANSACTIONS!$A1854),MONTH(TRANSACTIONS!$A1854),DAY(TRANSACTIONS!$A1854)),"")</f>
        <v>45346</v>
      </c>
      <c r="C1854" s="49">
        <f>IF(A1854&lt;&gt;"",TIME(HOUR(TRANSACTIONS!$A1854),MINUTE(TRANSACTIONS!$A1854),SECOND(TRANSACTIONS!$A1854)),"")</f>
        <v>0.49526620370370367</v>
      </c>
      <c r="D1854" s="82" t="s">
        <v>62</v>
      </c>
      <c r="E1854" s="82" t="s">
        <v>6</v>
      </c>
      <c r="F1854" s="94">
        <v>200000</v>
      </c>
      <c r="G1854" s="46"/>
      <c r="H1854" s="46">
        <f>IFERROR(TRANSACTIONS!$F1854+TRANSACTIONS!$G1854,"")</f>
        <v>200000</v>
      </c>
      <c r="I1854" s="57" t="s">
        <v>41</v>
      </c>
    </row>
    <row r="1855" spans="1:11" x14ac:dyDescent="0.25">
      <c r="A1855" s="41">
        <v>45346.495279166666</v>
      </c>
      <c r="B1855" s="48">
        <f>IF(A1855&lt;&gt;"",DATE(YEAR(TRANSACTIONS!$A1855),MONTH(TRANSACTIONS!$A1855),DAY(TRANSACTIONS!$A1855)),"")</f>
        <v>45346</v>
      </c>
      <c r="C1855" s="49">
        <f>IF(A1855&lt;&gt;"",TIME(HOUR(TRANSACTIONS!$A1855),MINUTE(TRANSACTIONS!$A1855),SECOND(TRANSACTIONS!$A1855)),"")</f>
        <v>0.49527777777777776</v>
      </c>
      <c r="D1855" s="82" t="s">
        <v>62</v>
      </c>
      <c r="E1855" s="82" t="s">
        <v>7</v>
      </c>
      <c r="F1855" s="94">
        <v>3000</v>
      </c>
      <c r="G1855" s="46"/>
      <c r="H1855" s="46">
        <f>IFERROR(TRANSACTIONS!$F1855+TRANSACTIONS!$G1855,"")</f>
        <v>3000</v>
      </c>
      <c r="I1855" s="57" t="s">
        <v>41</v>
      </c>
    </row>
    <row r="1856" spans="1:11" x14ac:dyDescent="0.25">
      <c r="A1856" s="41">
        <v>45346.495286574071</v>
      </c>
      <c r="B1856" s="48">
        <f>IF(A1856&lt;&gt;"",DATE(YEAR(TRANSACTIONS!$A1856),MONTH(TRANSACTIONS!$A1856),DAY(TRANSACTIONS!$A1856)),"")</f>
        <v>45346</v>
      </c>
      <c r="C1856" s="49">
        <f>IF(A1856&lt;&gt;"",TIME(HOUR(TRANSACTIONS!$A1856),MINUTE(TRANSACTIONS!$A1856),SECOND(TRANSACTIONS!$A1856)),"")</f>
        <v>0.4952893518518518</v>
      </c>
      <c r="D1856" s="82" t="s">
        <v>62</v>
      </c>
      <c r="E1856" s="82" t="s">
        <v>7</v>
      </c>
      <c r="F1856" s="94">
        <v>5000</v>
      </c>
      <c r="G1856" s="46"/>
      <c r="H1856" s="46">
        <f>IFERROR(TRANSACTIONS!$F1856+TRANSACTIONS!$G1856,"")</f>
        <v>5000</v>
      </c>
      <c r="I1856" s="57" t="s">
        <v>41</v>
      </c>
    </row>
    <row r="1857" spans="1:11" x14ac:dyDescent="0.25">
      <c r="A1857" s="41">
        <v>45346.49529421296</v>
      </c>
      <c r="B1857" s="48">
        <f>IF(A1857&lt;&gt;"",DATE(YEAR(TRANSACTIONS!$A1857),MONTH(TRANSACTIONS!$A1857),DAY(TRANSACTIONS!$A1857)),"")</f>
        <v>45346</v>
      </c>
      <c r="C1857" s="49">
        <f>IF(A1857&lt;&gt;"",TIME(HOUR(TRANSACTIONS!$A1857),MINUTE(TRANSACTIONS!$A1857),SECOND(TRANSACTIONS!$A1857)),"")</f>
        <v>0.4952893518518518</v>
      </c>
      <c r="D1857" s="82" t="s">
        <v>62</v>
      </c>
      <c r="E1857" s="82" t="s">
        <v>6</v>
      </c>
      <c r="F1857" s="94">
        <v>4000</v>
      </c>
      <c r="G1857" s="46"/>
      <c r="H1857" s="46">
        <f>IFERROR(TRANSACTIONS!$F1857+TRANSACTIONS!$G1857,"")</f>
        <v>4000</v>
      </c>
      <c r="I1857" s="57" t="s">
        <v>41</v>
      </c>
    </row>
    <row r="1858" spans="1:11" x14ac:dyDescent="0.25">
      <c r="A1858" s="113">
        <v>45346.495302546296</v>
      </c>
      <c r="B1858" s="114">
        <f>IF(A1858&lt;&gt;"",DATE(YEAR(TRANSACTIONS!$A1858),MONTH(TRANSACTIONS!$A1858),DAY(TRANSACTIONS!$A1858)),"")</f>
        <v>45346</v>
      </c>
      <c r="C1858" s="115">
        <f>IF(A1858&lt;&gt;"",TIME(HOUR(TRANSACTIONS!$A1858),MINUTE(TRANSACTIONS!$A1858),SECOND(TRANSACTIONS!$A1858)),"")</f>
        <v>0.49530092592592595</v>
      </c>
      <c r="D1858" s="82" t="s">
        <v>62</v>
      </c>
      <c r="E1858" s="82" t="s">
        <v>7</v>
      </c>
      <c r="F1858" s="94">
        <v>1500</v>
      </c>
      <c r="G1858" s="117"/>
      <c r="H1858" s="117">
        <f>IFERROR(TRANSACTIONS!$F1858+TRANSACTIONS!$G1858,"")</f>
        <v>1500</v>
      </c>
      <c r="I1858" s="123" t="s">
        <v>41</v>
      </c>
      <c r="J1858" s="118"/>
      <c r="K1858" s="118"/>
    </row>
    <row r="1859" spans="1:11" x14ac:dyDescent="0.25">
      <c r="A1859" s="41">
        <v>45346.495309722224</v>
      </c>
      <c r="B1859" s="48">
        <f>IF(A1859&lt;&gt;"",DATE(YEAR(TRANSACTIONS!$A1859),MONTH(TRANSACTIONS!$A1859),DAY(TRANSACTIONS!$A1859)),"")</f>
        <v>45346</v>
      </c>
      <c r="C1859" s="49">
        <f>IF(A1859&lt;&gt;"",TIME(HOUR(TRANSACTIONS!$A1859),MINUTE(TRANSACTIONS!$A1859),SECOND(TRANSACTIONS!$A1859)),"")</f>
        <v>0.49531249999999999</v>
      </c>
      <c r="D1859" s="82" t="s">
        <v>62</v>
      </c>
      <c r="E1859" s="82" t="s">
        <v>7</v>
      </c>
      <c r="F1859" s="94">
        <v>25000</v>
      </c>
      <c r="G1859" s="46"/>
      <c r="H1859" s="46">
        <f>IFERROR(TRANSACTIONS!$F1859+TRANSACTIONS!$G1859,"")</f>
        <v>25000</v>
      </c>
      <c r="I1859" s="57" t="s">
        <v>41</v>
      </c>
    </row>
    <row r="1860" spans="1:11" x14ac:dyDescent="0.25">
      <c r="A1860" s="41">
        <v>45346.495337962966</v>
      </c>
      <c r="B1860" s="48">
        <f>IF(A1860&lt;&gt;"",DATE(YEAR(TRANSACTIONS!$A1860),MONTH(TRANSACTIONS!$A1860),DAY(TRANSACTIONS!$A1860)),"")</f>
        <v>45346</v>
      </c>
      <c r="C1860" s="49">
        <f>IF(A1860&lt;&gt;"",TIME(HOUR(TRANSACTIONS!$A1860),MINUTE(TRANSACTIONS!$A1860),SECOND(TRANSACTIONS!$A1860)),"")</f>
        <v>0.49533564814814812</v>
      </c>
      <c r="D1860" s="82" t="s">
        <v>62</v>
      </c>
      <c r="E1860" s="82" t="s">
        <v>7</v>
      </c>
      <c r="F1860" s="94">
        <v>13000</v>
      </c>
      <c r="G1860" s="46"/>
      <c r="H1860" s="46">
        <f>IFERROR(TRANSACTIONS!$F1860+TRANSACTIONS!$G1860,"")</f>
        <v>13000</v>
      </c>
      <c r="I1860" s="57" t="s">
        <v>41</v>
      </c>
    </row>
    <row r="1861" spans="1:11" x14ac:dyDescent="0.25">
      <c r="A1861" s="41">
        <v>45346.495350810183</v>
      </c>
      <c r="B1861" s="48">
        <f>IF(A1861&lt;&gt;"",DATE(YEAR(TRANSACTIONS!$A1861),MONTH(TRANSACTIONS!$A1861),DAY(TRANSACTIONS!$A1861)),"")</f>
        <v>45346</v>
      </c>
      <c r="C1861" s="49">
        <f>IF(A1861&lt;&gt;"",TIME(HOUR(TRANSACTIONS!$A1861),MINUTE(TRANSACTIONS!$A1861),SECOND(TRANSACTIONS!$A1861)),"")</f>
        <v>0.49534722222222222</v>
      </c>
      <c r="D1861" s="82" t="s">
        <v>62</v>
      </c>
      <c r="E1861" s="82" t="s">
        <v>6</v>
      </c>
      <c r="F1861" s="94">
        <v>5050</v>
      </c>
      <c r="G1861" s="46"/>
      <c r="H1861" s="46">
        <f>IFERROR(TRANSACTIONS!$F1861+TRANSACTIONS!$G1861,"")</f>
        <v>5050</v>
      </c>
      <c r="I1861" s="57" t="s">
        <v>41</v>
      </c>
    </row>
    <row r="1862" spans="1:11" x14ac:dyDescent="0.25">
      <c r="A1862" s="41">
        <v>45346.495415740741</v>
      </c>
      <c r="B1862" s="48">
        <f>IF(A1862&lt;&gt;"",DATE(YEAR(TRANSACTIONS!$A1862),MONTH(TRANSACTIONS!$A1862),DAY(TRANSACTIONS!$A1862)),"")</f>
        <v>45346</v>
      </c>
      <c r="C1862" s="49">
        <f>IF(A1862&lt;&gt;"",TIME(HOUR(TRANSACTIONS!$A1862),MINUTE(TRANSACTIONS!$A1862),SECOND(TRANSACTIONS!$A1862)),"")</f>
        <v>0.49541666666666667</v>
      </c>
      <c r="D1862" s="82" t="s">
        <v>62</v>
      </c>
      <c r="E1862" s="82" t="s">
        <v>7</v>
      </c>
      <c r="F1862" s="94">
        <v>1000</v>
      </c>
      <c r="G1862" s="46"/>
      <c r="H1862" s="46">
        <f>IFERROR(TRANSACTIONS!$F1862+TRANSACTIONS!$G1862,"")</f>
        <v>1000</v>
      </c>
      <c r="I1862" s="57" t="s">
        <v>41</v>
      </c>
    </row>
    <row r="1863" spans="1:11" x14ac:dyDescent="0.25">
      <c r="A1863" s="41">
        <v>45346.495425462963</v>
      </c>
      <c r="B1863" s="48">
        <f>IF(A1863&lt;&gt;"",DATE(YEAR(TRANSACTIONS!$A1863),MONTH(TRANSACTIONS!$A1863),DAY(TRANSACTIONS!$A1863)),"")</f>
        <v>45346</v>
      </c>
      <c r="C1863" s="49">
        <f>IF(A1863&lt;&gt;"",TIME(HOUR(TRANSACTIONS!$A1863),MINUTE(TRANSACTIONS!$A1863),SECOND(TRANSACTIONS!$A1863)),"")</f>
        <v>0.49542824074074071</v>
      </c>
      <c r="D1863" s="82" t="s">
        <v>62</v>
      </c>
      <c r="E1863" s="82" t="s">
        <v>7</v>
      </c>
      <c r="F1863" s="94">
        <v>5000</v>
      </c>
      <c r="G1863" s="46"/>
      <c r="H1863" s="46">
        <f>IFERROR(TRANSACTIONS!$F1863+TRANSACTIONS!$G1863,"")</f>
        <v>5000</v>
      </c>
      <c r="I1863" s="57" t="s">
        <v>41</v>
      </c>
    </row>
    <row r="1864" spans="1:11" x14ac:dyDescent="0.25">
      <c r="A1864" s="41">
        <v>45346.495433101853</v>
      </c>
      <c r="B1864" s="48">
        <f>IF(A1864&lt;&gt;"",DATE(YEAR(TRANSACTIONS!$A1864),MONTH(TRANSACTIONS!$A1864),DAY(TRANSACTIONS!$A1864)),"")</f>
        <v>45346</v>
      </c>
      <c r="C1864" s="49">
        <f>IF(A1864&lt;&gt;"",TIME(HOUR(TRANSACTIONS!$A1864),MINUTE(TRANSACTIONS!$A1864),SECOND(TRANSACTIONS!$A1864)),"")</f>
        <v>0.49542824074074071</v>
      </c>
      <c r="D1864" s="82" t="s">
        <v>62</v>
      </c>
      <c r="E1864" s="82" t="s">
        <v>6</v>
      </c>
      <c r="F1864" s="94">
        <v>20000</v>
      </c>
      <c r="G1864" s="46"/>
      <c r="H1864" s="46">
        <f>IFERROR(TRANSACTIONS!$F1864+TRANSACTIONS!$G1864,"")</f>
        <v>20000</v>
      </c>
      <c r="I1864" s="57" t="s">
        <v>41</v>
      </c>
    </row>
    <row r="1865" spans="1:11" x14ac:dyDescent="0.25">
      <c r="A1865" s="41">
        <v>45346.495447337962</v>
      </c>
      <c r="B1865" s="48">
        <f>IF(A1865&lt;&gt;"",DATE(YEAR(TRANSACTIONS!$A1865),MONTH(TRANSACTIONS!$A1865),DAY(TRANSACTIONS!$A1865)),"")</f>
        <v>45346</v>
      </c>
      <c r="C1865" s="49">
        <f>IF(A1865&lt;&gt;"",TIME(HOUR(TRANSACTIONS!$A1865),MINUTE(TRANSACTIONS!$A1865),SECOND(TRANSACTIONS!$A1865)),"")</f>
        <v>0.4954513888888889</v>
      </c>
      <c r="D1865" s="82" t="s">
        <v>62</v>
      </c>
      <c r="E1865" s="82" t="s">
        <v>7</v>
      </c>
      <c r="F1865" s="94">
        <v>2000</v>
      </c>
      <c r="G1865" s="46"/>
      <c r="H1865" s="46">
        <f>IFERROR(TRANSACTIONS!$F1865+TRANSACTIONS!$G1865,"")</f>
        <v>2000</v>
      </c>
      <c r="I1865" s="57" t="s">
        <v>41</v>
      </c>
    </row>
    <row r="1866" spans="1:11" x14ac:dyDescent="0.25">
      <c r="A1866" s="41">
        <v>45346.495455324075</v>
      </c>
      <c r="B1866" s="48">
        <f>IF(A1866&lt;&gt;"",DATE(YEAR(TRANSACTIONS!$A1866),MONTH(TRANSACTIONS!$A1866),DAY(TRANSACTIONS!$A1866)),"")</f>
        <v>45346</v>
      </c>
      <c r="C1866" s="49">
        <f>IF(A1866&lt;&gt;"",TIME(HOUR(TRANSACTIONS!$A1866),MINUTE(TRANSACTIONS!$A1866),SECOND(TRANSACTIONS!$A1866)),"")</f>
        <v>0.4954513888888889</v>
      </c>
      <c r="D1866" s="82" t="s">
        <v>62</v>
      </c>
      <c r="E1866" s="82" t="s">
        <v>7</v>
      </c>
      <c r="F1866" s="94">
        <v>1000</v>
      </c>
      <c r="G1866" s="46"/>
      <c r="H1866" s="46">
        <f>IFERROR(TRANSACTIONS!$F1866+TRANSACTIONS!$G1866,"")</f>
        <v>1000</v>
      </c>
      <c r="I1866" s="57" t="s">
        <v>41</v>
      </c>
    </row>
    <row r="1867" spans="1:11" x14ac:dyDescent="0.25">
      <c r="A1867" s="41">
        <v>45346.495479282406</v>
      </c>
      <c r="B1867" s="48">
        <f>IF(A1867&lt;&gt;"",DATE(YEAR(TRANSACTIONS!$A1867),MONTH(TRANSACTIONS!$A1867),DAY(TRANSACTIONS!$A1867)),"")</f>
        <v>45346</v>
      </c>
      <c r="C1867" s="49">
        <f>IF(A1867&lt;&gt;"",TIME(HOUR(TRANSACTIONS!$A1867),MINUTE(TRANSACTIONS!$A1867),SECOND(TRANSACTIONS!$A1867)),"")</f>
        <v>0.49547453703703703</v>
      </c>
      <c r="D1867" s="82" t="s">
        <v>62</v>
      </c>
      <c r="E1867" s="82" t="s">
        <v>6</v>
      </c>
      <c r="F1867" s="94">
        <v>25000</v>
      </c>
      <c r="G1867" s="46"/>
      <c r="H1867" s="46">
        <f>IFERROR(TRANSACTIONS!$F1867+TRANSACTIONS!$G1867,"")</f>
        <v>25000</v>
      </c>
      <c r="I1867" s="57" t="s">
        <v>41</v>
      </c>
    </row>
    <row r="1868" spans="1:11" x14ac:dyDescent="0.25">
      <c r="A1868" s="41">
        <v>45346.495486921296</v>
      </c>
      <c r="B1868" s="48">
        <f>IF(A1868&lt;&gt;"",DATE(YEAR(TRANSACTIONS!$A1868),MONTH(TRANSACTIONS!$A1868),DAY(TRANSACTIONS!$A1868)),"")</f>
        <v>45346</v>
      </c>
      <c r="C1868" s="49">
        <f>IF(A1868&lt;&gt;"",TIME(HOUR(TRANSACTIONS!$A1868),MINUTE(TRANSACTIONS!$A1868),SECOND(TRANSACTIONS!$A1868)),"")</f>
        <v>0.49548611111111113</v>
      </c>
      <c r="D1868" s="82" t="s">
        <v>25</v>
      </c>
      <c r="E1868" s="82" t="s">
        <v>7</v>
      </c>
      <c r="F1868" s="94">
        <v>20000</v>
      </c>
      <c r="G1868" s="46"/>
      <c r="H1868" s="46">
        <f>IFERROR(TRANSACTIONS!$F1868+TRANSACTIONS!$G1868,"")</f>
        <v>20000</v>
      </c>
      <c r="I1868" s="57" t="s">
        <v>41</v>
      </c>
    </row>
    <row r="1869" spans="1:11" x14ac:dyDescent="0.25">
      <c r="A1869" s="41">
        <v>45346.495494328701</v>
      </c>
      <c r="B1869" s="48">
        <f>IF(A1869&lt;&gt;"",DATE(YEAR(TRANSACTIONS!$A1869),MONTH(TRANSACTIONS!$A1869),DAY(TRANSACTIONS!$A1869)),"")</f>
        <v>45346</v>
      </c>
      <c r="C1869" s="49">
        <f>IF(A1869&lt;&gt;"",TIME(HOUR(TRANSACTIONS!$A1869),MINUTE(TRANSACTIONS!$A1869),SECOND(TRANSACTIONS!$A1869)),"")</f>
        <v>0.49549768518518517</v>
      </c>
      <c r="D1869" s="82" t="s">
        <v>25</v>
      </c>
      <c r="E1869" s="82" t="s">
        <v>6</v>
      </c>
      <c r="F1869" s="94">
        <v>18000</v>
      </c>
      <c r="G1869" s="46"/>
      <c r="H1869" s="46">
        <f>IFERROR(TRANSACTIONS!$F1869+TRANSACTIONS!$G1869,"")</f>
        <v>18000</v>
      </c>
      <c r="I1869" s="57" t="s">
        <v>41</v>
      </c>
    </row>
    <row r="1870" spans="1:11" x14ac:dyDescent="0.25">
      <c r="A1870" s="41">
        <v>45346.49550138889</v>
      </c>
      <c r="B1870" s="48">
        <f>IF(A1870&lt;&gt;"",DATE(YEAR(TRANSACTIONS!$A1870),MONTH(TRANSACTIONS!$A1870),DAY(TRANSACTIONS!$A1870)),"")</f>
        <v>45346</v>
      </c>
      <c r="C1870" s="49">
        <f>IF(A1870&lt;&gt;"",TIME(HOUR(TRANSACTIONS!$A1870),MINUTE(TRANSACTIONS!$A1870),SECOND(TRANSACTIONS!$A1870)),"")</f>
        <v>0.49549768518518517</v>
      </c>
      <c r="D1870" s="82" t="s">
        <v>25</v>
      </c>
      <c r="E1870" s="82" t="s">
        <v>6</v>
      </c>
      <c r="F1870" s="94">
        <v>500000</v>
      </c>
      <c r="G1870" s="46"/>
      <c r="H1870" s="46">
        <f>IFERROR(TRANSACTIONS!$F1870+TRANSACTIONS!$G1870,"")</f>
        <v>500000</v>
      </c>
      <c r="I1870" s="57" t="s">
        <v>41</v>
      </c>
    </row>
    <row r="1871" spans="1:11" x14ac:dyDescent="0.25">
      <c r="A1871" s="41">
        <v>45346.495508217595</v>
      </c>
      <c r="B1871" s="48">
        <f>IF(A1871&lt;&gt;"",DATE(YEAR(TRANSACTIONS!$A1871),MONTH(TRANSACTIONS!$A1871),DAY(TRANSACTIONS!$A1871)),"")</f>
        <v>45346</v>
      </c>
      <c r="C1871" s="49">
        <f>IF(A1871&lt;&gt;"",TIME(HOUR(TRANSACTIONS!$A1871),MINUTE(TRANSACTIONS!$A1871),SECOND(TRANSACTIONS!$A1871)),"")</f>
        <v>0.4955092592592592</v>
      </c>
      <c r="D1871" s="82" t="s">
        <v>25</v>
      </c>
      <c r="E1871" s="82" t="s">
        <v>6</v>
      </c>
      <c r="F1871" s="94">
        <v>2500</v>
      </c>
      <c r="G1871" s="46"/>
      <c r="H1871" s="46">
        <f>IFERROR(TRANSACTIONS!$F1871+TRANSACTIONS!$G1871,"")</f>
        <v>2500</v>
      </c>
      <c r="I1871" s="57" t="s">
        <v>41</v>
      </c>
    </row>
    <row r="1872" spans="1:11" x14ac:dyDescent="0.25">
      <c r="A1872" s="41">
        <v>45346.495515509261</v>
      </c>
      <c r="B1872" s="48">
        <f>IF(A1872&lt;&gt;"",DATE(YEAR(TRANSACTIONS!$A1872),MONTH(TRANSACTIONS!$A1872),DAY(TRANSACTIONS!$A1872)),"")</f>
        <v>45346</v>
      </c>
      <c r="C1872" s="49">
        <f>IF(A1872&lt;&gt;"",TIME(HOUR(TRANSACTIONS!$A1872),MINUTE(TRANSACTIONS!$A1872),SECOND(TRANSACTIONS!$A1872)),"")</f>
        <v>0.49552083333333335</v>
      </c>
      <c r="D1872" s="82" t="s">
        <v>25</v>
      </c>
      <c r="E1872" s="82" t="s">
        <v>7</v>
      </c>
      <c r="F1872" s="94">
        <v>2000</v>
      </c>
      <c r="G1872" s="46"/>
      <c r="H1872" s="46">
        <f>IFERROR(TRANSACTIONS!$F1872+TRANSACTIONS!$G1872,"")</f>
        <v>2000</v>
      </c>
      <c r="I1872" s="57" t="s">
        <v>41</v>
      </c>
    </row>
    <row r="1873" spans="1:9" x14ac:dyDescent="0.25">
      <c r="A1873" s="41">
        <v>45346.495562268516</v>
      </c>
      <c r="B1873" s="48">
        <f>IF(A1873&lt;&gt;"",DATE(YEAR(TRANSACTIONS!$A1873),MONTH(TRANSACTIONS!$A1873),DAY(TRANSACTIONS!$A1873)),"")</f>
        <v>45346</v>
      </c>
      <c r="C1873" s="49">
        <f>IF(A1873&lt;&gt;"",TIME(HOUR(TRANSACTIONS!$A1873),MINUTE(TRANSACTIONS!$A1873),SECOND(TRANSACTIONS!$A1873)),"")</f>
        <v>0.49556712962962962</v>
      </c>
      <c r="D1873" s="82" t="s">
        <v>25</v>
      </c>
      <c r="E1873" s="82" t="s">
        <v>7</v>
      </c>
      <c r="F1873" s="94">
        <v>1000</v>
      </c>
      <c r="G1873" s="46"/>
      <c r="H1873" s="46">
        <f>IFERROR(TRANSACTIONS!$F1873+TRANSACTIONS!$G1873,"")</f>
        <v>1000</v>
      </c>
      <c r="I1873" s="57" t="s">
        <v>41</v>
      </c>
    </row>
    <row r="1874" spans="1:9" x14ac:dyDescent="0.25">
      <c r="A1874" s="41">
        <v>45346.496314814816</v>
      </c>
      <c r="B1874" s="48">
        <f>IF(A1874&lt;&gt;"",DATE(YEAR(TRANSACTIONS!$A1874),MONTH(TRANSACTIONS!$A1874),DAY(TRANSACTIONS!$A1874)),"")</f>
        <v>45346</v>
      </c>
      <c r="C1874" s="49">
        <f>IF(A1874&lt;&gt;"",TIME(HOUR(TRANSACTIONS!$A1874),MINUTE(TRANSACTIONS!$A1874),SECOND(TRANSACTIONS!$A1874)),"")</f>
        <v>0.49631944444444448</v>
      </c>
      <c r="D1874" s="82" t="s">
        <v>25</v>
      </c>
      <c r="E1874" s="82" t="s">
        <v>7</v>
      </c>
      <c r="F1874" s="94">
        <v>180000</v>
      </c>
      <c r="G1874" s="46"/>
      <c r="H1874" s="46">
        <f>IFERROR(TRANSACTIONS!$F1874+TRANSACTIONS!$G1874,"")</f>
        <v>180000</v>
      </c>
      <c r="I1874" s="57" t="s">
        <v>41</v>
      </c>
    </row>
    <row r="1875" spans="1:9" x14ac:dyDescent="0.25">
      <c r="A1875" s="41">
        <v>45346.496318634257</v>
      </c>
      <c r="B1875" s="48">
        <f>IF(A1875&lt;&gt;"",DATE(YEAR(TRANSACTIONS!$A1875),MONTH(TRANSACTIONS!$A1875),DAY(TRANSACTIONS!$A1875)),"")</f>
        <v>45346</v>
      </c>
      <c r="C1875" s="49">
        <f>IF(A1875&lt;&gt;"",TIME(HOUR(TRANSACTIONS!$A1875),MINUTE(TRANSACTIONS!$A1875),SECOND(TRANSACTIONS!$A1875)),"")</f>
        <v>0.49631944444444448</v>
      </c>
      <c r="D1875" s="82" t="s">
        <v>63</v>
      </c>
      <c r="E1875" s="82" t="s">
        <v>6</v>
      </c>
      <c r="F1875" s="94">
        <v>6000</v>
      </c>
      <c r="G1875" s="46"/>
      <c r="H1875" s="46">
        <f>IFERROR(TRANSACTIONS!$F1875+TRANSACTIONS!$G1875,"")</f>
        <v>6000</v>
      </c>
      <c r="I1875" s="57" t="s">
        <v>41</v>
      </c>
    </row>
    <row r="1876" spans="1:9" x14ac:dyDescent="0.25">
      <c r="A1876" s="41">
        <v>45346.496366435182</v>
      </c>
      <c r="B1876" s="48">
        <f>IF(A1876&lt;&gt;"",DATE(YEAR(TRANSACTIONS!$A1876),MONTH(TRANSACTIONS!$A1876),DAY(TRANSACTIONS!$A1876)),"")</f>
        <v>45346</v>
      </c>
      <c r="C1876" s="49">
        <f>IF(A1876&lt;&gt;"",TIME(HOUR(TRANSACTIONS!$A1876),MINUTE(TRANSACTIONS!$A1876),SECOND(TRANSACTIONS!$A1876)),"")</f>
        <v>0.49636574074074075</v>
      </c>
      <c r="D1876" s="82" t="s">
        <v>62</v>
      </c>
      <c r="E1876" s="82" t="s">
        <v>6</v>
      </c>
      <c r="F1876" s="94">
        <v>5200</v>
      </c>
      <c r="G1876" s="46"/>
      <c r="H1876" s="46">
        <f>IFERROR(TRANSACTIONS!$F1876+TRANSACTIONS!$G1876,"")</f>
        <v>5200</v>
      </c>
      <c r="I1876" s="57" t="s">
        <v>41</v>
      </c>
    </row>
    <row r="1877" spans="1:9" x14ac:dyDescent="0.25">
      <c r="A1877" s="41">
        <v>45346.504725231483</v>
      </c>
      <c r="B1877" s="48">
        <f>IF(A1877&lt;&gt;"",DATE(YEAR(TRANSACTIONS!$A1877),MONTH(TRANSACTIONS!$A1877),DAY(TRANSACTIONS!$A1877)),"")</f>
        <v>45346</v>
      </c>
      <c r="C1877" s="49">
        <f>IF(A1877&lt;&gt;"",TIME(HOUR(TRANSACTIONS!$A1877),MINUTE(TRANSACTIONS!$A1877),SECOND(TRANSACTIONS!$A1877)),"")</f>
        <v>0.50472222222222218</v>
      </c>
      <c r="D1877" s="82" t="s">
        <v>62</v>
      </c>
      <c r="E1877" s="82" t="s">
        <v>7</v>
      </c>
      <c r="F1877" s="94">
        <v>15000</v>
      </c>
      <c r="G1877" s="46"/>
      <c r="H1877" s="46">
        <f>IFERROR(TRANSACTIONS!$F1877+TRANSACTIONS!$G1877,"")</f>
        <v>15000</v>
      </c>
      <c r="I1877" s="57" t="s">
        <v>41</v>
      </c>
    </row>
    <row r="1878" spans="1:9" x14ac:dyDescent="0.25">
      <c r="A1878" s="41">
        <v>45346.504758796298</v>
      </c>
      <c r="B1878" s="48">
        <f>IF(A1878&lt;&gt;"",DATE(YEAR(TRANSACTIONS!$A1878),MONTH(TRANSACTIONS!$A1878),DAY(TRANSACTIONS!$A1878)),"")</f>
        <v>45346</v>
      </c>
      <c r="C1878" s="49">
        <f>IF(A1878&lt;&gt;"",TIME(HOUR(TRANSACTIONS!$A1878),MINUTE(TRANSACTIONS!$A1878),SECOND(TRANSACTIONS!$A1878)),"")</f>
        <v>0.50475694444444441</v>
      </c>
      <c r="D1878" s="82" t="s">
        <v>25</v>
      </c>
      <c r="E1878" s="82" t="s">
        <v>7</v>
      </c>
      <c r="F1878" s="94">
        <v>10000</v>
      </c>
      <c r="G1878" s="46"/>
      <c r="H1878" s="46">
        <f>IFERROR(TRANSACTIONS!$F1878+TRANSACTIONS!$G1878,"")</f>
        <v>10000</v>
      </c>
      <c r="I1878" s="57" t="s">
        <v>41</v>
      </c>
    </row>
    <row r="1879" spans="1:9" x14ac:dyDescent="0.25">
      <c r="A1879" s="41">
        <v>45346.50477673611</v>
      </c>
      <c r="B1879" s="48">
        <f>IF(A1879&lt;&gt;"",DATE(YEAR(TRANSACTIONS!$A1879),MONTH(TRANSACTIONS!$A1879),DAY(TRANSACTIONS!$A1879)),"")</f>
        <v>45346</v>
      </c>
      <c r="C1879" s="49">
        <f>IF(A1879&lt;&gt;"",TIME(HOUR(TRANSACTIONS!$A1879),MINUTE(TRANSACTIONS!$A1879),SECOND(TRANSACTIONS!$A1879)),"")</f>
        <v>0.5047800925925926</v>
      </c>
      <c r="D1879" s="82" t="s">
        <v>62</v>
      </c>
      <c r="E1879" s="82" t="s">
        <v>7</v>
      </c>
      <c r="F1879" s="94">
        <v>2000</v>
      </c>
      <c r="G1879" s="46"/>
      <c r="H1879" s="46">
        <f>IFERROR(TRANSACTIONS!$F1879+TRANSACTIONS!$G1879,"")</f>
        <v>2000</v>
      </c>
      <c r="I1879" s="57" t="s">
        <v>41</v>
      </c>
    </row>
    <row r="1880" spans="1:9" x14ac:dyDescent="0.25">
      <c r="A1880" s="41">
        <v>45346.504784722223</v>
      </c>
      <c r="B1880" s="48">
        <f>IF(A1880&lt;&gt;"",DATE(YEAR(TRANSACTIONS!$A1880),MONTH(TRANSACTIONS!$A1880),DAY(TRANSACTIONS!$A1880)),"")</f>
        <v>45346</v>
      </c>
      <c r="C1880" s="49">
        <f>IF(A1880&lt;&gt;"",TIME(HOUR(TRANSACTIONS!$A1880),MINUTE(TRANSACTIONS!$A1880),SECOND(TRANSACTIONS!$A1880)),"")</f>
        <v>0.5047800925925926</v>
      </c>
      <c r="D1880" s="82" t="s">
        <v>62</v>
      </c>
      <c r="E1880" s="82" t="s">
        <v>7</v>
      </c>
      <c r="F1880" s="94">
        <v>40000</v>
      </c>
      <c r="G1880" s="46"/>
      <c r="H1880" s="46">
        <f>IFERROR(TRANSACTIONS!$F1880+TRANSACTIONS!$G1880,"")</f>
        <v>40000</v>
      </c>
      <c r="I1880" s="43" t="s">
        <v>41</v>
      </c>
    </row>
    <row r="1881" spans="1:9" x14ac:dyDescent="0.25">
      <c r="A1881" s="41"/>
      <c r="B1881" s="48" t="str">
        <f>IF(A1881&lt;&gt;"",DATE(YEAR(TRANSACTIONS!$A1881),MONTH(TRANSACTIONS!$A1881),DAY(TRANSACTIONS!$A1881)),"")</f>
        <v/>
      </c>
      <c r="C1881" s="49" t="str">
        <f>IF(A1881&lt;&gt;"",TIME(HOUR(TRANSACTIONS!$A1881),MINUTE(TRANSACTIONS!$A1881),SECOND(TRANSACTIONS!$A1881)),"")</f>
        <v/>
      </c>
      <c r="D1881" s="82"/>
      <c r="E1881" s="82"/>
      <c r="F1881" s="94"/>
      <c r="G1881" s="46"/>
      <c r="H1881" s="46">
        <f>IFERROR(TRANSACTIONS!$F1881+TRANSACTIONS!$G1881,"")</f>
        <v>0</v>
      </c>
      <c r="I1881" s="57" t="s">
        <v>41</v>
      </c>
    </row>
    <row r="1882" spans="1:9" x14ac:dyDescent="0.25">
      <c r="A1882" s="41">
        <v>45346.505807291665</v>
      </c>
      <c r="B1882" s="48">
        <f>IF(A1882&lt;&gt;"",DATE(YEAR(TRANSACTIONS!$A1882),MONTH(TRANSACTIONS!$A1882),DAY(TRANSACTIONS!$A1882)),"")</f>
        <v>45346</v>
      </c>
      <c r="C1882" s="49">
        <f>IF(A1882&lt;&gt;"",TIME(HOUR(TRANSACTIONS!$A1882),MINUTE(TRANSACTIONS!$A1882),SECOND(TRANSACTIONS!$A1882)),"")</f>
        <v>0.50581018518518517</v>
      </c>
      <c r="D1882" s="82" t="s">
        <v>62</v>
      </c>
      <c r="E1882" s="82" t="s">
        <v>7</v>
      </c>
      <c r="F1882" s="94">
        <v>25000</v>
      </c>
      <c r="G1882" s="46"/>
      <c r="H1882" s="46">
        <f>IFERROR(TRANSACTIONS!$F1882+TRANSACTIONS!$G1882,"")</f>
        <v>25000</v>
      </c>
      <c r="I1882" s="57" t="s">
        <v>41</v>
      </c>
    </row>
    <row r="1883" spans="1:9" x14ac:dyDescent="0.25">
      <c r="A1883" s="41">
        <v>45348.396993171293</v>
      </c>
      <c r="B1883" s="48">
        <f>IF(A1883&lt;&gt;"",DATE(YEAR(TRANSACTIONS!$A1883),MONTH(TRANSACTIONS!$A1883),DAY(TRANSACTIONS!$A1883)),"")</f>
        <v>45348</v>
      </c>
      <c r="C1883" s="49">
        <f>IF(A1883&lt;&gt;"",TIME(HOUR(TRANSACTIONS!$A1883),MINUTE(TRANSACTIONS!$A1883),SECOND(TRANSACTIONS!$A1883)),"")</f>
        <v>0.39699074074074076</v>
      </c>
      <c r="D1883" s="82" t="s">
        <v>62</v>
      </c>
      <c r="E1883" s="82" t="s">
        <v>6</v>
      </c>
      <c r="F1883" s="94">
        <v>1000</v>
      </c>
      <c r="G1883" s="46"/>
      <c r="H1883" s="46">
        <f>IFERROR(TRANSACTIONS!$F1883+TRANSACTIONS!$G1883,"")</f>
        <v>1000</v>
      </c>
      <c r="I1883" s="57" t="s">
        <v>41</v>
      </c>
    </row>
    <row r="1884" spans="1:9" x14ac:dyDescent="0.25">
      <c r="A1884" s="41">
        <v>45348.39711701389</v>
      </c>
      <c r="B1884" s="48">
        <f>IF(A1884&lt;&gt;"",DATE(YEAR(TRANSACTIONS!$A1884),MONTH(TRANSACTIONS!$A1884),DAY(TRANSACTIONS!$A1884)),"")</f>
        <v>45348</v>
      </c>
      <c r="C1884" s="49">
        <f>IF(A1884&lt;&gt;"",TIME(HOUR(TRANSACTIONS!$A1884),MINUTE(TRANSACTIONS!$A1884),SECOND(TRANSACTIONS!$A1884)),"")</f>
        <v>0.39711805555555557</v>
      </c>
      <c r="D1884" s="82" t="s">
        <v>62</v>
      </c>
      <c r="E1884" s="82" t="s">
        <v>7</v>
      </c>
      <c r="F1884" s="94">
        <v>4000</v>
      </c>
      <c r="G1884" s="46"/>
      <c r="H1884" s="46">
        <f>IFERROR(TRANSACTIONS!$F1884+TRANSACTIONS!$G1884,"")</f>
        <v>4000</v>
      </c>
      <c r="I1884" s="57" t="s">
        <v>41</v>
      </c>
    </row>
    <row r="1885" spans="1:9" x14ac:dyDescent="0.25">
      <c r="A1885" s="41">
        <v>45348.397624074074</v>
      </c>
      <c r="B1885" s="48">
        <f>IF(A1885&lt;&gt;"",DATE(YEAR(TRANSACTIONS!$A1885),MONTH(TRANSACTIONS!$A1885),DAY(TRANSACTIONS!$A1885)),"")</f>
        <v>45348</v>
      </c>
      <c r="C1885" s="49">
        <f>IF(A1885&lt;&gt;"",TIME(HOUR(TRANSACTIONS!$A1885),MINUTE(TRANSACTIONS!$A1885),SECOND(TRANSACTIONS!$A1885)),"")</f>
        <v>0.39762731481481484</v>
      </c>
      <c r="D1885" s="82" t="s">
        <v>62</v>
      </c>
      <c r="E1885" s="82" t="s">
        <v>7</v>
      </c>
      <c r="F1885" s="94">
        <v>5000</v>
      </c>
      <c r="G1885" s="46"/>
      <c r="H1885" s="46">
        <f>IFERROR(TRANSACTIONS!$F1885+TRANSACTIONS!$G1885,"")</f>
        <v>5000</v>
      </c>
      <c r="I1885" s="57" t="s">
        <v>41</v>
      </c>
    </row>
    <row r="1886" spans="1:9" x14ac:dyDescent="0.25">
      <c r="A1886" s="41">
        <v>45348.397627314815</v>
      </c>
      <c r="B1886" s="48">
        <f>IF(A1886&lt;&gt;"",DATE(YEAR(TRANSACTIONS!$A1886),MONTH(TRANSACTIONS!$A1886),DAY(TRANSACTIONS!$A1886)),"")</f>
        <v>45348</v>
      </c>
      <c r="C1886" s="49">
        <f>IF(A1886&lt;&gt;"",TIME(HOUR(TRANSACTIONS!$A1886),MINUTE(TRANSACTIONS!$A1886),SECOND(TRANSACTIONS!$A1886)),"")</f>
        <v>0.39762731481481484</v>
      </c>
      <c r="D1886" s="82" t="s">
        <v>62</v>
      </c>
      <c r="E1886" s="82" t="s">
        <v>7</v>
      </c>
      <c r="F1886" s="94">
        <v>2000</v>
      </c>
      <c r="G1886" s="46"/>
      <c r="H1886" s="46">
        <f>IFERROR(TRANSACTIONS!$F1886+TRANSACTIONS!$G1886,"")</f>
        <v>2000</v>
      </c>
      <c r="I1886" s="57" t="s">
        <v>41</v>
      </c>
    </row>
    <row r="1887" spans="1:9" x14ac:dyDescent="0.25">
      <c r="A1887" s="41">
        <v>45348.397691319442</v>
      </c>
      <c r="B1887" s="48">
        <f>IF(A1887&lt;&gt;"",DATE(YEAR(TRANSACTIONS!$A1887),MONTH(TRANSACTIONS!$A1887),DAY(TRANSACTIONS!$A1887)),"")</f>
        <v>45348</v>
      </c>
      <c r="C1887" s="49">
        <f>IF(A1887&lt;&gt;"",TIME(HOUR(TRANSACTIONS!$A1887),MINUTE(TRANSACTIONS!$A1887),SECOND(TRANSACTIONS!$A1887)),"")</f>
        <v>0.39769675925925929</v>
      </c>
      <c r="D1887" s="82" t="s">
        <v>62</v>
      </c>
      <c r="E1887" s="82" t="s">
        <v>7</v>
      </c>
      <c r="F1887" s="94">
        <v>120000</v>
      </c>
      <c r="G1887" s="46"/>
      <c r="H1887" s="46">
        <f>IFERROR(TRANSACTIONS!$F1887+TRANSACTIONS!$G1887,"")</f>
        <v>120000</v>
      </c>
      <c r="I1887" s="57" t="s">
        <v>41</v>
      </c>
    </row>
    <row r="1888" spans="1:9" x14ac:dyDescent="0.25">
      <c r="A1888" s="41">
        <v>45348.397700578702</v>
      </c>
      <c r="B1888" s="48">
        <f>IF(A1888&lt;&gt;"",DATE(YEAR(TRANSACTIONS!$A1888),MONTH(TRANSACTIONS!$A1888),DAY(TRANSACTIONS!$A1888)),"")</f>
        <v>45348</v>
      </c>
      <c r="C1888" s="49">
        <f>IF(A1888&lt;&gt;"",TIME(HOUR(TRANSACTIONS!$A1888),MINUTE(TRANSACTIONS!$A1888),SECOND(TRANSACTIONS!$A1888)),"")</f>
        <v>0.39769675925925929</v>
      </c>
      <c r="D1888" s="82" t="s">
        <v>62</v>
      </c>
      <c r="E1888" s="82" t="s">
        <v>6</v>
      </c>
      <c r="F1888" s="94">
        <v>5000</v>
      </c>
      <c r="G1888" s="46"/>
      <c r="H1888" s="46">
        <f>IFERROR(TRANSACTIONS!$F1888+TRANSACTIONS!$G1888,"")</f>
        <v>5000</v>
      </c>
      <c r="I1888" s="57" t="s">
        <v>41</v>
      </c>
    </row>
    <row r="1889" spans="1:9" x14ac:dyDescent="0.25">
      <c r="A1889" s="41">
        <v>45348.397710532408</v>
      </c>
      <c r="B1889" s="48">
        <f>IF(A1889&lt;&gt;"",DATE(YEAR(TRANSACTIONS!$A1889),MONTH(TRANSACTIONS!$A1889),DAY(TRANSACTIONS!$A1889)),"")</f>
        <v>45348</v>
      </c>
      <c r="C1889" s="49">
        <f>IF(A1889&lt;&gt;"",TIME(HOUR(TRANSACTIONS!$A1889),MINUTE(TRANSACTIONS!$A1889),SECOND(TRANSACTIONS!$A1889)),"")</f>
        <v>0.39770833333333333</v>
      </c>
      <c r="D1889" s="82" t="s">
        <v>62</v>
      </c>
      <c r="E1889" s="82" t="s">
        <v>6</v>
      </c>
      <c r="F1889" s="94">
        <v>20200</v>
      </c>
      <c r="G1889" s="46"/>
      <c r="H1889" s="46">
        <f>IFERROR(TRANSACTIONS!$F1889+TRANSACTIONS!$G1889,"")</f>
        <v>20200</v>
      </c>
      <c r="I1889" s="57" t="s">
        <v>41</v>
      </c>
    </row>
    <row r="1890" spans="1:9" x14ac:dyDescent="0.25">
      <c r="A1890" s="41">
        <v>45348.397719328706</v>
      </c>
      <c r="B1890" s="48">
        <f>IF(A1890&lt;&gt;"",DATE(YEAR(TRANSACTIONS!$A1890),MONTH(TRANSACTIONS!$A1890),DAY(TRANSACTIONS!$A1890)),"")</f>
        <v>45348</v>
      </c>
      <c r="C1890" s="49">
        <f>IF(A1890&lt;&gt;"",TIME(HOUR(TRANSACTIONS!$A1890),MINUTE(TRANSACTIONS!$A1890),SECOND(TRANSACTIONS!$A1890)),"")</f>
        <v>0.39771990740740742</v>
      </c>
      <c r="D1890" s="82" t="s">
        <v>62</v>
      </c>
      <c r="E1890" s="82" t="s">
        <v>6</v>
      </c>
      <c r="F1890" s="94">
        <v>9000</v>
      </c>
      <c r="G1890" s="46"/>
      <c r="H1890" s="46">
        <f>IFERROR(TRANSACTIONS!$F1890+TRANSACTIONS!$G1890,"")</f>
        <v>9000</v>
      </c>
      <c r="I1890" s="57" t="s">
        <v>41</v>
      </c>
    </row>
    <row r="1891" spans="1:9" x14ac:dyDescent="0.25">
      <c r="A1891" s="41">
        <v>45348.397747222225</v>
      </c>
      <c r="B1891" s="48">
        <f>IF(A1891&lt;&gt;"",DATE(YEAR(TRANSACTIONS!$A1891),MONTH(TRANSACTIONS!$A1891),DAY(TRANSACTIONS!$A1891)),"")</f>
        <v>45348</v>
      </c>
      <c r="C1891" s="49">
        <f>IF(A1891&lt;&gt;"",TIME(HOUR(TRANSACTIONS!$A1891),MINUTE(TRANSACTIONS!$A1891),SECOND(TRANSACTIONS!$A1891)),"")</f>
        <v>0.3977430555555555</v>
      </c>
      <c r="D1891" s="82" t="s">
        <v>62</v>
      </c>
      <c r="E1891" s="82" t="s">
        <v>7</v>
      </c>
      <c r="F1891" s="94">
        <v>15000</v>
      </c>
      <c r="G1891" s="46"/>
      <c r="H1891" s="46">
        <f>IFERROR(TRANSACTIONS!$F1891+TRANSACTIONS!$G1891,"")</f>
        <v>15000</v>
      </c>
      <c r="I1891" s="57" t="s">
        <v>41</v>
      </c>
    </row>
    <row r="1892" spans="1:9" x14ac:dyDescent="0.25">
      <c r="A1892" s="41">
        <v>45348.397755902777</v>
      </c>
      <c r="B1892" s="48">
        <f>IF(A1892&lt;&gt;"",DATE(YEAR(TRANSACTIONS!$A1892),MONTH(TRANSACTIONS!$A1892),DAY(TRANSACTIONS!$A1892)),"")</f>
        <v>45348</v>
      </c>
      <c r="C1892" s="49">
        <f>IF(A1892&lt;&gt;"",TIME(HOUR(TRANSACTIONS!$A1892),MINUTE(TRANSACTIONS!$A1892),SECOND(TRANSACTIONS!$A1892)),"")</f>
        <v>0.39775462962962965</v>
      </c>
      <c r="D1892" s="82" t="s">
        <v>62</v>
      </c>
      <c r="E1892" s="82" t="s">
        <v>6</v>
      </c>
      <c r="F1892" s="94">
        <v>50000</v>
      </c>
      <c r="G1892" s="46"/>
      <c r="H1892" s="46">
        <f>IFERROR(TRANSACTIONS!$F1892+TRANSACTIONS!$G1892,"")</f>
        <v>50000</v>
      </c>
      <c r="I1892" s="57" t="s">
        <v>41</v>
      </c>
    </row>
    <row r="1893" spans="1:9" x14ac:dyDescent="0.25">
      <c r="A1893" s="41">
        <v>45348.397766435184</v>
      </c>
      <c r="B1893" s="48">
        <f>IF(A1893&lt;&gt;"",DATE(YEAR(TRANSACTIONS!$A1893),MONTH(TRANSACTIONS!$A1893),DAY(TRANSACTIONS!$A1893)),"")</f>
        <v>45348</v>
      </c>
      <c r="C1893" s="49">
        <f>IF(A1893&lt;&gt;"",TIME(HOUR(TRANSACTIONS!$A1893),MINUTE(TRANSACTIONS!$A1893),SECOND(TRANSACTIONS!$A1893)),"")</f>
        <v>0.39776620370370369</v>
      </c>
      <c r="D1893" s="82" t="s">
        <v>62</v>
      </c>
      <c r="E1893" s="82" t="s">
        <v>6</v>
      </c>
      <c r="F1893" s="94">
        <v>200000</v>
      </c>
      <c r="G1893" s="46"/>
      <c r="H1893" s="46">
        <f>IFERROR(TRANSACTIONS!$F1893+TRANSACTIONS!$G1893,"")</f>
        <v>200000</v>
      </c>
      <c r="I1893" s="57" t="s">
        <v>41</v>
      </c>
    </row>
    <row r="1894" spans="1:9" x14ac:dyDescent="0.25">
      <c r="A1894" s="41">
        <v>45348.397775578705</v>
      </c>
      <c r="B1894" s="48">
        <f>IF(A1894&lt;&gt;"",DATE(YEAR(TRANSACTIONS!$A1894),MONTH(TRANSACTIONS!$A1894),DAY(TRANSACTIONS!$A1894)),"")</f>
        <v>45348</v>
      </c>
      <c r="C1894" s="49">
        <f>IF(A1894&lt;&gt;"",TIME(HOUR(TRANSACTIONS!$A1894),MINUTE(TRANSACTIONS!$A1894),SECOND(TRANSACTIONS!$A1894)),"")</f>
        <v>0.39777777777777779</v>
      </c>
      <c r="D1894" s="82" t="s">
        <v>62</v>
      </c>
      <c r="E1894" s="82" t="s">
        <v>7</v>
      </c>
      <c r="F1894" s="94">
        <v>500000</v>
      </c>
      <c r="G1894" s="46"/>
      <c r="H1894" s="46">
        <f>IFERROR(TRANSACTIONS!$F1894+TRANSACTIONS!$G1894,"")</f>
        <v>500000</v>
      </c>
      <c r="I1894" s="57" t="s">
        <v>41</v>
      </c>
    </row>
    <row r="1895" spans="1:9" x14ac:dyDescent="0.25">
      <c r="A1895" s="41">
        <v>45348.397805671295</v>
      </c>
      <c r="B1895" s="48">
        <f>IF(A1895&lt;&gt;"",DATE(YEAR(TRANSACTIONS!$A1895),MONTH(TRANSACTIONS!$A1895),DAY(TRANSACTIONS!$A1895)),"")</f>
        <v>45348</v>
      </c>
      <c r="C1895" s="49">
        <f>IF(A1895&lt;&gt;"",TIME(HOUR(TRANSACTIONS!$A1895),MINUTE(TRANSACTIONS!$A1895),SECOND(TRANSACTIONS!$A1895)),"")</f>
        <v>0.39780092592592592</v>
      </c>
      <c r="D1895" s="82" t="s">
        <v>62</v>
      </c>
      <c r="E1895" s="82" t="s">
        <v>7</v>
      </c>
      <c r="F1895" s="94">
        <v>5000</v>
      </c>
      <c r="G1895" s="46"/>
      <c r="H1895" s="46">
        <f>IFERROR(TRANSACTIONS!$F1895+TRANSACTIONS!$G1895,"")</f>
        <v>5000</v>
      </c>
      <c r="I1895" s="57" t="s">
        <v>41</v>
      </c>
    </row>
    <row r="1896" spans="1:9" x14ac:dyDescent="0.25">
      <c r="A1896" s="41">
        <v>45348.397813773146</v>
      </c>
      <c r="B1896" s="48">
        <f>IF(A1896&lt;&gt;"",DATE(YEAR(TRANSACTIONS!$A1896),MONTH(TRANSACTIONS!$A1896),DAY(TRANSACTIONS!$A1896)),"")</f>
        <v>45348</v>
      </c>
      <c r="C1896" s="49">
        <f>IF(A1896&lt;&gt;"",TIME(HOUR(TRANSACTIONS!$A1896),MINUTE(TRANSACTIONS!$A1896),SECOND(TRANSACTIONS!$A1896)),"")</f>
        <v>0.39781249999999996</v>
      </c>
      <c r="D1896" s="82" t="s">
        <v>25</v>
      </c>
      <c r="E1896" s="82" t="s">
        <v>6</v>
      </c>
      <c r="F1896" s="94">
        <v>1000</v>
      </c>
      <c r="G1896" s="46"/>
      <c r="H1896" s="46">
        <f>IFERROR(TRANSACTIONS!$F1896+TRANSACTIONS!$G1896,"")</f>
        <v>1000</v>
      </c>
      <c r="I1896" s="57" t="s">
        <v>41</v>
      </c>
    </row>
    <row r="1897" spans="1:9" x14ac:dyDescent="0.25">
      <c r="A1897" s="113">
        <v>45348.39782766204</v>
      </c>
      <c r="B1897" s="114">
        <f>IF(A1897&lt;&gt;"",DATE(YEAR(TRANSACTIONS!$A1897),MONTH(TRANSACTIONS!$A1897),DAY(TRANSACTIONS!$A1897)),"")</f>
        <v>45348</v>
      </c>
      <c r="C1897" s="115">
        <f>IF(A1897&lt;&gt;"",TIME(HOUR(TRANSACTIONS!$A1897),MINUTE(TRANSACTIONS!$A1897),SECOND(TRANSACTIONS!$A1897)),"")</f>
        <v>0.39782407407407411</v>
      </c>
      <c r="D1897" s="82" t="s">
        <v>62</v>
      </c>
      <c r="E1897" s="82" t="s">
        <v>6</v>
      </c>
      <c r="F1897" s="94">
        <v>15150</v>
      </c>
      <c r="G1897" s="117"/>
      <c r="H1897" s="117">
        <f>IFERROR(TRANSACTIONS!$F1897+TRANSACTIONS!$G1897,"")</f>
        <v>15150</v>
      </c>
      <c r="I1897" s="123" t="s">
        <v>41</v>
      </c>
    </row>
    <row r="1898" spans="1:9" x14ac:dyDescent="0.25">
      <c r="A1898" s="41">
        <v>45348.397836689815</v>
      </c>
      <c r="B1898" s="48">
        <f>IF(A1898&lt;&gt;"",DATE(YEAR(TRANSACTIONS!$A1898),MONTH(TRANSACTIONS!$A1898),DAY(TRANSACTIONS!$A1898)),"")</f>
        <v>45348</v>
      </c>
      <c r="C1898" s="49">
        <f>IF(A1898&lt;&gt;"",TIME(HOUR(TRANSACTIONS!$A1898),MINUTE(TRANSACTIONS!$A1898),SECOND(TRANSACTIONS!$A1898)),"")</f>
        <v>0.39783564814814815</v>
      </c>
      <c r="D1898" s="82" t="s">
        <v>62</v>
      </c>
      <c r="E1898" s="82" t="s">
        <v>6</v>
      </c>
      <c r="F1898" s="94">
        <v>4000</v>
      </c>
      <c r="G1898" s="46"/>
      <c r="H1898" s="46">
        <f>IFERROR(TRANSACTIONS!$F1898+TRANSACTIONS!$G1898,"")</f>
        <v>4000</v>
      </c>
      <c r="I1898" s="57" t="s">
        <v>41</v>
      </c>
    </row>
    <row r="1899" spans="1:9" x14ac:dyDescent="0.25">
      <c r="A1899" s="41">
        <v>45348.397844907406</v>
      </c>
      <c r="B1899" s="48">
        <f>IF(A1899&lt;&gt;"",DATE(YEAR(TRANSACTIONS!$A1899),MONTH(TRANSACTIONS!$A1899),DAY(TRANSACTIONS!$A1899)),"")</f>
        <v>45348</v>
      </c>
      <c r="C1899" s="49">
        <f>IF(A1899&lt;&gt;"",TIME(HOUR(TRANSACTIONS!$A1899),MINUTE(TRANSACTIONS!$A1899),SECOND(TRANSACTIONS!$A1899)),"")</f>
        <v>0.39784722222222224</v>
      </c>
      <c r="D1899" s="82" t="s">
        <v>63</v>
      </c>
      <c r="E1899" s="82" t="s">
        <v>6</v>
      </c>
      <c r="F1899" s="94">
        <v>5000</v>
      </c>
      <c r="G1899" s="46"/>
      <c r="H1899" s="46">
        <f>IFERROR(TRANSACTIONS!$F1899+TRANSACTIONS!$G1899,"")</f>
        <v>5000</v>
      </c>
      <c r="I1899" s="57" t="s">
        <v>41</v>
      </c>
    </row>
    <row r="1900" spans="1:9" x14ac:dyDescent="0.25">
      <c r="A1900" s="41">
        <v>45348.402313773149</v>
      </c>
      <c r="B1900" s="48">
        <f>IF(A1900&lt;&gt;"",DATE(YEAR(TRANSACTIONS!$A1900),MONTH(TRANSACTIONS!$A1900),DAY(TRANSACTIONS!$A1900)),"")</f>
        <v>45348</v>
      </c>
      <c r="C1900" s="49">
        <f>IF(A1900&lt;&gt;"",TIME(HOUR(TRANSACTIONS!$A1900),MINUTE(TRANSACTIONS!$A1900),SECOND(TRANSACTIONS!$A1900)),"")</f>
        <v>0.40231481481481479</v>
      </c>
      <c r="D1900" s="82" t="s">
        <v>62</v>
      </c>
      <c r="E1900" s="82"/>
      <c r="F1900" s="94">
        <v>10000</v>
      </c>
      <c r="G1900" s="46"/>
      <c r="H1900" s="46">
        <f>IFERROR(TRANSACTIONS!$F1900+TRANSACTIONS!$G1900,"")</f>
        <v>10000</v>
      </c>
      <c r="I1900" s="57" t="s">
        <v>41</v>
      </c>
    </row>
    <row r="1901" spans="1:9" x14ac:dyDescent="0.25">
      <c r="A1901" s="41">
        <v>45348.407465856479</v>
      </c>
      <c r="B1901" s="48">
        <f>IF(A1901&lt;&gt;"",DATE(YEAR(TRANSACTIONS!$A1901),MONTH(TRANSACTIONS!$A1901),DAY(TRANSACTIONS!$A1901)),"")</f>
        <v>45348</v>
      </c>
      <c r="C1901" s="49">
        <f>IF(A1901&lt;&gt;"",TIME(HOUR(TRANSACTIONS!$A1901),MINUTE(TRANSACTIONS!$A1901),SECOND(TRANSACTIONS!$A1901)),"")</f>
        <v>0.4074652777777778</v>
      </c>
      <c r="D1901" s="82" t="s">
        <v>62</v>
      </c>
      <c r="E1901" s="82" t="s">
        <v>6</v>
      </c>
      <c r="F1901" s="94">
        <v>37000</v>
      </c>
      <c r="G1901" s="46"/>
      <c r="H1901" s="46">
        <f>IFERROR(TRANSACTIONS!$F1901+TRANSACTIONS!$G1901,"")</f>
        <v>37000</v>
      </c>
      <c r="I1901" s="57" t="s">
        <v>41</v>
      </c>
    </row>
    <row r="1902" spans="1:9" x14ac:dyDescent="0.25">
      <c r="A1902" s="41">
        <v>45348.407490625003</v>
      </c>
      <c r="B1902" s="48">
        <f>IF(A1902&lt;&gt;"",DATE(YEAR(TRANSACTIONS!$A1902),MONTH(TRANSACTIONS!$A1902),DAY(TRANSACTIONS!$A1902)),"")</f>
        <v>45348</v>
      </c>
      <c r="C1902" s="49">
        <f>IF(A1902&lt;&gt;"",TIME(HOUR(TRANSACTIONS!$A1902),MINUTE(TRANSACTIONS!$A1902),SECOND(TRANSACTIONS!$A1902)),"")</f>
        <v>0.40748842592592593</v>
      </c>
      <c r="D1902" s="82" t="s">
        <v>62</v>
      </c>
      <c r="E1902" s="82" t="s">
        <v>6</v>
      </c>
      <c r="F1902" s="94">
        <v>1000</v>
      </c>
      <c r="G1902" s="46"/>
      <c r="H1902" s="46">
        <f>IFERROR(TRANSACTIONS!$F1902+TRANSACTIONS!$G1902,"")</f>
        <v>1000</v>
      </c>
      <c r="I1902" s="57" t="s">
        <v>41</v>
      </c>
    </row>
    <row r="1903" spans="1:9" x14ac:dyDescent="0.25">
      <c r="A1903" s="41">
        <v>45348.407499884263</v>
      </c>
      <c r="B1903" s="48">
        <f>IF(A1903&lt;&gt;"",DATE(YEAR(TRANSACTIONS!$A1903),MONTH(TRANSACTIONS!$A1903),DAY(TRANSACTIONS!$A1903)),"")</f>
        <v>45348</v>
      </c>
      <c r="C1903" s="49">
        <f>IF(A1903&lt;&gt;"",TIME(HOUR(TRANSACTIONS!$A1903),MINUTE(TRANSACTIONS!$A1903),SECOND(TRANSACTIONS!$A1903)),"")</f>
        <v>0.40749999999999997</v>
      </c>
      <c r="D1903" s="82" t="s">
        <v>62</v>
      </c>
      <c r="E1903" s="82" t="s">
        <v>7</v>
      </c>
      <c r="F1903" s="94">
        <v>2000</v>
      </c>
      <c r="G1903" s="46"/>
      <c r="H1903" s="46">
        <f>IFERROR(TRANSACTIONS!$F1903+TRANSACTIONS!$G1903,"")</f>
        <v>2000</v>
      </c>
      <c r="I1903" s="57" t="s">
        <v>41</v>
      </c>
    </row>
    <row r="1904" spans="1:9" x14ac:dyDescent="0.25">
      <c r="A1904" s="41">
        <v>45348.512082638888</v>
      </c>
      <c r="B1904" s="48">
        <f>IF(A1904&lt;&gt;"",DATE(YEAR(TRANSACTIONS!$A1904),MONTH(TRANSACTIONS!$A1904),DAY(TRANSACTIONS!$A1904)),"")</f>
        <v>45348</v>
      </c>
      <c r="C1904" s="49">
        <f>IF(A1904&lt;&gt;"",TIME(HOUR(TRANSACTIONS!$A1904),MINUTE(TRANSACTIONS!$A1904),SECOND(TRANSACTIONS!$A1904)),"")</f>
        <v>0.51208333333333333</v>
      </c>
      <c r="D1904" s="82" t="s">
        <v>62</v>
      </c>
      <c r="E1904" s="82" t="s">
        <v>7</v>
      </c>
      <c r="F1904" s="94">
        <v>35000</v>
      </c>
      <c r="G1904" s="46"/>
      <c r="H1904" s="46">
        <f>IFERROR(TRANSACTIONS!$F1904+TRANSACTIONS!$G1904,"")</f>
        <v>35000</v>
      </c>
      <c r="I1904" s="57" t="s">
        <v>41</v>
      </c>
    </row>
    <row r="1905" spans="1:10" x14ac:dyDescent="0.25">
      <c r="A1905" s="41">
        <v>45348.512113657409</v>
      </c>
      <c r="B1905" s="48">
        <f>IF(A1905&lt;&gt;"",DATE(YEAR(TRANSACTIONS!$A1905),MONTH(TRANSACTIONS!$A1905),DAY(TRANSACTIONS!$A1905)),"")</f>
        <v>45348</v>
      </c>
      <c r="C1905" s="49">
        <f>IF(A1905&lt;&gt;"",TIME(HOUR(TRANSACTIONS!$A1905),MINUTE(TRANSACTIONS!$A1905),SECOND(TRANSACTIONS!$A1905)),"")</f>
        <v>0.51211805555555556</v>
      </c>
      <c r="D1905" s="82" t="s">
        <v>62</v>
      </c>
      <c r="E1905" s="82" t="s">
        <v>7</v>
      </c>
      <c r="F1905" s="94">
        <v>3000</v>
      </c>
      <c r="G1905" s="46"/>
      <c r="H1905" s="46">
        <f>IFERROR(TRANSACTIONS!$F1905+TRANSACTIONS!$G1905,"")</f>
        <v>3000</v>
      </c>
      <c r="I1905" s="57" t="s">
        <v>41</v>
      </c>
    </row>
    <row r="1906" spans="1:10" x14ac:dyDescent="0.25">
      <c r="A1906" s="41">
        <v>45348.512138773149</v>
      </c>
      <c r="B1906" s="48">
        <f>IF(A1906&lt;&gt;"",DATE(YEAR(TRANSACTIONS!$A1906),MONTH(TRANSACTIONS!$A1906),DAY(TRANSACTIONS!$A1906)),"")</f>
        <v>45348</v>
      </c>
      <c r="C1906" s="49">
        <f>IF(A1906&lt;&gt;"",TIME(HOUR(TRANSACTIONS!$A1906),MINUTE(TRANSACTIONS!$A1906),SECOND(TRANSACTIONS!$A1906)),"")</f>
        <v>0.51214120370370375</v>
      </c>
      <c r="D1906" s="82" t="s">
        <v>62</v>
      </c>
      <c r="E1906" s="82" t="s">
        <v>7</v>
      </c>
      <c r="F1906" s="94">
        <v>1000</v>
      </c>
      <c r="G1906" s="46"/>
      <c r="H1906" s="46">
        <f>IFERROR(TRANSACTIONS!$F1906+TRANSACTIONS!$G1906,"")</f>
        <v>1000</v>
      </c>
      <c r="I1906" s="57" t="s">
        <v>41</v>
      </c>
    </row>
    <row r="1907" spans="1:10" x14ac:dyDescent="0.25">
      <c r="A1907" s="41">
        <v>45348.512151736111</v>
      </c>
      <c r="B1907" s="48">
        <f>IF(A1907&lt;&gt;"",DATE(YEAR(TRANSACTIONS!$A1907),MONTH(TRANSACTIONS!$A1907),DAY(TRANSACTIONS!$A1907)),"")</f>
        <v>45348</v>
      </c>
      <c r="C1907" s="49">
        <f>IF(A1907&lt;&gt;"",TIME(HOUR(TRANSACTIONS!$A1907),MINUTE(TRANSACTIONS!$A1907),SECOND(TRANSACTIONS!$A1907)),"")</f>
        <v>0.51215277777777779</v>
      </c>
      <c r="D1907" s="82" t="s">
        <v>62</v>
      </c>
      <c r="E1907" s="82" t="s">
        <v>7</v>
      </c>
      <c r="F1907" s="94">
        <v>8000</v>
      </c>
      <c r="G1907" s="46"/>
      <c r="H1907" s="46">
        <f>IFERROR(TRANSACTIONS!$F1907+TRANSACTIONS!$G1907,"")</f>
        <v>8000</v>
      </c>
      <c r="I1907" s="57" t="s">
        <v>41</v>
      </c>
    </row>
    <row r="1908" spans="1:10" x14ac:dyDescent="0.25">
      <c r="A1908" s="41">
        <v>45348.804947337965</v>
      </c>
      <c r="B1908" s="48">
        <f>IF(A1908&lt;&gt;"",DATE(YEAR(TRANSACTIONS!$A1908),MONTH(TRANSACTIONS!$A1908),DAY(TRANSACTIONS!$A1908)),"")</f>
        <v>45348</v>
      </c>
      <c r="C1908" s="49">
        <f>IF(A1908&lt;&gt;"",TIME(HOUR(TRANSACTIONS!$A1908),MINUTE(TRANSACTIONS!$A1908),SECOND(TRANSACTIONS!$A1908)),"")</f>
        <v>0.80494212962962963</v>
      </c>
      <c r="D1908" s="82" t="s">
        <v>62</v>
      </c>
      <c r="E1908" s="82" t="s">
        <v>6</v>
      </c>
      <c r="F1908" s="94">
        <v>17000</v>
      </c>
      <c r="G1908" s="46"/>
      <c r="H1908" s="46">
        <f>IFERROR(TRANSACTIONS!$F1908+TRANSACTIONS!$G1908,"")</f>
        <v>17000</v>
      </c>
      <c r="I1908" s="57" t="s">
        <v>41</v>
      </c>
    </row>
    <row r="1909" spans="1:10" x14ac:dyDescent="0.25">
      <c r="A1909" s="41">
        <v>45348.805060648148</v>
      </c>
      <c r="B1909" s="48">
        <f>IF(A1909&lt;&gt;"",DATE(YEAR(TRANSACTIONS!$A1909),MONTH(TRANSACTIONS!$A1909),DAY(TRANSACTIONS!$A1909)),"")</f>
        <v>45348</v>
      </c>
      <c r="C1909" s="49">
        <f>IF(A1909&lt;&gt;"",TIME(HOUR(TRANSACTIONS!$A1909),MINUTE(TRANSACTIONS!$A1909),SECOND(TRANSACTIONS!$A1909)),"")</f>
        <v>0.80505787037037047</v>
      </c>
      <c r="D1909" s="82" t="s">
        <v>62</v>
      </c>
      <c r="E1909" s="82" t="s">
        <v>7</v>
      </c>
      <c r="F1909" s="94">
        <v>15000</v>
      </c>
      <c r="G1909" s="46"/>
      <c r="H1909" s="46">
        <f>IFERROR(TRANSACTIONS!$F1909+TRANSACTIONS!$G1909,"")</f>
        <v>15000</v>
      </c>
      <c r="I1909" s="57" t="s">
        <v>41</v>
      </c>
    </row>
    <row r="1910" spans="1:10" x14ac:dyDescent="0.25">
      <c r="A1910" s="41">
        <v>45348.805089583337</v>
      </c>
      <c r="B1910" s="48">
        <f>IF(A1910&lt;&gt;"",DATE(YEAR(TRANSACTIONS!$A1910),MONTH(TRANSACTIONS!$A1910),DAY(TRANSACTIONS!$A1910)),"")</f>
        <v>45348</v>
      </c>
      <c r="C1910" s="49">
        <f>IF(A1910&lt;&gt;"",TIME(HOUR(TRANSACTIONS!$A1910),MINUTE(TRANSACTIONS!$A1910),SECOND(TRANSACTIONS!$A1910)),"")</f>
        <v>0.80509259259259258</v>
      </c>
      <c r="D1910" s="82" t="s">
        <v>62</v>
      </c>
      <c r="E1910" s="82" t="s">
        <v>7</v>
      </c>
      <c r="F1910" s="94">
        <v>13000</v>
      </c>
      <c r="G1910" s="46"/>
      <c r="H1910" s="46">
        <f>IFERROR(TRANSACTIONS!$F1910+TRANSACTIONS!$G1910,"")</f>
        <v>13000</v>
      </c>
      <c r="I1910" s="43" t="s">
        <v>41</v>
      </c>
    </row>
    <row r="1911" spans="1:10" x14ac:dyDescent="0.25">
      <c r="A1911" s="41">
        <v>45348.805098032404</v>
      </c>
      <c r="B1911" s="48">
        <f>IF(A1911&lt;&gt;"",DATE(YEAR(TRANSACTIONS!$A1911),MONTH(TRANSACTIONS!$A1911),DAY(TRANSACTIONS!$A1911)),"")</f>
        <v>45348</v>
      </c>
      <c r="C1911" s="49">
        <f>IF(A1911&lt;&gt;"",TIME(HOUR(TRANSACTIONS!$A1911),MINUTE(TRANSACTIONS!$A1911),SECOND(TRANSACTIONS!$A1911)),"")</f>
        <v>0.80509259259259258</v>
      </c>
      <c r="D1911" s="82" t="s">
        <v>62</v>
      </c>
      <c r="E1911" s="82" t="s">
        <v>6</v>
      </c>
      <c r="F1911" s="94">
        <v>1000</v>
      </c>
      <c r="G1911" s="46"/>
      <c r="H1911" s="46">
        <f>IFERROR(TRANSACTIONS!$F1911+TRANSACTIONS!$G1911,"")</f>
        <v>1000</v>
      </c>
      <c r="I1911" s="57" t="s">
        <v>41</v>
      </c>
    </row>
    <row r="1912" spans="1:10" x14ac:dyDescent="0.25">
      <c r="A1912" s="41">
        <v>45348.805121759258</v>
      </c>
      <c r="B1912" s="48">
        <f>IF(A1912&lt;&gt;"",DATE(YEAR(TRANSACTIONS!$A1912),MONTH(TRANSACTIONS!$A1912),DAY(TRANSACTIONS!$A1912)),"")</f>
        <v>45348</v>
      </c>
      <c r="C1912" s="49">
        <f>IF(A1912&lt;&gt;"",TIME(HOUR(TRANSACTIONS!$A1912),MINUTE(TRANSACTIONS!$A1912),SECOND(TRANSACTIONS!$A1912)),"")</f>
        <v>0.80512731481481481</v>
      </c>
      <c r="D1912" s="82" t="s">
        <v>62</v>
      </c>
      <c r="E1912" s="82" t="s">
        <v>7</v>
      </c>
      <c r="F1912" s="94">
        <v>1000</v>
      </c>
      <c r="G1912" s="46"/>
      <c r="H1912" s="46">
        <f>IFERROR(TRANSACTIONS!$F1912+TRANSACTIONS!$G1912,"")</f>
        <v>1000</v>
      </c>
      <c r="I1912" s="57" t="s">
        <v>41</v>
      </c>
    </row>
    <row r="1913" spans="1:10" x14ac:dyDescent="0.25">
      <c r="A1913" s="41">
        <v>45348.805106597225</v>
      </c>
      <c r="B1913" s="48">
        <f>IF(A1913&lt;&gt;"",DATE(YEAR(TRANSACTIONS!$A1913),MONTH(TRANSACTIONS!$A1913),DAY(TRANSACTIONS!$A1913)),"")</f>
        <v>45348</v>
      </c>
      <c r="C1913" s="49">
        <f>IF(A1913&lt;&gt;"",TIME(HOUR(TRANSACTIONS!$A1913),MINUTE(TRANSACTIONS!$A1913),SECOND(TRANSACTIONS!$A1913)),"")</f>
        <v>0.80510416666666673</v>
      </c>
      <c r="D1913" s="82" t="s">
        <v>62</v>
      </c>
      <c r="E1913" s="82" t="s">
        <v>6</v>
      </c>
      <c r="F1913" s="94">
        <v>7100</v>
      </c>
      <c r="G1913" s="46"/>
      <c r="H1913" s="46">
        <f>IFERROR(TRANSACTIONS!$F1913+TRANSACTIONS!$G1913,"")</f>
        <v>7100</v>
      </c>
      <c r="I1913" s="57" t="s">
        <v>41</v>
      </c>
    </row>
    <row r="1914" spans="1:10" x14ac:dyDescent="0.25">
      <c r="A1914" s="41">
        <v>45348.805136805553</v>
      </c>
      <c r="B1914" s="48">
        <f>IF(A1914&lt;&gt;"",DATE(YEAR(TRANSACTIONS!$A1914),MONTH(TRANSACTIONS!$A1914),DAY(TRANSACTIONS!$A1914)),"")</f>
        <v>45348</v>
      </c>
      <c r="C1914" s="49">
        <f>IF(A1914&lt;&gt;"",TIME(HOUR(TRANSACTIONS!$A1914),MINUTE(TRANSACTIONS!$A1914),SECOND(TRANSACTIONS!$A1914)),"")</f>
        <v>0.80513888888888896</v>
      </c>
      <c r="D1914" s="82" t="s">
        <v>62</v>
      </c>
      <c r="E1914" s="82" t="s">
        <v>7</v>
      </c>
      <c r="F1914" s="94">
        <v>50000</v>
      </c>
      <c r="G1914" s="46"/>
      <c r="H1914" s="46">
        <f>IFERROR(TRANSACTIONS!$F1914+TRANSACTIONS!$G1914,"")</f>
        <v>50000</v>
      </c>
      <c r="I1914" s="57" t="s">
        <v>41</v>
      </c>
    </row>
    <row r="1915" spans="1:10" x14ac:dyDescent="0.25">
      <c r="A1915" s="81">
        <v>45348.805146527775</v>
      </c>
      <c r="B1915" s="83">
        <f>IF(A1915&lt;&gt;"",DATE(YEAR(TRANSACTIONS!$A1915),MONTH(TRANSACTIONS!$A1915),DAY(TRANSACTIONS!$A1915)),"")</f>
        <v>45348</v>
      </c>
      <c r="C1915" s="84">
        <f>IF(A1915&lt;&gt;"",TIME(HOUR(TRANSACTIONS!$A1915),MINUTE(TRANSACTIONS!$A1915),SECOND(TRANSACTIONS!$A1915)),"")</f>
        <v>0.805150462962963</v>
      </c>
      <c r="D1915" s="82" t="s">
        <v>62</v>
      </c>
      <c r="E1915" s="82" t="s">
        <v>6</v>
      </c>
      <c r="F1915" s="94">
        <v>500</v>
      </c>
      <c r="G1915" s="86"/>
      <c r="H1915" s="86">
        <f>IFERROR(TRANSACTIONS!$F1915+TRANSACTIONS!$G1915,"")</f>
        <v>500</v>
      </c>
      <c r="I1915" s="87" t="s">
        <v>41</v>
      </c>
      <c r="J1915" s="88"/>
    </row>
    <row r="1916" spans="1:10" x14ac:dyDescent="0.25">
      <c r="A1916" s="41">
        <v>45348.805153935187</v>
      </c>
      <c r="B1916" s="48">
        <f>IF(A1916&lt;&gt;"",DATE(YEAR(TRANSACTIONS!$A1916),MONTH(TRANSACTIONS!$A1916),DAY(TRANSACTIONS!$A1916)),"")</f>
        <v>45348</v>
      </c>
      <c r="C1916" s="49">
        <f>IF(A1916&lt;&gt;"",TIME(HOUR(TRANSACTIONS!$A1916),MINUTE(TRANSACTIONS!$A1916),SECOND(TRANSACTIONS!$A1916)),"")</f>
        <v>0.805150462962963</v>
      </c>
      <c r="D1916" s="82" t="s">
        <v>62</v>
      </c>
      <c r="E1916" s="93" t="s">
        <v>7</v>
      </c>
      <c r="F1916" s="94">
        <v>1000</v>
      </c>
      <c r="G1916" s="46"/>
      <c r="H1916" s="46">
        <f>IFERROR(TRANSACTIONS!$F1916+TRANSACTIONS!$G1916,"")</f>
        <v>1000</v>
      </c>
      <c r="I1916" s="57" t="s">
        <v>41</v>
      </c>
    </row>
    <row r="1917" spans="1:10" x14ac:dyDescent="0.25">
      <c r="A1917" s="81">
        <v>45348.805162500001</v>
      </c>
      <c r="B1917" s="83">
        <f>IF(A1917&lt;&gt;"",DATE(YEAR(TRANSACTIONS!$A1917),MONTH(TRANSACTIONS!$A1917),DAY(TRANSACTIONS!$A1917)),"")</f>
        <v>45348</v>
      </c>
      <c r="C1917" s="84">
        <f>IF(A1917&lt;&gt;"",TIME(HOUR(TRANSACTIONS!$A1917),MINUTE(TRANSACTIONS!$A1917),SECOND(TRANSACTIONS!$A1917)),"")</f>
        <v>0.80516203703703704</v>
      </c>
      <c r="D1917" s="82" t="s">
        <v>62</v>
      </c>
      <c r="E1917" s="93" t="s">
        <v>7</v>
      </c>
      <c r="F1917" s="94">
        <v>5000</v>
      </c>
      <c r="G1917" s="86"/>
      <c r="H1917" s="86">
        <f>IFERROR(TRANSACTIONS!$F1917+TRANSACTIONS!$G1917,"")</f>
        <v>5000</v>
      </c>
      <c r="I1917" s="87" t="s">
        <v>41</v>
      </c>
      <c r="J1917" s="88"/>
    </row>
    <row r="1918" spans="1:10" x14ac:dyDescent="0.25">
      <c r="A1918" s="81">
        <v>45348.805181249998</v>
      </c>
      <c r="B1918" s="83">
        <f>IF(A1918&lt;&gt;"",DATE(YEAR(TRANSACTIONS!$A1918),MONTH(TRANSACTIONS!$A1918),DAY(TRANSACTIONS!$A1918)),"")</f>
        <v>45348</v>
      </c>
      <c r="C1918" s="84">
        <f>IF(A1918&lt;&gt;"",TIME(HOUR(TRANSACTIONS!$A1918),MINUTE(TRANSACTIONS!$A1918),SECOND(TRANSACTIONS!$A1918)),"")</f>
        <v>0.80518518518518523</v>
      </c>
      <c r="D1918" s="82" t="s">
        <v>62</v>
      </c>
      <c r="E1918" s="93" t="s">
        <v>7</v>
      </c>
      <c r="F1918" s="94">
        <v>1700</v>
      </c>
      <c r="G1918" s="86"/>
      <c r="H1918" s="86">
        <f>IFERROR(TRANSACTIONS!$F1918+TRANSACTIONS!$G1918,"")</f>
        <v>1700</v>
      </c>
      <c r="I1918" s="87" t="s">
        <v>41</v>
      </c>
      <c r="J1918" s="88"/>
    </row>
    <row r="1919" spans="1:10" x14ac:dyDescent="0.25">
      <c r="A1919" s="41">
        <v>45348.805187731479</v>
      </c>
      <c r="B1919" s="48">
        <f>IF(A1919&lt;&gt;"",DATE(YEAR(TRANSACTIONS!$A1919),MONTH(TRANSACTIONS!$A1919),DAY(TRANSACTIONS!$A1919)),"")</f>
        <v>45348</v>
      </c>
      <c r="C1919" s="49">
        <f>IF(A1919&lt;&gt;"",TIME(HOUR(TRANSACTIONS!$A1919),MINUTE(TRANSACTIONS!$A1919),SECOND(TRANSACTIONS!$A1919)),"")</f>
        <v>0.80518518518518523</v>
      </c>
      <c r="D1919" s="82" t="s">
        <v>62</v>
      </c>
      <c r="E1919" s="93" t="s">
        <v>7</v>
      </c>
      <c r="F1919" s="94">
        <v>4900</v>
      </c>
      <c r="G1919" s="46"/>
      <c r="H1919" s="46">
        <f>IFERROR(TRANSACTIONS!$F1919+TRANSACTIONS!$G1919,"")</f>
        <v>4900</v>
      </c>
      <c r="I1919" s="57" t="s">
        <v>41</v>
      </c>
    </row>
    <row r="1920" spans="1:10" x14ac:dyDescent="0.25">
      <c r="A1920" s="71">
        <v>45348.80521111111</v>
      </c>
      <c r="B1920" s="73">
        <f>IF(A1920&lt;&gt;"",DATE(YEAR(TRANSACTIONS!$A1920),MONTH(TRANSACTIONS!$A1920),DAY(TRANSACTIONS!$A1920)),"")</f>
        <v>45348</v>
      </c>
      <c r="C1920" s="74">
        <f>IF(A1920&lt;&gt;"",TIME(HOUR(TRANSACTIONS!$A1920),MINUTE(TRANSACTIONS!$A1920),SECOND(TRANSACTIONS!$A1920)),"")</f>
        <v>0.8052083333333333</v>
      </c>
      <c r="D1920" s="72" t="s">
        <v>62</v>
      </c>
      <c r="E1920" s="266" t="s">
        <v>6</v>
      </c>
      <c r="F1920" s="180">
        <v>60000</v>
      </c>
      <c r="G1920" s="75"/>
      <c r="H1920" s="75">
        <f>IFERROR(TRANSACTIONS!$F1920+TRANSACTIONS!$G1920,"")</f>
        <v>60000</v>
      </c>
      <c r="I1920" s="89" t="s">
        <v>41</v>
      </c>
    </row>
    <row r="1921" spans="1:13" x14ac:dyDescent="0.25">
      <c r="A1921" s="41">
        <v>45348.805247916665</v>
      </c>
      <c r="B1921" s="48">
        <f>IF(A1921&lt;&gt;"",DATE(YEAR(TRANSACTIONS!$A1921),MONTH(TRANSACTIONS!$A1921),DAY(TRANSACTIONS!$A1921)),"")</f>
        <v>45348</v>
      </c>
      <c r="C1921" s="49">
        <f>IF(A1921&lt;&gt;"",TIME(HOUR(TRANSACTIONS!$A1921),MINUTE(TRANSACTIONS!$A1921),SECOND(TRANSACTIONS!$A1921)),"")</f>
        <v>0.80524305555555553</v>
      </c>
      <c r="D1921" s="82" t="s">
        <v>62</v>
      </c>
      <c r="E1921" s="82" t="s">
        <v>6</v>
      </c>
      <c r="F1921" s="94">
        <v>98000</v>
      </c>
      <c r="G1921" s="46"/>
      <c r="H1921" s="46">
        <f>IFERROR(TRANSACTIONS!$F1921+TRANSACTIONS!$G1921,"")</f>
        <v>98000</v>
      </c>
      <c r="I1921" s="57" t="s">
        <v>41</v>
      </c>
    </row>
    <row r="1922" spans="1:13" x14ac:dyDescent="0.25">
      <c r="A1922" s="41">
        <v>45348.805257986111</v>
      </c>
      <c r="B1922" s="48">
        <f>IF(A1922&lt;&gt;"",DATE(YEAR(TRANSACTIONS!$A1922),MONTH(TRANSACTIONS!$A1922),DAY(TRANSACTIONS!$A1922)),"")</f>
        <v>45348</v>
      </c>
      <c r="C1922" s="49">
        <f>IF(A1922&lt;&gt;"",TIME(HOUR(TRANSACTIONS!$A1922),MINUTE(TRANSACTIONS!$A1922),SECOND(TRANSACTIONS!$A1922)),"")</f>
        <v>0.80525462962962957</v>
      </c>
      <c r="D1922" s="82" t="s">
        <v>62</v>
      </c>
      <c r="E1922" s="82" t="s">
        <v>6</v>
      </c>
      <c r="F1922" s="94">
        <v>40000</v>
      </c>
      <c r="G1922" s="46"/>
      <c r="H1922" s="46">
        <f>IFERROR(TRANSACTIONS!$F1922+TRANSACTIONS!$G1922,"")</f>
        <v>40000</v>
      </c>
      <c r="I1922" s="57" t="s">
        <v>41</v>
      </c>
    </row>
    <row r="1923" spans="1:13" x14ac:dyDescent="0.25">
      <c r="A1923" s="41">
        <v>45348.805267361109</v>
      </c>
      <c r="B1923" s="48">
        <f>IF(A1923&lt;&gt;"",DATE(YEAR(TRANSACTIONS!$A1923),MONTH(TRANSACTIONS!$A1923),DAY(TRANSACTIONS!$A1923)),"")</f>
        <v>45348</v>
      </c>
      <c r="C1923" s="49">
        <f>IF(A1923&lt;&gt;"",TIME(HOUR(TRANSACTIONS!$A1923),MINUTE(TRANSACTIONS!$A1923),SECOND(TRANSACTIONS!$A1923)),"")</f>
        <v>0.80526620370370372</v>
      </c>
      <c r="D1923" s="82" t="s">
        <v>62</v>
      </c>
      <c r="E1923" s="93" t="s">
        <v>7</v>
      </c>
      <c r="F1923" s="94">
        <v>5000</v>
      </c>
      <c r="G1923" s="46"/>
      <c r="H1923" s="46">
        <f>IFERROR(TRANSACTIONS!$F1923+TRANSACTIONS!$G1923,"")</f>
        <v>5000</v>
      </c>
      <c r="I1923" s="57" t="s">
        <v>41</v>
      </c>
    </row>
    <row r="1924" spans="1:13" x14ac:dyDescent="0.25">
      <c r="A1924" s="41">
        <v>45348.805276620369</v>
      </c>
      <c r="B1924" s="48">
        <f>IF(A1924&lt;&gt;"",DATE(YEAR(TRANSACTIONS!$A1924),MONTH(TRANSACTIONS!$A1924),DAY(TRANSACTIONS!$A1924)),"")</f>
        <v>45348</v>
      </c>
      <c r="C1924" s="49">
        <f>IF(A1924&lt;&gt;"",TIME(HOUR(TRANSACTIONS!$A1924),MINUTE(TRANSACTIONS!$A1924),SECOND(TRANSACTIONS!$A1924)),"")</f>
        <v>0.80527777777777787</v>
      </c>
      <c r="D1924" s="82" t="s">
        <v>62</v>
      </c>
      <c r="E1924" s="93" t="s">
        <v>7</v>
      </c>
      <c r="F1924" s="94">
        <v>700</v>
      </c>
      <c r="G1924" s="46"/>
      <c r="H1924" s="46">
        <f>IFERROR(TRANSACTIONS!$F1924+TRANSACTIONS!$G1924,"")</f>
        <v>700</v>
      </c>
      <c r="I1924" s="57" t="s">
        <v>41</v>
      </c>
    </row>
    <row r="1925" spans="1:13" x14ac:dyDescent="0.25">
      <c r="A1925" s="41">
        <v>45348.805294675927</v>
      </c>
      <c r="B1925" s="48">
        <f>IF(A1925&lt;&gt;"",DATE(YEAR(TRANSACTIONS!$A1925),MONTH(TRANSACTIONS!$A1925),DAY(TRANSACTIONS!$A1925)),"")</f>
        <v>45348</v>
      </c>
      <c r="C1925" s="49">
        <f>IF(A1925&lt;&gt;"",TIME(HOUR(TRANSACTIONS!$A1925),MINUTE(TRANSACTIONS!$A1925),SECOND(TRANSACTIONS!$A1925)),"")</f>
        <v>0.8052893518518518</v>
      </c>
      <c r="D1925" s="82" t="s">
        <v>62</v>
      </c>
      <c r="E1925" s="93" t="s">
        <v>7</v>
      </c>
      <c r="F1925" s="94">
        <v>5000</v>
      </c>
      <c r="G1925" s="46"/>
      <c r="H1925" s="46">
        <f>IFERROR(TRANSACTIONS!$F1925+TRANSACTIONS!$G1925,"")</f>
        <v>5000</v>
      </c>
      <c r="I1925" s="57" t="s">
        <v>41</v>
      </c>
    </row>
    <row r="1926" spans="1:13" x14ac:dyDescent="0.25">
      <c r="A1926" s="41">
        <v>45348.805299884261</v>
      </c>
      <c r="B1926" s="48">
        <f>IF(A1926&lt;&gt;"",DATE(YEAR(TRANSACTIONS!$A1926),MONTH(TRANSACTIONS!$A1926),DAY(TRANSACTIONS!$A1926)),"")</f>
        <v>45348</v>
      </c>
      <c r="C1926" s="49">
        <f>IF(A1926&lt;&gt;"",TIME(HOUR(TRANSACTIONS!$A1926),MINUTE(TRANSACTIONS!$A1926),SECOND(TRANSACTIONS!$A1926)),"")</f>
        <v>0.80530092592592595</v>
      </c>
      <c r="D1926" s="82" t="s">
        <v>62</v>
      </c>
      <c r="E1926" s="93" t="s">
        <v>6</v>
      </c>
      <c r="F1926" s="94">
        <v>60000</v>
      </c>
      <c r="G1926" s="46"/>
      <c r="H1926" s="46">
        <f>IFERROR(TRANSACTIONS!$F1926+TRANSACTIONS!$G1926,"")</f>
        <v>60000</v>
      </c>
      <c r="I1926" s="57" t="s">
        <v>41</v>
      </c>
    </row>
    <row r="1927" spans="1:13" x14ac:dyDescent="0.25">
      <c r="A1927" s="41">
        <v>45348.805512384257</v>
      </c>
      <c r="B1927" s="48">
        <f>IF(A1927&lt;&gt;"",DATE(YEAR(TRANSACTIONS!$A1927),MONTH(TRANSACTIONS!$A1927),DAY(TRANSACTIONS!$A1927)),"")</f>
        <v>45348</v>
      </c>
      <c r="C1927" s="49">
        <f>IF(A1927&lt;&gt;"",TIME(HOUR(TRANSACTIONS!$A1927),MINUTE(TRANSACTIONS!$A1927),SECOND(TRANSACTIONS!$A1927)),"")</f>
        <v>0.8055092592592592</v>
      </c>
      <c r="D1927" s="82" t="s">
        <v>62</v>
      </c>
      <c r="E1927" s="93" t="s">
        <v>7</v>
      </c>
      <c r="F1927" s="94">
        <v>1000</v>
      </c>
      <c r="G1927" s="46"/>
      <c r="H1927" s="46">
        <f>IFERROR(TRANSACTIONS!$F1927+TRANSACTIONS!$G1927,"")</f>
        <v>1000</v>
      </c>
      <c r="I1927" s="57" t="s">
        <v>41</v>
      </c>
    </row>
    <row r="1928" spans="1:13" x14ac:dyDescent="0.25">
      <c r="A1928" s="41">
        <v>45348.805766087964</v>
      </c>
      <c r="B1928" s="48">
        <f>IF(A1928&lt;&gt;"",DATE(YEAR(TRANSACTIONS!$A1928),MONTH(TRANSACTIONS!$A1928),DAY(TRANSACTIONS!$A1928)),"")</f>
        <v>45348</v>
      </c>
      <c r="C1928" s="49">
        <f>IF(A1928&lt;&gt;"",TIME(HOUR(TRANSACTIONS!$A1928),MINUTE(TRANSACTIONS!$A1928),SECOND(TRANSACTIONS!$A1928)),"")</f>
        <v>0.80576388888888895</v>
      </c>
      <c r="D1928" s="82" t="s">
        <v>62</v>
      </c>
      <c r="E1928" s="93" t="s">
        <v>6</v>
      </c>
      <c r="F1928" s="94">
        <v>2600</v>
      </c>
      <c r="G1928" s="46"/>
      <c r="H1928" s="46">
        <f>IFERROR(TRANSACTIONS!$F1928+TRANSACTIONS!$G1928,"")</f>
        <v>2600</v>
      </c>
      <c r="I1928" s="57" t="s">
        <v>41</v>
      </c>
    </row>
    <row r="1929" spans="1:13" x14ac:dyDescent="0.25">
      <c r="A1929" s="41">
        <v>45348.805776388886</v>
      </c>
      <c r="B1929" s="48">
        <f>IF(A1929&lt;&gt;"",DATE(YEAR(TRANSACTIONS!$A1929),MONTH(TRANSACTIONS!$A1929),DAY(TRANSACTIONS!$A1929)),"")</f>
        <v>45348</v>
      </c>
      <c r="C1929" s="49">
        <f>IF(A1929&lt;&gt;"",TIME(HOUR(TRANSACTIONS!$A1929),MINUTE(TRANSACTIONS!$A1929),SECOND(TRANSACTIONS!$A1929)),"")</f>
        <v>0.80577546296296287</v>
      </c>
      <c r="D1929" s="82" t="s">
        <v>62</v>
      </c>
      <c r="E1929" s="93" t="s">
        <v>6</v>
      </c>
      <c r="F1929" s="94">
        <v>15000</v>
      </c>
      <c r="G1929" s="46"/>
      <c r="H1929" s="46">
        <f>IFERROR(TRANSACTIONS!$F1929+TRANSACTIONS!$G1929,"")</f>
        <v>15000</v>
      </c>
      <c r="I1929" s="57" t="s">
        <v>41</v>
      </c>
    </row>
    <row r="1930" spans="1:13" x14ac:dyDescent="0.25">
      <c r="A1930" s="81">
        <v>45348.805786111108</v>
      </c>
      <c r="B1930" s="83">
        <f>IF(A1930&lt;&gt;"",DATE(YEAR(TRANSACTIONS!$A1930),MONTH(TRANSACTIONS!$A1930),DAY(TRANSACTIONS!$A1930)),"")</f>
        <v>45348</v>
      </c>
      <c r="C1930" s="84">
        <f>IF(A1930&lt;&gt;"",TIME(HOUR(TRANSACTIONS!$A1930),MINUTE(TRANSACTIONS!$A1930),SECOND(TRANSACTIONS!$A1930)),"")</f>
        <v>0.80578703703703702</v>
      </c>
      <c r="D1930" s="82" t="s">
        <v>62</v>
      </c>
      <c r="E1930" s="93" t="s">
        <v>7</v>
      </c>
      <c r="F1930" s="94">
        <v>2000</v>
      </c>
      <c r="G1930" s="86"/>
      <c r="H1930" s="86">
        <f>IFERROR(TRANSACTIONS!$F1930+TRANSACTIONS!$G1930,"")</f>
        <v>2000</v>
      </c>
      <c r="I1930" s="87" t="s">
        <v>41</v>
      </c>
    </row>
    <row r="1931" spans="1:13" x14ac:dyDescent="0.25">
      <c r="A1931" s="41">
        <v>45348.805795949076</v>
      </c>
      <c r="B1931" s="48">
        <f>IF(A1931&lt;&gt;"",DATE(YEAR(TRANSACTIONS!$A1931),MONTH(TRANSACTIONS!$A1931),DAY(TRANSACTIONS!$A1931)),"")</f>
        <v>45348</v>
      </c>
      <c r="C1931" s="49">
        <f>IF(A1931&lt;&gt;"",TIME(HOUR(TRANSACTIONS!$A1931),MINUTE(TRANSACTIONS!$A1931),SECOND(TRANSACTIONS!$A1931)),"")</f>
        <v>0.80579861111111117</v>
      </c>
      <c r="D1931" s="82" t="s">
        <v>62</v>
      </c>
      <c r="E1931" s="93" t="s">
        <v>7</v>
      </c>
      <c r="F1931" s="94">
        <v>2000</v>
      </c>
      <c r="G1931" s="46"/>
      <c r="H1931" s="46">
        <f>IFERROR(TRANSACTIONS!$F1931+TRANSACTIONS!$G1931,"")</f>
        <v>2000</v>
      </c>
      <c r="I1931" s="57" t="s">
        <v>41</v>
      </c>
    </row>
    <row r="1932" spans="1:13" x14ac:dyDescent="0.25">
      <c r="A1932" s="41">
        <v>45348.806112268518</v>
      </c>
      <c r="B1932" s="48">
        <f>IF(A1932&lt;&gt;"",DATE(YEAR(TRANSACTIONS!$A1932),MONTH(TRANSACTIONS!$A1932),DAY(TRANSACTIONS!$A1932)),"")</f>
        <v>45348</v>
      </c>
      <c r="C1932" s="49">
        <f>IF(A1932&lt;&gt;"",TIME(HOUR(TRANSACTIONS!$A1932),MINUTE(TRANSACTIONS!$A1932),SECOND(TRANSACTIONS!$A1932)),"")</f>
        <v>0.80611111111111111</v>
      </c>
      <c r="D1932" s="82" t="s">
        <v>62</v>
      </c>
      <c r="E1932" s="93" t="s">
        <v>7</v>
      </c>
      <c r="F1932" s="94">
        <v>15000</v>
      </c>
      <c r="G1932" s="46"/>
      <c r="H1932" s="46">
        <f>IFERROR(TRANSACTIONS!$F1932+TRANSACTIONS!$G1932,"")</f>
        <v>15000</v>
      </c>
      <c r="I1932" s="57" t="s">
        <v>41</v>
      </c>
    </row>
    <row r="1933" spans="1:13" x14ac:dyDescent="0.25">
      <c r="A1933" s="113">
        <v>45348.806121527778</v>
      </c>
      <c r="B1933" s="114">
        <f>IF(A1933&lt;&gt;"",DATE(YEAR(TRANSACTIONS!$A1933),MONTH(TRANSACTIONS!$A1933),DAY(TRANSACTIONS!$A1933)),"")</f>
        <v>45348</v>
      </c>
      <c r="C1933" s="115">
        <f>IF(A1933&lt;&gt;"",TIME(HOUR(TRANSACTIONS!$A1933),MINUTE(TRANSACTIONS!$A1933),SECOND(TRANSACTIONS!$A1933)),"")</f>
        <v>0.80612268518518515</v>
      </c>
      <c r="D1933" s="82" t="s">
        <v>62</v>
      </c>
      <c r="E1933" s="93" t="s">
        <v>7</v>
      </c>
      <c r="F1933" s="94">
        <v>2000</v>
      </c>
      <c r="G1933" s="117"/>
      <c r="H1933" s="117">
        <f>IFERROR(TRANSACTIONS!$F1933+TRANSACTIONS!$G1933,"")</f>
        <v>2000</v>
      </c>
      <c r="I1933" s="123" t="s">
        <v>41</v>
      </c>
      <c r="J1933" s="118"/>
      <c r="K1933" s="118"/>
      <c r="L1933" s="118"/>
      <c r="M1933" s="118"/>
    </row>
    <row r="1934" spans="1:13" x14ac:dyDescent="0.25">
      <c r="A1934" s="41">
        <v>45348.806166319446</v>
      </c>
      <c r="B1934" s="48">
        <f>IF(A1934&lt;&gt;"",DATE(YEAR(TRANSACTIONS!$A1934),MONTH(TRANSACTIONS!$A1934),DAY(TRANSACTIONS!$A1934)),"")</f>
        <v>45348</v>
      </c>
      <c r="C1934" s="49">
        <f>IF(A1934&lt;&gt;"",TIME(HOUR(TRANSACTIONS!$A1934),MINUTE(TRANSACTIONS!$A1934),SECOND(TRANSACTIONS!$A1934)),"")</f>
        <v>0.80616898148148142</v>
      </c>
      <c r="D1934" s="82" t="s">
        <v>62</v>
      </c>
      <c r="E1934" s="93" t="s">
        <v>6</v>
      </c>
      <c r="F1934" s="94">
        <v>9600</v>
      </c>
      <c r="G1934" s="46"/>
      <c r="H1934" s="46">
        <f>IFERROR(TRANSACTIONS!$F1934+TRANSACTIONS!$G1934,"")</f>
        <v>9600</v>
      </c>
      <c r="I1934" s="57" t="s">
        <v>41</v>
      </c>
    </row>
    <row r="1935" spans="1:13" x14ac:dyDescent="0.25">
      <c r="A1935" s="41">
        <v>45348.806174884259</v>
      </c>
      <c r="B1935" s="48">
        <f>IF(A1935&lt;&gt;"",DATE(YEAR(TRANSACTIONS!$A1935),MONTH(TRANSACTIONS!$A1935),DAY(TRANSACTIONS!$A1935)),"")</f>
        <v>45348</v>
      </c>
      <c r="C1935" s="49">
        <f>IF(A1935&lt;&gt;"",TIME(HOUR(TRANSACTIONS!$A1935),MINUTE(TRANSACTIONS!$A1935),SECOND(TRANSACTIONS!$A1935)),"")</f>
        <v>0.80618055555555557</v>
      </c>
      <c r="D1935" s="82" t="s">
        <v>62</v>
      </c>
      <c r="E1935" s="93" t="s">
        <v>6</v>
      </c>
      <c r="F1935" s="94">
        <v>20000</v>
      </c>
      <c r="G1935" s="46"/>
      <c r="H1935" s="46">
        <f>IFERROR(TRANSACTIONS!$F1935+TRANSACTIONS!$G1935,"")</f>
        <v>20000</v>
      </c>
      <c r="I1935" s="57" t="s">
        <v>41</v>
      </c>
    </row>
    <row r="1936" spans="1:13" x14ac:dyDescent="0.25">
      <c r="A1936" s="113">
        <v>45348.806182986111</v>
      </c>
      <c r="B1936" s="114">
        <f>IF(A1936&lt;&gt;"",DATE(YEAR(TRANSACTIONS!$A1936),MONTH(TRANSACTIONS!$A1936),DAY(TRANSACTIONS!$A1936)),"")</f>
        <v>45348</v>
      </c>
      <c r="C1936" s="115">
        <f>IF(A1936&lt;&gt;"",TIME(HOUR(TRANSACTIONS!$A1936),MINUTE(TRANSACTIONS!$A1936),SECOND(TRANSACTIONS!$A1936)),"")</f>
        <v>0.80618055555555557</v>
      </c>
      <c r="D1936" s="82" t="s">
        <v>62</v>
      </c>
      <c r="E1936" s="93" t="s">
        <v>7</v>
      </c>
      <c r="F1936" s="94">
        <v>10000</v>
      </c>
      <c r="G1936" s="117"/>
      <c r="H1936" s="117">
        <f>IFERROR(TRANSACTIONS!$F1936+TRANSACTIONS!$G1936,"")</f>
        <v>10000</v>
      </c>
      <c r="I1936" s="123" t="s">
        <v>41</v>
      </c>
      <c r="J1936" s="118"/>
    </row>
    <row r="1937" spans="1:12" x14ac:dyDescent="0.25">
      <c r="A1937" s="41">
        <v>45348.842021643519</v>
      </c>
      <c r="B1937" s="48">
        <f>IF(A1937&lt;&gt;"",DATE(YEAR(TRANSACTIONS!$A1937),MONTH(TRANSACTIONS!$A1937),DAY(TRANSACTIONS!$A1937)),"")</f>
        <v>45348</v>
      </c>
      <c r="C1937" s="49">
        <f>IF(A1937&lt;&gt;"",TIME(HOUR(TRANSACTIONS!$A1937),MINUTE(TRANSACTIONS!$A1937),SECOND(TRANSACTIONS!$A1937)),"")</f>
        <v>0.84202546296296299</v>
      </c>
      <c r="D1937" s="82" t="s">
        <v>62</v>
      </c>
      <c r="E1937" s="82" t="s">
        <v>6</v>
      </c>
      <c r="F1937" s="94">
        <v>5050</v>
      </c>
      <c r="G1937" s="46"/>
      <c r="H1937" s="46">
        <f>IFERROR(TRANSACTIONS!$F1937+TRANSACTIONS!$G1937,"")</f>
        <v>5050</v>
      </c>
      <c r="I1937" s="57" t="s">
        <v>41</v>
      </c>
    </row>
    <row r="1938" spans="1:12" x14ac:dyDescent="0.25">
      <c r="A1938" s="41">
        <v>45348.842073495369</v>
      </c>
      <c r="B1938" s="48">
        <f>IF(A1938&lt;&gt;"",DATE(YEAR(TRANSACTIONS!$A1938),MONTH(TRANSACTIONS!$A1938),DAY(TRANSACTIONS!$A1938)),"")</f>
        <v>45348</v>
      </c>
      <c r="C1938" s="49">
        <f>IF(A1938&lt;&gt;"",TIME(HOUR(TRANSACTIONS!$A1938),MINUTE(TRANSACTIONS!$A1938),SECOND(TRANSACTIONS!$A1938)),"")</f>
        <v>0.84207175925925926</v>
      </c>
      <c r="D1938" s="82" t="s">
        <v>62</v>
      </c>
      <c r="E1938" s="82" t="s">
        <v>7</v>
      </c>
      <c r="F1938" s="94">
        <v>2000</v>
      </c>
      <c r="G1938" s="46"/>
      <c r="H1938" s="46">
        <f>IFERROR(TRANSACTIONS!$F1938+TRANSACTIONS!$G1938,"")</f>
        <v>2000</v>
      </c>
      <c r="I1938" s="57" t="s">
        <v>41</v>
      </c>
    </row>
    <row r="1939" spans="1:12" x14ac:dyDescent="0.25">
      <c r="A1939" s="41">
        <v>45348.842092245373</v>
      </c>
      <c r="B1939" s="48">
        <f>IF(A1939&lt;&gt;"",DATE(YEAR(TRANSACTIONS!$A1939),MONTH(TRANSACTIONS!$A1939),DAY(TRANSACTIONS!$A1939)),"")</f>
        <v>45348</v>
      </c>
      <c r="C1939" s="49">
        <f>IF(A1939&lt;&gt;"",TIME(HOUR(TRANSACTIONS!$A1939),MINUTE(TRANSACTIONS!$A1939),SECOND(TRANSACTIONS!$A1939)),"")</f>
        <v>0.84209490740740733</v>
      </c>
      <c r="D1939" s="82" t="s">
        <v>62</v>
      </c>
      <c r="E1939" s="82" t="s">
        <v>7</v>
      </c>
      <c r="F1939" s="94">
        <v>3000</v>
      </c>
      <c r="G1939" s="46"/>
      <c r="H1939" s="46">
        <f>IFERROR(TRANSACTIONS!$F1939+TRANSACTIONS!$G1939,"")</f>
        <v>3000</v>
      </c>
      <c r="I1939" s="57" t="s">
        <v>41</v>
      </c>
    </row>
    <row r="1940" spans="1:12" x14ac:dyDescent="0.25">
      <c r="A1940" s="41">
        <v>45348.842133101854</v>
      </c>
      <c r="B1940" s="48">
        <f>IF(A1940&lt;&gt;"",DATE(YEAR(TRANSACTIONS!$A1940),MONTH(TRANSACTIONS!$A1940),DAY(TRANSACTIONS!$A1940)),"")</f>
        <v>45348</v>
      </c>
      <c r="C1940" s="49">
        <f>IF(A1940&lt;&gt;"",TIME(HOUR(TRANSACTIONS!$A1940),MINUTE(TRANSACTIONS!$A1940),SECOND(TRANSACTIONS!$A1940)),"")</f>
        <v>0.84212962962962967</v>
      </c>
      <c r="D1940" s="82" t="s">
        <v>62</v>
      </c>
      <c r="E1940" s="82" t="s">
        <v>6</v>
      </c>
      <c r="F1940" s="94">
        <v>5000</v>
      </c>
      <c r="G1940" s="46"/>
      <c r="H1940" s="46">
        <f>IFERROR(TRANSACTIONS!$F1940+TRANSACTIONS!$G1940,"")</f>
        <v>5000</v>
      </c>
      <c r="I1940" s="57" t="s">
        <v>41</v>
      </c>
    </row>
    <row r="1941" spans="1:12" x14ac:dyDescent="0.25">
      <c r="A1941" s="41">
        <v>45348.842145601855</v>
      </c>
      <c r="B1941" s="48">
        <f>IF(A1941&lt;&gt;"",DATE(YEAR(TRANSACTIONS!$A1941),MONTH(TRANSACTIONS!$A1941),DAY(TRANSACTIONS!$A1941)),"")</f>
        <v>45348</v>
      </c>
      <c r="C1941" s="49">
        <f>IF(A1941&lt;&gt;"",TIME(HOUR(TRANSACTIONS!$A1941),MINUTE(TRANSACTIONS!$A1941),SECOND(TRANSACTIONS!$A1941)),"")</f>
        <v>0.8421412037037036</v>
      </c>
      <c r="D1941" s="82" t="s">
        <v>62</v>
      </c>
      <c r="E1941" s="82" t="s">
        <v>7</v>
      </c>
      <c r="F1941" s="94">
        <v>5000</v>
      </c>
      <c r="G1941" s="46"/>
      <c r="H1941" s="46">
        <f>IFERROR(TRANSACTIONS!$F1941+TRANSACTIONS!$G1941,"")</f>
        <v>5000</v>
      </c>
      <c r="I1941" s="57" t="s">
        <v>41</v>
      </c>
    </row>
    <row r="1942" spans="1:12" x14ac:dyDescent="0.25">
      <c r="A1942" s="41">
        <v>45348.842182986111</v>
      </c>
      <c r="B1942" s="48">
        <f>IF(A1942&lt;&gt;"",DATE(YEAR(TRANSACTIONS!$A1942),MONTH(TRANSACTIONS!$A1942),DAY(TRANSACTIONS!$A1942)),"")</f>
        <v>45348</v>
      </c>
      <c r="C1942" s="49">
        <f>IF(A1942&lt;&gt;"",TIME(HOUR(TRANSACTIONS!$A1942),MINUTE(TRANSACTIONS!$A1942),SECOND(TRANSACTIONS!$A1942)),"")</f>
        <v>0.84218749999999998</v>
      </c>
      <c r="D1942" s="82" t="s">
        <v>62</v>
      </c>
      <c r="E1942" s="82" t="s">
        <v>7</v>
      </c>
      <c r="F1942" s="94">
        <v>10000</v>
      </c>
      <c r="G1942" s="46"/>
      <c r="H1942" s="46">
        <f>IFERROR(TRANSACTIONS!$F1942+TRANSACTIONS!$G1942,"")</f>
        <v>10000</v>
      </c>
      <c r="I1942" s="57" t="s">
        <v>41</v>
      </c>
    </row>
    <row r="1943" spans="1:12" x14ac:dyDescent="0.25">
      <c r="A1943" s="41">
        <v>45348.842208680559</v>
      </c>
      <c r="B1943" s="48">
        <f>IF(A1943&lt;&gt;"",DATE(YEAR(TRANSACTIONS!$A1943),MONTH(TRANSACTIONS!$A1943),DAY(TRANSACTIONS!$A1943)),"")</f>
        <v>45348</v>
      </c>
      <c r="C1943" s="49">
        <f>IF(A1943&lt;&gt;"",TIME(HOUR(TRANSACTIONS!$A1943),MINUTE(TRANSACTIONS!$A1943),SECOND(TRANSACTIONS!$A1943)),"")</f>
        <v>0.84221064814814817</v>
      </c>
      <c r="D1943" s="82" t="s">
        <v>62</v>
      </c>
      <c r="E1943" s="82" t="s">
        <v>7</v>
      </c>
      <c r="F1943" s="94">
        <v>17500</v>
      </c>
      <c r="G1943" s="46"/>
      <c r="H1943" s="46">
        <f>IFERROR(TRANSACTIONS!$F1943+TRANSACTIONS!$G1943,"")</f>
        <v>17500</v>
      </c>
      <c r="I1943" s="57" t="s">
        <v>41</v>
      </c>
    </row>
    <row r="1944" spans="1:12" x14ac:dyDescent="0.25">
      <c r="A1944" s="41">
        <v>45348.842232523151</v>
      </c>
      <c r="B1944" s="48">
        <f>IF(A1944&lt;&gt;"",DATE(YEAR(TRANSACTIONS!$A1944),MONTH(TRANSACTIONS!$A1944),DAY(TRANSACTIONS!$A1944)),"")</f>
        <v>45348</v>
      </c>
      <c r="C1944" s="49">
        <f>IF(A1944&lt;&gt;"",TIME(HOUR(TRANSACTIONS!$A1944),MINUTE(TRANSACTIONS!$A1944),SECOND(TRANSACTIONS!$A1944)),"")</f>
        <v>0.84223379629629624</v>
      </c>
      <c r="D1944" s="82" t="s">
        <v>62</v>
      </c>
      <c r="E1944" s="82" t="s">
        <v>6</v>
      </c>
      <c r="F1944" s="94">
        <v>80000</v>
      </c>
      <c r="G1944" s="46"/>
      <c r="H1944" s="46">
        <f>IFERROR(TRANSACTIONS!$F1944+TRANSACTIONS!$G1944,"")</f>
        <v>80000</v>
      </c>
      <c r="I1944" s="57" t="s">
        <v>41</v>
      </c>
    </row>
    <row r="1945" spans="1:12" x14ac:dyDescent="0.25">
      <c r="A1945" s="113">
        <v>45348.842241203703</v>
      </c>
      <c r="B1945" s="114">
        <f>IF(A1945&lt;&gt;"",DATE(YEAR(TRANSACTIONS!$A1945),MONTH(TRANSACTIONS!$A1945),DAY(TRANSACTIONS!$A1945)),"")</f>
        <v>45348</v>
      </c>
      <c r="C1945" s="115">
        <f>IF(A1945&lt;&gt;"",TIME(HOUR(TRANSACTIONS!$A1945),MINUTE(TRANSACTIONS!$A1945),SECOND(TRANSACTIONS!$A1945)),"")</f>
        <v>0.84224537037037039</v>
      </c>
      <c r="D1945" s="116" t="s">
        <v>62</v>
      </c>
      <c r="E1945" s="116" t="s">
        <v>6</v>
      </c>
      <c r="F1945" s="185">
        <v>35000</v>
      </c>
      <c r="G1945" s="117"/>
      <c r="H1945" s="117">
        <f>IFERROR(TRANSACTIONS!$F1945+TRANSACTIONS!$G1945,"")</f>
        <v>35000</v>
      </c>
      <c r="I1945" s="123" t="s">
        <v>41</v>
      </c>
      <c r="J1945" s="118"/>
      <c r="K1945" s="118"/>
      <c r="L1945" s="118"/>
    </row>
    <row r="1946" spans="1:12" x14ac:dyDescent="0.25">
      <c r="A1946" s="113">
        <v>45348.842249768517</v>
      </c>
      <c r="B1946" s="114">
        <f>IF(A1946&lt;&gt;"",DATE(YEAR(TRANSACTIONS!$A1946),MONTH(TRANSACTIONS!$A1946),DAY(TRANSACTIONS!$A1946)),"")</f>
        <v>45348</v>
      </c>
      <c r="C1946" s="115">
        <f>IF(A1946&lt;&gt;"",TIME(HOUR(TRANSACTIONS!$A1946),MINUTE(TRANSACTIONS!$A1946),SECOND(TRANSACTIONS!$A1946)),"")</f>
        <v>0.84224537037037039</v>
      </c>
      <c r="D1946" s="116" t="s">
        <v>62</v>
      </c>
      <c r="E1946" s="116" t="s">
        <v>7</v>
      </c>
      <c r="F1946" s="185">
        <v>2000</v>
      </c>
      <c r="G1946" s="117"/>
      <c r="H1946" s="117">
        <f>IFERROR(TRANSACTIONS!$F1946+TRANSACTIONS!$G1946,"")</f>
        <v>2000</v>
      </c>
      <c r="I1946" s="123" t="s">
        <v>41</v>
      </c>
      <c r="J1946" s="118"/>
      <c r="K1946" s="118"/>
      <c r="L1946" s="118"/>
    </row>
    <row r="1947" spans="1:12" x14ac:dyDescent="0.25">
      <c r="A1947" s="41">
        <v>45348.842273958333</v>
      </c>
      <c r="B1947" s="48">
        <f>IF(A1947&lt;&gt;"",DATE(YEAR(TRANSACTIONS!$A1947),MONTH(TRANSACTIONS!$A1947),DAY(TRANSACTIONS!$A1947)),"")</f>
        <v>45348</v>
      </c>
      <c r="C1947" s="49">
        <f>IF(A1947&lt;&gt;"",TIME(HOUR(TRANSACTIONS!$A1947),MINUTE(TRANSACTIONS!$A1947),SECOND(TRANSACTIONS!$A1947)),"")</f>
        <v>0.84226851851851858</v>
      </c>
      <c r="D1947" s="82" t="s">
        <v>62</v>
      </c>
      <c r="E1947" s="82" t="s">
        <v>7</v>
      </c>
      <c r="F1947" s="94">
        <v>1000</v>
      </c>
      <c r="G1947" s="46"/>
      <c r="H1947" s="46">
        <f>IFERROR(TRANSACTIONS!$F1947+TRANSACTIONS!$G1947,"")</f>
        <v>1000</v>
      </c>
      <c r="I1947" s="57" t="s">
        <v>41</v>
      </c>
    </row>
    <row r="1948" spans="1:12" x14ac:dyDescent="0.25">
      <c r="A1948" s="41">
        <v>45348.842306481478</v>
      </c>
      <c r="B1948" s="48">
        <f>IF(A1948&lt;&gt;"",DATE(YEAR(TRANSACTIONS!$A1948),MONTH(TRANSACTIONS!$A1948),DAY(TRANSACTIONS!$A1948)),"")</f>
        <v>45348</v>
      </c>
      <c r="C1948" s="49">
        <f>IF(A1948&lt;&gt;"",TIME(HOUR(TRANSACTIONS!$A1948),MINUTE(TRANSACTIONS!$A1948),SECOND(TRANSACTIONS!$A1948)),"")</f>
        <v>0.84230324074074081</v>
      </c>
      <c r="D1948" s="82" t="s">
        <v>62</v>
      </c>
      <c r="E1948" s="82" t="s">
        <v>6</v>
      </c>
      <c r="F1948" s="94">
        <v>90000</v>
      </c>
      <c r="G1948" s="46"/>
      <c r="H1948" s="46">
        <f>IFERROR(TRANSACTIONS!$F1948+TRANSACTIONS!$G1948,"")</f>
        <v>90000</v>
      </c>
      <c r="I1948" s="57" t="s">
        <v>41</v>
      </c>
    </row>
    <row r="1949" spans="1:12" ht="14.25" customHeight="1" x14ac:dyDescent="0.25">
      <c r="A1949" s="41">
        <v>45348.842313773152</v>
      </c>
      <c r="B1949" s="48">
        <f>IF(A1949&lt;&gt;"",DATE(YEAR(TRANSACTIONS!$A1949),MONTH(TRANSACTIONS!$A1949),DAY(TRANSACTIONS!$A1949)),"")</f>
        <v>45348</v>
      </c>
      <c r="C1949" s="49">
        <f>IF(A1949&lt;&gt;"",TIME(HOUR(TRANSACTIONS!$A1949),MINUTE(TRANSACTIONS!$A1949),SECOND(TRANSACTIONS!$A1949)),"")</f>
        <v>0.84231481481481485</v>
      </c>
      <c r="D1949" s="82" t="s">
        <v>62</v>
      </c>
      <c r="E1949" s="82" t="s">
        <v>7</v>
      </c>
      <c r="F1949" s="94">
        <v>3000</v>
      </c>
      <c r="G1949" s="46"/>
      <c r="H1949" s="46">
        <f>IFERROR(TRANSACTIONS!$F1949+TRANSACTIONS!$G1949,"")</f>
        <v>3000</v>
      </c>
      <c r="I1949" s="57" t="s">
        <v>41</v>
      </c>
    </row>
    <row r="1950" spans="1:12" x14ac:dyDescent="0.25">
      <c r="A1950" s="81">
        <v>45348.842320601849</v>
      </c>
      <c r="B1950" s="83">
        <f>IF(A1950&lt;&gt;"",DATE(YEAR(TRANSACTIONS!$A1950),MONTH(TRANSACTIONS!$A1950),DAY(TRANSACTIONS!$A1950)),"")</f>
        <v>45348</v>
      </c>
      <c r="C1950" s="84">
        <f>IF(A1950&lt;&gt;"",TIME(HOUR(TRANSACTIONS!$A1950),MINUTE(TRANSACTIONS!$A1950),SECOND(TRANSACTIONS!$A1950)),"")</f>
        <v>0.84231481481481485</v>
      </c>
      <c r="D1950" s="82" t="s">
        <v>62</v>
      </c>
      <c r="E1950" s="82" t="s">
        <v>6</v>
      </c>
      <c r="F1950" s="94">
        <v>5000</v>
      </c>
      <c r="G1950" s="86"/>
      <c r="H1950" s="86">
        <f>IFERROR(TRANSACTIONS!$F1950+TRANSACTIONS!$G1950,"")</f>
        <v>5000</v>
      </c>
      <c r="I1950" s="87" t="s">
        <v>41</v>
      </c>
      <c r="J1950" s="88"/>
    </row>
    <row r="1951" spans="1:12" x14ac:dyDescent="0.25">
      <c r="A1951" s="81">
        <v>45348.842328935185</v>
      </c>
      <c r="B1951" s="83">
        <f>IF(A1951&lt;&gt;"",DATE(YEAR(TRANSACTIONS!$A1951),MONTH(TRANSACTIONS!$A1951),DAY(TRANSACTIONS!$A1951)),"")</f>
        <v>45348</v>
      </c>
      <c r="C1951" s="84">
        <f>IF(A1951&lt;&gt;"",TIME(HOUR(TRANSACTIONS!$A1951),MINUTE(TRANSACTIONS!$A1951),SECOND(TRANSACTIONS!$A1951)),"")</f>
        <v>0.84232638888888889</v>
      </c>
      <c r="D1951" s="82" t="s">
        <v>62</v>
      </c>
      <c r="E1951" s="82" t="s">
        <v>7</v>
      </c>
      <c r="F1951" s="94">
        <v>10000</v>
      </c>
      <c r="G1951" s="86"/>
      <c r="H1951" s="86">
        <f>IFERROR(TRANSACTIONS!$F1951+TRANSACTIONS!$G1951,"")</f>
        <v>10000</v>
      </c>
      <c r="I1951" s="87" t="s">
        <v>41</v>
      </c>
      <c r="J1951" s="88"/>
    </row>
    <row r="1952" spans="1:12" x14ac:dyDescent="0.25">
      <c r="A1952" s="41">
        <v>45348.842366203702</v>
      </c>
      <c r="B1952" s="48">
        <f>IF(A1952&lt;&gt;"",DATE(YEAR(TRANSACTIONS!$A1952),MONTH(TRANSACTIONS!$A1952),DAY(TRANSACTIONS!$A1952)),"")</f>
        <v>45348</v>
      </c>
      <c r="C1952" s="49">
        <f>IF(A1952&lt;&gt;"",TIME(HOUR(TRANSACTIONS!$A1952),MINUTE(TRANSACTIONS!$A1952),SECOND(TRANSACTIONS!$A1952)),"")</f>
        <v>0.84236111111111101</v>
      </c>
      <c r="D1952" s="82" t="s">
        <v>62</v>
      </c>
      <c r="E1952" s="82" t="s">
        <v>7</v>
      </c>
      <c r="F1952" s="94">
        <v>4900</v>
      </c>
      <c r="G1952" s="46"/>
      <c r="H1952" s="46">
        <f>IFERROR(TRANSACTIONS!$F1952+TRANSACTIONS!$G1952,"")</f>
        <v>4900</v>
      </c>
      <c r="I1952" s="57" t="s">
        <v>41</v>
      </c>
    </row>
    <row r="1953" spans="1:9" x14ac:dyDescent="0.25">
      <c r="A1953" s="41">
        <v>45348.84242951389</v>
      </c>
      <c r="B1953" s="48">
        <f>IF(A1953&lt;&gt;"",DATE(YEAR(TRANSACTIONS!$A1953),MONTH(TRANSACTIONS!$A1953),DAY(TRANSACTIONS!$A1953)),"")</f>
        <v>45348</v>
      </c>
      <c r="C1953" s="49">
        <f>IF(A1953&lt;&gt;"",TIME(HOUR(TRANSACTIONS!$A1953),MINUTE(TRANSACTIONS!$A1953),SECOND(TRANSACTIONS!$A1953)),"")</f>
        <v>0.84243055555555557</v>
      </c>
      <c r="D1953" s="82" t="s">
        <v>62</v>
      </c>
      <c r="E1953" s="82" t="s">
        <v>7</v>
      </c>
      <c r="F1953" s="94">
        <v>5000</v>
      </c>
      <c r="G1953" s="46"/>
      <c r="H1953" s="46">
        <f>IFERROR(TRANSACTIONS!$F1953+TRANSACTIONS!$G1953,"")</f>
        <v>5000</v>
      </c>
      <c r="I1953" s="57" t="s">
        <v>41</v>
      </c>
    </row>
    <row r="1954" spans="1:9" x14ac:dyDescent="0.25">
      <c r="A1954" s="41">
        <v>45348.842408217592</v>
      </c>
      <c r="B1954" s="48">
        <f>IF(A1954&lt;&gt;"",DATE(YEAR(TRANSACTIONS!$A1954),MONTH(TRANSACTIONS!$A1954),DAY(TRANSACTIONS!$A1954)),"")</f>
        <v>45348</v>
      </c>
      <c r="C1954" s="49">
        <f>IF(A1954&lt;&gt;"",TIME(HOUR(TRANSACTIONS!$A1954),MINUTE(TRANSACTIONS!$A1954),SECOND(TRANSACTIONS!$A1954)),"")</f>
        <v>0.84240740740740738</v>
      </c>
      <c r="D1954" s="82" t="s">
        <v>62</v>
      </c>
      <c r="E1954" s="82" t="s">
        <v>7</v>
      </c>
      <c r="F1954" s="94">
        <v>40000</v>
      </c>
      <c r="G1954" s="46"/>
      <c r="H1954" s="46">
        <f>IFERROR(TRANSACTIONS!$F1954+TRANSACTIONS!$G1954,"")</f>
        <v>40000</v>
      </c>
      <c r="I1954" s="57" t="s">
        <v>41</v>
      </c>
    </row>
    <row r="1955" spans="1:9" x14ac:dyDescent="0.25">
      <c r="A1955" s="41">
        <v>45348.84243877315</v>
      </c>
      <c r="B1955" s="48">
        <f>IF(A1955&lt;&gt;"",DATE(YEAR(TRANSACTIONS!$A1955),MONTH(TRANSACTIONS!$A1955),DAY(TRANSACTIONS!$A1955)),"")</f>
        <v>45348</v>
      </c>
      <c r="C1955" s="49">
        <f>IF(A1955&lt;&gt;"",TIME(HOUR(TRANSACTIONS!$A1955),MINUTE(TRANSACTIONS!$A1955),SECOND(TRANSACTIONS!$A1955)),"")</f>
        <v>0.84244212962962972</v>
      </c>
      <c r="D1955" s="82" t="s">
        <v>62</v>
      </c>
      <c r="E1955" s="82" t="s">
        <v>7</v>
      </c>
      <c r="F1955" s="94">
        <v>5000</v>
      </c>
      <c r="G1955" s="46"/>
      <c r="H1955" s="46">
        <f>IFERROR(TRANSACTIONS!$F1955+TRANSACTIONS!$G1955,"")</f>
        <v>5000</v>
      </c>
      <c r="I1955" s="57" t="s">
        <v>41</v>
      </c>
    </row>
    <row r="1956" spans="1:9" x14ac:dyDescent="0.25">
      <c r="A1956" s="41">
        <v>45348.842459722226</v>
      </c>
      <c r="B1956" s="48">
        <f>IF(A1956&lt;&gt;"",DATE(YEAR(TRANSACTIONS!$A1956),MONTH(TRANSACTIONS!$A1956),DAY(TRANSACTIONS!$A1956)),"")</f>
        <v>45348</v>
      </c>
      <c r="C1956" s="49">
        <f>IF(A1956&lt;&gt;"",TIME(HOUR(TRANSACTIONS!$A1956),MINUTE(TRANSACTIONS!$A1956),SECOND(TRANSACTIONS!$A1956)),"")</f>
        <v>0.8424652777777778</v>
      </c>
      <c r="D1956" s="82" t="s">
        <v>62</v>
      </c>
      <c r="E1956" s="82" t="s">
        <v>7</v>
      </c>
      <c r="F1956" s="94">
        <v>2500</v>
      </c>
      <c r="G1956" s="46"/>
      <c r="H1956" s="46">
        <f>IFERROR(TRANSACTIONS!$F1956+TRANSACTIONS!$G1956,"")</f>
        <v>2500</v>
      </c>
      <c r="I1956" s="57" t="s">
        <v>41</v>
      </c>
    </row>
    <row r="1957" spans="1:9" x14ac:dyDescent="0.25">
      <c r="A1957" s="41">
        <v>45348.84247708333</v>
      </c>
      <c r="B1957" s="48">
        <f>IF(A1957&lt;&gt;"",DATE(YEAR(TRANSACTIONS!$A1957),MONTH(TRANSACTIONS!$A1957),DAY(TRANSACTIONS!$A1957)),"")</f>
        <v>45348</v>
      </c>
      <c r="C1957" s="49">
        <f>IF(A1957&lt;&gt;"",TIME(HOUR(TRANSACTIONS!$A1957),MINUTE(TRANSACTIONS!$A1957),SECOND(TRANSACTIONS!$A1957)),"")</f>
        <v>0.84247685185185184</v>
      </c>
      <c r="D1957" s="82" t="s">
        <v>62</v>
      </c>
      <c r="E1957" s="82" t="s">
        <v>6</v>
      </c>
      <c r="F1957" s="94">
        <v>5000</v>
      </c>
      <c r="G1957" s="46"/>
      <c r="H1957" s="46">
        <f>IFERROR(TRANSACTIONS!$F1957+TRANSACTIONS!$G1957,"")</f>
        <v>5000</v>
      </c>
      <c r="I1957" s="57" t="s">
        <v>41</v>
      </c>
    </row>
    <row r="1958" spans="1:9" x14ac:dyDescent="0.25">
      <c r="A1958" s="41">
        <v>45348.842484490742</v>
      </c>
      <c r="B1958" s="48">
        <f>IF(A1958&lt;&gt;"",DATE(YEAR(TRANSACTIONS!$A1958),MONTH(TRANSACTIONS!$A1958),DAY(TRANSACTIONS!$A1958)),"")</f>
        <v>45348</v>
      </c>
      <c r="C1958" s="49">
        <f>IF(A1958&lt;&gt;"",TIME(HOUR(TRANSACTIONS!$A1958),MINUTE(TRANSACTIONS!$A1958),SECOND(TRANSACTIONS!$A1958)),"")</f>
        <v>0.84248842592592599</v>
      </c>
      <c r="D1958" s="82" t="s">
        <v>62</v>
      </c>
      <c r="E1958" s="82" t="s">
        <v>6</v>
      </c>
      <c r="F1958" s="94">
        <v>34350</v>
      </c>
      <c r="G1958" s="46"/>
      <c r="H1958" s="46">
        <f>IFERROR(TRANSACTIONS!$F1958+TRANSACTIONS!$G1958,"")</f>
        <v>34350</v>
      </c>
      <c r="I1958" s="57" t="s">
        <v>41</v>
      </c>
    </row>
    <row r="1959" spans="1:9" x14ac:dyDescent="0.25">
      <c r="A1959" s="41">
        <v>45348.842536342592</v>
      </c>
      <c r="B1959" s="48">
        <f>IF(A1959&lt;&gt;"",DATE(YEAR(TRANSACTIONS!$A1959),MONTH(TRANSACTIONS!$A1959),DAY(TRANSACTIONS!$A1959)),"")</f>
        <v>45348</v>
      </c>
      <c r="C1959" s="49">
        <f>IF(A1959&lt;&gt;"",TIME(HOUR(TRANSACTIONS!$A1959),MINUTE(TRANSACTIONS!$A1959),SECOND(TRANSACTIONS!$A1959)),"")</f>
        <v>0.84253472222222225</v>
      </c>
      <c r="D1959" s="82" t="s">
        <v>62</v>
      </c>
      <c r="E1959" s="82" t="s">
        <v>6</v>
      </c>
      <c r="F1959" s="94">
        <v>5000</v>
      </c>
      <c r="G1959" s="46"/>
      <c r="H1959" s="46">
        <f>IFERROR(TRANSACTIONS!$F1959+TRANSACTIONS!$G1959,"")</f>
        <v>5000</v>
      </c>
      <c r="I1959" s="57" t="s">
        <v>41</v>
      </c>
    </row>
    <row r="1960" spans="1:9" x14ac:dyDescent="0.25">
      <c r="A1960" s="41">
        <v>45348.842543287035</v>
      </c>
      <c r="B1960" s="48">
        <f>IF(A1960&lt;&gt;"",DATE(YEAR(TRANSACTIONS!$A1960),MONTH(TRANSACTIONS!$A1960),DAY(TRANSACTIONS!$A1960)),"")</f>
        <v>45348</v>
      </c>
      <c r="C1960" s="49">
        <f>IF(A1960&lt;&gt;"",TIME(HOUR(TRANSACTIONS!$A1960),MINUTE(TRANSACTIONS!$A1960),SECOND(TRANSACTIONS!$A1960)),"")</f>
        <v>0.84254629629629629</v>
      </c>
      <c r="D1960" s="82" t="s">
        <v>62</v>
      </c>
      <c r="E1960" s="82" t="s">
        <v>7</v>
      </c>
      <c r="F1960" s="94">
        <v>900</v>
      </c>
      <c r="G1960" s="46"/>
      <c r="H1960" s="46">
        <f>IFERROR(TRANSACTIONS!$F1960+TRANSACTIONS!$G1960,"")</f>
        <v>900</v>
      </c>
      <c r="I1960" s="57" t="s">
        <v>41</v>
      </c>
    </row>
    <row r="1961" spans="1:9" x14ac:dyDescent="0.25">
      <c r="A1961" s="41">
        <v>45348.842560648147</v>
      </c>
      <c r="B1961" s="48">
        <f>IF(A1961&lt;&gt;"",DATE(YEAR(TRANSACTIONS!$A1961),MONTH(TRANSACTIONS!$A1961),DAY(TRANSACTIONS!$A1961)),"")</f>
        <v>45348</v>
      </c>
      <c r="C1961" s="49">
        <f>IF(A1961&lt;&gt;"",TIME(HOUR(TRANSACTIONS!$A1961),MINUTE(TRANSACTIONS!$A1961),SECOND(TRANSACTIONS!$A1961)),"")</f>
        <v>0.84255787037037033</v>
      </c>
      <c r="D1961" s="82" t="s">
        <v>62</v>
      </c>
      <c r="E1961" s="82" t="s">
        <v>7</v>
      </c>
      <c r="F1961" s="94">
        <v>5000</v>
      </c>
      <c r="G1961" s="46"/>
      <c r="H1961" s="46">
        <f>IFERROR(TRANSACTIONS!$F1961+TRANSACTIONS!$G1961,"")</f>
        <v>5000</v>
      </c>
      <c r="I1961" s="57" t="s">
        <v>41</v>
      </c>
    </row>
    <row r="1962" spans="1:9" x14ac:dyDescent="0.25">
      <c r="A1962" s="41">
        <v>45348.842568402775</v>
      </c>
      <c r="B1962" s="48">
        <f>IF(A1962&lt;&gt;"",DATE(YEAR(TRANSACTIONS!$A1962),MONTH(TRANSACTIONS!$A1962),DAY(TRANSACTIONS!$A1962)),"")</f>
        <v>45348</v>
      </c>
      <c r="C1962" s="49">
        <f>IF(A1962&lt;&gt;"",TIME(HOUR(TRANSACTIONS!$A1962),MINUTE(TRANSACTIONS!$A1962),SECOND(TRANSACTIONS!$A1962)),"")</f>
        <v>0.84256944444444448</v>
      </c>
      <c r="D1962" s="82" t="s">
        <v>62</v>
      </c>
      <c r="E1962" s="82" t="s">
        <v>6</v>
      </c>
      <c r="F1962" s="94">
        <v>42000</v>
      </c>
      <c r="G1962" s="46"/>
      <c r="H1962" s="46">
        <f>IFERROR(TRANSACTIONS!$F1962+TRANSACTIONS!$G1962,"")</f>
        <v>42000</v>
      </c>
      <c r="I1962" s="57" t="s">
        <v>41</v>
      </c>
    </row>
    <row r="1963" spans="1:9" x14ac:dyDescent="0.25">
      <c r="A1963" s="41">
        <v>45348.842575462964</v>
      </c>
      <c r="B1963" s="48">
        <f>IF(A1963&lt;&gt;"",DATE(YEAR(TRANSACTIONS!$A1963),MONTH(TRANSACTIONS!$A1963),DAY(TRANSACTIONS!$A1963)),"")</f>
        <v>45348</v>
      </c>
      <c r="C1963" s="49">
        <f>IF(A1963&lt;&gt;"",TIME(HOUR(TRANSACTIONS!$A1963),MINUTE(TRANSACTIONS!$A1963),SECOND(TRANSACTIONS!$A1963)),"")</f>
        <v>0.84258101851851841</v>
      </c>
      <c r="D1963" s="82" t="s">
        <v>62</v>
      </c>
      <c r="E1963" s="93" t="s">
        <v>6</v>
      </c>
      <c r="F1963" s="94">
        <v>30000</v>
      </c>
      <c r="G1963" s="46"/>
      <c r="H1963" s="46">
        <f>IFERROR(TRANSACTIONS!$F1963+TRANSACTIONS!$G1963,"")</f>
        <v>30000</v>
      </c>
      <c r="I1963" s="57" t="s">
        <v>41</v>
      </c>
    </row>
    <row r="1964" spans="1:9" x14ac:dyDescent="0.25">
      <c r="A1964" s="41">
        <v>45348.842583333331</v>
      </c>
      <c r="B1964" s="48">
        <f>IF(A1964&lt;&gt;"",DATE(YEAR(TRANSACTIONS!$A1964),MONTH(TRANSACTIONS!$A1964),DAY(TRANSACTIONS!$A1964)),"")</f>
        <v>45348</v>
      </c>
      <c r="C1964" s="49">
        <f>IF(A1964&lt;&gt;"",TIME(HOUR(TRANSACTIONS!$A1964),MINUTE(TRANSACTIONS!$A1964),SECOND(TRANSACTIONS!$A1964)),"")</f>
        <v>0.84258101851851841</v>
      </c>
      <c r="D1964" s="82" t="s">
        <v>62</v>
      </c>
      <c r="E1964" s="82" t="s">
        <v>6</v>
      </c>
      <c r="F1964" s="94">
        <v>13000</v>
      </c>
      <c r="G1964" s="46"/>
      <c r="H1964" s="46">
        <f>IFERROR(TRANSACTIONS!$F1964+TRANSACTIONS!$G1964,"")</f>
        <v>13000</v>
      </c>
      <c r="I1964" s="57" t="s">
        <v>41</v>
      </c>
    </row>
    <row r="1965" spans="1:9" x14ac:dyDescent="0.25">
      <c r="A1965" s="41">
        <v>45348.842607754632</v>
      </c>
      <c r="B1965" s="48">
        <f>IF(A1965&lt;&gt;"",DATE(YEAR(TRANSACTIONS!$A1965),MONTH(TRANSACTIONS!$A1965),DAY(TRANSACTIONS!$A1965)),"")</f>
        <v>45348</v>
      </c>
      <c r="C1965" s="49">
        <f>IF(A1965&lt;&gt;"",TIME(HOUR(TRANSACTIONS!$A1965),MINUTE(TRANSACTIONS!$A1965),SECOND(TRANSACTIONS!$A1965)),"")</f>
        <v>0.84260416666666671</v>
      </c>
      <c r="D1965" s="82" t="s">
        <v>62</v>
      </c>
      <c r="E1965" s="82" t="s">
        <v>7</v>
      </c>
      <c r="F1965" s="94">
        <v>410000</v>
      </c>
      <c r="G1965" s="46"/>
      <c r="H1965" s="46">
        <f>IFERROR(TRANSACTIONS!$F1965+TRANSACTIONS!$G1965,"")</f>
        <v>410000</v>
      </c>
      <c r="I1965" s="57" t="s">
        <v>41</v>
      </c>
    </row>
    <row r="1966" spans="1:9" x14ac:dyDescent="0.25">
      <c r="A1966" s="41">
        <v>45348.84264560185</v>
      </c>
      <c r="B1966" s="48">
        <f>IF(A1966&lt;&gt;"",DATE(YEAR(TRANSACTIONS!$A1966),MONTH(TRANSACTIONS!$A1966),DAY(TRANSACTIONS!$A1966)),"")</f>
        <v>45348</v>
      </c>
      <c r="C1966" s="49">
        <f>IF(A1966&lt;&gt;"",TIME(HOUR(TRANSACTIONS!$A1966),MINUTE(TRANSACTIONS!$A1966),SECOND(TRANSACTIONS!$A1966)),"")</f>
        <v>0.84265046296296298</v>
      </c>
      <c r="D1966" s="82" t="s">
        <v>62</v>
      </c>
      <c r="E1966" s="82" t="s">
        <v>6</v>
      </c>
      <c r="F1966" s="94">
        <v>1000</v>
      </c>
      <c r="G1966" s="46"/>
      <c r="H1966" s="46">
        <f>IFERROR(TRANSACTIONS!$F1966+TRANSACTIONS!$G1966,"")</f>
        <v>1000</v>
      </c>
      <c r="I1966" s="57" t="s">
        <v>41</v>
      </c>
    </row>
    <row r="1967" spans="1:9" x14ac:dyDescent="0.25">
      <c r="A1967" s="41">
        <v>45348.842654745371</v>
      </c>
      <c r="B1967" s="48">
        <f>IF(A1967&lt;&gt;"",DATE(YEAR(TRANSACTIONS!$A1967),MONTH(TRANSACTIONS!$A1967),DAY(TRANSACTIONS!$A1967)),"")</f>
        <v>45348</v>
      </c>
      <c r="C1967" s="49">
        <f>IF(A1967&lt;&gt;"",TIME(HOUR(TRANSACTIONS!$A1967),MINUTE(TRANSACTIONS!$A1967),SECOND(TRANSACTIONS!$A1967)),"")</f>
        <v>0.84265046296296298</v>
      </c>
      <c r="D1967" s="82" t="s">
        <v>62</v>
      </c>
      <c r="E1967" s="82" t="s">
        <v>7</v>
      </c>
      <c r="F1967" s="94">
        <v>10000</v>
      </c>
      <c r="G1967" s="46"/>
      <c r="H1967" s="46">
        <f>IFERROR(TRANSACTIONS!$F1967+TRANSACTIONS!$G1967,"")</f>
        <v>10000</v>
      </c>
      <c r="I1967" s="57" t="s">
        <v>41</v>
      </c>
    </row>
    <row r="1968" spans="1:9" x14ac:dyDescent="0.25">
      <c r="A1968" s="41">
        <v>45348.842670717589</v>
      </c>
      <c r="B1968" s="48">
        <f>IF(A1968&lt;&gt;"",DATE(YEAR(TRANSACTIONS!$A1968),MONTH(TRANSACTIONS!$A1968),DAY(TRANSACTIONS!$A1968)),"")</f>
        <v>45348</v>
      </c>
      <c r="C1968" s="49">
        <f>IF(A1968&lt;&gt;"",TIME(HOUR(TRANSACTIONS!$A1968),MINUTE(TRANSACTIONS!$A1968),SECOND(TRANSACTIONS!$A1968)),"")</f>
        <v>0.84267361111111105</v>
      </c>
      <c r="D1968" s="82" t="s">
        <v>62</v>
      </c>
      <c r="E1968" s="82" t="s">
        <v>6</v>
      </c>
      <c r="F1968" s="94">
        <v>30000</v>
      </c>
      <c r="G1968" s="46"/>
      <c r="H1968" s="46">
        <f>IFERROR(TRANSACTIONS!$F1968+TRANSACTIONS!$G1968,"")</f>
        <v>30000</v>
      </c>
      <c r="I1968" s="57" t="s">
        <v>41</v>
      </c>
    </row>
    <row r="1969" spans="1:9" x14ac:dyDescent="0.25">
      <c r="A1969" s="41">
        <v>45348.842679050926</v>
      </c>
      <c r="B1969" s="48">
        <f>IF(A1969&lt;&gt;"",DATE(YEAR(TRANSACTIONS!$A1969),MONTH(TRANSACTIONS!$A1969),DAY(TRANSACTIONS!$A1969)),"")</f>
        <v>45348</v>
      </c>
      <c r="C1969" s="49">
        <f>IF(A1969&lt;&gt;"",TIME(HOUR(TRANSACTIONS!$A1969),MINUTE(TRANSACTIONS!$A1969),SECOND(TRANSACTIONS!$A1969)),"")</f>
        <v>0.84267361111111105</v>
      </c>
      <c r="D1969" s="82" t="s">
        <v>62</v>
      </c>
      <c r="E1969" s="82" t="s">
        <v>6</v>
      </c>
      <c r="F1969" s="94">
        <v>30000</v>
      </c>
      <c r="G1969" s="46"/>
      <c r="H1969" s="46">
        <f>IFERROR(TRANSACTIONS!$F1969+TRANSACTIONS!$G1969,"")</f>
        <v>30000</v>
      </c>
      <c r="I1969" s="57" t="s">
        <v>41</v>
      </c>
    </row>
    <row r="1970" spans="1:9" x14ac:dyDescent="0.25">
      <c r="A1970" s="41">
        <v>45348.8426869213</v>
      </c>
      <c r="B1970" s="48">
        <f>IF(A1970&lt;&gt;"",DATE(YEAR(TRANSACTIONS!$A1970),MONTH(TRANSACTIONS!$A1970),DAY(TRANSACTIONS!$A1970)),"")</f>
        <v>45348</v>
      </c>
      <c r="C1970" s="49">
        <f>IF(A1970&lt;&gt;"",TIME(HOUR(TRANSACTIONS!$A1970),MINUTE(TRANSACTIONS!$A1970),SECOND(TRANSACTIONS!$A1970)),"")</f>
        <v>0.8426851851851852</v>
      </c>
      <c r="D1970" s="82" t="s">
        <v>62</v>
      </c>
      <c r="E1970" s="82" t="s">
        <v>7</v>
      </c>
      <c r="F1970" s="94">
        <v>1000</v>
      </c>
      <c r="G1970" s="46"/>
      <c r="H1970" s="46">
        <f>IFERROR(TRANSACTIONS!$F1970+TRANSACTIONS!$G1970,"")</f>
        <v>1000</v>
      </c>
      <c r="I1970" s="57" t="s">
        <v>41</v>
      </c>
    </row>
    <row r="1971" spans="1:9" x14ac:dyDescent="0.25">
      <c r="A1971" s="41">
        <v>45348.842694907406</v>
      </c>
      <c r="B1971" s="48">
        <f>IF(A1971&lt;&gt;"",DATE(YEAR(TRANSACTIONS!$A1971),MONTH(TRANSACTIONS!$A1971),DAY(TRANSACTIONS!$A1971)),"")</f>
        <v>45348</v>
      </c>
      <c r="C1971" s="49">
        <f>IF(A1971&lt;&gt;"",TIME(HOUR(TRANSACTIONS!$A1971),MINUTE(TRANSACTIONS!$A1971),SECOND(TRANSACTIONS!$A1971)),"")</f>
        <v>0.84269675925925924</v>
      </c>
      <c r="D1971" s="82" t="s">
        <v>62</v>
      </c>
      <c r="E1971" s="82" t="s">
        <v>7</v>
      </c>
      <c r="F1971" s="94">
        <v>5000</v>
      </c>
      <c r="G1971" s="46"/>
      <c r="H1971" s="46">
        <f>IFERROR(TRANSACTIONS!$F1971+TRANSACTIONS!$G1971,"")</f>
        <v>5000</v>
      </c>
      <c r="I1971" s="57" t="s">
        <v>41</v>
      </c>
    </row>
    <row r="1972" spans="1:9" x14ac:dyDescent="0.25">
      <c r="A1972" s="41">
        <v>45348.842702662034</v>
      </c>
      <c r="B1972" s="48">
        <f>IF(A1972&lt;&gt;"",DATE(YEAR(TRANSACTIONS!$A1972),MONTH(TRANSACTIONS!$A1972),DAY(TRANSACTIONS!$A1972)),"")</f>
        <v>45348</v>
      </c>
      <c r="C1972" s="49">
        <f>IF(A1972&lt;&gt;"",TIME(HOUR(TRANSACTIONS!$A1972),MINUTE(TRANSACTIONS!$A1972),SECOND(TRANSACTIONS!$A1972)),"")</f>
        <v>0.84270833333333339</v>
      </c>
      <c r="D1972" s="82" t="s">
        <v>62</v>
      </c>
      <c r="E1972" s="82" t="s">
        <v>7</v>
      </c>
      <c r="F1972" s="94">
        <v>50000</v>
      </c>
      <c r="G1972" s="46"/>
      <c r="H1972" s="46">
        <f>IFERROR(TRANSACTIONS!$F1972+TRANSACTIONS!$G1972,"")</f>
        <v>50000</v>
      </c>
      <c r="I1972" s="57" t="s">
        <v>41</v>
      </c>
    </row>
    <row r="1973" spans="1:9" x14ac:dyDescent="0.25">
      <c r="A1973" s="113">
        <v>45348.842710069446</v>
      </c>
      <c r="B1973" s="114">
        <f>IF(A1973&lt;&gt;"",DATE(YEAR(TRANSACTIONS!$A1973),MONTH(TRANSACTIONS!$A1973),DAY(TRANSACTIONS!$A1973)),"")</f>
        <v>45348</v>
      </c>
      <c r="C1973" s="115">
        <f>IF(A1973&lt;&gt;"",TIME(HOUR(TRANSACTIONS!$A1973),MINUTE(TRANSACTIONS!$A1973),SECOND(TRANSACTIONS!$A1973)),"")</f>
        <v>0.84270833333333339</v>
      </c>
      <c r="D1973" s="82" t="s">
        <v>62</v>
      </c>
      <c r="E1973" s="82" t="s">
        <v>7</v>
      </c>
      <c r="F1973" s="94">
        <v>10000</v>
      </c>
      <c r="G1973" s="117"/>
      <c r="H1973" s="117">
        <f>IFERROR(TRANSACTIONS!$F1973+TRANSACTIONS!$G1973,"")</f>
        <v>10000</v>
      </c>
      <c r="I1973" s="123" t="s">
        <v>41</v>
      </c>
    </row>
    <row r="1974" spans="1:9" x14ac:dyDescent="0.25">
      <c r="A1974" s="41">
        <v>45348.842717708336</v>
      </c>
      <c r="B1974" s="48">
        <f>IF(A1974&lt;&gt;"",DATE(YEAR(TRANSACTIONS!$A1974),MONTH(TRANSACTIONS!$A1974),DAY(TRANSACTIONS!$A1974)),"")</f>
        <v>45348</v>
      </c>
      <c r="C1974" s="49">
        <f>IF(A1974&lt;&gt;"",TIME(HOUR(TRANSACTIONS!$A1974),MINUTE(TRANSACTIONS!$A1974),SECOND(TRANSACTIONS!$A1974)),"")</f>
        <v>0.84271990740740732</v>
      </c>
      <c r="D1974" s="82" t="s">
        <v>62</v>
      </c>
      <c r="E1974" s="82" t="s">
        <v>6</v>
      </c>
      <c r="F1974" s="94">
        <v>44500</v>
      </c>
      <c r="G1974" s="46"/>
      <c r="H1974" s="46">
        <f>IFERROR(TRANSACTIONS!$F1974+TRANSACTIONS!$G1974,"")</f>
        <v>44500</v>
      </c>
      <c r="I1974" s="57" t="s">
        <v>41</v>
      </c>
    </row>
    <row r="1975" spans="1:9" x14ac:dyDescent="0.25">
      <c r="A1975" s="41">
        <v>45348.842760879626</v>
      </c>
      <c r="B1975" s="48">
        <f>IF(A1975&lt;&gt;"",DATE(YEAR(TRANSACTIONS!$A1975),MONTH(TRANSACTIONS!$A1975),DAY(TRANSACTIONS!$A1975)),"")</f>
        <v>45348</v>
      </c>
      <c r="C1975" s="49">
        <f>IF(A1975&lt;&gt;"",TIME(HOUR(TRANSACTIONS!$A1975),MINUTE(TRANSACTIONS!$A1975),SECOND(TRANSACTIONS!$A1975)),"")</f>
        <v>0.8427662037037037</v>
      </c>
      <c r="D1975" s="82" t="s">
        <v>62</v>
      </c>
      <c r="E1975" s="82" t="s">
        <v>6</v>
      </c>
      <c r="F1975" s="94">
        <v>5000</v>
      </c>
      <c r="G1975" s="46"/>
      <c r="H1975" s="46">
        <f>IFERROR(TRANSACTIONS!$F1975+TRANSACTIONS!$G1975,"")</f>
        <v>5000</v>
      </c>
      <c r="I1975" s="57" t="s">
        <v>41</v>
      </c>
    </row>
    <row r="1976" spans="1:9" x14ac:dyDescent="0.25">
      <c r="A1976" s="41">
        <v>45348.842777893522</v>
      </c>
      <c r="B1976" s="48">
        <f>IF(A1976&lt;&gt;"",DATE(YEAR(TRANSACTIONS!$A1976),MONTH(TRANSACTIONS!$A1976),DAY(TRANSACTIONS!$A1976)),"")</f>
        <v>45348</v>
      </c>
      <c r="C1976" s="49">
        <f>IF(A1976&lt;&gt;"",TIME(HOUR(TRANSACTIONS!$A1976),MINUTE(TRANSACTIONS!$A1976),SECOND(TRANSACTIONS!$A1976)),"")</f>
        <v>0.84277777777777774</v>
      </c>
      <c r="D1976" s="82" t="s">
        <v>62</v>
      </c>
      <c r="E1976" s="82" t="s">
        <v>7</v>
      </c>
      <c r="F1976" s="94">
        <v>25000</v>
      </c>
      <c r="G1976" s="46"/>
      <c r="H1976" s="46">
        <f>IFERROR(TRANSACTIONS!$F1976+TRANSACTIONS!$G1976,"")</f>
        <v>25000</v>
      </c>
      <c r="I1976" s="57" t="s">
        <v>41</v>
      </c>
    </row>
    <row r="1977" spans="1:9" x14ac:dyDescent="0.25">
      <c r="A1977" s="41">
        <v>45348.842768171293</v>
      </c>
      <c r="B1977" s="48">
        <f>IF(A1977&lt;&gt;"",DATE(YEAR(TRANSACTIONS!$A1977),MONTH(TRANSACTIONS!$A1977),DAY(TRANSACTIONS!$A1977)),"")</f>
        <v>45348</v>
      </c>
      <c r="C1977" s="49">
        <f>IF(A1977&lt;&gt;"",TIME(HOUR(TRANSACTIONS!$A1977),MINUTE(TRANSACTIONS!$A1977),SECOND(TRANSACTIONS!$A1977)),"")</f>
        <v>0.8427662037037037</v>
      </c>
      <c r="D1977" s="82" t="s">
        <v>62</v>
      </c>
      <c r="E1977" s="82" t="s">
        <v>7</v>
      </c>
      <c r="F1977" s="94">
        <v>10000</v>
      </c>
      <c r="G1977" s="46"/>
      <c r="H1977" s="46">
        <f>IFERROR(TRANSACTIONS!$F1977+TRANSACTIONS!$G1977,"")</f>
        <v>10000</v>
      </c>
      <c r="I1977" s="57" t="s">
        <v>41</v>
      </c>
    </row>
    <row r="1978" spans="1:9" x14ac:dyDescent="0.25">
      <c r="A1978" s="41">
        <v>45348.842815856478</v>
      </c>
      <c r="B1978" s="48">
        <f>IF(A1978&lt;&gt;"",DATE(YEAR(TRANSACTIONS!$A1978),MONTH(TRANSACTIONS!$A1978),DAY(TRANSACTIONS!$A1978)),"")</f>
        <v>45348</v>
      </c>
      <c r="C1978" s="49">
        <f>IF(A1978&lt;&gt;"",TIME(HOUR(TRANSACTIONS!$A1978),MINUTE(TRANSACTIONS!$A1978),SECOND(TRANSACTIONS!$A1978)),"")</f>
        <v>0.84281249999999996</v>
      </c>
      <c r="D1978" s="82" t="s">
        <v>62</v>
      </c>
      <c r="E1978" s="82" t="s">
        <v>7</v>
      </c>
      <c r="F1978" s="94">
        <v>5000</v>
      </c>
      <c r="G1978" s="46"/>
      <c r="H1978" s="46">
        <f>IFERROR(TRANSACTIONS!$F1978+TRANSACTIONS!$G1978,"")</f>
        <v>5000</v>
      </c>
      <c r="I1978" s="57" t="s">
        <v>41</v>
      </c>
    </row>
    <row r="1979" spans="1:9" x14ac:dyDescent="0.25">
      <c r="A1979" s="41">
        <v>45348.842856597221</v>
      </c>
      <c r="B1979" s="48">
        <f>IF(A1979&lt;&gt;"",DATE(YEAR(TRANSACTIONS!$A1979),MONTH(TRANSACTIONS!$A1979),DAY(TRANSACTIONS!$A1979)),"")</f>
        <v>45348</v>
      </c>
      <c r="C1979" s="49">
        <f>IF(A1979&lt;&gt;"",TIME(HOUR(TRANSACTIONS!$A1979),MINUTE(TRANSACTIONS!$A1979),SECOND(TRANSACTIONS!$A1979)),"")</f>
        <v>0.84285879629629623</v>
      </c>
      <c r="D1979" s="82" t="s">
        <v>62</v>
      </c>
      <c r="E1979" s="82" t="s">
        <v>7</v>
      </c>
      <c r="F1979" s="94">
        <v>15000</v>
      </c>
      <c r="G1979" s="46"/>
      <c r="H1979" s="46">
        <f>IFERROR(TRANSACTIONS!$F1979+TRANSACTIONS!$G1979,"")</f>
        <v>15000</v>
      </c>
      <c r="I1979" s="57" t="s">
        <v>41</v>
      </c>
    </row>
    <row r="1980" spans="1:9" x14ac:dyDescent="0.25">
      <c r="A1980" s="41">
        <v>45348.842957291665</v>
      </c>
      <c r="B1980" s="48">
        <f>IF(A1980&lt;&gt;"",DATE(YEAR(TRANSACTIONS!$A1980),MONTH(TRANSACTIONS!$A1980),DAY(TRANSACTIONS!$A1980)),"")</f>
        <v>45348</v>
      </c>
      <c r="C1980" s="49">
        <f>IF(A1980&lt;&gt;"",TIME(HOUR(TRANSACTIONS!$A1980),MINUTE(TRANSACTIONS!$A1980),SECOND(TRANSACTIONS!$A1980)),"")</f>
        <v>0.84296296296296302</v>
      </c>
      <c r="D1980" s="82" t="s">
        <v>62</v>
      </c>
      <c r="E1980" s="82" t="s">
        <v>7</v>
      </c>
      <c r="F1980" s="94">
        <v>2000</v>
      </c>
      <c r="G1980" s="46"/>
      <c r="H1980" s="46">
        <f>IFERROR(TRANSACTIONS!$F1980+TRANSACTIONS!$G1980,"")</f>
        <v>2000</v>
      </c>
      <c r="I1980" s="57" t="s">
        <v>41</v>
      </c>
    </row>
    <row r="1981" spans="1:9" x14ac:dyDescent="0.25">
      <c r="A1981" s="41">
        <v>45348.843142013888</v>
      </c>
      <c r="B1981" s="48">
        <f>IF(A1981&lt;&gt;"",DATE(YEAR(TRANSACTIONS!$A1981),MONTH(TRANSACTIONS!$A1981),DAY(TRANSACTIONS!$A1981)),"")</f>
        <v>45348</v>
      </c>
      <c r="C1981" s="49">
        <f>IF(A1981&lt;&gt;"",TIME(HOUR(TRANSACTIONS!$A1981),MINUTE(TRANSACTIONS!$A1981),SECOND(TRANSACTIONS!$A1981)),"")</f>
        <v>0.84313657407407405</v>
      </c>
      <c r="D1981" s="82" t="s">
        <v>62</v>
      </c>
      <c r="E1981" s="82" t="s">
        <v>7</v>
      </c>
      <c r="F1981" s="94">
        <v>5000</v>
      </c>
      <c r="G1981" s="46"/>
      <c r="H1981" s="46">
        <f>IFERROR(TRANSACTIONS!$F1981+TRANSACTIONS!$G1981,"")</f>
        <v>5000</v>
      </c>
      <c r="I1981" s="57" t="s">
        <v>41</v>
      </c>
    </row>
    <row r="1982" spans="1:9" x14ac:dyDescent="0.25">
      <c r="A1982" s="41"/>
      <c r="B1982" s="48" t="str">
        <f>IF(A1982&lt;&gt;"",DATE(YEAR(TRANSACTIONS!$A1982),MONTH(TRANSACTIONS!$A1982),DAY(TRANSACTIONS!$A1982)),"")</f>
        <v/>
      </c>
      <c r="C1982" s="49" t="str">
        <f>IF(A1982&lt;&gt;"",TIME(HOUR(TRANSACTIONS!$A1982),MINUTE(TRANSACTIONS!$A1982),SECOND(TRANSACTIONS!$A1982)),"")</f>
        <v/>
      </c>
      <c r="D1982" s="82"/>
      <c r="E1982" s="82"/>
      <c r="F1982" s="265"/>
      <c r="G1982" s="46"/>
      <c r="H1982" s="46">
        <f>IFERROR(TRANSACTIONS!$F1982+TRANSACTIONS!$G1982,"")</f>
        <v>0</v>
      </c>
      <c r="I1982" s="57" t="s">
        <v>41</v>
      </c>
    </row>
    <row r="1983" spans="1:9" x14ac:dyDescent="0.25">
      <c r="A1983" s="41">
        <v>45349.510478472221</v>
      </c>
      <c r="B1983" s="48">
        <f>IF(A1983&lt;&gt;"",DATE(YEAR(TRANSACTIONS!$A1983),MONTH(TRANSACTIONS!$A1983),DAY(TRANSACTIONS!$A1983)),"")</f>
        <v>45349</v>
      </c>
      <c r="C1983" s="49">
        <f>IF(A1983&lt;&gt;"",TIME(HOUR(TRANSACTIONS!$A1983),MINUTE(TRANSACTIONS!$A1983),SECOND(TRANSACTIONS!$A1983)),"")</f>
        <v>0.51047453703703705</v>
      </c>
      <c r="D1983" s="82" t="s">
        <v>62</v>
      </c>
      <c r="E1983" s="82" t="s">
        <v>6</v>
      </c>
      <c r="F1983" s="94">
        <v>30000</v>
      </c>
      <c r="G1983" s="46"/>
      <c r="H1983" s="46">
        <f>IFERROR(TRANSACTIONS!$F1983+TRANSACTIONS!$G1983,"")</f>
        <v>30000</v>
      </c>
      <c r="I1983" s="57" t="s">
        <v>41</v>
      </c>
    </row>
    <row r="1984" spans="1:9" x14ac:dyDescent="0.25">
      <c r="A1984" s="41">
        <v>45349.510483333332</v>
      </c>
      <c r="B1984" s="48">
        <f>IF(A1984&lt;&gt;"",DATE(YEAR(TRANSACTIONS!$A1984),MONTH(TRANSACTIONS!$A1984),DAY(TRANSACTIONS!$A1984)),"")</f>
        <v>45349</v>
      </c>
      <c r="C1984" s="49">
        <f>IF(A1984&lt;&gt;"",TIME(HOUR(TRANSACTIONS!$A1984),MINUTE(TRANSACTIONS!$A1984),SECOND(TRANSACTIONS!$A1984)),"")</f>
        <v>0.51048611111111108</v>
      </c>
      <c r="D1984" s="82" t="s">
        <v>62</v>
      </c>
      <c r="E1984" s="82" t="s">
        <v>7</v>
      </c>
      <c r="F1984" s="94">
        <v>1000</v>
      </c>
      <c r="G1984" s="46"/>
      <c r="H1984" s="46">
        <f>IFERROR(TRANSACTIONS!$F1984+TRANSACTIONS!$G1984,"")</f>
        <v>1000</v>
      </c>
      <c r="I1984" s="57" t="s">
        <v>41</v>
      </c>
    </row>
    <row r="1985" spans="1:9" x14ac:dyDescent="0.25">
      <c r="A1985" s="41">
        <v>45349.510521064818</v>
      </c>
      <c r="B1985" s="48">
        <f>IF(A1985&lt;&gt;"",DATE(YEAR(TRANSACTIONS!$A1985),MONTH(TRANSACTIONS!$A1985),DAY(TRANSACTIONS!$A1985)),"")</f>
        <v>45349</v>
      </c>
      <c r="C1985" s="49">
        <f>IF(A1985&lt;&gt;"",TIME(HOUR(TRANSACTIONS!$A1985),MINUTE(TRANSACTIONS!$A1985),SECOND(TRANSACTIONS!$A1985)),"")</f>
        <v>0.51052083333333331</v>
      </c>
      <c r="D1985" s="82" t="s">
        <v>62</v>
      </c>
      <c r="E1985" s="82" t="s">
        <v>6</v>
      </c>
      <c r="F1985" s="94">
        <v>5000</v>
      </c>
      <c r="G1985" s="46"/>
      <c r="H1985" s="46">
        <f>IFERROR(TRANSACTIONS!$F1985+TRANSACTIONS!$G1985,"")</f>
        <v>5000</v>
      </c>
      <c r="I1985" s="57" t="s">
        <v>41</v>
      </c>
    </row>
    <row r="1986" spans="1:9" x14ac:dyDescent="0.25">
      <c r="A1986" s="41">
        <v>45349.510529976855</v>
      </c>
      <c r="B1986" s="48">
        <f>IF(A1986&lt;&gt;"",DATE(YEAR(TRANSACTIONS!$A1986),MONTH(TRANSACTIONS!$A1986),DAY(TRANSACTIONS!$A1986)),"")</f>
        <v>45349</v>
      </c>
      <c r="C1986" s="49">
        <f>IF(A1986&lt;&gt;"",TIME(HOUR(TRANSACTIONS!$A1986),MINUTE(TRANSACTIONS!$A1986),SECOND(TRANSACTIONS!$A1986)),"")</f>
        <v>0.51053240740740746</v>
      </c>
      <c r="D1986" s="82" t="s">
        <v>62</v>
      </c>
      <c r="E1986" s="82" t="s">
        <v>7</v>
      </c>
      <c r="F1986" s="94">
        <v>500</v>
      </c>
      <c r="G1986" s="46"/>
      <c r="H1986" s="46">
        <f>IFERROR(TRANSACTIONS!$F1986+TRANSACTIONS!$G1986,"")</f>
        <v>500</v>
      </c>
      <c r="I1986" s="57" t="s">
        <v>41</v>
      </c>
    </row>
    <row r="1987" spans="1:9" x14ac:dyDescent="0.25">
      <c r="A1987" s="41">
        <v>45349.51055983796</v>
      </c>
      <c r="B1987" s="48">
        <f>IF(A1987&lt;&gt;"",DATE(YEAR(TRANSACTIONS!$A1987),MONTH(TRANSACTIONS!$A1987),DAY(TRANSACTIONS!$A1987)),"")</f>
        <v>45349</v>
      </c>
      <c r="C1987" s="49">
        <f>IF(A1987&lt;&gt;"",TIME(HOUR(TRANSACTIONS!$A1987),MINUTE(TRANSACTIONS!$A1987),SECOND(TRANSACTIONS!$A1987)),"")</f>
        <v>0.51055555555555554</v>
      </c>
      <c r="D1987" s="82" t="s">
        <v>62</v>
      </c>
      <c r="E1987" s="82" t="s">
        <v>7</v>
      </c>
      <c r="F1987" s="94">
        <v>2900</v>
      </c>
      <c r="G1987" s="46"/>
      <c r="H1987" s="46">
        <f>IFERROR(TRANSACTIONS!$F1987+TRANSACTIONS!$G1987,"")</f>
        <v>2900</v>
      </c>
      <c r="I1987" s="57" t="s">
        <v>41</v>
      </c>
    </row>
    <row r="1988" spans="1:9" x14ac:dyDescent="0.25">
      <c r="A1988" s="41">
        <v>45349.51053900463</v>
      </c>
      <c r="B1988" s="48">
        <f>IF(A1988&lt;&gt;"",DATE(YEAR(TRANSACTIONS!$A1988),MONTH(TRANSACTIONS!$A1988),DAY(TRANSACTIONS!$A1988)),"")</f>
        <v>45349</v>
      </c>
      <c r="C1988" s="49">
        <f>IF(A1988&lt;&gt;"",TIME(HOUR(TRANSACTIONS!$A1988),MINUTE(TRANSACTIONS!$A1988),SECOND(TRANSACTIONS!$A1988)),"")</f>
        <v>0.5105439814814815</v>
      </c>
      <c r="D1988" s="82" t="s">
        <v>62</v>
      </c>
      <c r="E1988" s="82" t="s">
        <v>7</v>
      </c>
      <c r="F1988" s="94">
        <v>1000</v>
      </c>
      <c r="G1988" s="46"/>
      <c r="H1988" s="46">
        <f>IFERROR(TRANSACTIONS!$F1988+TRANSACTIONS!$G1988,"")</f>
        <v>1000</v>
      </c>
      <c r="I1988" s="57" t="s">
        <v>41</v>
      </c>
    </row>
    <row r="1989" spans="1:9" x14ac:dyDescent="0.25">
      <c r="A1989" s="41">
        <v>45349.510577083332</v>
      </c>
      <c r="B1989" s="48">
        <f>IF(A1989&lt;&gt;"",DATE(YEAR(TRANSACTIONS!$A1989),MONTH(TRANSACTIONS!$A1989),DAY(TRANSACTIONS!$A1989)),"")</f>
        <v>45349</v>
      </c>
      <c r="C1989" s="49">
        <f>IF(A1989&lt;&gt;"",TIME(HOUR(TRANSACTIONS!$A1989),MINUTE(TRANSACTIONS!$A1989),SECOND(TRANSACTIONS!$A1989)),"")</f>
        <v>0.51057870370370373</v>
      </c>
      <c r="D1989" s="82" t="s">
        <v>62</v>
      </c>
      <c r="E1989" s="82" t="s">
        <v>6</v>
      </c>
      <c r="F1989" s="94">
        <v>14500</v>
      </c>
      <c r="G1989" s="46"/>
      <c r="H1989" s="46">
        <f>IFERROR(TRANSACTIONS!$F1989+TRANSACTIONS!$G1989,"")</f>
        <v>14500</v>
      </c>
      <c r="I1989" s="57" t="s">
        <v>41</v>
      </c>
    </row>
    <row r="1990" spans="1:9" x14ac:dyDescent="0.25">
      <c r="A1990" s="41">
        <v>45349.510610185185</v>
      </c>
      <c r="B1990" s="48">
        <f>IF(A1990&lt;&gt;"",DATE(YEAR(TRANSACTIONS!$A1990),MONTH(TRANSACTIONS!$A1990),DAY(TRANSACTIONS!$A1990)),"")</f>
        <v>45349</v>
      </c>
      <c r="C1990" s="49">
        <f>IF(A1990&lt;&gt;"",TIME(HOUR(TRANSACTIONS!$A1990),MINUTE(TRANSACTIONS!$A1990),SECOND(TRANSACTIONS!$A1990)),"")</f>
        <v>0.51061342592592596</v>
      </c>
      <c r="D1990" s="82" t="s">
        <v>62</v>
      </c>
      <c r="E1990" s="82" t="s">
        <v>7</v>
      </c>
      <c r="F1990" s="94">
        <v>2000</v>
      </c>
      <c r="G1990" s="46"/>
      <c r="H1990" s="46">
        <f>IFERROR(TRANSACTIONS!$F1990+TRANSACTIONS!$G1990,"")</f>
        <v>2000</v>
      </c>
      <c r="I1990" s="57" t="s">
        <v>41</v>
      </c>
    </row>
    <row r="1991" spans="1:9" x14ac:dyDescent="0.25">
      <c r="A1991" s="41">
        <v>45349.510641319444</v>
      </c>
      <c r="B1991" s="48">
        <f>IF(A1991&lt;&gt;"",DATE(YEAR(TRANSACTIONS!$A1991),MONTH(TRANSACTIONS!$A1991),DAY(TRANSACTIONS!$A1991)),"")</f>
        <v>45349</v>
      </c>
      <c r="C1991" s="49">
        <f>IF(A1991&lt;&gt;"",TIME(HOUR(TRANSACTIONS!$A1991),MINUTE(TRANSACTIONS!$A1991),SECOND(TRANSACTIONS!$A1991)),"")</f>
        <v>0.51063657407407403</v>
      </c>
      <c r="D1991" s="82" t="s">
        <v>62</v>
      </c>
      <c r="E1991" s="82" t="s">
        <v>7</v>
      </c>
      <c r="F1991" s="94">
        <v>7000</v>
      </c>
      <c r="G1991" s="46"/>
      <c r="H1991" s="46">
        <f>IFERROR(TRANSACTIONS!$F1991+TRANSACTIONS!$G1991,"")</f>
        <v>7000</v>
      </c>
      <c r="I1991" s="57" t="s">
        <v>41</v>
      </c>
    </row>
    <row r="1992" spans="1:9" x14ac:dyDescent="0.25">
      <c r="A1992" s="41">
        <v>45349.510649421296</v>
      </c>
      <c r="B1992" s="48">
        <f>IF(A1992&lt;&gt;"",DATE(YEAR(TRANSACTIONS!$A1992),MONTH(TRANSACTIONS!$A1992),DAY(TRANSACTIONS!$A1992)),"")</f>
        <v>45349</v>
      </c>
      <c r="C1992" s="49">
        <f>IF(A1992&lt;&gt;"",TIME(HOUR(TRANSACTIONS!$A1992),MINUTE(TRANSACTIONS!$A1992),SECOND(TRANSACTIONS!$A1992)),"")</f>
        <v>0.51064814814814818</v>
      </c>
      <c r="D1992" s="82" t="s">
        <v>62</v>
      </c>
      <c r="E1992" s="82" t="s">
        <v>7</v>
      </c>
      <c r="F1992" s="94">
        <v>1000</v>
      </c>
      <c r="G1992" s="46"/>
      <c r="H1992" s="46">
        <f>IFERROR(TRANSACTIONS!$F1992+TRANSACTIONS!$G1992,"")</f>
        <v>1000</v>
      </c>
      <c r="I1992" s="57" t="s">
        <v>41</v>
      </c>
    </row>
    <row r="1993" spans="1:9" x14ac:dyDescent="0.25">
      <c r="A1993" s="41">
        <v>45349.510658680556</v>
      </c>
      <c r="B1993" s="48">
        <f>IF(A1993&lt;&gt;"",DATE(YEAR(TRANSACTIONS!$A1993),MONTH(TRANSACTIONS!$A1993),DAY(TRANSACTIONS!$A1993)),"")</f>
        <v>45349</v>
      </c>
      <c r="C1993" s="49">
        <f>IF(A1993&lt;&gt;"",TIME(HOUR(TRANSACTIONS!$A1993),MINUTE(TRANSACTIONS!$A1993),SECOND(TRANSACTIONS!$A1993)),"")</f>
        <v>0.51065972222222222</v>
      </c>
      <c r="D1993" s="82" t="s">
        <v>62</v>
      </c>
      <c r="E1993" s="82" t="s">
        <v>6</v>
      </c>
      <c r="F1993" s="94">
        <v>80000</v>
      </c>
      <c r="G1993" s="46"/>
      <c r="H1993" s="46">
        <f>IFERROR(TRANSACTIONS!$F1993+TRANSACTIONS!$G1993,"")</f>
        <v>80000</v>
      </c>
      <c r="I1993" s="57" t="s">
        <v>41</v>
      </c>
    </row>
    <row r="1994" spans="1:9" x14ac:dyDescent="0.25">
      <c r="A1994" s="41">
        <v>45349.553821759262</v>
      </c>
      <c r="B1994" s="48">
        <f>IF(A1994&lt;&gt;"",DATE(YEAR(TRANSACTIONS!$A1994),MONTH(TRANSACTIONS!$A1994),DAY(TRANSACTIONS!$A1994)),"")</f>
        <v>45349</v>
      </c>
      <c r="C1994" s="49">
        <f>IF(A1994&lt;&gt;"",TIME(HOUR(TRANSACTIONS!$A1994),MINUTE(TRANSACTIONS!$A1994),SECOND(TRANSACTIONS!$A1994)),"")</f>
        <v>0.55381944444444442</v>
      </c>
      <c r="D1994" s="82" t="s">
        <v>62</v>
      </c>
      <c r="E1994" s="82" t="s">
        <v>6</v>
      </c>
      <c r="F1994" s="94">
        <v>202000</v>
      </c>
      <c r="G1994" s="46"/>
      <c r="H1994" s="46">
        <f>IFERROR(TRANSACTIONS!$F1994+TRANSACTIONS!$G1994,"")</f>
        <v>202000</v>
      </c>
      <c r="I1994" s="57" t="s">
        <v>41</v>
      </c>
    </row>
    <row r="1995" spans="1:9" x14ac:dyDescent="0.25">
      <c r="A1995" s="41">
        <v>45349.553862037035</v>
      </c>
      <c r="B1995" s="48">
        <f>IF(A1995&lt;&gt;"",DATE(YEAR(TRANSACTIONS!$A1995),MONTH(TRANSACTIONS!$A1995),DAY(TRANSACTIONS!$A1995)),"")</f>
        <v>45349</v>
      </c>
      <c r="C1995" s="49">
        <f>IF(A1995&lt;&gt;"",TIME(HOUR(TRANSACTIONS!$A1995),MINUTE(TRANSACTIONS!$A1995),SECOND(TRANSACTIONS!$A1995)),"")</f>
        <v>0.55386574074074069</v>
      </c>
      <c r="D1995" s="82" t="s">
        <v>62</v>
      </c>
      <c r="E1995" s="82" t="s">
        <v>7</v>
      </c>
      <c r="F1995" s="94">
        <v>5000</v>
      </c>
      <c r="G1995" s="46"/>
      <c r="H1995" s="46">
        <f>IFERROR(TRANSACTIONS!$F1995+TRANSACTIONS!$G1995,"")</f>
        <v>5000</v>
      </c>
      <c r="I1995" s="57" t="s">
        <v>41</v>
      </c>
    </row>
    <row r="1996" spans="1:9" x14ac:dyDescent="0.25">
      <c r="A1996" s="41">
        <v>45349.553869791664</v>
      </c>
      <c r="B1996" s="48">
        <f>IF(A1996&lt;&gt;"",DATE(YEAR(TRANSACTIONS!$A1996),MONTH(TRANSACTIONS!$A1996),DAY(TRANSACTIONS!$A1996)),"")</f>
        <v>45349</v>
      </c>
      <c r="C1996" s="49">
        <f>IF(A1996&lt;&gt;"",TIME(HOUR(TRANSACTIONS!$A1996),MINUTE(TRANSACTIONS!$A1996),SECOND(TRANSACTIONS!$A1996)),"")</f>
        <v>0.55386574074074069</v>
      </c>
      <c r="D1996" s="82" t="s">
        <v>62</v>
      </c>
      <c r="E1996" s="82" t="s">
        <v>7</v>
      </c>
      <c r="F1996" s="94">
        <v>600000</v>
      </c>
      <c r="G1996" s="46"/>
      <c r="H1996" s="46">
        <f>IFERROR(TRANSACTIONS!$F1996+TRANSACTIONS!$G1996,"")</f>
        <v>600000</v>
      </c>
      <c r="I1996" s="57" t="s">
        <v>41</v>
      </c>
    </row>
    <row r="1997" spans="1:9" x14ac:dyDescent="0.25">
      <c r="A1997" s="41">
        <v>45349.553928935187</v>
      </c>
      <c r="B1997" s="48">
        <f>IF(A1997&lt;&gt;"",DATE(YEAR(TRANSACTIONS!$A1997),MONTH(TRANSACTIONS!$A1997),DAY(TRANSACTIONS!$A1997)),"")</f>
        <v>45349</v>
      </c>
      <c r="C1997" s="49">
        <f>IF(A1997&lt;&gt;"",TIME(HOUR(TRANSACTIONS!$A1997),MINUTE(TRANSACTIONS!$A1997),SECOND(TRANSACTIONS!$A1997)),"")</f>
        <v>0.5539236111111111</v>
      </c>
      <c r="D1997" s="82" t="s">
        <v>62</v>
      </c>
      <c r="E1997" s="82" t="s">
        <v>6</v>
      </c>
      <c r="F1997" s="94">
        <v>600000</v>
      </c>
      <c r="G1997" s="46"/>
      <c r="H1997" s="46">
        <f>IFERROR(TRANSACTIONS!$F1997+TRANSACTIONS!$G1997,"")</f>
        <v>600000</v>
      </c>
      <c r="I1997" s="57" t="s">
        <v>41</v>
      </c>
    </row>
    <row r="1998" spans="1:9" x14ac:dyDescent="0.25">
      <c r="A1998" s="41">
        <v>45349.553938310186</v>
      </c>
      <c r="B1998" s="48">
        <f>IF(A1998&lt;&gt;"",DATE(YEAR(TRANSACTIONS!$A1998),MONTH(TRANSACTIONS!$A1998),DAY(TRANSACTIONS!$A1998)),"")</f>
        <v>45349</v>
      </c>
      <c r="C1998" s="49">
        <f>IF(A1998&lt;&gt;"",TIME(HOUR(TRANSACTIONS!$A1998),MINUTE(TRANSACTIONS!$A1998),SECOND(TRANSACTIONS!$A1998)),"")</f>
        <v>0.55393518518518514</v>
      </c>
      <c r="D1998" s="82" t="s">
        <v>62</v>
      </c>
      <c r="E1998" s="82" t="s">
        <v>6</v>
      </c>
      <c r="F1998" s="94">
        <v>22000</v>
      </c>
      <c r="G1998" s="46"/>
      <c r="H1998" s="46">
        <f>IFERROR(TRANSACTIONS!$F1998+TRANSACTIONS!$G1998,"")</f>
        <v>22000</v>
      </c>
      <c r="I1998" s="57" t="s">
        <v>41</v>
      </c>
    </row>
    <row r="1999" spans="1:9" x14ac:dyDescent="0.25">
      <c r="A1999" s="41">
        <v>45349.553946874999</v>
      </c>
      <c r="B1999" s="48">
        <f>IF(A1999&lt;&gt;"",DATE(YEAR(TRANSACTIONS!$A1999),MONTH(TRANSACTIONS!$A1999),DAY(TRANSACTIONS!$A1999)),"")</f>
        <v>45349</v>
      </c>
      <c r="C1999" s="49">
        <f>IF(A1999&lt;&gt;"",TIME(HOUR(TRANSACTIONS!$A1999),MINUTE(TRANSACTIONS!$A1999),SECOND(TRANSACTIONS!$A1999)),"")</f>
        <v>0.55394675925925929</v>
      </c>
      <c r="D1999" s="82" t="s">
        <v>62</v>
      </c>
      <c r="E1999" s="82" t="s">
        <v>7</v>
      </c>
      <c r="F1999" s="94">
        <v>22000</v>
      </c>
      <c r="G1999" s="46"/>
      <c r="H1999" s="46">
        <f>IFERROR(TRANSACTIONS!$F1999+TRANSACTIONS!$G1999,"")</f>
        <v>22000</v>
      </c>
      <c r="I1999" s="57" t="s">
        <v>41</v>
      </c>
    </row>
    <row r="2000" spans="1:9" x14ac:dyDescent="0.25">
      <c r="A2000" s="41">
        <v>45349.553969444445</v>
      </c>
      <c r="B2000" s="48">
        <f>IF(A2000&lt;&gt;"",DATE(YEAR(TRANSACTIONS!$A2000),MONTH(TRANSACTIONS!$A2000),DAY(TRANSACTIONS!$A2000)),"")</f>
        <v>45349</v>
      </c>
      <c r="C2000" s="49">
        <f>IF(A2000&lt;&gt;"",TIME(HOUR(TRANSACTIONS!$A2000),MINUTE(TRANSACTIONS!$A2000),SECOND(TRANSACTIONS!$A2000)),"")</f>
        <v>0.55396990740740737</v>
      </c>
      <c r="D2000" s="82" t="s">
        <v>62</v>
      </c>
      <c r="E2000" s="82" t="s">
        <v>7</v>
      </c>
      <c r="F2000" s="94">
        <v>500</v>
      </c>
      <c r="G2000" s="46"/>
      <c r="H2000" s="46">
        <f>IFERROR(TRANSACTIONS!$F2000+TRANSACTIONS!$G2000,"")</f>
        <v>500</v>
      </c>
      <c r="I2000" s="57" t="s">
        <v>41</v>
      </c>
    </row>
    <row r="2001" spans="1:10" x14ac:dyDescent="0.25">
      <c r="A2001" s="41">
        <v>45349.553977546297</v>
      </c>
      <c r="B2001" s="48">
        <f>IF(A2001&lt;&gt;"",DATE(YEAR(TRANSACTIONS!$A2001),MONTH(TRANSACTIONS!$A2001),DAY(TRANSACTIONS!$A2001)),"")</f>
        <v>45349</v>
      </c>
      <c r="C2001" s="49">
        <f>IF(A2001&lt;&gt;"",TIME(HOUR(TRANSACTIONS!$A2001),MINUTE(TRANSACTIONS!$A2001),SECOND(TRANSACTIONS!$A2001)),"")</f>
        <v>0.55398148148148152</v>
      </c>
      <c r="D2001" s="82" t="s">
        <v>62</v>
      </c>
      <c r="E2001" s="82" t="s">
        <v>7</v>
      </c>
      <c r="F2001" s="94">
        <v>140000</v>
      </c>
      <c r="G2001" s="46"/>
      <c r="H2001" s="46">
        <f>IFERROR(TRANSACTIONS!$F2001+TRANSACTIONS!$G2001,"")</f>
        <v>140000</v>
      </c>
      <c r="I2001" s="57" t="s">
        <v>41</v>
      </c>
    </row>
    <row r="2002" spans="1:10" x14ac:dyDescent="0.25">
      <c r="A2002" s="41">
        <v>45349.554411342593</v>
      </c>
      <c r="B2002" s="48">
        <f>IF(A2002&lt;&gt;"",DATE(YEAR(TRANSACTIONS!$A2002),MONTH(TRANSACTIONS!$A2002),DAY(TRANSACTIONS!$A2002)),"")</f>
        <v>45349</v>
      </c>
      <c r="C2002" s="49">
        <f>IF(A2002&lt;&gt;"",TIME(HOUR(TRANSACTIONS!$A2002),MINUTE(TRANSACTIONS!$A2002),SECOND(TRANSACTIONS!$A2002)),"")</f>
        <v>0.55440972222222229</v>
      </c>
      <c r="D2002" s="82" t="s">
        <v>62</v>
      </c>
      <c r="E2002" s="82" t="s">
        <v>7</v>
      </c>
      <c r="F2002" s="94">
        <v>2500</v>
      </c>
      <c r="G2002" s="46"/>
      <c r="H2002" s="46">
        <f>IFERROR(TRANSACTIONS!$F2002+TRANSACTIONS!$G2002,"")</f>
        <v>2500</v>
      </c>
      <c r="I2002" s="57" t="s">
        <v>41</v>
      </c>
    </row>
    <row r="2003" spans="1:10" x14ac:dyDescent="0.25">
      <c r="A2003" s="41">
        <v>45349.554421412038</v>
      </c>
      <c r="B2003" s="48">
        <f>IF(A2003&lt;&gt;"",DATE(YEAR(TRANSACTIONS!$A2003),MONTH(TRANSACTIONS!$A2003),DAY(TRANSACTIONS!$A2003)),"")</f>
        <v>45349</v>
      </c>
      <c r="C2003" s="49">
        <f>IF(A2003&lt;&gt;"",TIME(HOUR(TRANSACTIONS!$A2003),MINUTE(TRANSACTIONS!$A2003),SECOND(TRANSACTIONS!$A2003)),"")</f>
        <v>0.55442129629629633</v>
      </c>
      <c r="D2003" s="82" t="s">
        <v>62</v>
      </c>
      <c r="E2003" s="82" t="s">
        <v>7</v>
      </c>
      <c r="F2003" s="94">
        <v>5000</v>
      </c>
      <c r="G2003" s="46"/>
      <c r="H2003" s="46">
        <f>IFERROR(TRANSACTIONS!$F2003+TRANSACTIONS!$G2003,"")</f>
        <v>5000</v>
      </c>
      <c r="I2003" s="57" t="s">
        <v>41</v>
      </c>
    </row>
    <row r="2004" spans="1:10" x14ac:dyDescent="0.25">
      <c r="A2004" s="41">
        <v>45349.554428819443</v>
      </c>
      <c r="B2004" s="48">
        <f>IF(A2004&lt;&gt;"",DATE(YEAR(TRANSACTIONS!$A2004),MONTH(TRANSACTIONS!$A2004),DAY(TRANSACTIONS!$A2004)),"")</f>
        <v>45349</v>
      </c>
      <c r="C2004" s="49">
        <f>IF(A2004&lt;&gt;"",TIME(HOUR(TRANSACTIONS!$A2004),MINUTE(TRANSACTIONS!$A2004),SECOND(TRANSACTIONS!$A2004)),"")</f>
        <v>0.55443287037037037</v>
      </c>
      <c r="D2004" s="82" t="s">
        <v>62</v>
      </c>
      <c r="E2004" s="82" t="s">
        <v>7</v>
      </c>
      <c r="F2004" s="94">
        <v>25000</v>
      </c>
      <c r="G2004" s="46"/>
      <c r="H2004" s="46">
        <f>IFERROR(TRANSACTIONS!$F2004+TRANSACTIONS!$G2004,"")</f>
        <v>25000</v>
      </c>
      <c r="I2004" s="57" t="s">
        <v>41</v>
      </c>
    </row>
    <row r="2005" spans="1:10" x14ac:dyDescent="0.25">
      <c r="A2005" s="41">
        <v>45349.554437037033</v>
      </c>
      <c r="B2005" s="48">
        <f>IF(A2005&lt;&gt;"",DATE(YEAR(TRANSACTIONS!$A2005),MONTH(TRANSACTIONS!$A2005),DAY(TRANSACTIONS!$A2005)),"")</f>
        <v>45349</v>
      </c>
      <c r="C2005" s="49">
        <f>IF(A2005&lt;&gt;"",TIME(HOUR(TRANSACTIONS!$A2005),MINUTE(TRANSACTIONS!$A2005),SECOND(TRANSACTIONS!$A2005)),"")</f>
        <v>0.55443287037037037</v>
      </c>
      <c r="D2005" s="82" t="s">
        <v>62</v>
      </c>
      <c r="E2005" s="82" t="s">
        <v>7</v>
      </c>
      <c r="F2005" s="94">
        <v>5000</v>
      </c>
      <c r="G2005" s="46"/>
      <c r="H2005" s="46">
        <f>IFERROR(TRANSACTIONS!$F2005+TRANSACTIONS!$G2005,"")</f>
        <v>5000</v>
      </c>
      <c r="I2005" s="57" t="s">
        <v>41</v>
      </c>
    </row>
    <row r="2006" spans="1:10" x14ac:dyDescent="0.25">
      <c r="A2006" s="41">
        <v>45349.554456944446</v>
      </c>
      <c r="B2006" s="48">
        <f>IF(A2006&lt;&gt;"",DATE(YEAR(TRANSACTIONS!$A2006),MONTH(TRANSACTIONS!$A2006),DAY(TRANSACTIONS!$A2006)),"")</f>
        <v>45349</v>
      </c>
      <c r="C2006" s="49">
        <f>IF(A2006&lt;&gt;"",TIME(HOUR(TRANSACTIONS!$A2006),MINUTE(TRANSACTIONS!$A2006),SECOND(TRANSACTIONS!$A2006)),"")</f>
        <v>0.55445601851851845</v>
      </c>
      <c r="D2006" s="82" t="s">
        <v>62</v>
      </c>
      <c r="E2006" s="82" t="s">
        <v>7</v>
      </c>
      <c r="F2006" s="94">
        <v>5000</v>
      </c>
      <c r="G2006" s="46"/>
      <c r="H2006" s="46">
        <f>IFERROR(TRANSACTIONS!$F2006+TRANSACTIONS!$G2006,"")</f>
        <v>5000</v>
      </c>
      <c r="I2006" s="57" t="s">
        <v>41</v>
      </c>
    </row>
    <row r="2007" spans="1:10" x14ac:dyDescent="0.25">
      <c r="A2007" s="113">
        <v>45349.554470138886</v>
      </c>
      <c r="B2007" s="114">
        <f>IF(A2007&lt;&gt;"",DATE(YEAR(TRANSACTIONS!$A2007),MONTH(TRANSACTIONS!$A2007),DAY(TRANSACTIONS!$A2007)),"")</f>
        <v>45349</v>
      </c>
      <c r="C2007" s="115">
        <f>IF(A2007&lt;&gt;"",TIME(HOUR(TRANSACTIONS!$A2007),MINUTE(TRANSACTIONS!$A2007),SECOND(TRANSACTIONS!$A2007)),"")</f>
        <v>0.5544675925925926</v>
      </c>
      <c r="D2007" s="82" t="s">
        <v>62</v>
      </c>
      <c r="E2007" s="82" t="s">
        <v>6</v>
      </c>
      <c r="F2007" s="94">
        <v>5500</v>
      </c>
      <c r="G2007" s="117"/>
      <c r="H2007" s="117">
        <f>IFERROR(TRANSACTIONS!$F2007+TRANSACTIONS!$G2007,"")</f>
        <v>5500</v>
      </c>
      <c r="I2007" s="123" t="s">
        <v>41</v>
      </c>
      <c r="J2007" s="118"/>
    </row>
    <row r="2008" spans="1:10" x14ac:dyDescent="0.25">
      <c r="A2008" s="41">
        <v>45349.554478240738</v>
      </c>
      <c r="B2008" s="48">
        <f>IF(A2008&lt;&gt;"",DATE(YEAR(TRANSACTIONS!$A2008),MONTH(TRANSACTIONS!$A2008),DAY(TRANSACTIONS!$A2008)),"")</f>
        <v>45349</v>
      </c>
      <c r="C2008" s="49">
        <f>IF(A2008&lt;&gt;"",TIME(HOUR(TRANSACTIONS!$A2008),MINUTE(TRANSACTIONS!$A2008),SECOND(TRANSACTIONS!$A2008)),"")</f>
        <v>0.55447916666666663</v>
      </c>
      <c r="D2008" s="82" t="s">
        <v>62</v>
      </c>
      <c r="E2008" s="82" t="s">
        <v>6</v>
      </c>
      <c r="F2008" s="94">
        <v>17000</v>
      </c>
      <c r="G2008" s="46"/>
      <c r="H2008" s="46">
        <f>IFERROR(TRANSACTIONS!$F2008+TRANSACTIONS!$G2008,"")</f>
        <v>17000</v>
      </c>
      <c r="I2008" s="57" t="s">
        <v>41</v>
      </c>
    </row>
    <row r="2009" spans="1:10" x14ac:dyDescent="0.25">
      <c r="A2009" s="81">
        <v>45349.5546875</v>
      </c>
      <c r="B2009" s="83">
        <f>IF(A2009&lt;&gt;"",DATE(YEAR(TRANSACTIONS!$A2009),MONTH(TRANSACTIONS!$A2009),DAY(TRANSACTIONS!$A2009)),"")</f>
        <v>45349</v>
      </c>
      <c r="C2009" s="84">
        <f>IF(A2009&lt;&gt;"",TIME(HOUR(TRANSACTIONS!$A2009),MINUTE(TRANSACTIONS!$A2009),SECOND(TRANSACTIONS!$A2009)),"")</f>
        <v>0.5546875</v>
      </c>
      <c r="D2009" s="82" t="s">
        <v>62</v>
      </c>
      <c r="E2009" s="82" t="s">
        <v>7</v>
      </c>
      <c r="F2009" s="94">
        <v>500</v>
      </c>
      <c r="G2009" s="86"/>
      <c r="H2009" s="86">
        <f>IFERROR(TRANSACTIONS!$F2009+TRANSACTIONS!$G2009,"")</f>
        <v>500</v>
      </c>
      <c r="I2009" s="87" t="s">
        <v>41</v>
      </c>
    </row>
    <row r="2010" spans="1:10" x14ac:dyDescent="0.25">
      <c r="A2010" s="41">
        <v>45349.554696180552</v>
      </c>
      <c r="B2010" s="48">
        <f>IF(A2010&lt;&gt;"",DATE(YEAR(TRANSACTIONS!$A2010),MONTH(TRANSACTIONS!$A2010),DAY(TRANSACTIONS!$A2010)),"")</f>
        <v>45349</v>
      </c>
      <c r="C2010" s="49">
        <f>IF(A2010&lt;&gt;"",TIME(HOUR(TRANSACTIONS!$A2010),MINUTE(TRANSACTIONS!$A2010),SECOND(TRANSACTIONS!$A2010)),"")</f>
        <v>0.55469907407407404</v>
      </c>
      <c r="D2010" s="82" t="s">
        <v>25</v>
      </c>
      <c r="E2010" s="82" t="s">
        <v>6</v>
      </c>
      <c r="F2010" s="94">
        <v>15000</v>
      </c>
      <c r="G2010" s="46"/>
      <c r="H2010" s="46">
        <f>IFERROR(TRANSACTIONS!$F2010+TRANSACTIONS!$G2010,"")</f>
        <v>15000</v>
      </c>
      <c r="I2010" s="57" t="s">
        <v>41</v>
      </c>
    </row>
    <row r="2011" spans="1:10" x14ac:dyDescent="0.25">
      <c r="A2011" s="41">
        <v>45349.554704861112</v>
      </c>
      <c r="B2011" s="48">
        <f>IF(A2011&lt;&gt;"",DATE(YEAR(TRANSACTIONS!$A2011),MONTH(TRANSACTIONS!$A2011),DAY(TRANSACTIONS!$A2011)),"")</f>
        <v>45349</v>
      </c>
      <c r="C2011" s="49">
        <f>IF(A2011&lt;&gt;"",TIME(HOUR(TRANSACTIONS!$A2011),MINUTE(TRANSACTIONS!$A2011),SECOND(TRANSACTIONS!$A2011)),"")</f>
        <v>0.55469907407407404</v>
      </c>
      <c r="D2011" s="82" t="s">
        <v>25</v>
      </c>
      <c r="E2011" s="82" t="s">
        <v>7</v>
      </c>
      <c r="F2011" s="94">
        <v>2000</v>
      </c>
      <c r="G2011" s="46"/>
      <c r="H2011" s="46">
        <f>IFERROR(TRANSACTIONS!$F2011+TRANSACTIONS!$G2011,"")</f>
        <v>2000</v>
      </c>
      <c r="I2011" s="57" t="s">
        <v>41</v>
      </c>
    </row>
    <row r="2012" spans="1:10" x14ac:dyDescent="0.25">
      <c r="A2012" s="41">
        <v>45349.554713541664</v>
      </c>
      <c r="B2012" s="48">
        <f>IF(A2012&lt;&gt;"",DATE(YEAR(TRANSACTIONS!$A2012),MONTH(TRANSACTIONS!$A2012),DAY(TRANSACTIONS!$A2012)),"")</f>
        <v>45349</v>
      </c>
      <c r="C2012" s="49">
        <f>IF(A2012&lt;&gt;"",TIME(HOUR(TRANSACTIONS!$A2012),MINUTE(TRANSACTIONS!$A2012),SECOND(TRANSACTIONS!$A2012)),"")</f>
        <v>0.55471064814814819</v>
      </c>
      <c r="D2012" s="82" t="s">
        <v>25</v>
      </c>
      <c r="E2012" s="82" t="s">
        <v>6</v>
      </c>
      <c r="F2012" s="94">
        <v>2000</v>
      </c>
      <c r="G2012" s="46"/>
      <c r="H2012" s="46">
        <f>IFERROR(TRANSACTIONS!$F2012+TRANSACTIONS!$G2012,"")</f>
        <v>2000</v>
      </c>
      <c r="I2012" s="57" t="s">
        <v>41</v>
      </c>
    </row>
    <row r="2013" spans="1:10" x14ac:dyDescent="0.25">
      <c r="A2013" s="41">
        <v>45349.554739583335</v>
      </c>
      <c r="B2013" s="48">
        <f>IF(A2013&lt;&gt;"",DATE(YEAR(TRANSACTIONS!$A2013),MONTH(TRANSACTIONS!$A2013),DAY(TRANSACTIONS!$A2013)),"")</f>
        <v>45349</v>
      </c>
      <c r="C2013" s="49">
        <f>IF(A2013&lt;&gt;"",TIME(HOUR(TRANSACTIONS!$A2013),MINUTE(TRANSACTIONS!$A2013),SECOND(TRANSACTIONS!$A2013)),"")</f>
        <v>0.55473379629629627</v>
      </c>
      <c r="D2013" s="82" t="s">
        <v>25</v>
      </c>
      <c r="E2013" s="82" t="s">
        <v>7</v>
      </c>
      <c r="F2013" s="94">
        <v>3500</v>
      </c>
      <c r="G2013" s="46"/>
      <c r="H2013" s="46">
        <f>IFERROR(TRANSACTIONS!$F2013+TRANSACTIONS!$G2013,"")</f>
        <v>3500</v>
      </c>
      <c r="I2013" s="57" t="s">
        <v>41</v>
      </c>
    </row>
    <row r="2014" spans="1:10" x14ac:dyDescent="0.25">
      <c r="A2014" s="41">
        <v>45349.55474861111</v>
      </c>
      <c r="B2014" s="48">
        <f>IF(A2014&lt;&gt;"",DATE(YEAR(TRANSACTIONS!$A2014),MONTH(TRANSACTIONS!$A2014),DAY(TRANSACTIONS!$A2014)),"")</f>
        <v>45349</v>
      </c>
      <c r="C2014" s="49">
        <f>IF(A2014&lt;&gt;"",TIME(HOUR(TRANSACTIONS!$A2014),MINUTE(TRANSACTIONS!$A2014),SECOND(TRANSACTIONS!$A2014)),"")</f>
        <v>0.55474537037037031</v>
      </c>
      <c r="D2014" s="82" t="s">
        <v>25</v>
      </c>
      <c r="E2014" s="82" t="s">
        <v>7</v>
      </c>
      <c r="F2014" s="94">
        <v>5000</v>
      </c>
      <c r="G2014" s="46"/>
      <c r="H2014" s="46">
        <f>IFERROR(TRANSACTIONS!$F2014+TRANSACTIONS!$G2014,"")</f>
        <v>5000</v>
      </c>
      <c r="I2014" s="57" t="s">
        <v>41</v>
      </c>
    </row>
    <row r="2015" spans="1:10" x14ac:dyDescent="0.25">
      <c r="A2015" s="41">
        <v>45349.554756597223</v>
      </c>
      <c r="B2015" s="48">
        <f>IF(A2015&lt;&gt;"",DATE(YEAR(TRANSACTIONS!$A2015),MONTH(TRANSACTIONS!$A2015),DAY(TRANSACTIONS!$A2015)),"")</f>
        <v>45349</v>
      </c>
      <c r="C2015" s="49">
        <f>IF(A2015&lt;&gt;"",TIME(HOUR(TRANSACTIONS!$A2015),MINUTE(TRANSACTIONS!$A2015),SECOND(TRANSACTIONS!$A2015)),"")</f>
        <v>0.55475694444444446</v>
      </c>
      <c r="D2015" s="82" t="s">
        <v>25</v>
      </c>
      <c r="E2015" s="82" t="s">
        <v>7</v>
      </c>
      <c r="F2015" s="94">
        <v>11000</v>
      </c>
      <c r="G2015" s="46"/>
      <c r="H2015" s="46">
        <f>IFERROR(TRANSACTIONS!$F2015+TRANSACTIONS!$G2015,"")</f>
        <v>11000</v>
      </c>
      <c r="I2015" s="57" t="s">
        <v>41</v>
      </c>
    </row>
    <row r="2016" spans="1:10" x14ac:dyDescent="0.25">
      <c r="A2016" s="41">
        <v>45349.554780787039</v>
      </c>
      <c r="B2016" s="48">
        <f>IF(A2016&lt;&gt;"",DATE(YEAR(TRANSACTIONS!$A2016),MONTH(TRANSACTIONS!$A2016),DAY(TRANSACTIONS!$A2016)),"")</f>
        <v>45349</v>
      </c>
      <c r="C2016" s="49">
        <f>IF(A2016&lt;&gt;"",TIME(HOUR(TRANSACTIONS!$A2016),MINUTE(TRANSACTIONS!$A2016),SECOND(TRANSACTIONS!$A2016)),"")</f>
        <v>0.55478009259259264</v>
      </c>
      <c r="D2016" s="82" t="s">
        <v>25</v>
      </c>
      <c r="E2016" s="82" t="s">
        <v>6</v>
      </c>
      <c r="F2016" s="94">
        <v>500</v>
      </c>
      <c r="G2016" s="46"/>
      <c r="H2016" s="46">
        <f>IFERROR(TRANSACTIONS!$F2016+TRANSACTIONS!$G2016,"")</f>
        <v>500</v>
      </c>
      <c r="I2016" s="57" t="s">
        <v>41</v>
      </c>
    </row>
    <row r="2017" spans="1:9" x14ac:dyDescent="0.25">
      <c r="A2017" s="41">
        <v>45349.554790393522</v>
      </c>
      <c r="B2017" s="48">
        <f>IF(A2017&lt;&gt;"",DATE(YEAR(TRANSACTIONS!$A2017),MONTH(TRANSACTIONS!$A2017),DAY(TRANSACTIONS!$A2017)),"")</f>
        <v>45349</v>
      </c>
      <c r="C2017" s="49">
        <f>IF(A2017&lt;&gt;"",TIME(HOUR(TRANSACTIONS!$A2017),MINUTE(TRANSACTIONS!$A2017),SECOND(TRANSACTIONS!$A2017)),"")</f>
        <v>0.55479166666666668</v>
      </c>
      <c r="D2017" s="82" t="s">
        <v>62</v>
      </c>
      <c r="E2017" s="82" t="s">
        <v>7</v>
      </c>
      <c r="F2017" s="94">
        <v>5000</v>
      </c>
      <c r="G2017" s="46"/>
      <c r="H2017" s="46">
        <f>IFERROR(TRANSACTIONS!$F2017+TRANSACTIONS!$G2017,"")</f>
        <v>5000</v>
      </c>
      <c r="I2017" s="57" t="s">
        <v>41</v>
      </c>
    </row>
    <row r="2018" spans="1:9" x14ac:dyDescent="0.25">
      <c r="A2018" s="41">
        <v>45349.554807986111</v>
      </c>
      <c r="B2018" s="48">
        <f>IF(A2018&lt;&gt;"",DATE(YEAR(TRANSACTIONS!$A2018),MONTH(TRANSACTIONS!$A2018),DAY(TRANSACTIONS!$A2018)),"")</f>
        <v>45349</v>
      </c>
      <c r="C2018" s="49">
        <f>IF(A2018&lt;&gt;"",TIME(HOUR(TRANSACTIONS!$A2018),MINUTE(TRANSACTIONS!$A2018),SECOND(TRANSACTIONS!$A2018)),"")</f>
        <v>0.55480324074074072</v>
      </c>
      <c r="D2018" s="82" t="s">
        <v>62</v>
      </c>
      <c r="E2018" s="82" t="s">
        <v>6</v>
      </c>
      <c r="F2018" s="94">
        <v>3000</v>
      </c>
      <c r="G2018" s="46"/>
      <c r="H2018" s="46">
        <f>IFERROR(TRANSACTIONS!$F2018+TRANSACTIONS!$G2018,"")</f>
        <v>3000</v>
      </c>
      <c r="I2018" s="57" t="s">
        <v>41</v>
      </c>
    </row>
    <row r="2019" spans="1:9" x14ac:dyDescent="0.25">
      <c r="A2019" s="41">
        <v>45349.554815740739</v>
      </c>
      <c r="B2019" s="48">
        <f>IF(A2019&lt;&gt;"",DATE(YEAR(TRANSACTIONS!$A2019),MONTH(TRANSACTIONS!$A2019),DAY(TRANSACTIONS!$A2019)),"")</f>
        <v>45349</v>
      </c>
      <c r="C2019" s="49">
        <f>IF(A2019&lt;&gt;"",TIME(HOUR(TRANSACTIONS!$A2019),MINUTE(TRANSACTIONS!$A2019),SECOND(TRANSACTIONS!$A2019)),"")</f>
        <v>0.55481481481481476</v>
      </c>
      <c r="D2019" s="82" t="s">
        <v>62</v>
      </c>
      <c r="E2019" s="82" t="s">
        <v>6</v>
      </c>
      <c r="F2019" s="94">
        <v>3000</v>
      </c>
      <c r="G2019" s="46"/>
      <c r="H2019" s="46">
        <f>IFERROR(TRANSACTIONS!$F2019+TRANSACTIONS!$G2019,"")</f>
        <v>3000</v>
      </c>
      <c r="I2019" s="57" t="s">
        <v>41</v>
      </c>
    </row>
    <row r="2020" spans="1:9" x14ac:dyDescent="0.25">
      <c r="A2020" s="41">
        <v>45349.55482326389</v>
      </c>
      <c r="B2020" s="48">
        <f>IF(A2020&lt;&gt;"",DATE(YEAR(TRANSACTIONS!$A2020),MONTH(TRANSACTIONS!$A2020),DAY(TRANSACTIONS!$A2020)),"")</f>
        <v>45349</v>
      </c>
      <c r="C2020" s="49">
        <f>IF(A2020&lt;&gt;"",TIME(HOUR(TRANSACTIONS!$A2020),MINUTE(TRANSACTIONS!$A2020),SECOND(TRANSACTIONS!$A2020)),"")</f>
        <v>0.55482638888888891</v>
      </c>
      <c r="D2020" s="82" t="s">
        <v>62</v>
      </c>
      <c r="E2020" s="82" t="s">
        <v>7</v>
      </c>
      <c r="F2020" s="94">
        <v>3000</v>
      </c>
      <c r="G2020" s="46"/>
      <c r="H2020" s="46">
        <f>IFERROR(TRANSACTIONS!$F2020+TRANSACTIONS!$G2020,"")</f>
        <v>3000</v>
      </c>
      <c r="I2020" s="57" t="s">
        <v>41</v>
      </c>
    </row>
    <row r="2021" spans="1:9" x14ac:dyDescent="0.25">
      <c r="A2021" s="41">
        <v>45349.554840625002</v>
      </c>
      <c r="B2021" s="48">
        <f>IF(A2021&lt;&gt;"",DATE(YEAR(TRANSACTIONS!$A2021),MONTH(TRANSACTIONS!$A2021),DAY(TRANSACTIONS!$A2021)),"")</f>
        <v>45349</v>
      </c>
      <c r="C2021" s="49">
        <f>IF(A2021&lt;&gt;"",TIME(HOUR(TRANSACTIONS!$A2021),MINUTE(TRANSACTIONS!$A2021),SECOND(TRANSACTIONS!$A2021)),"")</f>
        <v>0.55483796296296295</v>
      </c>
      <c r="D2021" s="82" t="s">
        <v>62</v>
      </c>
      <c r="E2021" s="82" t="s">
        <v>7</v>
      </c>
      <c r="F2021" s="94">
        <v>2000</v>
      </c>
      <c r="G2021" s="46"/>
      <c r="H2021" s="46">
        <f>IFERROR(TRANSACTIONS!$F2021+TRANSACTIONS!$G2021,"")</f>
        <v>2000</v>
      </c>
      <c r="I2021" s="57" t="s">
        <v>41</v>
      </c>
    </row>
    <row r="2022" spans="1:9" x14ac:dyDescent="0.25">
      <c r="A2022" s="41">
        <v>45349.554851504632</v>
      </c>
      <c r="B2022" s="48">
        <f>IF(A2022&lt;&gt;"",DATE(YEAR(TRANSACTIONS!$A2022),MONTH(TRANSACTIONS!$A2022),DAY(TRANSACTIONS!$A2022)),"")</f>
        <v>45349</v>
      </c>
      <c r="C2022" s="49">
        <f>IF(A2022&lt;&gt;"",TIME(HOUR(TRANSACTIONS!$A2022),MINUTE(TRANSACTIONS!$A2022),SECOND(TRANSACTIONS!$A2022)),"")</f>
        <v>0.5548495370370371</v>
      </c>
      <c r="D2022" s="82" t="s">
        <v>62</v>
      </c>
      <c r="E2022" s="82" t="s">
        <v>7</v>
      </c>
      <c r="F2022" s="94">
        <v>5000</v>
      </c>
      <c r="G2022" s="46"/>
      <c r="H2022" s="46">
        <f>IFERROR(TRANSACTIONS!$F2022+TRANSACTIONS!$G2022,"")</f>
        <v>5000</v>
      </c>
      <c r="I2022" s="57" t="s">
        <v>41</v>
      </c>
    </row>
    <row r="2023" spans="1:9" x14ac:dyDescent="0.25">
      <c r="A2023" s="41">
        <v>45349.554859953707</v>
      </c>
      <c r="B2023" s="48">
        <f>IF(A2023&lt;&gt;"",DATE(YEAR(TRANSACTIONS!$A2023),MONTH(TRANSACTIONS!$A2023),DAY(TRANSACTIONS!$A2023)),"")</f>
        <v>45349</v>
      </c>
      <c r="C2023" s="49">
        <f>IF(A2023&lt;&gt;"",TIME(HOUR(TRANSACTIONS!$A2023),MINUTE(TRANSACTIONS!$A2023),SECOND(TRANSACTIONS!$A2023)),"")</f>
        <v>0.55486111111111114</v>
      </c>
      <c r="D2023" s="82" t="s">
        <v>62</v>
      </c>
      <c r="E2023" s="82" t="s">
        <v>7</v>
      </c>
      <c r="F2023" s="94">
        <v>1000</v>
      </c>
      <c r="G2023" s="46"/>
      <c r="H2023" s="46">
        <f>IFERROR(TRANSACTIONS!$F2023+TRANSACTIONS!$G2023,"")</f>
        <v>1000</v>
      </c>
      <c r="I2023" s="57" t="s">
        <v>41</v>
      </c>
    </row>
    <row r="2024" spans="1:9" x14ac:dyDescent="0.25">
      <c r="A2024" s="41">
        <v>45349.554871412038</v>
      </c>
      <c r="B2024" s="48">
        <f>IF(A2024&lt;&gt;"",DATE(YEAR(TRANSACTIONS!$A2024),MONTH(TRANSACTIONS!$A2024),DAY(TRANSACTIONS!$A2024)),"")</f>
        <v>45349</v>
      </c>
      <c r="C2024" s="49">
        <f>IF(A2024&lt;&gt;"",TIME(HOUR(TRANSACTIONS!$A2024),MINUTE(TRANSACTIONS!$A2024),SECOND(TRANSACTIONS!$A2024)),"")</f>
        <v>0.55487268518518518</v>
      </c>
      <c r="D2024" s="82" t="s">
        <v>62</v>
      </c>
      <c r="E2024" s="82" t="s">
        <v>7</v>
      </c>
      <c r="F2024" s="94">
        <v>15000</v>
      </c>
      <c r="G2024" s="46"/>
      <c r="H2024" s="46">
        <f>IFERROR(TRANSACTIONS!$F2024+TRANSACTIONS!$G2024,"")</f>
        <v>15000</v>
      </c>
      <c r="I2024" s="57" t="s">
        <v>41</v>
      </c>
    </row>
    <row r="2025" spans="1:9" x14ac:dyDescent="0.25">
      <c r="A2025" s="41">
        <v>45349.554879745374</v>
      </c>
      <c r="B2025" s="48">
        <f>IF(A2025&lt;&gt;"",DATE(YEAR(TRANSACTIONS!$A2025),MONTH(TRANSACTIONS!$A2025),DAY(TRANSACTIONS!$A2025)),"")</f>
        <v>45349</v>
      </c>
      <c r="C2025" s="49">
        <f>IF(A2025&lt;&gt;"",TIME(HOUR(TRANSACTIONS!$A2025),MINUTE(TRANSACTIONS!$A2025),SECOND(TRANSACTIONS!$A2025)),"")</f>
        <v>0.55488425925925922</v>
      </c>
      <c r="D2025" s="82" t="s">
        <v>62</v>
      </c>
      <c r="E2025" s="82" t="s">
        <v>7</v>
      </c>
      <c r="F2025" s="94">
        <v>5000</v>
      </c>
      <c r="G2025" s="46"/>
      <c r="H2025" s="46">
        <f>IFERROR(TRANSACTIONS!$F2025+TRANSACTIONS!$G2025,"")</f>
        <v>5000</v>
      </c>
      <c r="I2025" s="57" t="s">
        <v>41</v>
      </c>
    </row>
    <row r="2026" spans="1:9" x14ac:dyDescent="0.25">
      <c r="A2026" s="41">
        <v>45349.55489201389</v>
      </c>
      <c r="B2026" s="48">
        <f>IF(A2026&lt;&gt;"",DATE(YEAR(TRANSACTIONS!$A2026),MONTH(TRANSACTIONS!$A2026),DAY(TRANSACTIONS!$A2026)),"")</f>
        <v>45349</v>
      </c>
      <c r="C2026" s="49">
        <f>IF(A2026&lt;&gt;"",TIME(HOUR(TRANSACTIONS!$A2026),MINUTE(TRANSACTIONS!$A2026),SECOND(TRANSACTIONS!$A2026)),"")</f>
        <v>0.55489583333333337</v>
      </c>
      <c r="D2026" s="82" t="s">
        <v>62</v>
      </c>
      <c r="E2026" s="82" t="s">
        <v>7</v>
      </c>
      <c r="F2026" s="94">
        <v>10000</v>
      </c>
      <c r="G2026" s="46"/>
      <c r="H2026" s="46">
        <f>IFERROR(TRANSACTIONS!$F2026+TRANSACTIONS!$G2026,"")</f>
        <v>10000</v>
      </c>
      <c r="I2026" s="57" t="s">
        <v>41</v>
      </c>
    </row>
    <row r="2027" spans="1:9" x14ac:dyDescent="0.25">
      <c r="A2027" s="41">
        <v>45349.554914930559</v>
      </c>
      <c r="B2027" s="48">
        <f>IF(A2027&lt;&gt;"",DATE(YEAR(TRANSACTIONS!$A2027),MONTH(TRANSACTIONS!$A2027),DAY(TRANSACTIONS!$A2027)),"")</f>
        <v>45349</v>
      </c>
      <c r="C2027" s="49">
        <f>IF(A2027&lt;&gt;"",TIME(HOUR(TRANSACTIONS!$A2027),MINUTE(TRANSACTIONS!$A2027),SECOND(TRANSACTIONS!$A2027)),"")</f>
        <v>0.55491898148148155</v>
      </c>
      <c r="D2027" s="82" t="s">
        <v>62</v>
      </c>
      <c r="E2027" s="82" t="s">
        <v>6</v>
      </c>
      <c r="F2027" s="94">
        <v>100000</v>
      </c>
      <c r="G2027" s="46"/>
      <c r="H2027" s="46">
        <f>IFERROR(TRANSACTIONS!$F2027+TRANSACTIONS!$G2027,"")</f>
        <v>100000</v>
      </c>
      <c r="I2027" s="57" t="s">
        <v>41</v>
      </c>
    </row>
    <row r="2028" spans="1:9" x14ac:dyDescent="0.25">
      <c r="A2028" s="41">
        <v>45349.799523379632</v>
      </c>
      <c r="B2028" s="48">
        <f>IF(A2028&lt;&gt;"",DATE(YEAR(TRANSACTIONS!$A2028),MONTH(TRANSACTIONS!$A2028),DAY(TRANSACTIONS!$A2028)),"")</f>
        <v>45349</v>
      </c>
      <c r="C2028" s="49">
        <f>IF(A2028&lt;&gt;"",TIME(HOUR(TRANSACTIONS!$A2028),MINUTE(TRANSACTIONS!$A2028),SECOND(TRANSACTIONS!$A2028)),"")</f>
        <v>0.79952546296296301</v>
      </c>
      <c r="D2028" s="82" t="s">
        <v>62</v>
      </c>
      <c r="E2028" s="82" t="s">
        <v>6</v>
      </c>
      <c r="F2028" s="94">
        <v>2000</v>
      </c>
      <c r="G2028" s="46"/>
      <c r="H2028" s="46">
        <f>IFERROR(TRANSACTIONS!$F2028+TRANSACTIONS!$G2028,"")</f>
        <v>2000</v>
      </c>
      <c r="I2028" s="57" t="s">
        <v>41</v>
      </c>
    </row>
    <row r="2029" spans="1:9" x14ac:dyDescent="0.25">
      <c r="A2029" s="41">
        <v>45349.808678703703</v>
      </c>
      <c r="B2029" s="48">
        <f>IF(A2029&lt;&gt;"",DATE(YEAR(TRANSACTIONS!$A2029),MONTH(TRANSACTIONS!$A2029),DAY(TRANSACTIONS!$A2029)),"")</f>
        <v>45349</v>
      </c>
      <c r="C2029" s="49">
        <f>IF(A2029&lt;&gt;"",TIME(HOUR(TRANSACTIONS!$A2029),MINUTE(TRANSACTIONS!$A2029),SECOND(TRANSACTIONS!$A2029)),"")</f>
        <v>0.80868055555555562</v>
      </c>
      <c r="D2029" s="82" t="s">
        <v>62</v>
      </c>
      <c r="E2029" s="82" t="s">
        <v>7</v>
      </c>
      <c r="F2029" s="94">
        <v>5000</v>
      </c>
      <c r="G2029" s="46"/>
      <c r="H2029" s="46">
        <f>IFERROR(TRANSACTIONS!$F2029+TRANSACTIONS!$G2029,"")</f>
        <v>5000</v>
      </c>
      <c r="I2029" s="57" t="s">
        <v>41</v>
      </c>
    </row>
    <row r="2030" spans="1:9" x14ac:dyDescent="0.25">
      <c r="A2030" s="41">
        <v>45349.808686921293</v>
      </c>
      <c r="B2030" s="48">
        <f>IF(A2030&lt;&gt;"",DATE(YEAR(TRANSACTIONS!$A2030),MONTH(TRANSACTIONS!$A2030),DAY(TRANSACTIONS!$A2030)),"")</f>
        <v>45349</v>
      </c>
      <c r="C2030" s="49">
        <f>IF(A2030&lt;&gt;"",TIME(HOUR(TRANSACTIONS!$A2030),MINUTE(TRANSACTIONS!$A2030),SECOND(TRANSACTIONS!$A2030)),"")</f>
        <v>0.80869212962962955</v>
      </c>
      <c r="D2030" s="82" t="s">
        <v>62</v>
      </c>
      <c r="E2030" s="82" t="s">
        <v>6</v>
      </c>
      <c r="F2030" s="94">
        <v>2100</v>
      </c>
      <c r="G2030" s="46"/>
      <c r="H2030" s="46">
        <f>IFERROR(TRANSACTIONS!$F2030+TRANSACTIONS!$G2030,"")</f>
        <v>2100</v>
      </c>
      <c r="I2030" s="57" t="s">
        <v>41</v>
      </c>
    </row>
    <row r="2031" spans="1:9" x14ac:dyDescent="0.25">
      <c r="A2031" s="41">
        <v>45349.80871203704</v>
      </c>
      <c r="B2031" s="48">
        <f>IF(A2031&lt;&gt;"",DATE(YEAR(TRANSACTIONS!$A2031),MONTH(TRANSACTIONS!$A2031),DAY(TRANSACTIONS!$A2031)),"")</f>
        <v>45349</v>
      </c>
      <c r="C2031" s="49">
        <f>IF(A2031&lt;&gt;"",TIME(HOUR(TRANSACTIONS!$A2031),MINUTE(TRANSACTIONS!$A2031),SECOND(TRANSACTIONS!$A2031)),"")</f>
        <v>0.80871527777777785</v>
      </c>
      <c r="D2031" s="82" t="s">
        <v>62</v>
      </c>
      <c r="E2031" s="82" t="s">
        <v>7</v>
      </c>
      <c r="F2031" s="94">
        <v>15000</v>
      </c>
      <c r="G2031" s="46"/>
      <c r="H2031" s="46">
        <f>IFERROR(TRANSACTIONS!$F2031+TRANSACTIONS!$G2031,"")</f>
        <v>15000</v>
      </c>
      <c r="I2031" s="57" t="s">
        <v>41</v>
      </c>
    </row>
    <row r="2032" spans="1:9" x14ac:dyDescent="0.25">
      <c r="A2032" s="41">
        <v>45349.808694675929</v>
      </c>
      <c r="B2032" s="48">
        <f>IF(A2032&lt;&gt;"",DATE(YEAR(TRANSACTIONS!$A2032),MONTH(TRANSACTIONS!$A2032),DAY(TRANSACTIONS!$A2032)),"")</f>
        <v>45349</v>
      </c>
      <c r="C2032" s="49">
        <f>IF(A2032&lt;&gt;"",TIME(HOUR(TRANSACTIONS!$A2032),MINUTE(TRANSACTIONS!$A2032),SECOND(TRANSACTIONS!$A2032)),"")</f>
        <v>0.80869212962962955</v>
      </c>
      <c r="D2032" s="82" t="s">
        <v>62</v>
      </c>
      <c r="E2032" s="82" t="s">
        <v>6</v>
      </c>
      <c r="F2032" s="94">
        <v>13000</v>
      </c>
      <c r="G2032" s="46"/>
      <c r="H2032" s="46">
        <f>IFERROR(TRANSACTIONS!$F2032+TRANSACTIONS!$G2032,"")</f>
        <v>13000</v>
      </c>
      <c r="I2032" s="57" t="s">
        <v>41</v>
      </c>
    </row>
    <row r="2033" spans="1:11" x14ac:dyDescent="0.25">
      <c r="A2033" s="41">
        <v>45349.808703356481</v>
      </c>
      <c r="B2033" s="48">
        <f>IF(A2033&lt;&gt;"",DATE(YEAR(TRANSACTIONS!$A2033),MONTH(TRANSACTIONS!$A2033),DAY(TRANSACTIONS!$A2033)),"")</f>
        <v>45349</v>
      </c>
      <c r="C2033" s="49">
        <f>IF(A2033&lt;&gt;"",TIME(HOUR(TRANSACTIONS!$A2033),MINUTE(TRANSACTIONS!$A2033),SECOND(TRANSACTIONS!$A2033)),"")</f>
        <v>0.8087037037037037</v>
      </c>
      <c r="D2033" s="82" t="s">
        <v>62</v>
      </c>
      <c r="E2033" s="82" t="s">
        <v>7</v>
      </c>
      <c r="F2033" s="94">
        <v>5000</v>
      </c>
      <c r="G2033" s="46"/>
      <c r="H2033" s="46">
        <f>IFERROR(TRANSACTIONS!$F2033+TRANSACTIONS!$G2033,"")</f>
        <v>5000</v>
      </c>
      <c r="I2033" s="57" t="s">
        <v>41</v>
      </c>
    </row>
    <row r="2034" spans="1:11" x14ac:dyDescent="0.25">
      <c r="A2034" s="267">
        <v>45349.808724652779</v>
      </c>
      <c r="B2034" s="73">
        <f>IF(A2034&lt;&gt;"",DATE(YEAR(TRANSACTIONS!$A2034),MONTH(TRANSACTIONS!$A2034),DAY(TRANSACTIONS!$A2034)),"")</f>
        <v>45349</v>
      </c>
      <c r="C2034" s="74">
        <f>IF(A2034&lt;&gt;"",TIME(HOUR(TRANSACTIONS!$A2034),MINUTE(TRANSACTIONS!$A2034),SECOND(TRANSACTIONS!$A2034)),"")</f>
        <v>0.80872685185185178</v>
      </c>
      <c r="D2034" s="72" t="s">
        <v>62</v>
      </c>
      <c r="E2034" s="72" t="s">
        <v>6</v>
      </c>
      <c r="F2034" s="180">
        <v>2100</v>
      </c>
      <c r="G2034" s="75"/>
      <c r="H2034" s="75">
        <f>IFERROR(TRANSACTIONS!$F2034+TRANSACTIONS!$G2034,"")</f>
        <v>2100</v>
      </c>
      <c r="I2034" s="89" t="s">
        <v>41</v>
      </c>
    </row>
    <row r="2035" spans="1:11" x14ac:dyDescent="0.25">
      <c r="A2035" s="41">
        <v>45349.80873715278</v>
      </c>
      <c r="B2035" s="48">
        <f>IF(A2035&lt;&gt;"",DATE(YEAR(TRANSACTIONS!$A2035),MONTH(TRANSACTIONS!$A2035),DAY(TRANSACTIONS!$A2035)),"")</f>
        <v>45349</v>
      </c>
      <c r="C2035" s="49">
        <f>IF(A2035&lt;&gt;"",TIME(HOUR(TRANSACTIONS!$A2035),MINUTE(TRANSACTIONS!$A2035),SECOND(TRANSACTIONS!$A2035)),"")</f>
        <v>0.80873842592592593</v>
      </c>
      <c r="D2035" s="82" t="s">
        <v>62</v>
      </c>
      <c r="E2035" s="82" t="s">
        <v>7</v>
      </c>
      <c r="F2035" s="94">
        <v>3000</v>
      </c>
      <c r="G2035" s="46"/>
      <c r="H2035" s="46">
        <f>IFERROR(TRANSACTIONS!$F2035+TRANSACTIONS!$G2035,"")</f>
        <v>3000</v>
      </c>
      <c r="I2035" s="57" t="s">
        <v>41</v>
      </c>
    </row>
    <row r="2036" spans="1:11" x14ac:dyDescent="0.25">
      <c r="A2036" s="41">
        <v>45349.808745949071</v>
      </c>
      <c r="B2036" s="48">
        <f>IF(A2036&lt;&gt;"",DATE(YEAR(TRANSACTIONS!$A2036),MONTH(TRANSACTIONS!$A2036),DAY(TRANSACTIONS!$A2036)),"")</f>
        <v>45349</v>
      </c>
      <c r="C2036" s="49">
        <f>IF(A2036&lt;&gt;"",TIME(HOUR(TRANSACTIONS!$A2036),MINUTE(TRANSACTIONS!$A2036),SECOND(TRANSACTIONS!$A2036)),"")</f>
        <v>0.80874999999999997</v>
      </c>
      <c r="D2036" s="82" t="s">
        <v>62</v>
      </c>
      <c r="E2036" s="82" t="s">
        <v>6</v>
      </c>
      <c r="F2036" s="94">
        <v>20000</v>
      </c>
      <c r="G2036" s="46"/>
      <c r="H2036" s="46">
        <f>IFERROR(TRANSACTIONS!$F2036+TRANSACTIONS!$G2036,"")</f>
        <v>20000</v>
      </c>
      <c r="I2036" s="57" t="s">
        <v>41</v>
      </c>
    </row>
    <row r="2037" spans="1:11" x14ac:dyDescent="0.25">
      <c r="A2037" s="41">
        <v>45349.808753935184</v>
      </c>
      <c r="B2037" s="48">
        <f>IF(A2037&lt;&gt;"",DATE(YEAR(TRANSACTIONS!$A2037),MONTH(TRANSACTIONS!$A2037),DAY(TRANSACTIONS!$A2037)),"")</f>
        <v>45349</v>
      </c>
      <c r="C2037" s="49">
        <f>IF(A2037&lt;&gt;"",TIME(HOUR(TRANSACTIONS!$A2037),MINUTE(TRANSACTIONS!$A2037),SECOND(TRANSACTIONS!$A2037)),"")</f>
        <v>0.80874999999999997</v>
      </c>
      <c r="D2037" s="82" t="s">
        <v>62</v>
      </c>
      <c r="E2037" s="82" t="s">
        <v>7</v>
      </c>
      <c r="F2037" s="94">
        <v>2000</v>
      </c>
      <c r="G2037" s="46"/>
      <c r="H2037" s="46">
        <f>IFERROR(TRANSACTIONS!$F2037+TRANSACTIONS!$G2037,"")</f>
        <v>2000</v>
      </c>
      <c r="I2037" s="57" t="s">
        <v>41</v>
      </c>
    </row>
    <row r="2038" spans="1:11" x14ac:dyDescent="0.25">
      <c r="A2038" s="41">
        <v>45349.808793750002</v>
      </c>
      <c r="B2038" s="48">
        <f>IF(A2038&lt;&gt;"",DATE(YEAR(TRANSACTIONS!$A2038),MONTH(TRANSACTIONS!$A2038),DAY(TRANSACTIONS!$A2038)),"")</f>
        <v>45349</v>
      </c>
      <c r="C2038" s="49">
        <f>IF(A2038&lt;&gt;"",TIME(HOUR(TRANSACTIONS!$A2038),MINUTE(TRANSACTIONS!$A2038),SECOND(TRANSACTIONS!$A2038)),"")</f>
        <v>0.80879629629629635</v>
      </c>
      <c r="D2038" s="82" t="s">
        <v>62</v>
      </c>
      <c r="E2038" s="82" t="s">
        <v>7</v>
      </c>
      <c r="F2038" s="94">
        <v>20000</v>
      </c>
      <c r="G2038" s="46"/>
      <c r="H2038" s="46">
        <f>IFERROR(TRANSACTIONS!$F2038+TRANSACTIONS!$G2038,"")</f>
        <v>20000</v>
      </c>
      <c r="I2038" s="57" t="s">
        <v>41</v>
      </c>
    </row>
    <row r="2039" spans="1:11" x14ac:dyDescent="0.25">
      <c r="A2039" s="41">
        <v>45349.808762615743</v>
      </c>
      <c r="B2039" s="48">
        <f>IF(A2039&lt;&gt;"",DATE(YEAR(TRANSACTIONS!$A2039),MONTH(TRANSACTIONS!$A2039),DAY(TRANSACTIONS!$A2039)),"")</f>
        <v>45349</v>
      </c>
      <c r="C2039" s="49">
        <f>IF(A2039&lt;&gt;"",TIME(HOUR(TRANSACTIONS!$A2039),MINUTE(TRANSACTIONS!$A2039),SECOND(TRANSACTIONS!$A2039)),"")</f>
        <v>0.80876157407407412</v>
      </c>
      <c r="D2039" s="82" t="s">
        <v>62</v>
      </c>
      <c r="E2039" s="82" t="s">
        <v>6</v>
      </c>
      <c r="F2039" s="94">
        <v>1500</v>
      </c>
      <c r="G2039" s="46"/>
      <c r="H2039" s="46">
        <f>IFERROR(TRANSACTIONS!$F2039+TRANSACTIONS!$G2039,"")</f>
        <v>1500</v>
      </c>
      <c r="I2039" s="57" t="s">
        <v>41</v>
      </c>
    </row>
    <row r="2040" spans="1:11" x14ac:dyDescent="0.25">
      <c r="A2040" s="113">
        <v>45349.808860763886</v>
      </c>
      <c r="B2040" s="114">
        <f>IF(A2040&lt;&gt;"",DATE(YEAR(TRANSACTIONS!$A2040),MONTH(TRANSACTIONS!$A2040),DAY(TRANSACTIONS!$A2040)),"")</f>
        <v>45349</v>
      </c>
      <c r="C2040" s="115">
        <f>IF(A2040&lt;&gt;"",TIME(HOUR(TRANSACTIONS!$A2040),MINUTE(TRANSACTIONS!$A2040),SECOND(TRANSACTIONS!$A2040)),"")</f>
        <v>0.80886574074074069</v>
      </c>
      <c r="D2040" s="116" t="s">
        <v>62</v>
      </c>
      <c r="E2040" s="116" t="s">
        <v>7</v>
      </c>
      <c r="F2040" s="185">
        <v>2300</v>
      </c>
      <c r="G2040" s="117"/>
      <c r="H2040" s="117">
        <f>IFERROR(TRANSACTIONS!$F2040+TRANSACTIONS!$G2040,"")</f>
        <v>2300</v>
      </c>
      <c r="I2040" s="123" t="s">
        <v>41</v>
      </c>
    </row>
    <row r="2041" spans="1:11" x14ac:dyDescent="0.25">
      <c r="A2041" s="41">
        <v>45349.808883449077</v>
      </c>
      <c r="B2041" s="48">
        <f>IF(A2041&lt;&gt;"",DATE(YEAR(TRANSACTIONS!$A2041),MONTH(TRANSACTIONS!$A2041),DAY(TRANSACTIONS!$A2041)),"")</f>
        <v>45349</v>
      </c>
      <c r="C2041" s="49">
        <f>IF(A2041&lt;&gt;"",TIME(HOUR(TRANSACTIONS!$A2041),MINUTE(TRANSACTIONS!$A2041),SECOND(TRANSACTIONS!$A2041)),"")</f>
        <v>0.80888888888888888</v>
      </c>
      <c r="D2041" s="82" t="s">
        <v>62</v>
      </c>
      <c r="E2041" s="82" t="s">
        <v>7</v>
      </c>
      <c r="F2041" s="94">
        <v>15000</v>
      </c>
      <c r="G2041" s="46"/>
      <c r="H2041" s="46">
        <f>IFERROR(TRANSACTIONS!$F2041+TRANSACTIONS!$G2041,"")</f>
        <v>15000</v>
      </c>
      <c r="I2041" s="57" t="s">
        <v>41</v>
      </c>
    </row>
    <row r="2042" spans="1:11" x14ac:dyDescent="0.25">
      <c r="A2042" s="41">
        <v>45349.808911921296</v>
      </c>
      <c r="B2042" s="48">
        <f>IF(A2042&lt;&gt;"",DATE(YEAR(TRANSACTIONS!$A2042),MONTH(TRANSACTIONS!$A2042),DAY(TRANSACTIONS!$A2042)),"")</f>
        <v>45349</v>
      </c>
      <c r="C2042" s="49">
        <f>IF(A2042&lt;&gt;"",TIME(HOUR(TRANSACTIONS!$A2042),MINUTE(TRANSACTIONS!$A2042),SECOND(TRANSACTIONS!$A2042)),"")</f>
        <v>0.80891203703703696</v>
      </c>
      <c r="D2042" s="82" t="s">
        <v>62</v>
      </c>
      <c r="E2042" s="82" t="s">
        <v>6</v>
      </c>
      <c r="F2042" s="94">
        <v>17500</v>
      </c>
      <c r="G2042" s="46"/>
      <c r="H2042" s="46">
        <f>IFERROR(TRANSACTIONS!$F2042+TRANSACTIONS!$G2042,"")</f>
        <v>17500</v>
      </c>
      <c r="I2042" s="57" t="s">
        <v>41</v>
      </c>
    </row>
    <row r="2043" spans="1:11" x14ac:dyDescent="0.25">
      <c r="A2043" s="41">
        <v>45349.808924189812</v>
      </c>
      <c r="B2043" s="48">
        <f>IF(A2043&lt;&gt;"",DATE(YEAR(TRANSACTIONS!$A2043),MONTH(TRANSACTIONS!$A2043),DAY(TRANSACTIONS!$A2043)),"")</f>
        <v>45349</v>
      </c>
      <c r="C2043" s="49">
        <f>IF(A2043&lt;&gt;"",TIME(HOUR(TRANSACTIONS!$A2043),MINUTE(TRANSACTIONS!$A2043),SECOND(TRANSACTIONS!$A2043)),"")</f>
        <v>0.80892361111111111</v>
      </c>
      <c r="D2043" s="82" t="s">
        <v>62</v>
      </c>
      <c r="E2043" s="82" t="s">
        <v>7</v>
      </c>
      <c r="F2043" s="94">
        <v>10000</v>
      </c>
      <c r="G2043" s="46"/>
      <c r="H2043" s="46">
        <f>IFERROR(TRANSACTIONS!$F2043+TRANSACTIONS!$G2043,"")</f>
        <v>10000</v>
      </c>
      <c r="I2043" s="57" t="s">
        <v>41</v>
      </c>
    </row>
    <row r="2044" spans="1:11" x14ac:dyDescent="0.25">
      <c r="A2044" s="81">
        <v>45349.808940277777</v>
      </c>
      <c r="B2044" s="83">
        <f>IF(A2044&lt;&gt;"",DATE(YEAR(TRANSACTIONS!$A2044),MONTH(TRANSACTIONS!$A2044),DAY(TRANSACTIONS!$A2044)),"")</f>
        <v>45349</v>
      </c>
      <c r="C2044" s="84">
        <f>IF(A2044&lt;&gt;"",TIME(HOUR(TRANSACTIONS!$A2044),MINUTE(TRANSACTIONS!$A2044),SECOND(TRANSACTIONS!$A2044)),"")</f>
        <v>0.80893518518518526</v>
      </c>
      <c r="D2044" s="82" t="s">
        <v>62</v>
      </c>
      <c r="E2044" s="82" t="s">
        <v>7</v>
      </c>
      <c r="F2044" s="94">
        <v>5000</v>
      </c>
      <c r="G2044" s="86"/>
      <c r="H2044" s="86">
        <f>IFERROR(TRANSACTIONS!$F2044+TRANSACTIONS!$G2044,"")</f>
        <v>5000</v>
      </c>
      <c r="I2044" s="87" t="s">
        <v>41</v>
      </c>
      <c r="J2044" s="118"/>
      <c r="K2044" s="118"/>
    </row>
    <row r="2045" spans="1:11" x14ac:dyDescent="0.25">
      <c r="A2045" s="41">
        <v>45349.808949074075</v>
      </c>
      <c r="B2045" s="48">
        <f>IF(A2045&lt;&gt;"",DATE(YEAR(TRANSACTIONS!$A2045),MONTH(TRANSACTIONS!$A2045),DAY(TRANSACTIONS!$A2045)),"")</f>
        <v>45349</v>
      </c>
      <c r="C2045" s="49">
        <f>IF(A2045&lt;&gt;"",TIME(HOUR(TRANSACTIONS!$A2045),MINUTE(TRANSACTIONS!$A2045),SECOND(TRANSACTIONS!$A2045)),"")</f>
        <v>0.8089467592592593</v>
      </c>
      <c r="D2045" s="82" t="s">
        <v>62</v>
      </c>
      <c r="E2045" s="82" t="s">
        <v>7</v>
      </c>
      <c r="F2045" s="94">
        <v>5000</v>
      </c>
      <c r="G2045" s="46"/>
      <c r="H2045" s="46">
        <f>IFERROR(TRANSACTIONS!$F2045+TRANSACTIONS!$G2045,"")</f>
        <v>5000</v>
      </c>
      <c r="I2045" s="57" t="s">
        <v>41</v>
      </c>
    </row>
    <row r="2046" spans="1:11" x14ac:dyDescent="0.25">
      <c r="A2046" s="41">
        <v>45349.809008101853</v>
      </c>
      <c r="B2046" s="48">
        <f>IF(A2046&lt;&gt;"",DATE(YEAR(TRANSACTIONS!$A2046),MONTH(TRANSACTIONS!$A2046),DAY(TRANSACTIONS!$A2046)),"")</f>
        <v>45349</v>
      </c>
      <c r="C2046" s="49">
        <f>IF(A2046&lt;&gt;"",TIME(HOUR(TRANSACTIONS!$A2046),MINUTE(TRANSACTIONS!$A2046),SECOND(TRANSACTIONS!$A2046)),"")</f>
        <v>0.8090046296296296</v>
      </c>
      <c r="D2046" s="82" t="s">
        <v>62</v>
      </c>
      <c r="E2046" s="82" t="s">
        <v>7</v>
      </c>
      <c r="F2046" s="94">
        <v>1000</v>
      </c>
      <c r="G2046" s="46"/>
      <c r="H2046" s="46">
        <f>IFERROR(TRANSACTIONS!$F2046+TRANSACTIONS!$G2046,"")</f>
        <v>1000</v>
      </c>
      <c r="I2046" s="57" t="s">
        <v>41</v>
      </c>
    </row>
    <row r="2047" spans="1:11" x14ac:dyDescent="0.25">
      <c r="A2047" s="41">
        <v>45349.809017245374</v>
      </c>
      <c r="B2047" s="48">
        <f>IF(A2047&lt;&gt;"",DATE(YEAR(TRANSACTIONS!$A2047),MONTH(TRANSACTIONS!$A2047),DAY(TRANSACTIONS!$A2047)),"")</f>
        <v>45349</v>
      </c>
      <c r="C2047" s="49">
        <f>IF(A2047&lt;&gt;"",TIME(HOUR(TRANSACTIONS!$A2047),MINUTE(TRANSACTIONS!$A2047),SECOND(TRANSACTIONS!$A2047)),"")</f>
        <v>0.80901620370370375</v>
      </c>
      <c r="D2047" s="82" t="s">
        <v>62</v>
      </c>
      <c r="E2047" s="82" t="s">
        <v>7</v>
      </c>
      <c r="F2047" s="94">
        <v>1000</v>
      </c>
      <c r="G2047" s="46"/>
      <c r="H2047" s="46">
        <f>IFERROR(TRANSACTIONS!$F2047+TRANSACTIONS!$G2047,"")</f>
        <v>1000</v>
      </c>
      <c r="I2047" s="57" t="s">
        <v>41</v>
      </c>
    </row>
    <row r="2048" spans="1:11" x14ac:dyDescent="0.25">
      <c r="A2048" s="41">
        <v>45349.80904699074</v>
      </c>
      <c r="B2048" s="48">
        <f>IF(A2048&lt;&gt;"",DATE(YEAR(TRANSACTIONS!$A2048),MONTH(TRANSACTIONS!$A2048),DAY(TRANSACTIONS!$A2048)),"")</f>
        <v>45349</v>
      </c>
      <c r="C2048" s="49">
        <f>IF(A2048&lt;&gt;"",TIME(HOUR(TRANSACTIONS!$A2048),MINUTE(TRANSACTIONS!$A2048),SECOND(TRANSACTIONS!$A2048)),"")</f>
        <v>0.80905092592592587</v>
      </c>
      <c r="D2048" s="82" t="s">
        <v>62</v>
      </c>
      <c r="E2048" s="82" t="s">
        <v>6</v>
      </c>
      <c r="F2048" s="94">
        <v>3000</v>
      </c>
      <c r="G2048" s="46"/>
      <c r="H2048" s="46">
        <f>IFERROR(TRANSACTIONS!$F2048+TRANSACTIONS!$G2048,"")</f>
        <v>3000</v>
      </c>
      <c r="I2048" s="57" t="s">
        <v>41</v>
      </c>
    </row>
    <row r="2049" spans="1:9" x14ac:dyDescent="0.25">
      <c r="A2049" s="41">
        <v>45349.809059259256</v>
      </c>
      <c r="B2049" s="48">
        <f>IF(A2049&lt;&gt;"",DATE(YEAR(TRANSACTIONS!$A2049),MONTH(TRANSACTIONS!$A2049),DAY(TRANSACTIONS!$A2049)),"")</f>
        <v>45349</v>
      </c>
      <c r="C2049" s="49">
        <f>IF(A2049&lt;&gt;"",TIME(HOUR(TRANSACTIONS!$A2049),MINUTE(TRANSACTIONS!$A2049),SECOND(TRANSACTIONS!$A2049)),"")</f>
        <v>0.80906250000000002</v>
      </c>
      <c r="D2049" s="82" t="s">
        <v>62</v>
      </c>
      <c r="E2049" s="82" t="s">
        <v>6</v>
      </c>
      <c r="F2049" s="94">
        <v>150000</v>
      </c>
      <c r="G2049" s="46"/>
      <c r="H2049" s="46">
        <f>IFERROR(TRANSACTIONS!$F2049+TRANSACTIONS!$G2049,"")</f>
        <v>150000</v>
      </c>
      <c r="I2049" s="57" t="s">
        <v>41</v>
      </c>
    </row>
    <row r="2050" spans="1:9" x14ac:dyDescent="0.25">
      <c r="A2050" s="41">
        <v>45349.809067592592</v>
      </c>
      <c r="B2050" s="48">
        <f>IF(A2050&lt;&gt;"",DATE(YEAR(TRANSACTIONS!$A2050),MONTH(TRANSACTIONS!$A2050),DAY(TRANSACTIONS!$A2050)),"")</f>
        <v>45349</v>
      </c>
      <c r="C2050" s="49">
        <f>IF(A2050&lt;&gt;"",TIME(HOUR(TRANSACTIONS!$A2050),MINUTE(TRANSACTIONS!$A2050),SECOND(TRANSACTIONS!$A2050)),"")</f>
        <v>0.80906250000000002</v>
      </c>
      <c r="D2050" s="82" t="s">
        <v>62</v>
      </c>
      <c r="E2050" s="82" t="s">
        <v>7</v>
      </c>
      <c r="F2050" s="94">
        <v>1000</v>
      </c>
      <c r="G2050" s="46"/>
      <c r="H2050" s="46">
        <f>IFERROR(TRANSACTIONS!$F2050+TRANSACTIONS!$G2050,"")</f>
        <v>1000</v>
      </c>
      <c r="I2050" s="57" t="s">
        <v>41</v>
      </c>
    </row>
    <row r="2051" spans="1:9" x14ac:dyDescent="0.25">
      <c r="A2051" s="41">
        <v>45349.809089814815</v>
      </c>
      <c r="B2051" s="48">
        <f>IF(A2051&lt;&gt;"",DATE(YEAR(TRANSACTIONS!$A2051),MONTH(TRANSACTIONS!$A2051),DAY(TRANSACTIONS!$A2051)),"")</f>
        <v>45349</v>
      </c>
      <c r="C2051" s="49">
        <f>IF(A2051&lt;&gt;"",TIME(HOUR(TRANSACTIONS!$A2051),MINUTE(TRANSACTIONS!$A2051),SECOND(TRANSACTIONS!$A2051)),"")</f>
        <v>0.8090856481481481</v>
      </c>
      <c r="D2051" s="82" t="s">
        <v>62</v>
      </c>
      <c r="E2051" s="82" t="s">
        <v>6</v>
      </c>
      <c r="F2051" s="94">
        <v>6000</v>
      </c>
      <c r="G2051" s="46"/>
      <c r="H2051" s="46">
        <f>IFERROR(TRANSACTIONS!$F2051+TRANSACTIONS!$G2051,"")</f>
        <v>6000</v>
      </c>
      <c r="I2051" s="57" t="s">
        <v>41</v>
      </c>
    </row>
    <row r="2052" spans="1:9" x14ac:dyDescent="0.25">
      <c r="A2052" s="41">
        <v>45349.809097337966</v>
      </c>
      <c r="B2052" s="48">
        <f>IF(A2052&lt;&gt;"",DATE(YEAR(TRANSACTIONS!$A2052),MONTH(TRANSACTIONS!$A2052),DAY(TRANSACTIONS!$A2052)),"")</f>
        <v>45349</v>
      </c>
      <c r="C2052" s="49">
        <f>IF(A2052&lt;&gt;"",TIME(HOUR(TRANSACTIONS!$A2052),MINUTE(TRANSACTIONS!$A2052),SECOND(TRANSACTIONS!$A2052)),"")</f>
        <v>0.80909722222222225</v>
      </c>
      <c r="D2052" s="82" t="s">
        <v>62</v>
      </c>
      <c r="E2052" s="82" t="s">
        <v>6</v>
      </c>
      <c r="F2052" s="94">
        <v>3500</v>
      </c>
      <c r="G2052" s="46"/>
      <c r="H2052" s="46">
        <f>IFERROR(TRANSACTIONS!$F2052+TRANSACTIONS!$G2052,"")</f>
        <v>3500</v>
      </c>
      <c r="I2052" s="57" t="s">
        <v>41</v>
      </c>
    </row>
    <row r="2053" spans="1:9" x14ac:dyDescent="0.25">
      <c r="A2053" s="41">
        <v>45349.809105555556</v>
      </c>
      <c r="B2053" s="48">
        <f>IF(A2053&lt;&gt;"",DATE(YEAR(TRANSACTIONS!$A2053),MONTH(TRANSACTIONS!$A2053),DAY(TRANSACTIONS!$A2053)),"")</f>
        <v>45349</v>
      </c>
      <c r="C2053" s="49">
        <f>IF(A2053&lt;&gt;"",TIME(HOUR(TRANSACTIONS!$A2053),MINUTE(TRANSACTIONS!$A2053),SECOND(TRANSACTIONS!$A2053)),"")</f>
        <v>0.80910879629629628</v>
      </c>
      <c r="D2053" s="82" t="s">
        <v>62</v>
      </c>
      <c r="E2053" s="82" t="s">
        <v>6</v>
      </c>
      <c r="F2053" s="94">
        <v>30000</v>
      </c>
      <c r="G2053" s="46"/>
      <c r="H2053" s="46">
        <f>IFERROR(TRANSACTIONS!$F2053+TRANSACTIONS!$G2053,"")</f>
        <v>30000</v>
      </c>
      <c r="I2053" s="57" t="s">
        <v>41</v>
      </c>
    </row>
    <row r="2054" spans="1:9" x14ac:dyDescent="0.25">
      <c r="A2054" s="41">
        <v>45349.809143634258</v>
      </c>
      <c r="B2054" s="48">
        <f>IF(A2054&lt;&gt;"",DATE(YEAR(TRANSACTIONS!$A2054),MONTH(TRANSACTIONS!$A2054),DAY(TRANSACTIONS!$A2054)),"")</f>
        <v>45349</v>
      </c>
      <c r="C2054" s="49">
        <f>IF(A2054&lt;&gt;"",TIME(HOUR(TRANSACTIONS!$A2054),MINUTE(TRANSACTIONS!$A2054),SECOND(TRANSACTIONS!$A2054)),"")</f>
        <v>0.80914351851851851</v>
      </c>
      <c r="D2054" s="82" t="s">
        <v>62</v>
      </c>
      <c r="E2054" s="82" t="s">
        <v>7</v>
      </c>
      <c r="F2054" s="94">
        <v>2000</v>
      </c>
      <c r="G2054" s="46"/>
      <c r="H2054" s="46">
        <f>IFERROR(TRANSACTIONS!$F2054+TRANSACTIONS!$G2054,"")</f>
        <v>2000</v>
      </c>
      <c r="I2054" s="57" t="s">
        <v>41</v>
      </c>
    </row>
    <row r="2055" spans="1:9" x14ac:dyDescent="0.25">
      <c r="A2055" s="41">
        <v>45349.809153009257</v>
      </c>
      <c r="B2055" s="48">
        <f>IF(A2055&lt;&gt;"",DATE(YEAR(TRANSACTIONS!$A2055),MONTH(TRANSACTIONS!$A2055),DAY(TRANSACTIONS!$A2055)),"")</f>
        <v>45349</v>
      </c>
      <c r="C2055" s="49">
        <f>IF(A2055&lt;&gt;"",TIME(HOUR(TRANSACTIONS!$A2055),MINUTE(TRANSACTIONS!$A2055),SECOND(TRANSACTIONS!$A2055)),"")</f>
        <v>0.80915509259259266</v>
      </c>
      <c r="D2055" s="82" t="s">
        <v>62</v>
      </c>
      <c r="E2055" s="82" t="s">
        <v>6</v>
      </c>
      <c r="F2055" s="94">
        <v>40000</v>
      </c>
      <c r="G2055" s="46"/>
      <c r="H2055" s="46">
        <f>IFERROR(TRANSACTIONS!$F2055+TRANSACTIONS!$G2055,"")</f>
        <v>40000</v>
      </c>
      <c r="I2055" s="57" t="s">
        <v>41</v>
      </c>
    </row>
    <row r="2056" spans="1:9" x14ac:dyDescent="0.25">
      <c r="A2056" s="41">
        <v>45349.80917025463</v>
      </c>
      <c r="B2056" s="48">
        <f>IF(A2056&lt;&gt;"",DATE(YEAR(TRANSACTIONS!$A2056),MONTH(TRANSACTIONS!$A2056),DAY(TRANSACTIONS!$A2056)),"")</f>
        <v>45349</v>
      </c>
      <c r="C2056" s="49">
        <f>IF(A2056&lt;&gt;"",TIME(HOUR(TRANSACTIONS!$A2056),MINUTE(TRANSACTIONS!$A2056),SECOND(TRANSACTIONS!$A2056)),"")</f>
        <v>0.8091666666666667</v>
      </c>
      <c r="D2056" s="82" t="s">
        <v>62</v>
      </c>
      <c r="E2056" s="82" t="s">
        <v>7</v>
      </c>
      <c r="F2056" s="94">
        <v>5000</v>
      </c>
      <c r="G2056" s="46"/>
      <c r="H2056" s="46">
        <f>IFERROR(TRANSACTIONS!$F2056+TRANSACTIONS!$G2056,"")</f>
        <v>5000</v>
      </c>
      <c r="I2056" s="57" t="s">
        <v>41</v>
      </c>
    </row>
    <row r="2057" spans="1:9" x14ac:dyDescent="0.25">
      <c r="A2057" s="41">
        <v>45349.809181828707</v>
      </c>
      <c r="B2057" s="48">
        <f>IF(A2057&lt;&gt;"",DATE(YEAR(TRANSACTIONS!$A2057),MONTH(TRANSACTIONS!$A2057),DAY(TRANSACTIONS!$A2057)),"")</f>
        <v>45349</v>
      </c>
      <c r="C2057" s="49">
        <f>IF(A2057&lt;&gt;"",TIME(HOUR(TRANSACTIONS!$A2057),MINUTE(TRANSACTIONS!$A2057),SECOND(TRANSACTIONS!$A2057)),"")</f>
        <v>0.80917824074074074</v>
      </c>
      <c r="D2057" s="82" t="s">
        <v>62</v>
      </c>
      <c r="E2057" s="82" t="s">
        <v>7</v>
      </c>
      <c r="F2057" s="94">
        <v>500</v>
      </c>
      <c r="G2057" s="46"/>
      <c r="H2057" s="46">
        <f>IFERROR(TRANSACTIONS!$F2057+TRANSACTIONS!$G2057,"")</f>
        <v>500</v>
      </c>
      <c r="I2057" s="57" t="s">
        <v>41</v>
      </c>
    </row>
    <row r="2058" spans="1:9" x14ac:dyDescent="0.25">
      <c r="A2058" s="41">
        <v>45349.809191782406</v>
      </c>
      <c r="B2058" s="48">
        <f>IF(A2058&lt;&gt;"",DATE(YEAR(TRANSACTIONS!$A2058),MONTH(TRANSACTIONS!$A2058),DAY(TRANSACTIONS!$A2058)),"")</f>
        <v>45349</v>
      </c>
      <c r="C2058" s="49">
        <f>IF(A2058&lt;&gt;"",TIME(HOUR(TRANSACTIONS!$A2058),MINUTE(TRANSACTIONS!$A2058),SECOND(TRANSACTIONS!$A2058)),"")</f>
        <v>0.80918981481481478</v>
      </c>
      <c r="D2058" s="82" t="s">
        <v>62</v>
      </c>
      <c r="E2058" s="82" t="s">
        <v>6</v>
      </c>
      <c r="F2058" s="94">
        <v>30500</v>
      </c>
      <c r="G2058" s="46"/>
      <c r="H2058" s="46">
        <f>IFERROR(TRANSACTIONS!$F2058+TRANSACTIONS!$G2058,"")</f>
        <v>30500</v>
      </c>
      <c r="I2058" s="57" t="s">
        <v>41</v>
      </c>
    </row>
    <row r="2059" spans="1:9" x14ac:dyDescent="0.25">
      <c r="A2059" s="41">
        <v>45349.809209606479</v>
      </c>
      <c r="B2059" s="48">
        <f>IF(A2059&lt;&gt;"",DATE(YEAR(TRANSACTIONS!$A2059),MONTH(TRANSACTIONS!$A2059),DAY(TRANSACTIONS!$A2059)),"")</f>
        <v>45349</v>
      </c>
      <c r="C2059" s="49">
        <f>IF(A2059&lt;&gt;"",TIME(HOUR(TRANSACTIONS!$A2059),MINUTE(TRANSACTIONS!$A2059),SECOND(TRANSACTIONS!$A2059)),"")</f>
        <v>0.80921296296296286</v>
      </c>
      <c r="D2059" s="82" t="s">
        <v>62</v>
      </c>
      <c r="E2059" s="82" t="s">
        <v>7</v>
      </c>
      <c r="F2059" s="94">
        <v>5000</v>
      </c>
      <c r="G2059" s="46"/>
      <c r="H2059" s="46">
        <f>IFERROR(TRANSACTIONS!$F2059+TRANSACTIONS!$G2059,"")</f>
        <v>5000</v>
      </c>
      <c r="I2059" s="57" t="s">
        <v>41</v>
      </c>
    </row>
    <row r="2060" spans="1:9" x14ac:dyDescent="0.25">
      <c r="A2060" s="41">
        <v>45349.809219791663</v>
      </c>
      <c r="B2060" s="48">
        <f>IF(A2060&lt;&gt;"",DATE(YEAR(TRANSACTIONS!$A2060),MONTH(TRANSACTIONS!$A2060),DAY(TRANSACTIONS!$A2060)),"")</f>
        <v>45349</v>
      </c>
      <c r="C2060" s="49">
        <f>IF(A2060&lt;&gt;"",TIME(HOUR(TRANSACTIONS!$A2060),MINUTE(TRANSACTIONS!$A2060),SECOND(TRANSACTIONS!$A2060)),"")</f>
        <v>0.80922453703703701</v>
      </c>
      <c r="D2060" s="82" t="s">
        <v>62</v>
      </c>
      <c r="E2060" s="82" t="s">
        <v>7</v>
      </c>
      <c r="F2060" s="94">
        <v>80000</v>
      </c>
      <c r="G2060" s="46"/>
      <c r="H2060" s="46">
        <f>IFERROR(TRANSACTIONS!$F2060+TRANSACTIONS!$G2060,"")</f>
        <v>80000</v>
      </c>
      <c r="I2060" s="57" t="s">
        <v>41</v>
      </c>
    </row>
    <row r="2061" spans="1:9" x14ac:dyDescent="0.25">
      <c r="A2061" s="41">
        <v>45349.809241319446</v>
      </c>
      <c r="B2061" s="48">
        <f>IF(A2061&lt;&gt;"",DATE(YEAR(TRANSACTIONS!$A2061),MONTH(TRANSACTIONS!$A2061),DAY(TRANSACTIONS!$A2061)),"")</f>
        <v>45349</v>
      </c>
      <c r="C2061" s="49">
        <f>IF(A2061&lt;&gt;"",TIME(HOUR(TRANSACTIONS!$A2061),MINUTE(TRANSACTIONS!$A2061),SECOND(TRANSACTIONS!$A2061)),"")</f>
        <v>0.80923611111111116</v>
      </c>
      <c r="D2061" s="82" t="s">
        <v>62</v>
      </c>
      <c r="E2061" s="82" t="s">
        <v>6</v>
      </c>
      <c r="F2061" s="94">
        <v>80000</v>
      </c>
      <c r="G2061" s="46"/>
      <c r="H2061" s="46">
        <f>IFERROR(TRANSACTIONS!$F2061+TRANSACTIONS!$G2061,"")</f>
        <v>80000</v>
      </c>
      <c r="I2061" s="57" t="s">
        <v>41</v>
      </c>
    </row>
    <row r="2062" spans="1:9" x14ac:dyDescent="0.25">
      <c r="A2062" s="41">
        <v>45349.809253935186</v>
      </c>
      <c r="B2062" s="48">
        <f>IF(A2062&lt;&gt;"",DATE(YEAR(TRANSACTIONS!$A2062),MONTH(TRANSACTIONS!$A2062),DAY(TRANSACTIONS!$A2062)),"")</f>
        <v>45349</v>
      </c>
      <c r="C2062" s="49">
        <f>IF(A2062&lt;&gt;"",TIME(HOUR(TRANSACTIONS!$A2062),MINUTE(TRANSACTIONS!$A2062),SECOND(TRANSACTIONS!$A2062)),"")</f>
        <v>0.80925925925925923</v>
      </c>
      <c r="D2062" s="82" t="s">
        <v>62</v>
      </c>
      <c r="E2062" s="82" t="s">
        <v>6</v>
      </c>
      <c r="F2062" s="94">
        <v>10000</v>
      </c>
      <c r="G2062" s="46"/>
      <c r="H2062" s="46">
        <f>IFERROR(TRANSACTIONS!$F2062+TRANSACTIONS!$G2062,"")</f>
        <v>10000</v>
      </c>
      <c r="I2062" s="57" t="s">
        <v>41</v>
      </c>
    </row>
    <row r="2063" spans="1:9" x14ac:dyDescent="0.25">
      <c r="A2063" s="41">
        <v>45349.809262847222</v>
      </c>
      <c r="B2063" s="48">
        <f>IF(A2063&lt;&gt;"",DATE(YEAR(TRANSACTIONS!$A2063),MONTH(TRANSACTIONS!$A2063),DAY(TRANSACTIONS!$A2063)),"")</f>
        <v>45349</v>
      </c>
      <c r="C2063" s="49">
        <f>IF(A2063&lt;&gt;"",TIME(HOUR(TRANSACTIONS!$A2063),MINUTE(TRANSACTIONS!$A2063),SECOND(TRANSACTIONS!$A2063)),"")</f>
        <v>0.80925925925925923</v>
      </c>
      <c r="D2063" s="82" t="s">
        <v>62</v>
      </c>
      <c r="E2063" s="82" t="s">
        <v>7</v>
      </c>
      <c r="F2063" s="94">
        <v>500</v>
      </c>
      <c r="G2063" s="46"/>
      <c r="H2063" s="46">
        <f>IFERROR(TRANSACTIONS!$F2063+TRANSACTIONS!$G2063,"")</f>
        <v>500</v>
      </c>
      <c r="I2063" s="57" t="s">
        <v>41</v>
      </c>
    </row>
    <row r="2064" spans="1:9" x14ac:dyDescent="0.25">
      <c r="A2064" s="41">
        <v>45349.809270370373</v>
      </c>
      <c r="B2064" s="48">
        <f>IF(A2064&lt;&gt;"",DATE(YEAR(TRANSACTIONS!$A2064),MONTH(TRANSACTIONS!$A2064),DAY(TRANSACTIONS!$A2064)),"")</f>
        <v>45349</v>
      </c>
      <c r="C2064" s="49">
        <f>IF(A2064&lt;&gt;"",TIME(HOUR(TRANSACTIONS!$A2064),MINUTE(TRANSACTIONS!$A2064),SECOND(TRANSACTIONS!$A2064)),"")</f>
        <v>0.80927083333333327</v>
      </c>
      <c r="D2064" s="82" t="s">
        <v>62</v>
      </c>
      <c r="E2064" s="82" t="s">
        <v>7</v>
      </c>
      <c r="F2064" s="94">
        <v>5000</v>
      </c>
      <c r="G2064" s="46"/>
      <c r="H2064" s="46">
        <f>IFERROR(TRANSACTIONS!$F2064+TRANSACTIONS!$G2064,"")</f>
        <v>5000</v>
      </c>
      <c r="I2064" s="57" t="s">
        <v>41</v>
      </c>
    </row>
    <row r="2065" spans="1:9" x14ac:dyDescent="0.25">
      <c r="A2065" s="41">
        <v>45349.80927824074</v>
      </c>
      <c r="B2065" s="48">
        <f>IF(A2065&lt;&gt;"",DATE(YEAR(TRANSACTIONS!$A2065),MONTH(TRANSACTIONS!$A2065),DAY(TRANSACTIONS!$A2065)),"")</f>
        <v>45349</v>
      </c>
      <c r="C2065" s="49">
        <f>IF(A2065&lt;&gt;"",TIME(HOUR(TRANSACTIONS!$A2065),MINUTE(TRANSACTIONS!$A2065),SECOND(TRANSACTIONS!$A2065)),"")</f>
        <v>0.80928240740740742</v>
      </c>
      <c r="D2065" s="82" t="s">
        <v>62</v>
      </c>
      <c r="E2065" s="82" t="s">
        <v>6</v>
      </c>
      <c r="F2065" s="94">
        <v>3000</v>
      </c>
      <c r="G2065" s="46"/>
      <c r="H2065" s="46">
        <f>IFERROR(TRANSACTIONS!$F2065+TRANSACTIONS!$G2065,"")</f>
        <v>3000</v>
      </c>
      <c r="I2065" s="57" t="s">
        <v>41</v>
      </c>
    </row>
    <row r="2066" spans="1:9" x14ac:dyDescent="0.25">
      <c r="A2066" s="41">
        <v>45349.809371296295</v>
      </c>
      <c r="B2066" s="48">
        <f>IF(A2066&lt;&gt;"",DATE(YEAR(TRANSACTIONS!$A2066),MONTH(TRANSACTIONS!$A2066),DAY(TRANSACTIONS!$A2066)),"")</f>
        <v>45349</v>
      </c>
      <c r="C2066" s="49">
        <f>IF(A2066&lt;&gt;"",TIME(HOUR(TRANSACTIONS!$A2066),MINUTE(TRANSACTIONS!$A2066),SECOND(TRANSACTIONS!$A2066)),"")</f>
        <v>0.80937500000000007</v>
      </c>
      <c r="D2066" s="82" t="s">
        <v>62</v>
      </c>
      <c r="E2066" s="82" t="s">
        <v>6</v>
      </c>
      <c r="F2066" s="94">
        <v>10000</v>
      </c>
      <c r="G2066" s="46"/>
      <c r="H2066" s="46">
        <f>IFERROR(TRANSACTIONS!$F2066+TRANSACTIONS!$G2066,"")</f>
        <v>10000</v>
      </c>
      <c r="I2066" s="57" t="s">
        <v>41</v>
      </c>
    </row>
    <row r="2067" spans="1:9" x14ac:dyDescent="0.25">
      <c r="A2067" s="41">
        <v>45349.80938726852</v>
      </c>
      <c r="B2067" s="48">
        <f>IF(A2067&lt;&gt;"",DATE(YEAR(TRANSACTIONS!$A2067),MONTH(TRANSACTIONS!$A2067),DAY(TRANSACTIONS!$A2067)),"")</f>
        <v>45349</v>
      </c>
      <c r="C2067" s="49">
        <f>IF(A2067&lt;&gt;"",TIME(HOUR(TRANSACTIONS!$A2067),MINUTE(TRANSACTIONS!$A2067),SECOND(TRANSACTIONS!$A2067)),"")</f>
        <v>0.80938657407407411</v>
      </c>
      <c r="D2067" s="82" t="s">
        <v>62</v>
      </c>
      <c r="E2067" s="82" t="s">
        <v>6</v>
      </c>
      <c r="F2067" s="94">
        <v>65000</v>
      </c>
      <c r="G2067" s="46"/>
      <c r="H2067" s="46">
        <f>IFERROR(TRANSACTIONS!$F2067+TRANSACTIONS!$G2067,"")</f>
        <v>65000</v>
      </c>
      <c r="I2067" s="57" t="s">
        <v>41</v>
      </c>
    </row>
    <row r="2068" spans="1:9" x14ac:dyDescent="0.25">
      <c r="A2068" s="41">
        <v>45349.809402893516</v>
      </c>
      <c r="B2068" s="48">
        <f>IF(A2068&lt;&gt;"",DATE(YEAR(TRANSACTIONS!$A2068),MONTH(TRANSACTIONS!$A2068),DAY(TRANSACTIONS!$A2068)),"")</f>
        <v>45349</v>
      </c>
      <c r="C2068" s="49">
        <f>IF(A2068&lt;&gt;"",TIME(HOUR(TRANSACTIONS!$A2068),MINUTE(TRANSACTIONS!$A2068),SECOND(TRANSACTIONS!$A2068)),"")</f>
        <v>0.80939814814814814</v>
      </c>
      <c r="D2068" s="82" t="s">
        <v>62</v>
      </c>
      <c r="E2068" s="82" t="s">
        <v>6</v>
      </c>
      <c r="F2068" s="94">
        <v>8000</v>
      </c>
      <c r="G2068" s="46"/>
      <c r="H2068" s="46">
        <f>IFERROR(TRANSACTIONS!$F2068+TRANSACTIONS!$G2068,"")</f>
        <v>8000</v>
      </c>
      <c r="I2068" s="57" t="s">
        <v>41</v>
      </c>
    </row>
    <row r="2069" spans="1:9" x14ac:dyDescent="0.25">
      <c r="A2069" s="41">
        <v>45349.809416550925</v>
      </c>
      <c r="B2069" s="48">
        <f>IF(A2069&lt;&gt;"",DATE(YEAR(TRANSACTIONS!$A2069),MONTH(TRANSACTIONS!$A2069),DAY(TRANSACTIONS!$A2069)),"")</f>
        <v>45349</v>
      </c>
      <c r="C2069" s="49">
        <f>IF(A2069&lt;&gt;"",TIME(HOUR(TRANSACTIONS!$A2069),MINUTE(TRANSACTIONS!$A2069),SECOND(TRANSACTIONS!$A2069)),"")</f>
        <v>0.80942129629629633</v>
      </c>
      <c r="D2069" s="82" t="s">
        <v>25</v>
      </c>
      <c r="E2069" s="82" t="s">
        <v>7</v>
      </c>
      <c r="F2069" s="94">
        <v>5000</v>
      </c>
      <c r="G2069" s="46"/>
      <c r="H2069" s="46">
        <f>IFERROR(TRANSACTIONS!$F2069+TRANSACTIONS!$G2069,"")</f>
        <v>5000</v>
      </c>
      <c r="I2069" s="57" t="s">
        <v>41</v>
      </c>
    </row>
    <row r="2070" spans="1:9" x14ac:dyDescent="0.25">
      <c r="A2070" s="41">
        <v>45349.810056712966</v>
      </c>
      <c r="B2070" s="48">
        <f>IF(A2070&lt;&gt;"",DATE(YEAR(TRANSACTIONS!$A2070),MONTH(TRANSACTIONS!$A2070),DAY(TRANSACTIONS!$A2070)),"")</f>
        <v>45349</v>
      </c>
      <c r="C2070" s="49">
        <f>IF(A2070&lt;&gt;"",TIME(HOUR(TRANSACTIONS!$A2070),MINUTE(TRANSACTIONS!$A2070),SECOND(TRANSACTIONS!$A2070)),"")</f>
        <v>0.81005787037037036</v>
      </c>
      <c r="D2070" s="82" t="s">
        <v>25</v>
      </c>
      <c r="E2070" s="82" t="s">
        <v>7</v>
      </c>
      <c r="F2070" s="94">
        <v>40000</v>
      </c>
      <c r="G2070" s="46"/>
      <c r="H2070" s="46">
        <f>IFERROR(TRANSACTIONS!$F2070+TRANSACTIONS!$G2070,"")</f>
        <v>40000</v>
      </c>
      <c r="I2070" s="57" t="s">
        <v>41</v>
      </c>
    </row>
    <row r="2071" spans="1:9" x14ac:dyDescent="0.25">
      <c r="A2071" s="41">
        <v>45349.810078240742</v>
      </c>
      <c r="B2071" s="48">
        <f>IF(A2071&lt;&gt;"",DATE(YEAR(TRANSACTIONS!$A2071),MONTH(TRANSACTIONS!$A2071),DAY(TRANSACTIONS!$A2071)),"")</f>
        <v>45349</v>
      </c>
      <c r="C2071" s="49">
        <f>IF(A2071&lt;&gt;"",TIME(HOUR(TRANSACTIONS!$A2071),MINUTE(TRANSACTIONS!$A2071),SECOND(TRANSACTIONS!$A2071)),"")</f>
        <v>0.81008101851851855</v>
      </c>
      <c r="D2071" s="82" t="s">
        <v>63</v>
      </c>
      <c r="E2071" s="82" t="s">
        <v>6</v>
      </c>
      <c r="F2071" s="94">
        <v>3000</v>
      </c>
      <c r="G2071" s="46"/>
      <c r="H2071" s="46">
        <f>IFERROR(TRANSACTIONS!$F2071+TRANSACTIONS!$G2071,"")</f>
        <v>3000</v>
      </c>
      <c r="I2071" s="57" t="s">
        <v>41</v>
      </c>
    </row>
    <row r="2072" spans="1:9" x14ac:dyDescent="0.25">
      <c r="A2072" s="41"/>
      <c r="B2072" s="48" t="str">
        <f>IF(A2072&lt;&gt;"",DATE(YEAR(TRANSACTIONS!$A2072),MONTH(TRANSACTIONS!$A2072),DAY(TRANSACTIONS!$A2072)),"")</f>
        <v/>
      </c>
      <c r="C2072" s="49" t="str">
        <f>IF(A2072&lt;&gt;"",TIME(HOUR(TRANSACTIONS!$A2072),MINUTE(TRANSACTIONS!$A2072),SECOND(TRANSACTIONS!$A2072)),"")</f>
        <v/>
      </c>
      <c r="D2072" s="82"/>
      <c r="E2072" s="82"/>
      <c r="F2072" s="94"/>
      <c r="G2072" s="46"/>
      <c r="H2072" s="46">
        <f>IFERROR(TRANSACTIONS!$F2072+TRANSACTIONS!$G2072,"")</f>
        <v>0</v>
      </c>
      <c r="I2072" s="57" t="s">
        <v>41</v>
      </c>
    </row>
    <row r="2073" spans="1:9" x14ac:dyDescent="0.25">
      <c r="A2073" s="41">
        <v>45350.517550231481</v>
      </c>
      <c r="B2073" s="48">
        <f>IF(A2073&lt;&gt;"",DATE(YEAR(TRANSACTIONS!$A2073),MONTH(TRANSACTIONS!$A2073),DAY(TRANSACTIONS!$A2073)),"")</f>
        <v>45350</v>
      </c>
      <c r="C2073" s="49">
        <f>IF(A2073&lt;&gt;"",TIME(HOUR(TRANSACTIONS!$A2073),MINUTE(TRANSACTIONS!$A2073),SECOND(TRANSACTIONS!$A2073)),"")</f>
        <v>0.51754629629629634</v>
      </c>
      <c r="D2073" s="82" t="s">
        <v>62</v>
      </c>
      <c r="E2073" s="82" t="s">
        <v>6</v>
      </c>
      <c r="F2073" s="94">
        <v>25000</v>
      </c>
      <c r="G2073" s="46"/>
      <c r="H2073" s="46">
        <f>IFERROR(TRANSACTIONS!$F2073+TRANSACTIONS!$G2073,"")</f>
        <v>25000</v>
      </c>
      <c r="I2073" s="57" t="s">
        <v>41</v>
      </c>
    </row>
    <row r="2074" spans="1:9" x14ac:dyDescent="0.25">
      <c r="A2074" s="139">
        <v>45350.589856712963</v>
      </c>
      <c r="B2074" s="140">
        <f>IF(A2074&lt;&gt;"",DATE(YEAR(TRANSACTIONS!$A2074),MONTH(TRANSACTIONS!$A2074),DAY(TRANSACTIONS!$A2074)),"")</f>
        <v>45350</v>
      </c>
      <c r="C2074" s="141">
        <f>IF(A2074&lt;&gt;"",TIME(HOUR(TRANSACTIONS!$A2074),MINUTE(TRANSACTIONS!$A2074),SECOND(TRANSACTIONS!$A2074)),"")</f>
        <v>0.58986111111111106</v>
      </c>
      <c r="D2074" s="177" t="s">
        <v>62</v>
      </c>
      <c r="E2074" s="177" t="s">
        <v>6</v>
      </c>
      <c r="F2074" s="94">
        <v>25200</v>
      </c>
      <c r="G2074" s="142"/>
      <c r="H2074" s="142">
        <f>IFERROR(TRANSACTIONS!$F2074+TRANSACTIONS!$G2074,"")</f>
        <v>25200</v>
      </c>
      <c r="I2074" s="143" t="s">
        <v>41</v>
      </c>
    </row>
    <row r="2075" spans="1:9" x14ac:dyDescent="0.25">
      <c r="A2075" s="41">
        <v>45350.589870833333</v>
      </c>
      <c r="B2075" s="48">
        <f>IF(A2075&lt;&gt;"",DATE(YEAR(TRANSACTIONS!$A2075),MONTH(TRANSACTIONS!$A2075),DAY(TRANSACTIONS!$A2075)),"")</f>
        <v>45350</v>
      </c>
      <c r="C2075" s="49">
        <f>IF(A2075&lt;&gt;"",TIME(HOUR(TRANSACTIONS!$A2075),MINUTE(TRANSACTIONS!$A2075),SECOND(TRANSACTIONS!$A2075)),"")</f>
        <v>0.58987268518518521</v>
      </c>
      <c r="D2075" s="82" t="s">
        <v>62</v>
      </c>
      <c r="E2075" s="82" t="s">
        <v>7</v>
      </c>
      <c r="F2075" s="94">
        <v>1000</v>
      </c>
      <c r="G2075" s="46"/>
      <c r="H2075" s="46">
        <f>IFERROR(TRANSACTIONS!$F2075+TRANSACTIONS!$G2075,"")</f>
        <v>1000</v>
      </c>
      <c r="I2075" s="57" t="s">
        <v>41</v>
      </c>
    </row>
    <row r="2076" spans="1:9" x14ac:dyDescent="0.25">
      <c r="A2076" s="41">
        <v>45350.5898787037</v>
      </c>
      <c r="B2076" s="48">
        <f>IF(A2076&lt;&gt;"",DATE(YEAR(TRANSACTIONS!$A2076),MONTH(TRANSACTIONS!$A2076),DAY(TRANSACTIONS!$A2076)),"")</f>
        <v>45350</v>
      </c>
      <c r="C2076" s="49">
        <f>IF(A2076&lt;&gt;"",TIME(HOUR(TRANSACTIONS!$A2076),MINUTE(TRANSACTIONS!$A2076),SECOND(TRANSACTIONS!$A2076)),"")</f>
        <v>0.58988425925925925</v>
      </c>
      <c r="D2076" s="82" t="s">
        <v>62</v>
      </c>
      <c r="E2076" s="82" t="s">
        <v>7</v>
      </c>
      <c r="F2076" s="94">
        <v>5000</v>
      </c>
      <c r="G2076" s="46"/>
      <c r="H2076" s="46">
        <f>IFERROR(TRANSACTIONS!$F2076+TRANSACTIONS!$G2076,"")</f>
        <v>5000</v>
      </c>
      <c r="I2076" s="57" t="s">
        <v>41</v>
      </c>
    </row>
    <row r="2077" spans="1:9" x14ac:dyDescent="0.25">
      <c r="A2077" s="41">
        <v>45350.589889930554</v>
      </c>
      <c r="B2077" s="48">
        <f>IF(A2077&lt;&gt;"",DATE(YEAR(TRANSACTIONS!$A2077),MONTH(TRANSACTIONS!$A2077),DAY(TRANSACTIONS!$A2077)),"")</f>
        <v>45350</v>
      </c>
      <c r="C2077" s="49">
        <f>IF(A2077&lt;&gt;"",TIME(HOUR(TRANSACTIONS!$A2077),MINUTE(TRANSACTIONS!$A2077),SECOND(TRANSACTIONS!$A2077)),"")</f>
        <v>0.58988425925925925</v>
      </c>
      <c r="D2077" s="82" t="s">
        <v>62</v>
      </c>
      <c r="E2077" s="82" t="s">
        <v>7</v>
      </c>
      <c r="F2077" s="94">
        <v>395000</v>
      </c>
      <c r="G2077" s="46"/>
      <c r="H2077" s="46">
        <f>IFERROR(TRANSACTIONS!$F2077+TRANSACTIONS!$G2077,"")</f>
        <v>395000</v>
      </c>
      <c r="I2077" s="57" t="s">
        <v>41</v>
      </c>
    </row>
    <row r="2078" spans="1:9" x14ac:dyDescent="0.25">
      <c r="A2078" s="41">
        <v>45350.589897916667</v>
      </c>
      <c r="B2078" s="48">
        <f>IF(A2078&lt;&gt;"",DATE(YEAR(TRANSACTIONS!$A2078),MONTH(TRANSACTIONS!$A2078),DAY(TRANSACTIONS!$A2078)),"")</f>
        <v>45350</v>
      </c>
      <c r="C2078" s="49">
        <f>IF(A2078&lt;&gt;"",TIME(HOUR(TRANSACTIONS!$A2078),MINUTE(TRANSACTIONS!$A2078),SECOND(TRANSACTIONS!$A2078)),"")</f>
        <v>0.5898958333333334</v>
      </c>
      <c r="D2078" s="82" t="s">
        <v>62</v>
      </c>
      <c r="E2078" s="82" t="s">
        <v>6</v>
      </c>
      <c r="F2078" s="94">
        <v>500</v>
      </c>
      <c r="G2078" s="46"/>
      <c r="H2078" s="46">
        <f>IFERROR(TRANSACTIONS!$F2078+TRANSACTIONS!$G2078,"")</f>
        <v>500</v>
      </c>
      <c r="I2078" s="57" t="s">
        <v>41</v>
      </c>
    </row>
    <row r="2079" spans="1:9" x14ac:dyDescent="0.25">
      <c r="A2079" s="41">
        <v>45350.589906250003</v>
      </c>
      <c r="B2079" s="48">
        <f>IF(A2079&lt;&gt;"",DATE(YEAR(TRANSACTIONS!$A2079),MONTH(TRANSACTIONS!$A2079),DAY(TRANSACTIONS!$A2079)),"")</f>
        <v>45350</v>
      </c>
      <c r="C2079" s="49">
        <f>IF(A2079&lt;&gt;"",TIME(HOUR(TRANSACTIONS!$A2079),MINUTE(TRANSACTIONS!$A2079),SECOND(TRANSACTIONS!$A2079)),"")</f>
        <v>0.58990740740740744</v>
      </c>
      <c r="D2079" s="82" t="s">
        <v>62</v>
      </c>
      <c r="E2079" s="82" t="s">
        <v>6</v>
      </c>
      <c r="F2079" s="94">
        <v>5000</v>
      </c>
      <c r="G2079" s="46"/>
      <c r="H2079" s="46">
        <f>IFERROR(TRANSACTIONS!$F2079+TRANSACTIONS!$G2079,"")</f>
        <v>5000</v>
      </c>
      <c r="I2079" s="57" t="s">
        <v>41</v>
      </c>
    </row>
    <row r="2080" spans="1:9" x14ac:dyDescent="0.25">
      <c r="A2080" s="41">
        <v>45350.589914930555</v>
      </c>
      <c r="B2080" s="48">
        <f>IF(A2080&lt;&gt;"",DATE(YEAR(TRANSACTIONS!$A2080),MONTH(TRANSACTIONS!$A2080),DAY(TRANSACTIONS!$A2080)),"")</f>
        <v>45350</v>
      </c>
      <c r="C2080" s="49">
        <f>IF(A2080&lt;&gt;"",TIME(HOUR(TRANSACTIONS!$A2080),MINUTE(TRANSACTIONS!$A2080),SECOND(TRANSACTIONS!$A2080)),"")</f>
        <v>0.58991898148148147</v>
      </c>
      <c r="D2080" s="82" t="s">
        <v>62</v>
      </c>
      <c r="E2080" s="82" t="s">
        <v>7</v>
      </c>
      <c r="F2080" s="94">
        <v>20000</v>
      </c>
      <c r="G2080" s="46"/>
      <c r="H2080" s="46">
        <f>IFERROR(TRANSACTIONS!$F2080+TRANSACTIONS!$G2080,"")</f>
        <v>20000</v>
      </c>
      <c r="I2080" s="57" t="s">
        <v>41</v>
      </c>
    </row>
    <row r="2081" spans="1:9" x14ac:dyDescent="0.25">
      <c r="A2081" s="41">
        <v>45350.589923726853</v>
      </c>
      <c r="B2081" s="48">
        <f>IF(A2081&lt;&gt;"",DATE(YEAR(TRANSACTIONS!$A2081),MONTH(TRANSACTIONS!$A2081),DAY(TRANSACTIONS!$A2081)),"")</f>
        <v>45350</v>
      </c>
      <c r="C2081" s="49">
        <f>IF(A2081&lt;&gt;"",TIME(HOUR(TRANSACTIONS!$A2081),MINUTE(TRANSACTIONS!$A2081),SECOND(TRANSACTIONS!$A2081)),"")</f>
        <v>0.58991898148148147</v>
      </c>
      <c r="D2081" s="82" t="s">
        <v>62</v>
      </c>
      <c r="E2081" s="82" t="s">
        <v>6</v>
      </c>
      <c r="F2081" s="94">
        <v>10000</v>
      </c>
      <c r="G2081" s="46"/>
      <c r="H2081" s="46">
        <f>IFERROR(TRANSACTIONS!$F2081+TRANSACTIONS!$G2081,"")</f>
        <v>10000</v>
      </c>
      <c r="I2081" s="57" t="s">
        <v>41</v>
      </c>
    </row>
    <row r="2082" spans="1:9" x14ac:dyDescent="0.25">
      <c r="A2082" s="41">
        <v>45350.589931944443</v>
      </c>
      <c r="B2082" s="48">
        <f>IF(A2082&lt;&gt;"",DATE(YEAR(TRANSACTIONS!$A2082),MONTH(TRANSACTIONS!$A2082),DAY(TRANSACTIONS!$A2082)),"")</f>
        <v>45350</v>
      </c>
      <c r="C2082" s="49">
        <f>IF(A2082&lt;&gt;"",TIME(HOUR(TRANSACTIONS!$A2082),MINUTE(TRANSACTIONS!$A2082),SECOND(TRANSACTIONS!$A2082)),"")</f>
        <v>0.58993055555555551</v>
      </c>
      <c r="D2082" s="82" t="s">
        <v>62</v>
      </c>
      <c r="E2082" s="82" t="s">
        <v>6</v>
      </c>
      <c r="F2082" s="94">
        <v>3000</v>
      </c>
      <c r="G2082" s="46"/>
      <c r="H2082" s="46">
        <f>IFERROR(TRANSACTIONS!$F2082+TRANSACTIONS!$G2082,"")</f>
        <v>3000</v>
      </c>
      <c r="I2082" s="57" t="s">
        <v>41</v>
      </c>
    </row>
    <row r="2083" spans="1:9" x14ac:dyDescent="0.25">
      <c r="A2083" s="41">
        <v>45350.589939120371</v>
      </c>
      <c r="B2083" s="48">
        <f>IF(A2083&lt;&gt;"",DATE(YEAR(TRANSACTIONS!$A2083),MONTH(TRANSACTIONS!$A2083),DAY(TRANSACTIONS!$A2083)),"")</f>
        <v>45350</v>
      </c>
      <c r="C2083" s="49">
        <f>IF(A2083&lt;&gt;"",TIME(HOUR(TRANSACTIONS!$A2083),MINUTE(TRANSACTIONS!$A2083),SECOND(TRANSACTIONS!$A2083)),"")</f>
        <v>0.58994212962962966</v>
      </c>
      <c r="D2083" s="82" t="s">
        <v>62</v>
      </c>
      <c r="E2083" s="82" t="s">
        <v>7</v>
      </c>
      <c r="F2083" s="94">
        <v>5500</v>
      </c>
      <c r="G2083" s="46"/>
      <c r="H2083" s="46">
        <f>IFERROR(TRANSACTIONS!$F2083+TRANSACTIONS!$G2083,"")</f>
        <v>5500</v>
      </c>
      <c r="I2083" s="57" t="s">
        <v>41</v>
      </c>
    </row>
    <row r="2084" spans="1:9" x14ac:dyDescent="0.25">
      <c r="A2084" s="41">
        <v>45350.589946874999</v>
      </c>
      <c r="B2084" s="48">
        <f>IF(A2084&lt;&gt;"",DATE(YEAR(TRANSACTIONS!$A2084),MONTH(TRANSACTIONS!$A2084),DAY(TRANSACTIONS!$A2084)),"")</f>
        <v>45350</v>
      </c>
      <c r="C2084" s="49">
        <f>IF(A2084&lt;&gt;"",TIME(HOUR(TRANSACTIONS!$A2084),MINUTE(TRANSACTIONS!$A2084),SECOND(TRANSACTIONS!$A2084)),"")</f>
        <v>0.58994212962962966</v>
      </c>
      <c r="D2084" s="82" t="s">
        <v>62</v>
      </c>
      <c r="E2084" s="82" t="s">
        <v>7</v>
      </c>
      <c r="F2084" s="94">
        <v>5000</v>
      </c>
      <c r="G2084" s="46"/>
      <c r="H2084" s="46">
        <f>IFERROR(TRANSACTIONS!$F2084+TRANSACTIONS!$G2084,"")</f>
        <v>5000</v>
      </c>
      <c r="I2084" s="57" t="s">
        <v>41</v>
      </c>
    </row>
    <row r="2085" spans="1:9" x14ac:dyDescent="0.25">
      <c r="A2085" s="81">
        <v>45350.589954513889</v>
      </c>
      <c r="B2085" s="83">
        <f>IF(A2085&lt;&gt;"",DATE(YEAR(TRANSACTIONS!$A2085),MONTH(TRANSACTIONS!$A2085),DAY(TRANSACTIONS!$A2085)),"")</f>
        <v>45350</v>
      </c>
      <c r="C2085" s="84">
        <f>IF(A2085&lt;&gt;"",TIME(HOUR(TRANSACTIONS!$A2085),MINUTE(TRANSACTIONS!$A2085),SECOND(TRANSACTIONS!$A2085)),"")</f>
        <v>0.5899537037037037</v>
      </c>
      <c r="D2085" s="82" t="s">
        <v>62</v>
      </c>
      <c r="E2085" s="82" t="s">
        <v>6</v>
      </c>
      <c r="F2085" s="94">
        <v>2000</v>
      </c>
      <c r="G2085" s="86"/>
      <c r="H2085" s="86">
        <f>IFERROR(TRANSACTIONS!$F2085+TRANSACTIONS!$G2085,"")</f>
        <v>2000</v>
      </c>
      <c r="I2085" s="87" t="s">
        <v>41</v>
      </c>
    </row>
    <row r="2086" spans="1:9" x14ac:dyDescent="0.25">
      <c r="A2086" s="41">
        <v>45350.589961689817</v>
      </c>
      <c r="B2086" s="48">
        <f>IF(A2086&lt;&gt;"",DATE(YEAR(TRANSACTIONS!$A2086),MONTH(TRANSACTIONS!$A2086),DAY(TRANSACTIONS!$A2086)),"")</f>
        <v>45350</v>
      </c>
      <c r="C2086" s="49">
        <f>IF(A2086&lt;&gt;"",TIME(HOUR(TRANSACTIONS!$A2086),MINUTE(TRANSACTIONS!$A2086),SECOND(TRANSACTIONS!$A2086)),"")</f>
        <v>0.58996527777777785</v>
      </c>
      <c r="D2086" s="82" t="s">
        <v>62</v>
      </c>
      <c r="E2086" s="82" t="s">
        <v>7</v>
      </c>
      <c r="F2086" s="94">
        <v>300000</v>
      </c>
      <c r="G2086" s="46"/>
      <c r="H2086" s="46">
        <f>IFERROR(TRANSACTIONS!$F2086+TRANSACTIONS!$G2086,"")</f>
        <v>300000</v>
      </c>
      <c r="I2086" s="57" t="s">
        <v>41</v>
      </c>
    </row>
    <row r="2087" spans="1:9" x14ac:dyDescent="0.25">
      <c r="A2087" s="41">
        <v>45350.589974421295</v>
      </c>
      <c r="B2087" s="48">
        <f>IF(A2087&lt;&gt;"",DATE(YEAR(TRANSACTIONS!$A2087),MONTH(TRANSACTIONS!$A2087),DAY(TRANSACTIONS!$A2087)),"")</f>
        <v>45350</v>
      </c>
      <c r="C2087" s="49">
        <f>IF(A2087&lt;&gt;"",TIME(HOUR(TRANSACTIONS!$A2087),MINUTE(TRANSACTIONS!$A2087),SECOND(TRANSACTIONS!$A2087)),"")</f>
        <v>0.58997685185185189</v>
      </c>
      <c r="D2087" s="82" t="s">
        <v>62</v>
      </c>
      <c r="E2087" s="82" t="s">
        <v>7</v>
      </c>
      <c r="F2087" s="94">
        <v>42000</v>
      </c>
      <c r="G2087" s="46"/>
      <c r="H2087" s="46">
        <f>IFERROR(TRANSACTIONS!$F2087+TRANSACTIONS!$G2087,"")</f>
        <v>42000</v>
      </c>
      <c r="I2087" s="57" t="s">
        <v>41</v>
      </c>
    </row>
    <row r="2088" spans="1:9" x14ac:dyDescent="0.25">
      <c r="A2088" s="81">
        <v>45350.590042013886</v>
      </c>
      <c r="B2088" s="83">
        <f>IF(A2088&lt;&gt;"",DATE(YEAR(TRANSACTIONS!$A2088),MONTH(TRANSACTIONS!$A2088),DAY(TRANSACTIONS!$A2088)),"")</f>
        <v>45350</v>
      </c>
      <c r="C2088" s="84">
        <f>IF(A2088&lt;&gt;"",TIME(HOUR(TRANSACTIONS!$A2088),MINUTE(TRANSACTIONS!$A2088),SECOND(TRANSACTIONS!$A2088)),"")</f>
        <v>0.59004629629629635</v>
      </c>
      <c r="D2088" s="82" t="s">
        <v>62</v>
      </c>
      <c r="E2088" s="82" t="s">
        <v>6</v>
      </c>
      <c r="F2088" s="94">
        <v>1000</v>
      </c>
      <c r="G2088" s="86"/>
      <c r="H2088" s="86">
        <f>IFERROR(TRANSACTIONS!$F2088+TRANSACTIONS!$G2088,"")</f>
        <v>1000</v>
      </c>
      <c r="I2088" s="87" t="s">
        <v>41</v>
      </c>
    </row>
    <row r="2089" spans="1:9" x14ac:dyDescent="0.25">
      <c r="A2089" s="113">
        <v>45350.590050347222</v>
      </c>
      <c r="B2089" s="114">
        <f>IF(A2089&lt;&gt;"",DATE(YEAR(TRANSACTIONS!$A2089),MONTH(TRANSACTIONS!$A2089),DAY(TRANSACTIONS!$A2089)),"")</f>
        <v>45350</v>
      </c>
      <c r="C2089" s="115">
        <f>IF(A2089&lt;&gt;"",TIME(HOUR(TRANSACTIONS!$A2089),MINUTE(TRANSACTIONS!$A2089),SECOND(TRANSACTIONS!$A2089)),"")</f>
        <v>0.59004629629629635</v>
      </c>
      <c r="D2089" s="82" t="s">
        <v>62</v>
      </c>
      <c r="E2089" s="82" t="s">
        <v>6</v>
      </c>
      <c r="F2089" s="94">
        <v>4000</v>
      </c>
      <c r="G2089" s="117"/>
      <c r="H2089" s="117">
        <f>IFERROR(TRANSACTIONS!$F2089+TRANSACTIONS!$G2089,"")</f>
        <v>4000</v>
      </c>
      <c r="I2089" s="123" t="s">
        <v>41</v>
      </c>
    </row>
    <row r="2090" spans="1:9" x14ac:dyDescent="0.25">
      <c r="A2090" s="41">
        <v>45350.590057754627</v>
      </c>
      <c r="B2090" s="48">
        <f>IF(A2090&lt;&gt;"",DATE(YEAR(TRANSACTIONS!$A2090),MONTH(TRANSACTIONS!$A2090),DAY(TRANSACTIONS!$A2090)),"")</f>
        <v>45350</v>
      </c>
      <c r="C2090" s="49">
        <f>IF(A2090&lt;&gt;"",TIME(HOUR(TRANSACTIONS!$A2090),MINUTE(TRANSACTIONS!$A2090),SECOND(TRANSACTIONS!$A2090)),"")</f>
        <v>0.59005787037037039</v>
      </c>
      <c r="D2090" s="82" t="s">
        <v>62</v>
      </c>
      <c r="E2090" s="82" t="s">
        <v>7</v>
      </c>
      <c r="F2090" s="94">
        <v>9500</v>
      </c>
      <c r="G2090" s="46"/>
      <c r="H2090" s="46">
        <f>IFERROR(TRANSACTIONS!$F2090+TRANSACTIONS!$G2090,"")</f>
        <v>9500</v>
      </c>
      <c r="I2090" s="57" t="s">
        <v>41</v>
      </c>
    </row>
    <row r="2091" spans="1:9" x14ac:dyDescent="0.25">
      <c r="A2091" s="41">
        <v>45350.590064814816</v>
      </c>
      <c r="B2091" s="48">
        <f>IF(A2091&lt;&gt;"",DATE(YEAR(TRANSACTIONS!$A2091),MONTH(TRANSACTIONS!$A2091),DAY(TRANSACTIONS!$A2091)),"")</f>
        <v>45350</v>
      </c>
      <c r="C2091" s="49">
        <f>IF(A2091&lt;&gt;"",TIME(HOUR(TRANSACTIONS!$A2091),MINUTE(TRANSACTIONS!$A2091),SECOND(TRANSACTIONS!$A2091)),"")</f>
        <v>0.59006944444444442</v>
      </c>
      <c r="D2091" s="82" t="s">
        <v>62</v>
      </c>
      <c r="E2091" s="82" t="s">
        <v>7</v>
      </c>
      <c r="F2091" s="94">
        <v>80000</v>
      </c>
      <c r="G2091" s="46"/>
      <c r="H2091" s="46">
        <f>IFERROR(TRANSACTIONS!$F2091+TRANSACTIONS!$G2091,"")</f>
        <v>80000</v>
      </c>
      <c r="I2091" s="57" t="s">
        <v>41</v>
      </c>
    </row>
    <row r="2092" spans="1:9" x14ac:dyDescent="0.25">
      <c r="A2092" s="41">
        <v>45350.590071990744</v>
      </c>
      <c r="B2092" s="48">
        <f>IF(A2092&lt;&gt;"",DATE(YEAR(TRANSACTIONS!$A2092),MONTH(TRANSACTIONS!$A2092),DAY(TRANSACTIONS!$A2092)),"")</f>
        <v>45350</v>
      </c>
      <c r="C2092" s="49">
        <f>IF(A2092&lt;&gt;"",TIME(HOUR(TRANSACTIONS!$A2092),MINUTE(TRANSACTIONS!$A2092),SECOND(TRANSACTIONS!$A2092)),"")</f>
        <v>0.59006944444444442</v>
      </c>
      <c r="D2092" s="82" t="s">
        <v>62</v>
      </c>
      <c r="E2092" s="82" t="s">
        <v>6</v>
      </c>
      <c r="F2092" s="94">
        <v>20200</v>
      </c>
      <c r="G2092" s="46"/>
      <c r="H2092" s="46">
        <f>IFERROR(TRANSACTIONS!$F2092+TRANSACTIONS!$G2092,"")</f>
        <v>20200</v>
      </c>
      <c r="I2092" s="57" t="s">
        <v>41</v>
      </c>
    </row>
    <row r="2093" spans="1:9" x14ac:dyDescent="0.25">
      <c r="A2093" s="41">
        <v>45350.593211574072</v>
      </c>
      <c r="B2093" s="48">
        <f>IF(A2093&lt;&gt;"",DATE(YEAR(TRANSACTIONS!$A2093),MONTH(TRANSACTIONS!$A2093),DAY(TRANSACTIONS!$A2093)),"")</f>
        <v>45350</v>
      </c>
      <c r="C2093" s="49">
        <f>IF(A2093&lt;&gt;"",TIME(HOUR(TRANSACTIONS!$A2093),MINUTE(TRANSACTIONS!$A2093),SECOND(TRANSACTIONS!$A2093)),"")</f>
        <v>0.59320601851851851</v>
      </c>
      <c r="D2093" s="82" t="s">
        <v>62</v>
      </c>
      <c r="E2093" s="82" t="s">
        <v>7</v>
      </c>
      <c r="F2093" s="94">
        <v>2000</v>
      </c>
      <c r="G2093" s="46"/>
      <c r="H2093" s="46">
        <f>IFERROR(TRANSACTIONS!$F2093+TRANSACTIONS!$G2093,"")</f>
        <v>2000</v>
      </c>
      <c r="I2093" s="57" t="s">
        <v>41</v>
      </c>
    </row>
    <row r="2094" spans="1:9" x14ac:dyDescent="0.25">
      <c r="A2094" s="41">
        <v>45350.593221643518</v>
      </c>
      <c r="B2094" s="48">
        <f>IF(A2094&lt;&gt;"",DATE(YEAR(TRANSACTIONS!$A2094),MONTH(TRANSACTIONS!$A2094),DAY(TRANSACTIONS!$A2094)),"")</f>
        <v>45350</v>
      </c>
      <c r="C2094" s="49">
        <f>IF(A2094&lt;&gt;"",TIME(HOUR(TRANSACTIONS!$A2094),MINUTE(TRANSACTIONS!$A2094),SECOND(TRANSACTIONS!$A2094)),"")</f>
        <v>0.59321759259259255</v>
      </c>
      <c r="D2094" s="82" t="s">
        <v>62</v>
      </c>
      <c r="E2094" s="82" t="s">
        <v>7</v>
      </c>
      <c r="F2094" s="94">
        <v>5000</v>
      </c>
      <c r="G2094" s="46"/>
      <c r="H2094" s="46">
        <f>IFERROR(TRANSACTIONS!$F2094+TRANSACTIONS!$G2094,"")</f>
        <v>5000</v>
      </c>
      <c r="I2094" s="57" t="s">
        <v>41</v>
      </c>
    </row>
    <row r="2095" spans="1:9" x14ac:dyDescent="0.25">
      <c r="A2095" s="41">
        <v>45350.593269560188</v>
      </c>
      <c r="B2095" s="48">
        <f>IF(A2095&lt;&gt;"",DATE(YEAR(TRANSACTIONS!$A2095),MONTH(TRANSACTIONS!$A2095),DAY(TRANSACTIONS!$A2095)),"")</f>
        <v>45350</v>
      </c>
      <c r="C2095" s="49">
        <f>IF(A2095&lt;&gt;"",TIME(HOUR(TRANSACTIONS!$A2095),MINUTE(TRANSACTIONS!$A2095),SECOND(TRANSACTIONS!$A2095)),"")</f>
        <v>0.59326388888888892</v>
      </c>
      <c r="D2095" s="82" t="s">
        <v>62</v>
      </c>
      <c r="E2095" s="82" t="s">
        <v>6</v>
      </c>
      <c r="F2095" s="94">
        <v>27000</v>
      </c>
      <c r="G2095" s="46"/>
      <c r="H2095" s="46">
        <f>IFERROR(TRANSACTIONS!$F2095+TRANSACTIONS!$G2095,"")</f>
        <v>27000</v>
      </c>
      <c r="I2095" s="57" t="s">
        <v>41</v>
      </c>
    </row>
    <row r="2096" spans="1:9" x14ac:dyDescent="0.25">
      <c r="A2096" s="41">
        <v>45350.593285995368</v>
      </c>
      <c r="B2096" s="48">
        <f>IF(A2096&lt;&gt;"",DATE(YEAR(TRANSACTIONS!$A2096),MONTH(TRANSACTIONS!$A2096),DAY(TRANSACTIONS!$A2096)),"")</f>
        <v>45350</v>
      </c>
      <c r="C2096" s="49">
        <f>IF(A2096&lt;&gt;"",TIME(HOUR(TRANSACTIONS!$A2096),MINUTE(TRANSACTIONS!$A2096),SECOND(TRANSACTIONS!$A2096)),"")</f>
        <v>0.593287037037037</v>
      </c>
      <c r="D2096" s="82" t="s">
        <v>62</v>
      </c>
      <c r="E2096" s="82" t="s">
        <v>6</v>
      </c>
      <c r="F2096" s="94">
        <v>6100</v>
      </c>
      <c r="G2096" s="46"/>
      <c r="H2096" s="46">
        <f>IFERROR(TRANSACTIONS!$F2096+TRANSACTIONS!$G2096,"")</f>
        <v>6100</v>
      </c>
      <c r="I2096" s="57" t="s">
        <v>41</v>
      </c>
    </row>
    <row r="2097" spans="1:10" x14ac:dyDescent="0.25">
      <c r="A2097" s="41">
        <v>45350.593299768516</v>
      </c>
      <c r="B2097" s="48">
        <f>IF(A2097&lt;&gt;"",DATE(YEAR(TRANSACTIONS!$A2097),MONTH(TRANSACTIONS!$A2097),DAY(TRANSACTIONS!$A2097)),"")</f>
        <v>45350</v>
      </c>
      <c r="C2097" s="49">
        <f>IF(A2097&lt;&gt;"",TIME(HOUR(TRANSACTIONS!$A2097),MINUTE(TRANSACTIONS!$A2097),SECOND(TRANSACTIONS!$A2097)),"")</f>
        <v>0.59329861111111104</v>
      </c>
      <c r="D2097" s="82" t="s">
        <v>62</v>
      </c>
      <c r="E2097" s="82" t="s">
        <v>7</v>
      </c>
      <c r="F2097" s="94">
        <v>5000</v>
      </c>
      <c r="G2097" s="46"/>
      <c r="H2097" s="46">
        <f>IFERROR(TRANSACTIONS!$F2097+TRANSACTIONS!$G2097,"")</f>
        <v>5000</v>
      </c>
      <c r="I2097" s="57" t="s">
        <v>41</v>
      </c>
    </row>
    <row r="2098" spans="1:10" x14ac:dyDescent="0.25">
      <c r="A2098" s="81">
        <v>45350.593307754629</v>
      </c>
      <c r="B2098" s="83">
        <f>IF(A2098&lt;&gt;"",DATE(YEAR(TRANSACTIONS!$A2098),MONTH(TRANSACTIONS!$A2098),DAY(TRANSACTIONS!$A2098)),"")</f>
        <v>45350</v>
      </c>
      <c r="C2098" s="84">
        <f>IF(A2098&lt;&gt;"",TIME(HOUR(TRANSACTIONS!$A2098),MINUTE(TRANSACTIONS!$A2098),SECOND(TRANSACTIONS!$A2098)),"")</f>
        <v>0.59331018518518519</v>
      </c>
      <c r="D2098" s="82" t="s">
        <v>62</v>
      </c>
      <c r="E2098" s="82" t="s">
        <v>7</v>
      </c>
      <c r="F2098" s="94">
        <v>15000</v>
      </c>
      <c r="G2098" s="86"/>
      <c r="H2098" s="86">
        <f>IFERROR(TRANSACTIONS!$F2098+TRANSACTIONS!$G2098,"")</f>
        <v>15000</v>
      </c>
      <c r="I2098" s="87" t="s">
        <v>41</v>
      </c>
      <c r="J2098" s="88"/>
    </row>
    <row r="2099" spans="1:10" x14ac:dyDescent="0.25">
      <c r="A2099" s="41">
        <v>45350.593316435188</v>
      </c>
      <c r="B2099" s="48">
        <f>IF(A2099&lt;&gt;"",DATE(YEAR(TRANSACTIONS!$A2099),MONTH(TRANSACTIONS!$A2099),DAY(TRANSACTIONS!$A2099)),"")</f>
        <v>45350</v>
      </c>
      <c r="C2099" s="49">
        <f>IF(A2099&lt;&gt;"",TIME(HOUR(TRANSACTIONS!$A2099),MINUTE(TRANSACTIONS!$A2099),SECOND(TRANSACTIONS!$A2099)),"")</f>
        <v>0.59332175925925923</v>
      </c>
      <c r="D2099" s="82" t="s">
        <v>62</v>
      </c>
      <c r="E2099" s="82" t="s">
        <v>7</v>
      </c>
      <c r="F2099" s="94">
        <v>30000</v>
      </c>
      <c r="G2099" s="46"/>
      <c r="H2099" s="46">
        <f>IFERROR(TRANSACTIONS!$F2099+TRANSACTIONS!$G2099,"")</f>
        <v>30000</v>
      </c>
      <c r="I2099" s="57" t="s">
        <v>41</v>
      </c>
    </row>
    <row r="2100" spans="1:10" x14ac:dyDescent="0.25">
      <c r="A2100" s="41">
        <v>45350.593324884256</v>
      </c>
      <c r="B2100" s="48">
        <f>IF(A2100&lt;&gt;"",DATE(YEAR(TRANSACTIONS!$A2100),MONTH(TRANSACTIONS!$A2100),DAY(TRANSACTIONS!$A2100)),"")</f>
        <v>45350</v>
      </c>
      <c r="C2100" s="49">
        <f>IF(A2100&lt;&gt;"",TIME(HOUR(TRANSACTIONS!$A2100),MINUTE(TRANSACTIONS!$A2100),SECOND(TRANSACTIONS!$A2100)),"")</f>
        <v>0.59332175925925923</v>
      </c>
      <c r="D2100" s="82" t="s">
        <v>62</v>
      </c>
      <c r="E2100" s="82" t="s">
        <v>7</v>
      </c>
      <c r="F2100" s="94">
        <v>10000</v>
      </c>
      <c r="G2100" s="46"/>
      <c r="H2100" s="46">
        <f>IFERROR(TRANSACTIONS!$F2100+TRANSACTIONS!$G2100,"")</f>
        <v>10000</v>
      </c>
      <c r="I2100" s="57" t="s">
        <v>41</v>
      </c>
    </row>
    <row r="2101" spans="1:10" x14ac:dyDescent="0.25">
      <c r="A2101" s="81">
        <v>45350.593333449076</v>
      </c>
      <c r="B2101" s="83">
        <f>IF(A2101&lt;&gt;"",DATE(YEAR(TRANSACTIONS!$A2101),MONTH(TRANSACTIONS!$A2101),DAY(TRANSACTIONS!$A2101)),"")</f>
        <v>45350</v>
      </c>
      <c r="C2101" s="84">
        <f>IF(A2101&lt;&gt;"",TIME(HOUR(TRANSACTIONS!$A2101),MINUTE(TRANSACTIONS!$A2101),SECOND(TRANSACTIONS!$A2101)),"")</f>
        <v>0.59333333333333338</v>
      </c>
      <c r="D2101" s="82" t="s">
        <v>62</v>
      </c>
      <c r="E2101" s="82" t="s">
        <v>6</v>
      </c>
      <c r="F2101" s="94">
        <v>545000</v>
      </c>
      <c r="G2101" s="86"/>
      <c r="H2101" s="86">
        <f>IFERROR(TRANSACTIONS!$F2101+TRANSACTIONS!$G2101,"")</f>
        <v>545000</v>
      </c>
      <c r="I2101" s="87" t="s">
        <v>41</v>
      </c>
    </row>
    <row r="2102" spans="1:10" x14ac:dyDescent="0.25">
      <c r="A2102" s="41">
        <v>45350.593341782405</v>
      </c>
      <c r="B2102" s="48">
        <f>IF(A2102&lt;&gt;"",DATE(YEAR(TRANSACTIONS!$A2102),MONTH(TRANSACTIONS!$A2102),DAY(TRANSACTIONS!$A2102)),"")</f>
        <v>45350</v>
      </c>
      <c r="C2102" s="49">
        <f>IF(A2102&lt;&gt;"",TIME(HOUR(TRANSACTIONS!$A2102),MINUTE(TRANSACTIONS!$A2102),SECOND(TRANSACTIONS!$A2102)),"")</f>
        <v>0.59334490740740742</v>
      </c>
      <c r="D2102" s="82" t="s">
        <v>62</v>
      </c>
      <c r="E2102" s="82" t="s">
        <v>7</v>
      </c>
      <c r="F2102" s="94">
        <v>3000</v>
      </c>
      <c r="G2102" s="46"/>
      <c r="H2102" s="46">
        <f>IFERROR(TRANSACTIONS!$F2102+TRANSACTIONS!$G2102,"")</f>
        <v>3000</v>
      </c>
      <c r="I2102" s="57" t="s">
        <v>41</v>
      </c>
    </row>
    <row r="2103" spans="1:10" x14ac:dyDescent="0.25">
      <c r="A2103" s="41">
        <v>45350.593350578703</v>
      </c>
      <c r="B2103" s="48">
        <f>IF(A2103&lt;&gt;"",DATE(YEAR(TRANSACTIONS!$A2103),MONTH(TRANSACTIONS!$A2103),DAY(TRANSACTIONS!$A2103)),"")</f>
        <v>45350</v>
      </c>
      <c r="C2103" s="49">
        <f>IF(A2103&lt;&gt;"",TIME(HOUR(TRANSACTIONS!$A2103),MINUTE(TRANSACTIONS!$A2103),SECOND(TRANSACTIONS!$A2103)),"")</f>
        <v>0.59334490740740742</v>
      </c>
      <c r="D2103" s="82" t="s">
        <v>62</v>
      </c>
      <c r="E2103" s="82" t="s">
        <v>7</v>
      </c>
      <c r="F2103" s="94">
        <v>2000</v>
      </c>
      <c r="G2103" s="46"/>
      <c r="H2103" s="46">
        <f>IFERROR(TRANSACTIONS!$F2103+TRANSACTIONS!$G2103,"")</f>
        <v>2000</v>
      </c>
      <c r="I2103" s="57" t="s">
        <v>41</v>
      </c>
    </row>
    <row r="2104" spans="1:10" x14ac:dyDescent="0.25">
      <c r="A2104" s="41">
        <v>45350.593359259263</v>
      </c>
      <c r="B2104" s="48">
        <f>IF(A2104&lt;&gt;"",DATE(YEAR(TRANSACTIONS!$A2104),MONTH(TRANSACTIONS!$A2104),DAY(TRANSACTIONS!$A2104)),"")</f>
        <v>45350</v>
      </c>
      <c r="C2104" s="49">
        <f>IF(A2104&lt;&gt;"",TIME(HOUR(TRANSACTIONS!$A2104),MINUTE(TRANSACTIONS!$A2104),SECOND(TRANSACTIONS!$A2104)),"")</f>
        <v>0.59335648148148146</v>
      </c>
      <c r="D2104" s="82" t="s">
        <v>62</v>
      </c>
      <c r="E2104" s="82" t="s">
        <v>7</v>
      </c>
      <c r="F2104" s="94">
        <v>35000</v>
      </c>
      <c r="G2104" s="46"/>
      <c r="H2104" s="46">
        <f>IFERROR(TRANSACTIONS!$F2104+TRANSACTIONS!$G2104,"")</f>
        <v>35000</v>
      </c>
      <c r="I2104" s="57" t="s">
        <v>41</v>
      </c>
    </row>
    <row r="2105" spans="1:10" x14ac:dyDescent="0.25">
      <c r="A2105" s="81">
        <v>45350.593367939815</v>
      </c>
      <c r="B2105" s="83">
        <f>IF(A2105&lt;&gt;"",DATE(YEAR(TRANSACTIONS!$A2105),MONTH(TRANSACTIONS!$A2105),DAY(TRANSACTIONS!$A2105)),"")</f>
        <v>45350</v>
      </c>
      <c r="C2105" s="84">
        <f>IF(A2105&lt;&gt;"",TIME(HOUR(TRANSACTIONS!$A2105),MINUTE(TRANSACTIONS!$A2105),SECOND(TRANSACTIONS!$A2105)),"")</f>
        <v>0.5933680555555555</v>
      </c>
      <c r="D2105" s="82" t="s">
        <v>62</v>
      </c>
      <c r="E2105" s="82" t="s">
        <v>7</v>
      </c>
      <c r="F2105" s="94">
        <v>5000</v>
      </c>
      <c r="G2105" s="86"/>
      <c r="H2105" s="86">
        <f>IFERROR(TRANSACTIONS!$F2105+TRANSACTIONS!$G2105,"")</f>
        <v>5000</v>
      </c>
      <c r="I2105" s="87" t="s">
        <v>41</v>
      </c>
    </row>
    <row r="2106" spans="1:10" x14ac:dyDescent="0.25">
      <c r="A2106" s="41">
        <v>45350.593375578705</v>
      </c>
      <c r="B2106" s="48">
        <f>IF(A2106&lt;&gt;"",DATE(YEAR(TRANSACTIONS!$A2106),MONTH(TRANSACTIONS!$A2106),DAY(TRANSACTIONS!$A2106)),"")</f>
        <v>45350</v>
      </c>
      <c r="C2106" s="49">
        <f>IF(A2106&lt;&gt;"",TIME(HOUR(TRANSACTIONS!$A2106),MINUTE(TRANSACTIONS!$A2106),SECOND(TRANSACTIONS!$A2106)),"")</f>
        <v>0.59337962962962965</v>
      </c>
      <c r="D2106" s="82" t="s">
        <v>62</v>
      </c>
      <c r="E2106" s="82" t="s">
        <v>7</v>
      </c>
      <c r="F2106" s="94">
        <v>96000</v>
      </c>
      <c r="G2106" s="46"/>
      <c r="H2106" s="46">
        <f>IFERROR(TRANSACTIONS!$F2106+TRANSACTIONS!$G2106,"")</f>
        <v>96000</v>
      </c>
      <c r="I2106" s="57" t="s">
        <v>41</v>
      </c>
    </row>
    <row r="2107" spans="1:10" x14ac:dyDescent="0.25">
      <c r="A2107" s="41">
        <v>45350.593383101848</v>
      </c>
      <c r="B2107" s="48">
        <f>IF(A2107&lt;&gt;"",DATE(YEAR(TRANSACTIONS!$A2107),MONTH(TRANSACTIONS!$A2107),DAY(TRANSACTIONS!$A2107)),"")</f>
        <v>45350</v>
      </c>
      <c r="C2107" s="49">
        <f>IF(A2107&lt;&gt;"",TIME(HOUR(TRANSACTIONS!$A2107),MINUTE(TRANSACTIONS!$A2107),SECOND(TRANSACTIONS!$A2107)),"")</f>
        <v>0.59337962962962965</v>
      </c>
      <c r="D2107" s="82" t="s">
        <v>62</v>
      </c>
      <c r="E2107" s="82" t="s">
        <v>6</v>
      </c>
      <c r="F2107" s="94">
        <v>5500</v>
      </c>
      <c r="G2107" s="46"/>
      <c r="H2107" s="46">
        <f>IFERROR(TRANSACTIONS!$F2107+TRANSACTIONS!$G2107,"")</f>
        <v>5500</v>
      </c>
      <c r="I2107" s="57" t="s">
        <v>41</v>
      </c>
    </row>
    <row r="2108" spans="1:10" x14ac:dyDescent="0.25">
      <c r="A2108" s="41">
        <v>45350.593393055555</v>
      </c>
      <c r="B2108" s="48">
        <f>IF(A2108&lt;&gt;"",DATE(YEAR(TRANSACTIONS!$A2108),MONTH(TRANSACTIONS!$A2108),DAY(TRANSACTIONS!$A2108)),"")</f>
        <v>45350</v>
      </c>
      <c r="C2108" s="49">
        <f>IF(A2108&lt;&gt;"",TIME(HOUR(TRANSACTIONS!$A2108),MINUTE(TRANSACTIONS!$A2108),SECOND(TRANSACTIONS!$A2108)),"")</f>
        <v>0.59339120370370368</v>
      </c>
      <c r="D2108" s="82" t="s">
        <v>62</v>
      </c>
      <c r="E2108" s="82" t="s">
        <v>7</v>
      </c>
      <c r="F2108" s="94">
        <v>10000</v>
      </c>
      <c r="G2108" s="46"/>
      <c r="H2108" s="46">
        <f>IFERROR(TRANSACTIONS!$F2108+TRANSACTIONS!$G2108,"")</f>
        <v>10000</v>
      </c>
      <c r="I2108" s="57" t="s">
        <v>41</v>
      </c>
    </row>
    <row r="2109" spans="1:10" x14ac:dyDescent="0.25">
      <c r="A2109" s="41">
        <v>45350.593402777777</v>
      </c>
      <c r="B2109" s="48">
        <f>IF(A2109&lt;&gt;"",DATE(YEAR(TRANSACTIONS!$A2109),MONTH(TRANSACTIONS!$A2109),DAY(TRANSACTIONS!$A2109)),"")</f>
        <v>45350</v>
      </c>
      <c r="C2109" s="49">
        <f>IF(A2109&lt;&gt;"",TIME(HOUR(TRANSACTIONS!$A2109),MINUTE(TRANSACTIONS!$A2109),SECOND(TRANSACTIONS!$A2109)),"")</f>
        <v>0.59340277777777783</v>
      </c>
      <c r="D2109" s="82" t="s">
        <v>62</v>
      </c>
      <c r="E2109" s="82" t="s">
        <v>7</v>
      </c>
      <c r="F2109" s="94">
        <v>5000</v>
      </c>
      <c r="G2109" s="46"/>
      <c r="H2109" s="46">
        <f>IFERROR(TRANSACTIONS!$F2109+TRANSACTIONS!$G2109,"")</f>
        <v>5000</v>
      </c>
      <c r="I2109" s="57" t="s">
        <v>41</v>
      </c>
    </row>
    <row r="2110" spans="1:10" x14ac:dyDescent="0.25">
      <c r="A2110" s="113">
        <v>45350.593419444442</v>
      </c>
      <c r="B2110" s="114">
        <f>IF(A2110&lt;&gt;"",DATE(YEAR(TRANSACTIONS!$A2110),MONTH(TRANSACTIONS!$A2110),DAY(TRANSACTIONS!$A2110)),"")</f>
        <v>45350</v>
      </c>
      <c r="C2110" s="115">
        <f>IF(A2110&lt;&gt;"",TIME(HOUR(TRANSACTIONS!$A2110),MINUTE(TRANSACTIONS!$A2110),SECOND(TRANSACTIONS!$A2110)),"")</f>
        <v>0.59341435185185187</v>
      </c>
      <c r="D2110" s="82" t="s">
        <v>62</v>
      </c>
      <c r="E2110" s="82" t="s">
        <v>7</v>
      </c>
      <c r="F2110" s="94">
        <v>5000</v>
      </c>
      <c r="G2110" s="117"/>
      <c r="H2110" s="117">
        <f>IFERROR(TRANSACTIONS!$F2110+TRANSACTIONS!$G2110,"")</f>
        <v>5000</v>
      </c>
      <c r="I2110" s="123" t="s">
        <v>41</v>
      </c>
    </row>
    <row r="2111" spans="1:10" x14ac:dyDescent="0.25">
      <c r="A2111" s="41">
        <v>45350.593426736108</v>
      </c>
      <c r="B2111" s="48">
        <f>IF(A2111&lt;&gt;"",DATE(YEAR(TRANSACTIONS!$A2111),MONTH(TRANSACTIONS!$A2111),DAY(TRANSACTIONS!$A2111)),"")</f>
        <v>45350</v>
      </c>
      <c r="C2111" s="49">
        <f>IF(A2111&lt;&gt;"",TIME(HOUR(TRANSACTIONS!$A2111),MINUTE(TRANSACTIONS!$A2111),SECOND(TRANSACTIONS!$A2111)),"")</f>
        <v>0.59342592592592591</v>
      </c>
      <c r="D2111" s="82" t="s">
        <v>62</v>
      </c>
      <c r="E2111" s="82" t="s">
        <v>6</v>
      </c>
      <c r="F2111" s="94">
        <v>5000</v>
      </c>
      <c r="G2111" s="46"/>
      <c r="H2111" s="46">
        <f>IFERROR(TRANSACTIONS!$F2111+TRANSACTIONS!$G2111,"")</f>
        <v>5000</v>
      </c>
      <c r="I2111" s="57" t="s">
        <v>41</v>
      </c>
    </row>
    <row r="2112" spans="1:10" x14ac:dyDescent="0.25">
      <c r="A2112" s="41">
        <v>45350.593442013887</v>
      </c>
      <c r="B2112" s="48">
        <f>IF(A2112&lt;&gt;"",DATE(YEAR(TRANSACTIONS!$A2112),MONTH(TRANSACTIONS!$A2112),DAY(TRANSACTIONS!$A2112)),"")</f>
        <v>45350</v>
      </c>
      <c r="C2112" s="49">
        <f>IF(A2112&lt;&gt;"",TIME(HOUR(TRANSACTIONS!$A2112),MINUTE(TRANSACTIONS!$A2112),SECOND(TRANSACTIONS!$A2112)),"")</f>
        <v>0.59343749999999995</v>
      </c>
      <c r="D2112" s="82" t="s">
        <v>62</v>
      </c>
      <c r="E2112" s="82" t="s">
        <v>6</v>
      </c>
      <c r="F2112" s="94">
        <v>5000</v>
      </c>
      <c r="G2112" s="46"/>
      <c r="H2112" s="46">
        <f>IFERROR(TRANSACTIONS!$F2112+TRANSACTIONS!$G2112,"")</f>
        <v>5000</v>
      </c>
      <c r="I2112" s="57" t="s">
        <v>41</v>
      </c>
    </row>
    <row r="2113" spans="1:9" x14ac:dyDescent="0.25">
      <c r="A2113" s="41">
        <v>45350.593450578701</v>
      </c>
      <c r="B2113" s="48">
        <f>IF(A2113&lt;&gt;"",DATE(YEAR(TRANSACTIONS!$A2113),MONTH(TRANSACTIONS!$A2113),DAY(TRANSACTIONS!$A2113)),"")</f>
        <v>45350</v>
      </c>
      <c r="C2113" s="49">
        <f>IF(A2113&lt;&gt;"",TIME(HOUR(TRANSACTIONS!$A2113),MINUTE(TRANSACTIONS!$A2113),SECOND(TRANSACTIONS!$A2113)),"")</f>
        <v>0.5934490740740741</v>
      </c>
      <c r="D2113" s="82" t="s">
        <v>62</v>
      </c>
      <c r="E2113" s="82" t="s">
        <v>7</v>
      </c>
      <c r="F2113" s="94">
        <v>20000</v>
      </c>
      <c r="G2113" s="46"/>
      <c r="H2113" s="46">
        <f>IFERROR(TRANSACTIONS!$F2113+TRANSACTIONS!$G2113,"")</f>
        <v>20000</v>
      </c>
      <c r="I2113" s="57" t="s">
        <v>41</v>
      </c>
    </row>
    <row r="2114" spans="1:9" x14ac:dyDescent="0.25">
      <c r="A2114" s="41">
        <v>45350.593458101852</v>
      </c>
      <c r="B2114" s="48">
        <f>IF(A2114&lt;&gt;"",DATE(YEAR(TRANSACTIONS!$A2114),MONTH(TRANSACTIONS!$A2114),DAY(TRANSACTIONS!$A2114)),"")</f>
        <v>45350</v>
      </c>
      <c r="C2114" s="49">
        <f>IF(A2114&lt;&gt;"",TIME(HOUR(TRANSACTIONS!$A2114),MINUTE(TRANSACTIONS!$A2114),SECOND(TRANSACTIONS!$A2114)),"")</f>
        <v>0.59346064814814814</v>
      </c>
      <c r="D2114" s="82" t="s">
        <v>25</v>
      </c>
      <c r="E2114" s="82" t="s">
        <v>7</v>
      </c>
      <c r="F2114" s="94">
        <v>100000</v>
      </c>
      <c r="G2114" s="46"/>
      <c r="H2114" s="46">
        <f>IFERROR(TRANSACTIONS!$F2114+TRANSACTIONS!$G2114,"")</f>
        <v>100000</v>
      </c>
      <c r="I2114" s="57" t="s">
        <v>41</v>
      </c>
    </row>
    <row r="2115" spans="1:9" x14ac:dyDescent="0.25">
      <c r="A2115" s="41">
        <v>45350.593473726854</v>
      </c>
      <c r="B2115" s="48">
        <f>IF(A2115&lt;&gt;"",DATE(YEAR(TRANSACTIONS!$A2115),MONTH(TRANSACTIONS!$A2115),DAY(TRANSACTIONS!$A2115)),"")</f>
        <v>45350</v>
      </c>
      <c r="C2115" s="49">
        <f>IF(A2115&lt;&gt;"",TIME(HOUR(TRANSACTIONS!$A2115),MINUTE(TRANSACTIONS!$A2115),SECOND(TRANSACTIONS!$A2115)),"")</f>
        <v>0.59347222222222229</v>
      </c>
      <c r="D2115" s="82" t="s">
        <v>25</v>
      </c>
      <c r="E2115" s="82" t="s">
        <v>6</v>
      </c>
      <c r="F2115" s="94">
        <v>45000</v>
      </c>
      <c r="G2115" s="46"/>
      <c r="H2115" s="46">
        <f>IFERROR(TRANSACTIONS!$F2115+TRANSACTIONS!$G2115,"")</f>
        <v>45000</v>
      </c>
      <c r="I2115" s="57" t="s">
        <v>41</v>
      </c>
    </row>
    <row r="2116" spans="1:9" x14ac:dyDescent="0.25">
      <c r="A2116" s="41">
        <v>45350.593698263889</v>
      </c>
      <c r="B2116" s="48">
        <f>IF(A2116&lt;&gt;"",DATE(YEAR(TRANSACTIONS!$A2116),MONTH(TRANSACTIONS!$A2116),DAY(TRANSACTIONS!$A2116)),"")</f>
        <v>45350</v>
      </c>
      <c r="C2116" s="49">
        <f>IF(A2116&lt;&gt;"",TIME(HOUR(TRANSACTIONS!$A2116),MINUTE(TRANSACTIONS!$A2116),SECOND(TRANSACTIONS!$A2116)),"")</f>
        <v>0.59370370370370373</v>
      </c>
      <c r="D2116" s="82" t="s">
        <v>25</v>
      </c>
      <c r="E2116" s="82" t="s">
        <v>7</v>
      </c>
      <c r="F2116" s="94">
        <v>25000</v>
      </c>
      <c r="G2116" s="46"/>
      <c r="H2116" s="46">
        <f>IFERROR(TRANSACTIONS!$F2116+TRANSACTIONS!$G2116,"")</f>
        <v>25000</v>
      </c>
      <c r="I2116" s="57" t="s">
        <v>41</v>
      </c>
    </row>
    <row r="2117" spans="1:9" x14ac:dyDescent="0.25">
      <c r="A2117" s="41">
        <v>45350.593997337965</v>
      </c>
      <c r="B2117" s="48">
        <f>IF(A2117&lt;&gt;"",DATE(YEAR(TRANSACTIONS!$A2117),MONTH(TRANSACTIONS!$A2117),DAY(TRANSACTIONS!$A2117)),"")</f>
        <v>45350</v>
      </c>
      <c r="C2117" s="49">
        <f>IF(A2117&lt;&gt;"",TIME(HOUR(TRANSACTIONS!$A2117),MINUTE(TRANSACTIONS!$A2117),SECOND(TRANSACTIONS!$A2117)),"")</f>
        <v>0.59399305555555559</v>
      </c>
      <c r="D2117" s="82" t="s">
        <v>25</v>
      </c>
      <c r="E2117" s="82" t="s">
        <v>6</v>
      </c>
      <c r="F2117" s="94">
        <v>230000</v>
      </c>
      <c r="G2117" s="46"/>
      <c r="H2117" s="46">
        <f>IFERROR(TRANSACTIONS!$F2117+TRANSACTIONS!$G2117,"")</f>
        <v>230000</v>
      </c>
      <c r="I2117" s="57" t="s">
        <v>41</v>
      </c>
    </row>
    <row r="2118" spans="1:9" x14ac:dyDescent="0.25">
      <c r="A2118" s="41">
        <v>45350.594005671293</v>
      </c>
      <c r="B2118" s="48">
        <f>IF(A2118&lt;&gt;"",DATE(YEAR(TRANSACTIONS!$A2118),MONTH(TRANSACTIONS!$A2118),DAY(TRANSACTIONS!$A2118)),"")</f>
        <v>45350</v>
      </c>
      <c r="C2118" s="49">
        <f>IF(A2118&lt;&gt;"",TIME(HOUR(TRANSACTIONS!$A2118),MINUTE(TRANSACTIONS!$A2118),SECOND(TRANSACTIONS!$A2118)),"")</f>
        <v>0.59400462962962963</v>
      </c>
      <c r="D2118" s="82" t="s">
        <v>62</v>
      </c>
      <c r="E2118" s="82" t="s">
        <v>7</v>
      </c>
      <c r="F2118" s="94">
        <v>2000</v>
      </c>
      <c r="G2118" s="46"/>
      <c r="H2118" s="46">
        <f>IFERROR(TRANSACTIONS!$F2118+TRANSACTIONS!$G2118,"")</f>
        <v>2000</v>
      </c>
      <c r="I2118" s="57" t="s">
        <v>41</v>
      </c>
    </row>
    <row r="2119" spans="1:9" x14ac:dyDescent="0.25">
      <c r="A2119" s="41">
        <v>45350.594013773145</v>
      </c>
      <c r="B2119" s="48">
        <f>IF(A2119&lt;&gt;"",DATE(YEAR(TRANSACTIONS!$A2119),MONTH(TRANSACTIONS!$A2119),DAY(TRANSACTIONS!$A2119)),"")</f>
        <v>45350</v>
      </c>
      <c r="C2119" s="49">
        <f>IF(A2119&lt;&gt;"",TIME(HOUR(TRANSACTIONS!$A2119),MINUTE(TRANSACTIONS!$A2119),SECOND(TRANSACTIONS!$A2119)),"")</f>
        <v>0.59401620370370367</v>
      </c>
      <c r="D2119" s="82" t="s">
        <v>62</v>
      </c>
      <c r="E2119" s="82" t="s">
        <v>6</v>
      </c>
      <c r="F2119" s="94">
        <v>3000</v>
      </c>
      <c r="G2119" s="46"/>
      <c r="H2119" s="46">
        <f>IFERROR(TRANSACTIONS!$F2119+TRANSACTIONS!$G2119,"")</f>
        <v>3000</v>
      </c>
      <c r="I2119" s="57" t="s">
        <v>41</v>
      </c>
    </row>
    <row r="2120" spans="1:9" x14ac:dyDescent="0.25">
      <c r="A2120" s="41"/>
      <c r="B2120" s="48" t="str">
        <f>IF(A2120&lt;&gt;"",DATE(YEAR(TRANSACTIONS!$A2120),MONTH(TRANSACTIONS!$A2120),DAY(TRANSACTIONS!$A2120)),"")</f>
        <v/>
      </c>
      <c r="C2120" s="49" t="str">
        <f>IF(A2120&lt;&gt;"",TIME(HOUR(TRANSACTIONS!$A2120),MINUTE(TRANSACTIONS!$A2120),SECOND(TRANSACTIONS!$A2120)),"")</f>
        <v/>
      </c>
      <c r="D2120" s="82"/>
      <c r="E2120" s="82"/>
      <c r="F2120" s="94"/>
      <c r="G2120" s="46"/>
      <c r="H2120" s="46">
        <f>IFERROR(TRANSACTIONS!$F2120+TRANSACTIONS!$G2120,"")</f>
        <v>0</v>
      </c>
      <c r="I2120" s="57" t="s">
        <v>41</v>
      </c>
    </row>
    <row r="2121" spans="1:9" x14ac:dyDescent="0.25">
      <c r="A2121" s="41">
        <v>45351.444710416668</v>
      </c>
      <c r="B2121" s="48">
        <f>IF(A2121&lt;&gt;"",DATE(YEAR(TRANSACTIONS!$A2121),MONTH(TRANSACTIONS!$A2121),DAY(TRANSACTIONS!$A2121)),"")</f>
        <v>45351</v>
      </c>
      <c r="C2121" s="49">
        <f>IF(A2121&lt;&gt;"",TIME(HOUR(TRANSACTIONS!$A2121),MINUTE(TRANSACTIONS!$A2121),SECOND(TRANSACTIONS!$A2121)),"")</f>
        <v>0.44471064814814815</v>
      </c>
      <c r="D2121" s="82" t="s">
        <v>62</v>
      </c>
      <c r="E2121" s="82" t="s">
        <v>7</v>
      </c>
      <c r="F2121" s="94">
        <v>500</v>
      </c>
      <c r="G2121" s="46"/>
      <c r="H2121" s="46">
        <f>IFERROR(TRANSACTIONS!$F2121+TRANSACTIONS!$G2121,"")</f>
        <v>500</v>
      </c>
      <c r="I2121" s="57" t="s">
        <v>41</v>
      </c>
    </row>
    <row r="2122" spans="1:9" x14ac:dyDescent="0.25">
      <c r="A2122" s="41">
        <v>45351.444724537039</v>
      </c>
      <c r="B2122" s="48">
        <f>IF(A2122&lt;&gt;"",DATE(YEAR(TRANSACTIONS!$A2122),MONTH(TRANSACTIONS!$A2122),DAY(TRANSACTIONS!$A2122)),"")</f>
        <v>45351</v>
      </c>
      <c r="C2122" s="49">
        <f>IF(A2122&lt;&gt;"",TIME(HOUR(TRANSACTIONS!$A2122),MINUTE(TRANSACTIONS!$A2122),SECOND(TRANSACTIONS!$A2122)),"")</f>
        <v>0.44472222222222224</v>
      </c>
      <c r="D2122" s="82" t="s">
        <v>62</v>
      </c>
      <c r="E2122" s="82" t="s">
        <v>7</v>
      </c>
      <c r="F2122" s="94">
        <v>7000</v>
      </c>
      <c r="G2122" s="46"/>
      <c r="H2122" s="46">
        <f>IFERROR(TRANSACTIONS!$F2122+TRANSACTIONS!$G2122,"")</f>
        <v>7000</v>
      </c>
      <c r="I2122" s="57" t="s">
        <v>41</v>
      </c>
    </row>
    <row r="2123" spans="1:9" x14ac:dyDescent="0.25">
      <c r="A2123" s="41">
        <v>45351.444757060184</v>
      </c>
      <c r="B2123" s="48">
        <f>IF(A2123&lt;&gt;"",DATE(YEAR(TRANSACTIONS!$A2123),MONTH(TRANSACTIONS!$A2123),DAY(TRANSACTIONS!$A2123)),"")</f>
        <v>45351</v>
      </c>
      <c r="C2123" s="49">
        <f>IF(A2123&lt;&gt;"",TIME(HOUR(TRANSACTIONS!$A2123),MINUTE(TRANSACTIONS!$A2123),SECOND(TRANSACTIONS!$A2123)),"")</f>
        <v>0.44475694444444441</v>
      </c>
      <c r="D2123" s="82" t="s">
        <v>62</v>
      </c>
      <c r="E2123" s="82" t="s">
        <v>7</v>
      </c>
      <c r="F2123" s="94">
        <v>80000</v>
      </c>
      <c r="G2123" s="46"/>
      <c r="H2123" s="46">
        <f>IFERROR(TRANSACTIONS!$F2123+TRANSACTIONS!$G2123,"")</f>
        <v>80000</v>
      </c>
      <c r="I2123" s="57" t="s">
        <v>41</v>
      </c>
    </row>
    <row r="2124" spans="1:9" x14ac:dyDescent="0.25">
      <c r="A2124" s="41">
        <v>45351.44476539352</v>
      </c>
      <c r="B2124" s="48">
        <f>IF(A2124&lt;&gt;"",DATE(YEAR(TRANSACTIONS!$A2124),MONTH(TRANSACTIONS!$A2124),DAY(TRANSACTIONS!$A2124)),"")</f>
        <v>45351</v>
      </c>
      <c r="C2124" s="49">
        <f>IF(A2124&lt;&gt;"",TIME(HOUR(TRANSACTIONS!$A2124),MINUTE(TRANSACTIONS!$A2124),SECOND(TRANSACTIONS!$A2124)),"")</f>
        <v>0.44476851851851856</v>
      </c>
      <c r="D2124" s="82" t="s">
        <v>62</v>
      </c>
      <c r="E2124" s="82" t="s">
        <v>7</v>
      </c>
      <c r="F2124" s="94">
        <v>1000</v>
      </c>
      <c r="G2124" s="46"/>
      <c r="H2124" s="46">
        <f>IFERROR(TRANSACTIONS!$F2124+TRANSACTIONS!$G2124,"")</f>
        <v>1000</v>
      </c>
      <c r="I2124" s="57" t="s">
        <v>41</v>
      </c>
    </row>
    <row r="2125" spans="1:9" x14ac:dyDescent="0.25">
      <c r="A2125" s="41">
        <v>45351.444773148149</v>
      </c>
      <c r="B2125" s="48">
        <f>IF(A2125&lt;&gt;"",DATE(YEAR(TRANSACTIONS!$A2125),MONTH(TRANSACTIONS!$A2125),DAY(TRANSACTIONS!$A2125)),"")</f>
        <v>45351</v>
      </c>
      <c r="C2125" s="49">
        <f>IF(A2125&lt;&gt;"",TIME(HOUR(TRANSACTIONS!$A2125),MINUTE(TRANSACTIONS!$A2125),SECOND(TRANSACTIONS!$A2125)),"")</f>
        <v>0.44476851851851856</v>
      </c>
      <c r="D2125" s="82" t="s">
        <v>64</v>
      </c>
      <c r="E2125" s="82" t="s">
        <v>7</v>
      </c>
      <c r="F2125" s="94">
        <v>600000</v>
      </c>
      <c r="G2125" s="46"/>
      <c r="H2125" s="46">
        <f>IFERROR(TRANSACTIONS!$F2125+TRANSACTIONS!$G2125,"")</f>
        <v>600000</v>
      </c>
      <c r="I2125" s="57" t="s">
        <v>41</v>
      </c>
    </row>
    <row r="2126" spans="1:9" x14ac:dyDescent="0.25">
      <c r="A2126" s="41">
        <v>45351.444780787038</v>
      </c>
      <c r="B2126" s="48">
        <f>IF(A2126&lt;&gt;"",DATE(YEAR(TRANSACTIONS!$A2126),MONTH(TRANSACTIONS!$A2126),DAY(TRANSACTIONS!$A2126)),"")</f>
        <v>45351</v>
      </c>
      <c r="C2126" s="49">
        <f>IF(A2126&lt;&gt;"",TIME(HOUR(TRANSACTIONS!$A2126),MINUTE(TRANSACTIONS!$A2126),SECOND(TRANSACTIONS!$A2126)),"")</f>
        <v>0.4447800925925926</v>
      </c>
      <c r="D2126" s="82" t="s">
        <v>62</v>
      </c>
      <c r="E2126" s="82" t="s">
        <v>6</v>
      </c>
      <c r="F2126" s="94">
        <v>600000</v>
      </c>
      <c r="G2126" s="46"/>
      <c r="H2126" s="46">
        <f>IFERROR(TRANSACTIONS!$F2126+TRANSACTIONS!$G2126,"")</f>
        <v>600000</v>
      </c>
      <c r="I2126" s="57" t="s">
        <v>41</v>
      </c>
    </row>
    <row r="2127" spans="1:9" x14ac:dyDescent="0.25">
      <c r="A2127" s="41">
        <v>45351.444788194443</v>
      </c>
      <c r="B2127" s="48">
        <f>IF(A2127&lt;&gt;"",DATE(YEAR(TRANSACTIONS!$A2127),MONTH(TRANSACTIONS!$A2127),DAY(TRANSACTIONS!$A2127)),"")</f>
        <v>45351</v>
      </c>
      <c r="C2127" s="49">
        <f>IF(A2127&lt;&gt;"",TIME(HOUR(TRANSACTIONS!$A2127),MINUTE(TRANSACTIONS!$A2127),SECOND(TRANSACTIONS!$A2127)),"")</f>
        <v>0.4447916666666667</v>
      </c>
      <c r="D2127" s="82" t="s">
        <v>62</v>
      </c>
      <c r="E2127" s="82" t="s">
        <v>6</v>
      </c>
      <c r="F2127" s="94">
        <v>60000</v>
      </c>
      <c r="G2127" s="46"/>
      <c r="H2127" s="46">
        <f>IFERROR(TRANSACTIONS!$F2127+TRANSACTIONS!$G2127,"")</f>
        <v>60000</v>
      </c>
      <c r="I2127" s="57" t="s">
        <v>41</v>
      </c>
    </row>
    <row r="2128" spans="1:9" x14ac:dyDescent="0.25">
      <c r="A2128" s="81">
        <v>45351.444803703707</v>
      </c>
      <c r="B2128" s="83">
        <f>IF(A2128&lt;&gt;"",DATE(YEAR(TRANSACTIONS!$A2128),MONTH(TRANSACTIONS!$A2128),DAY(TRANSACTIONS!$A2128)),"")</f>
        <v>45351</v>
      </c>
      <c r="C2128" s="84">
        <f>IF(A2128&lt;&gt;"",TIME(HOUR(TRANSACTIONS!$A2128),MINUTE(TRANSACTIONS!$A2128),SECOND(TRANSACTIONS!$A2128)),"")</f>
        <v>0.44480324074074074</v>
      </c>
      <c r="D2128" s="82" t="s">
        <v>62</v>
      </c>
      <c r="E2128" s="82" t="s">
        <v>7</v>
      </c>
      <c r="F2128" s="94">
        <v>95000</v>
      </c>
      <c r="G2128" s="86"/>
      <c r="H2128" s="86">
        <f>IFERROR(TRANSACTIONS!$F2128+TRANSACTIONS!$G2128,"")</f>
        <v>95000</v>
      </c>
      <c r="I2128" s="87" t="s">
        <v>41</v>
      </c>
    </row>
    <row r="2129" spans="1:9" x14ac:dyDescent="0.25">
      <c r="A2129" s="41">
        <v>45351.444811111112</v>
      </c>
      <c r="B2129" s="48">
        <f>IF(A2129&lt;&gt;"",DATE(YEAR(TRANSACTIONS!$A2129),MONTH(TRANSACTIONS!$A2129),DAY(TRANSACTIONS!$A2129)),"")</f>
        <v>45351</v>
      </c>
      <c r="C2129" s="49">
        <f>IF(A2129&lt;&gt;"",TIME(HOUR(TRANSACTIONS!$A2129),MINUTE(TRANSACTIONS!$A2129),SECOND(TRANSACTIONS!$A2129)),"")</f>
        <v>0.44481481481481483</v>
      </c>
      <c r="D2129" s="82" t="s">
        <v>62</v>
      </c>
      <c r="E2129" s="82" t="s">
        <v>7</v>
      </c>
      <c r="F2129" s="94">
        <v>1000</v>
      </c>
      <c r="G2129" s="46"/>
      <c r="H2129" s="46">
        <f>IFERROR(TRANSACTIONS!$F2129+TRANSACTIONS!$G2129,"")</f>
        <v>1000</v>
      </c>
      <c r="I2129" s="57" t="s">
        <v>41</v>
      </c>
    </row>
    <row r="2130" spans="1:9" x14ac:dyDescent="0.25">
      <c r="A2130" s="41">
        <v>45351.444818750002</v>
      </c>
      <c r="B2130" s="48">
        <f>IF(A2130&lt;&gt;"",DATE(YEAR(TRANSACTIONS!$A2130),MONTH(TRANSACTIONS!$A2130),DAY(TRANSACTIONS!$A2130)),"")</f>
        <v>45351</v>
      </c>
      <c r="C2130" s="49">
        <f>IF(A2130&lt;&gt;"",TIME(HOUR(TRANSACTIONS!$A2130),MINUTE(TRANSACTIONS!$A2130),SECOND(TRANSACTIONS!$A2130)),"")</f>
        <v>0.44481481481481483</v>
      </c>
      <c r="D2130" s="82" t="s">
        <v>62</v>
      </c>
      <c r="E2130" s="82" t="s">
        <v>7</v>
      </c>
      <c r="F2130" s="94">
        <v>10000</v>
      </c>
      <c r="G2130" s="46"/>
      <c r="H2130" s="46">
        <f>IFERROR(TRANSACTIONS!$F2130+TRANSACTIONS!$G2130,"")</f>
        <v>10000</v>
      </c>
      <c r="I2130" s="57" t="s">
        <v>41</v>
      </c>
    </row>
    <row r="2131" spans="1:9" x14ac:dyDescent="0.25">
      <c r="A2131" s="41">
        <v>45351.444826736108</v>
      </c>
      <c r="B2131" s="48">
        <f>IF(A2131&lt;&gt;"",DATE(YEAR(TRANSACTIONS!$A2131),MONTH(TRANSACTIONS!$A2131),DAY(TRANSACTIONS!$A2131)),"")</f>
        <v>45351</v>
      </c>
      <c r="C2131" s="49">
        <f>IF(A2131&lt;&gt;"",TIME(HOUR(TRANSACTIONS!$A2131),MINUTE(TRANSACTIONS!$A2131),SECOND(TRANSACTIONS!$A2131)),"")</f>
        <v>0.44482638888888887</v>
      </c>
      <c r="D2131" s="82" t="s">
        <v>62</v>
      </c>
      <c r="E2131" s="82" t="s">
        <v>7</v>
      </c>
      <c r="F2131" s="94">
        <v>5000</v>
      </c>
      <c r="G2131" s="46"/>
      <c r="H2131" s="46">
        <f>IFERROR(TRANSACTIONS!$F2131+TRANSACTIONS!$G2131,"")</f>
        <v>5000</v>
      </c>
      <c r="I2131" s="57" t="s">
        <v>41</v>
      </c>
    </row>
    <row r="2132" spans="1:9" x14ac:dyDescent="0.25">
      <c r="A2132" s="41">
        <v>45351.444835185182</v>
      </c>
      <c r="B2132" s="48">
        <f>IF(A2132&lt;&gt;"",DATE(YEAR(TRANSACTIONS!$A2132),MONTH(TRANSACTIONS!$A2132),DAY(TRANSACTIONS!$A2132)),"")</f>
        <v>45351</v>
      </c>
      <c r="C2132" s="49">
        <f>IF(A2132&lt;&gt;"",TIME(HOUR(TRANSACTIONS!$A2132),MINUTE(TRANSACTIONS!$A2132),SECOND(TRANSACTIONS!$A2132)),"")</f>
        <v>0.44483796296296302</v>
      </c>
      <c r="D2132" s="82" t="s">
        <v>62</v>
      </c>
      <c r="E2132" s="82" t="s">
        <v>6</v>
      </c>
      <c r="F2132" s="94">
        <v>100000</v>
      </c>
      <c r="G2132" s="46"/>
      <c r="H2132" s="46">
        <f>IFERROR(TRANSACTIONS!$F2132+TRANSACTIONS!$G2132,"")</f>
        <v>100000</v>
      </c>
      <c r="I2132" s="57" t="s">
        <v>41</v>
      </c>
    </row>
    <row r="2133" spans="1:9" x14ac:dyDescent="0.25">
      <c r="A2133" s="41">
        <v>45351.444843518519</v>
      </c>
      <c r="B2133" s="48">
        <f>IF(A2133&lt;&gt;"",DATE(YEAR(TRANSACTIONS!$A2133),MONTH(TRANSACTIONS!$A2133),DAY(TRANSACTIONS!$A2133)),"")</f>
        <v>45351</v>
      </c>
      <c r="C2133" s="49">
        <f>IF(A2133&lt;&gt;"",TIME(HOUR(TRANSACTIONS!$A2133),MINUTE(TRANSACTIONS!$A2133),SECOND(TRANSACTIONS!$A2133)),"")</f>
        <v>0.44483796296296302</v>
      </c>
      <c r="D2133" s="82" t="s">
        <v>62</v>
      </c>
      <c r="E2133" s="82" t="s">
        <v>7</v>
      </c>
      <c r="F2133" s="94">
        <v>10000</v>
      </c>
      <c r="G2133" s="46"/>
      <c r="H2133" s="46">
        <f>IFERROR(TRANSACTIONS!$F2133+TRANSACTIONS!$G2133,"")</f>
        <v>10000</v>
      </c>
      <c r="I2133" s="57" t="s">
        <v>41</v>
      </c>
    </row>
    <row r="2134" spans="1:9" x14ac:dyDescent="0.25">
      <c r="A2134" s="41">
        <v>45351.444852199071</v>
      </c>
      <c r="B2134" s="48">
        <f>IF(A2134&lt;&gt;"",DATE(YEAR(TRANSACTIONS!$A2134),MONTH(TRANSACTIONS!$A2134),DAY(TRANSACTIONS!$A2134)),"")</f>
        <v>45351</v>
      </c>
      <c r="C2134" s="49">
        <f>IF(A2134&lt;&gt;"",TIME(HOUR(TRANSACTIONS!$A2134),MINUTE(TRANSACTIONS!$A2134),SECOND(TRANSACTIONS!$A2134)),"")</f>
        <v>0.44484953703703706</v>
      </c>
      <c r="D2134" s="82" t="s">
        <v>62</v>
      </c>
      <c r="E2134" s="82" t="s">
        <v>6</v>
      </c>
      <c r="F2134" s="94">
        <v>10000</v>
      </c>
      <c r="G2134" s="46"/>
      <c r="H2134" s="46">
        <f>IFERROR(TRANSACTIONS!$F2134+TRANSACTIONS!$G2134,"")</f>
        <v>10000</v>
      </c>
      <c r="I2134" s="57" t="s">
        <v>41</v>
      </c>
    </row>
    <row r="2135" spans="1:9" x14ac:dyDescent="0.25">
      <c r="A2135" s="41">
        <v>45351.444863888886</v>
      </c>
      <c r="B2135" s="48">
        <f>IF(A2135&lt;&gt;"",DATE(YEAR(TRANSACTIONS!$A2135),MONTH(TRANSACTIONS!$A2135),DAY(TRANSACTIONS!$A2135)),"")</f>
        <v>45351</v>
      </c>
      <c r="C2135" s="49">
        <f>IF(A2135&lt;&gt;"",TIME(HOUR(TRANSACTIONS!$A2135),MINUTE(TRANSACTIONS!$A2135),SECOND(TRANSACTIONS!$A2135)),"")</f>
        <v>0.4448611111111111</v>
      </c>
      <c r="D2135" s="82" t="s">
        <v>62</v>
      </c>
      <c r="E2135" s="82" t="s">
        <v>6</v>
      </c>
      <c r="F2135" s="94">
        <v>1100</v>
      </c>
      <c r="G2135" s="46"/>
      <c r="H2135" s="46">
        <f>IFERROR(TRANSACTIONS!$F2135+TRANSACTIONS!$G2135,"")</f>
        <v>1100</v>
      </c>
      <c r="I2135" s="57" t="s">
        <v>41</v>
      </c>
    </row>
    <row r="2136" spans="1:9" x14ac:dyDescent="0.25">
      <c r="A2136" s="41">
        <v>45351.444871296299</v>
      </c>
      <c r="B2136" s="48">
        <f>IF(A2136&lt;&gt;"",DATE(YEAR(TRANSACTIONS!$A2136),MONTH(TRANSACTIONS!$A2136),DAY(TRANSACTIONS!$A2136)),"")</f>
        <v>45351</v>
      </c>
      <c r="C2136" s="49">
        <f>IF(A2136&lt;&gt;"",TIME(HOUR(TRANSACTIONS!$A2136),MINUTE(TRANSACTIONS!$A2136),SECOND(TRANSACTIONS!$A2136)),"")</f>
        <v>0.44487268518518519</v>
      </c>
      <c r="D2136" s="82" t="s">
        <v>62</v>
      </c>
      <c r="E2136" s="82" t="s">
        <v>7</v>
      </c>
      <c r="F2136" s="94">
        <v>40000</v>
      </c>
      <c r="G2136" s="46"/>
      <c r="H2136" s="46">
        <f>IFERROR(TRANSACTIONS!$F2136+TRANSACTIONS!$G2136,"")</f>
        <v>40000</v>
      </c>
      <c r="I2136" s="57" t="s">
        <v>41</v>
      </c>
    </row>
    <row r="2137" spans="1:9" x14ac:dyDescent="0.25">
      <c r="A2137" s="41">
        <v>45351.444882060183</v>
      </c>
      <c r="B2137" s="48">
        <f>IF(A2137&lt;&gt;"",DATE(YEAR(TRANSACTIONS!$A2137),MONTH(TRANSACTIONS!$A2137),DAY(TRANSACTIONS!$A2137)),"")</f>
        <v>45351</v>
      </c>
      <c r="C2137" s="49">
        <f>IF(A2137&lt;&gt;"",TIME(HOUR(TRANSACTIONS!$A2137),MINUTE(TRANSACTIONS!$A2137),SECOND(TRANSACTIONS!$A2137)),"")</f>
        <v>0.44488425925925923</v>
      </c>
      <c r="D2137" s="82" t="s">
        <v>62</v>
      </c>
      <c r="E2137" s="82" t="s">
        <v>7</v>
      </c>
      <c r="F2137" s="94">
        <v>1000</v>
      </c>
      <c r="G2137" s="46"/>
      <c r="H2137" s="46">
        <f>IFERROR(TRANSACTIONS!$F2137+TRANSACTIONS!$G2137,"")</f>
        <v>1000</v>
      </c>
      <c r="I2137" s="57" t="s">
        <v>41</v>
      </c>
    </row>
    <row r="2138" spans="1:9" x14ac:dyDescent="0.25">
      <c r="A2138" s="41">
        <v>45351.444891087966</v>
      </c>
      <c r="B2138" s="48">
        <f>IF(A2138&lt;&gt;"",DATE(YEAR(TRANSACTIONS!$A2138),MONTH(TRANSACTIONS!$A2138),DAY(TRANSACTIONS!$A2138)),"")</f>
        <v>45351</v>
      </c>
      <c r="C2138" s="49">
        <f>IF(A2138&lt;&gt;"",TIME(HOUR(TRANSACTIONS!$A2138),MINUTE(TRANSACTIONS!$A2138),SECOND(TRANSACTIONS!$A2138)),"")</f>
        <v>0.44489583333333332</v>
      </c>
      <c r="D2138" s="82" t="s">
        <v>62</v>
      </c>
      <c r="E2138" s="82" t="s">
        <v>6</v>
      </c>
      <c r="F2138" s="94">
        <v>40000</v>
      </c>
      <c r="G2138" s="46"/>
      <c r="H2138" s="46">
        <f>IFERROR(TRANSACTIONS!$F2138+TRANSACTIONS!$G2138,"")</f>
        <v>40000</v>
      </c>
      <c r="I2138" s="57" t="s">
        <v>41</v>
      </c>
    </row>
    <row r="2139" spans="1:9" x14ac:dyDescent="0.25">
      <c r="A2139" s="41">
        <v>45351.444899884256</v>
      </c>
      <c r="B2139" s="48">
        <f>IF(A2139&lt;&gt;"",DATE(YEAR(TRANSACTIONS!$A2139),MONTH(TRANSACTIONS!$A2139),DAY(TRANSACTIONS!$A2139)),"")</f>
        <v>45351</v>
      </c>
      <c r="C2139" s="49">
        <f>IF(A2139&lt;&gt;"",TIME(HOUR(TRANSACTIONS!$A2139),MINUTE(TRANSACTIONS!$A2139),SECOND(TRANSACTIONS!$A2139)),"")</f>
        <v>0.44489583333333332</v>
      </c>
      <c r="D2139" s="82" t="s">
        <v>25</v>
      </c>
      <c r="E2139" s="82" t="s">
        <v>6</v>
      </c>
      <c r="F2139" s="94">
        <v>1000</v>
      </c>
      <c r="G2139" s="46"/>
      <c r="H2139" s="46">
        <f>IFERROR(TRANSACTIONS!$F2139+TRANSACTIONS!$G2139,"")</f>
        <v>1000</v>
      </c>
      <c r="I2139" s="57" t="s">
        <v>41</v>
      </c>
    </row>
    <row r="2140" spans="1:9" x14ac:dyDescent="0.25">
      <c r="A2140" s="41">
        <v>45351.444907870369</v>
      </c>
      <c r="B2140" s="48">
        <f>IF(A2140&lt;&gt;"",DATE(YEAR(TRANSACTIONS!$A2140),MONTH(TRANSACTIONS!$A2140),DAY(TRANSACTIONS!$A2140)),"")</f>
        <v>45351</v>
      </c>
      <c r="C2140" s="49">
        <f>IF(A2140&lt;&gt;"",TIME(HOUR(TRANSACTIONS!$A2140),MINUTE(TRANSACTIONS!$A2140),SECOND(TRANSACTIONS!$A2140)),"")</f>
        <v>0.44490740740740736</v>
      </c>
      <c r="D2140" s="82" t="s">
        <v>25</v>
      </c>
      <c r="E2140" s="82" t="s">
        <v>7</v>
      </c>
      <c r="F2140" s="94">
        <v>76900</v>
      </c>
      <c r="G2140" s="46"/>
      <c r="H2140" s="46">
        <f>IFERROR(TRANSACTIONS!$F2140+TRANSACTIONS!$G2140,"")</f>
        <v>76900</v>
      </c>
      <c r="I2140" s="57" t="s">
        <v>41</v>
      </c>
    </row>
    <row r="2141" spans="1:9" x14ac:dyDescent="0.25">
      <c r="A2141" s="41">
        <v>45351.444935763888</v>
      </c>
      <c r="B2141" s="48">
        <f>IF(A2141&lt;&gt;"",DATE(YEAR(TRANSACTIONS!$A2141),MONTH(TRANSACTIONS!$A2141),DAY(TRANSACTIONS!$A2141)),"")</f>
        <v>45351</v>
      </c>
      <c r="C2141" s="49">
        <f>IF(A2141&lt;&gt;"",TIME(HOUR(TRANSACTIONS!$A2141),MINUTE(TRANSACTIONS!$A2141),SECOND(TRANSACTIONS!$A2141)),"")</f>
        <v>0.44493055555555555</v>
      </c>
      <c r="D2141" s="82" t="s">
        <v>25</v>
      </c>
      <c r="E2141" s="82" t="s">
        <v>6</v>
      </c>
      <c r="F2141" s="94">
        <v>5050</v>
      </c>
      <c r="G2141" s="46"/>
      <c r="H2141" s="46">
        <f>IFERROR(TRANSACTIONS!$F2141+TRANSACTIONS!$G2141,"")</f>
        <v>5050</v>
      </c>
      <c r="I2141" s="57" t="s">
        <v>41</v>
      </c>
    </row>
    <row r="2142" spans="1:9" x14ac:dyDescent="0.25">
      <c r="A2142" s="41">
        <v>45351.444944791663</v>
      </c>
      <c r="B2142" s="48">
        <f>IF(A2142&lt;&gt;"",DATE(YEAR(TRANSACTIONS!$A2142),MONTH(TRANSACTIONS!$A2142),DAY(TRANSACTIONS!$A2142)),"")</f>
        <v>45351</v>
      </c>
      <c r="C2142" s="49">
        <f>IF(A2142&lt;&gt;"",TIME(HOUR(TRANSACTIONS!$A2142),MINUTE(TRANSACTIONS!$A2142),SECOND(TRANSACTIONS!$A2142)),"")</f>
        <v>0.44494212962962965</v>
      </c>
      <c r="D2142" s="82" t="s">
        <v>25</v>
      </c>
      <c r="E2142" s="82" t="s">
        <v>6</v>
      </c>
      <c r="F2142" s="94">
        <v>35000</v>
      </c>
      <c r="G2142" s="46"/>
      <c r="H2142" s="46">
        <f>IFERROR(TRANSACTIONS!$F2142+TRANSACTIONS!$G2142,"")</f>
        <v>35000</v>
      </c>
      <c r="I2142" s="57" t="s">
        <v>41</v>
      </c>
    </row>
    <row r="2143" spans="1:9" x14ac:dyDescent="0.25">
      <c r="A2143" s="41">
        <v>45351.444953819446</v>
      </c>
      <c r="B2143" s="48">
        <f>IF(A2143&lt;&gt;"",DATE(YEAR(TRANSACTIONS!$A2143),MONTH(TRANSACTIONS!$A2143),DAY(TRANSACTIONS!$A2143)),"")</f>
        <v>45351</v>
      </c>
      <c r="C2143" s="49">
        <f>IF(A2143&lt;&gt;"",TIME(HOUR(TRANSACTIONS!$A2143),MINUTE(TRANSACTIONS!$A2143),SECOND(TRANSACTIONS!$A2143)),"")</f>
        <v>0.44495370370370368</v>
      </c>
      <c r="D2143" s="82" t="s">
        <v>25</v>
      </c>
      <c r="E2143" s="82" t="s">
        <v>6</v>
      </c>
      <c r="F2143" s="94">
        <v>5050</v>
      </c>
      <c r="G2143" s="46"/>
      <c r="H2143" s="46">
        <f>IFERROR(TRANSACTIONS!$F2143+TRANSACTIONS!$G2143,"")</f>
        <v>5050</v>
      </c>
      <c r="I2143" s="57" t="s">
        <v>41</v>
      </c>
    </row>
    <row r="2144" spans="1:9" x14ac:dyDescent="0.25">
      <c r="A2144" s="41">
        <v>45351.444962152775</v>
      </c>
      <c r="B2144" s="48">
        <f>IF(A2144&lt;&gt;"",DATE(YEAR(TRANSACTIONS!$A2144),MONTH(TRANSACTIONS!$A2144),DAY(TRANSACTIONS!$A2144)),"")</f>
        <v>45351</v>
      </c>
      <c r="C2144" s="49">
        <f>IF(A2144&lt;&gt;"",TIME(HOUR(TRANSACTIONS!$A2144),MINUTE(TRANSACTIONS!$A2144),SECOND(TRANSACTIONS!$A2144)),"")</f>
        <v>0.44496527777777778</v>
      </c>
      <c r="D2144" s="82" t="s">
        <v>25</v>
      </c>
      <c r="E2144" s="82" t="s">
        <v>7</v>
      </c>
      <c r="F2144" s="94">
        <v>2500</v>
      </c>
      <c r="G2144" s="46"/>
      <c r="H2144" s="46">
        <f>IFERROR(TRANSACTIONS!$F2144+TRANSACTIONS!$G2144,"")</f>
        <v>2500</v>
      </c>
      <c r="I2144" s="57" t="s">
        <v>41</v>
      </c>
    </row>
    <row r="2145" spans="1:9" x14ac:dyDescent="0.25">
      <c r="A2145" s="41">
        <v>45351.445652199072</v>
      </c>
      <c r="B2145" s="48">
        <f>IF(A2145&lt;&gt;"",DATE(YEAR(TRANSACTIONS!$A2145),MONTH(TRANSACTIONS!$A2145),DAY(TRANSACTIONS!$A2145)),"")</f>
        <v>45351</v>
      </c>
      <c r="C2145" s="49">
        <f>IF(A2145&lt;&gt;"",TIME(HOUR(TRANSACTIONS!$A2145),MINUTE(TRANSACTIONS!$A2145),SECOND(TRANSACTIONS!$A2145)),"")</f>
        <v>0.44564814814814818</v>
      </c>
      <c r="D2145" s="82" t="s">
        <v>25</v>
      </c>
      <c r="E2145" s="82" t="s">
        <v>6</v>
      </c>
      <c r="F2145" s="94">
        <v>10100</v>
      </c>
      <c r="G2145" s="46"/>
      <c r="H2145" s="46">
        <f>IFERROR(TRANSACTIONS!$F2145+TRANSACTIONS!$G2145,"")</f>
        <v>10100</v>
      </c>
      <c r="I2145" s="57" t="s">
        <v>41</v>
      </c>
    </row>
    <row r="2146" spans="1:9" x14ac:dyDescent="0.25">
      <c r="A2146" s="41">
        <v>45351.445662731479</v>
      </c>
      <c r="B2146" s="48">
        <f>IF(A2146&lt;&gt;"",DATE(YEAR(TRANSACTIONS!$A2146),MONTH(TRANSACTIONS!$A2146),DAY(TRANSACTIONS!$A2146)),"")</f>
        <v>45351</v>
      </c>
      <c r="C2146" s="49">
        <f>IF(A2146&lt;&gt;"",TIME(HOUR(TRANSACTIONS!$A2146),MINUTE(TRANSACTIONS!$A2146),SECOND(TRANSACTIONS!$A2146)),"")</f>
        <v>0.44565972222222222</v>
      </c>
      <c r="D2146" s="82" t="s">
        <v>25</v>
      </c>
      <c r="E2146" s="82" t="s">
        <v>7</v>
      </c>
      <c r="F2146" s="94">
        <v>4000</v>
      </c>
      <c r="G2146" s="46"/>
      <c r="H2146" s="46">
        <f>IFERROR(TRANSACTIONS!$F2146+TRANSACTIONS!$G2146,"")</f>
        <v>4000</v>
      </c>
      <c r="I2146" s="57" t="s">
        <v>41</v>
      </c>
    </row>
    <row r="2147" spans="1:9" x14ac:dyDescent="0.25">
      <c r="A2147" s="41">
        <v>45351.445674305556</v>
      </c>
      <c r="B2147" s="48">
        <f>IF(A2147&lt;&gt;"",DATE(YEAR(TRANSACTIONS!$A2147),MONTH(TRANSACTIONS!$A2147),DAY(TRANSACTIONS!$A2147)),"")</f>
        <v>45351</v>
      </c>
      <c r="C2147" s="49">
        <f>IF(A2147&lt;&gt;"",TIME(HOUR(TRANSACTIONS!$A2147),MINUTE(TRANSACTIONS!$A2147),SECOND(TRANSACTIONS!$A2147)),"")</f>
        <v>0.44567129629629632</v>
      </c>
      <c r="D2147" s="82" t="s">
        <v>25</v>
      </c>
      <c r="E2147" s="82" t="s">
        <v>6</v>
      </c>
      <c r="F2147" s="94">
        <v>21000</v>
      </c>
      <c r="G2147" s="46"/>
      <c r="H2147" s="46">
        <f>IFERROR(TRANSACTIONS!$F2147+TRANSACTIONS!$G2147,"")</f>
        <v>21000</v>
      </c>
      <c r="I2147" s="57" t="s">
        <v>41</v>
      </c>
    </row>
    <row r="2148" spans="1:9" x14ac:dyDescent="0.25">
      <c r="A2148" s="41">
        <v>45351.445684375001</v>
      </c>
      <c r="B2148" s="48">
        <f>IF(A2148&lt;&gt;"",DATE(YEAR(TRANSACTIONS!$A2148),MONTH(TRANSACTIONS!$A2148),DAY(TRANSACTIONS!$A2148)),"")</f>
        <v>45351</v>
      </c>
      <c r="C2148" s="49">
        <f>IF(A2148&lt;&gt;"",TIME(HOUR(TRANSACTIONS!$A2148),MINUTE(TRANSACTIONS!$A2148),SECOND(TRANSACTIONS!$A2148)),"")</f>
        <v>0.44568287037037035</v>
      </c>
      <c r="D2148" s="82" t="s">
        <v>25</v>
      </c>
      <c r="E2148" s="82" t="s">
        <v>7</v>
      </c>
      <c r="F2148" s="94">
        <v>11500</v>
      </c>
      <c r="G2148" s="46"/>
      <c r="H2148" s="46">
        <f>IFERROR(TRANSACTIONS!$F2148+TRANSACTIONS!$G2148,"")</f>
        <v>11500</v>
      </c>
      <c r="I2148" s="57" t="s">
        <v>41</v>
      </c>
    </row>
    <row r="2149" spans="1:9" x14ac:dyDescent="0.25">
      <c r="A2149" s="41">
        <v>45351.4456943287</v>
      </c>
      <c r="B2149" s="48">
        <f>IF(A2149&lt;&gt;"",DATE(YEAR(TRANSACTIONS!$A2149),MONTH(TRANSACTIONS!$A2149),DAY(TRANSACTIONS!$A2149)),"")</f>
        <v>45351</v>
      </c>
      <c r="C2149" s="49">
        <f>IF(A2149&lt;&gt;"",TIME(HOUR(TRANSACTIONS!$A2149),MINUTE(TRANSACTIONS!$A2149),SECOND(TRANSACTIONS!$A2149)),"")</f>
        <v>0.44569444444444445</v>
      </c>
      <c r="D2149" s="82" t="s">
        <v>25</v>
      </c>
      <c r="E2149" s="82" t="s">
        <v>6</v>
      </c>
      <c r="F2149" s="94">
        <v>700</v>
      </c>
      <c r="G2149" s="46"/>
      <c r="H2149" s="46">
        <f>IFERROR(TRANSACTIONS!$F2149+TRANSACTIONS!$G2149,"")</f>
        <v>700</v>
      </c>
      <c r="I2149" s="57" t="s">
        <v>41</v>
      </c>
    </row>
    <row r="2150" spans="1:9" x14ac:dyDescent="0.25">
      <c r="A2150" s="41">
        <v>45351.44570462963</v>
      </c>
      <c r="B2150" s="48">
        <f>IF(A2150&lt;&gt;"",DATE(YEAR(TRANSACTIONS!$A2150),MONTH(TRANSACTIONS!$A2150),DAY(TRANSACTIONS!$A2150)),"")</f>
        <v>45351</v>
      </c>
      <c r="C2150" s="49">
        <f>IF(A2150&lt;&gt;"",TIME(HOUR(TRANSACTIONS!$A2150),MINUTE(TRANSACTIONS!$A2150),SECOND(TRANSACTIONS!$A2150)),"")</f>
        <v>0.44570601851851849</v>
      </c>
      <c r="D2150" s="82" t="s">
        <v>25</v>
      </c>
      <c r="E2150" s="82" t="s">
        <v>7</v>
      </c>
      <c r="F2150" s="94">
        <v>1000</v>
      </c>
      <c r="G2150" s="46"/>
      <c r="H2150" s="46">
        <f>IFERROR(TRANSACTIONS!$F2150+TRANSACTIONS!$G2150,"")</f>
        <v>1000</v>
      </c>
      <c r="I2150" s="57" t="s">
        <v>41</v>
      </c>
    </row>
    <row r="2151" spans="1:9" x14ac:dyDescent="0.25">
      <c r="A2151" s="41">
        <v>45351.445730671294</v>
      </c>
      <c r="B2151" s="48">
        <f>IF(A2151&lt;&gt;"",DATE(YEAR(TRANSACTIONS!$A2151),MONTH(TRANSACTIONS!$A2151),DAY(TRANSACTIONS!$A2151)),"")</f>
        <v>45351</v>
      </c>
      <c r="C2151" s="49">
        <f>IF(A2151&lt;&gt;"",TIME(HOUR(TRANSACTIONS!$A2151),MINUTE(TRANSACTIONS!$A2151),SECOND(TRANSACTIONS!$A2151)),"")</f>
        <v>0.44572916666666668</v>
      </c>
      <c r="D2151" s="82" t="s">
        <v>25</v>
      </c>
      <c r="E2151" s="82" t="s">
        <v>6</v>
      </c>
      <c r="F2151" s="94">
        <v>3000</v>
      </c>
      <c r="G2151" s="46"/>
      <c r="H2151" s="46">
        <f>IFERROR(TRANSACTIONS!$F2151+TRANSACTIONS!$G2151,"")</f>
        <v>3000</v>
      </c>
      <c r="I2151" s="57" t="s">
        <v>41</v>
      </c>
    </row>
    <row r="2152" spans="1:9" x14ac:dyDescent="0.25">
      <c r="A2152" s="41">
        <v>45351.445739236115</v>
      </c>
      <c r="B2152" s="48">
        <f>IF(A2152&lt;&gt;"",DATE(YEAR(TRANSACTIONS!$A2152),MONTH(TRANSACTIONS!$A2152),DAY(TRANSACTIONS!$A2152)),"")</f>
        <v>45351</v>
      </c>
      <c r="C2152" s="49">
        <f>IF(A2152&lt;&gt;"",TIME(HOUR(TRANSACTIONS!$A2152),MINUTE(TRANSACTIONS!$A2152),SECOND(TRANSACTIONS!$A2152)),"")</f>
        <v>0.44574074074074077</v>
      </c>
      <c r="D2152" s="82" t="s">
        <v>25</v>
      </c>
      <c r="E2152" s="82" t="s">
        <v>7</v>
      </c>
      <c r="F2152" s="94">
        <v>2500</v>
      </c>
      <c r="G2152" s="46"/>
      <c r="H2152" s="46">
        <f>IFERROR(TRANSACTIONS!$F2152+TRANSACTIONS!$G2152,"")</f>
        <v>2500</v>
      </c>
      <c r="I2152" s="57" t="s">
        <v>41</v>
      </c>
    </row>
    <row r="2153" spans="1:9" x14ac:dyDescent="0.25">
      <c r="A2153" s="41">
        <v>45351.445747685182</v>
      </c>
      <c r="B2153" s="48">
        <f>IF(A2153&lt;&gt;"",DATE(YEAR(TRANSACTIONS!$A2153),MONTH(TRANSACTIONS!$A2153),DAY(TRANSACTIONS!$A2153)),"")</f>
        <v>45351</v>
      </c>
      <c r="C2153" s="49">
        <f>IF(A2153&lt;&gt;"",TIME(HOUR(TRANSACTIONS!$A2153),MINUTE(TRANSACTIONS!$A2153),SECOND(TRANSACTIONS!$A2153)),"")</f>
        <v>0.44575231481481481</v>
      </c>
      <c r="D2153" s="82" t="s">
        <v>25</v>
      </c>
      <c r="E2153" s="82" t="s">
        <v>6</v>
      </c>
      <c r="F2153" s="94">
        <v>500</v>
      </c>
      <c r="G2153" s="46"/>
      <c r="H2153" s="46">
        <f>IFERROR(TRANSACTIONS!$F2153+TRANSACTIONS!$G2153,"")</f>
        <v>500</v>
      </c>
      <c r="I2153" s="57" t="s">
        <v>41</v>
      </c>
    </row>
    <row r="2154" spans="1:9" x14ac:dyDescent="0.25">
      <c r="A2154" s="41">
        <v>45351.524824652777</v>
      </c>
      <c r="B2154" s="48">
        <f>IF(A2154&lt;&gt;"",DATE(YEAR(TRANSACTIONS!$A2154),MONTH(TRANSACTIONS!$A2154),DAY(TRANSACTIONS!$A2154)),"")</f>
        <v>45351</v>
      </c>
      <c r="C2154" s="49">
        <f>IF(A2154&lt;&gt;"",TIME(HOUR(TRANSACTIONS!$A2154),MINUTE(TRANSACTIONS!$A2154),SECOND(TRANSACTIONS!$A2154)),"")</f>
        <v>0.52482638888888888</v>
      </c>
      <c r="D2154" s="82" t="s">
        <v>25</v>
      </c>
      <c r="E2154" s="82" t="s">
        <v>7</v>
      </c>
      <c r="F2154" s="94">
        <v>20000</v>
      </c>
      <c r="G2154" s="46"/>
      <c r="H2154" s="46">
        <f>IFERROR(TRANSACTIONS!$F2154+TRANSACTIONS!$G2154,"")</f>
        <v>20000</v>
      </c>
      <c r="I2154" s="57" t="s">
        <v>41</v>
      </c>
    </row>
    <row r="2155" spans="1:9" x14ac:dyDescent="0.25">
      <c r="A2155" s="41">
        <v>45351.524858101853</v>
      </c>
      <c r="B2155" s="48">
        <f>IF(A2155&lt;&gt;"",DATE(YEAR(TRANSACTIONS!$A2155),MONTH(TRANSACTIONS!$A2155),DAY(TRANSACTIONS!$A2155)),"")</f>
        <v>45351</v>
      </c>
      <c r="C2155" s="49">
        <f>IF(A2155&lt;&gt;"",TIME(HOUR(TRANSACTIONS!$A2155),MINUTE(TRANSACTIONS!$A2155),SECOND(TRANSACTIONS!$A2155)),"")</f>
        <v>0.52486111111111111</v>
      </c>
      <c r="D2155" s="82" t="s">
        <v>25</v>
      </c>
      <c r="E2155" s="82" t="s">
        <v>7</v>
      </c>
      <c r="F2155" s="94">
        <v>10000</v>
      </c>
      <c r="G2155" s="46"/>
      <c r="H2155" s="46">
        <f>IFERROR(TRANSACTIONS!$F2155+TRANSACTIONS!$G2155,"")</f>
        <v>10000</v>
      </c>
      <c r="I2155" s="57" t="s">
        <v>41</v>
      </c>
    </row>
    <row r="2156" spans="1:9" x14ac:dyDescent="0.25">
      <c r="A2156" s="41">
        <v>45351.524865740743</v>
      </c>
      <c r="B2156" s="48">
        <f>IF(A2156&lt;&gt;"",DATE(YEAR(TRANSACTIONS!$A2156),MONTH(TRANSACTIONS!$A2156),DAY(TRANSACTIONS!$A2156)),"")</f>
        <v>45351</v>
      </c>
      <c r="C2156" s="49">
        <f>IF(A2156&lt;&gt;"",TIME(HOUR(TRANSACTIONS!$A2156),MINUTE(TRANSACTIONS!$A2156),SECOND(TRANSACTIONS!$A2156)),"")</f>
        <v>0.52486111111111111</v>
      </c>
      <c r="D2156" s="82" t="s">
        <v>25</v>
      </c>
      <c r="E2156" s="82" t="s">
        <v>6</v>
      </c>
      <c r="F2156" s="94">
        <v>10000</v>
      </c>
      <c r="G2156" s="46"/>
      <c r="H2156" s="46">
        <f>IFERROR(TRANSACTIONS!$F2156+TRANSACTIONS!$G2156,"")</f>
        <v>10000</v>
      </c>
      <c r="I2156" s="57" t="s">
        <v>41</v>
      </c>
    </row>
    <row r="2157" spans="1:9" x14ac:dyDescent="0.25">
      <c r="A2157" s="41">
        <v>45351.525145717591</v>
      </c>
      <c r="B2157" s="48">
        <f>IF(A2157&lt;&gt;"",DATE(YEAR(TRANSACTIONS!$A2157),MONTH(TRANSACTIONS!$A2157),DAY(TRANSACTIONS!$A2157)),"")</f>
        <v>45351</v>
      </c>
      <c r="C2157" s="49">
        <f>IF(A2157&lt;&gt;"",TIME(HOUR(TRANSACTIONS!$A2157),MINUTE(TRANSACTIONS!$A2157),SECOND(TRANSACTIONS!$A2157)),"")</f>
        <v>0.52515046296296297</v>
      </c>
      <c r="D2157" s="82" t="s">
        <v>64</v>
      </c>
      <c r="E2157" s="82" t="s">
        <v>7</v>
      </c>
      <c r="F2157" s="94">
        <v>100000</v>
      </c>
      <c r="G2157" s="46"/>
      <c r="H2157" s="46">
        <f>IFERROR(TRANSACTIONS!$F2157+TRANSACTIONS!$G2157,"")</f>
        <v>100000</v>
      </c>
      <c r="I2157" s="57" t="s">
        <v>41</v>
      </c>
    </row>
    <row r="2158" spans="1:9" x14ac:dyDescent="0.25">
      <c r="A2158" s="41">
        <v>45351.525111805553</v>
      </c>
      <c r="B2158" s="48">
        <f>IF(A2158&lt;&gt;"",DATE(YEAR(TRANSACTIONS!$A2158),MONTH(TRANSACTIONS!$A2158),DAY(TRANSACTIONS!$A2158)),"")</f>
        <v>45351</v>
      </c>
      <c r="C2158" s="49">
        <f>IF(A2158&lt;&gt;"",TIME(HOUR(TRANSACTIONS!$A2158),MINUTE(TRANSACTIONS!$A2158),SECOND(TRANSACTIONS!$A2158)),"")</f>
        <v>0.52511574074074074</v>
      </c>
      <c r="D2158" s="82" t="s">
        <v>62</v>
      </c>
      <c r="E2158" s="82" t="s">
        <v>6</v>
      </c>
      <c r="F2158" s="94">
        <v>400000</v>
      </c>
      <c r="G2158" s="46"/>
      <c r="H2158" s="46">
        <f>IFERROR(TRANSACTIONS!$F2158+TRANSACTIONS!$G2158,"")</f>
        <v>400000</v>
      </c>
      <c r="I2158" s="57" t="s">
        <v>41</v>
      </c>
    </row>
    <row r="2159" spans="1:9" x14ac:dyDescent="0.25">
      <c r="A2159" s="41">
        <v>45351.525182060184</v>
      </c>
      <c r="B2159" s="48">
        <f>IF(A2159&lt;&gt;"",DATE(YEAR(TRANSACTIONS!$A2159),MONTH(TRANSACTIONS!$A2159),DAY(TRANSACTIONS!$A2159)),"")</f>
        <v>45351</v>
      </c>
      <c r="C2159" s="49">
        <f>IF(A2159&lt;&gt;"",TIME(HOUR(TRANSACTIONS!$A2159),MINUTE(TRANSACTIONS!$A2159),SECOND(TRANSACTIONS!$A2159)),"")</f>
        <v>0.5251851851851852</v>
      </c>
      <c r="D2159" s="82" t="s">
        <v>62</v>
      </c>
      <c r="E2159" s="82" t="s">
        <v>6</v>
      </c>
      <c r="F2159" s="94">
        <v>2000</v>
      </c>
      <c r="G2159" s="46"/>
      <c r="H2159" s="46">
        <f>IFERROR(TRANSACTIONS!$F2159+TRANSACTIONS!$G2159,"")</f>
        <v>2000</v>
      </c>
      <c r="I2159" s="57" t="s">
        <v>41</v>
      </c>
    </row>
    <row r="2160" spans="1:9" x14ac:dyDescent="0.25">
      <c r="A2160" s="41">
        <v>45351.525199999996</v>
      </c>
      <c r="B2160" s="48">
        <f>IF(A2160&lt;&gt;"",DATE(YEAR(TRANSACTIONS!$A2160),MONTH(TRANSACTIONS!$A2160),DAY(TRANSACTIONS!$A2160)),"")</f>
        <v>45351</v>
      </c>
      <c r="C2160" s="49">
        <f>IF(A2160&lt;&gt;"",TIME(HOUR(TRANSACTIONS!$A2160),MINUTE(TRANSACTIONS!$A2160),SECOND(TRANSACTIONS!$A2160)),"")</f>
        <v>0.52519675925925924</v>
      </c>
      <c r="D2160" s="82" t="s">
        <v>62</v>
      </c>
      <c r="E2160" s="82" t="s">
        <v>7</v>
      </c>
      <c r="F2160" s="94">
        <v>3000</v>
      </c>
      <c r="G2160" s="46"/>
      <c r="H2160" s="46">
        <f>IFERROR(TRANSACTIONS!$F2160+TRANSACTIONS!$G2160,"")</f>
        <v>3000</v>
      </c>
      <c r="I2160" s="57" t="s">
        <v>41</v>
      </c>
    </row>
    <row r="2161" spans="1:9" x14ac:dyDescent="0.25">
      <c r="A2161" s="41">
        <v>45351.525207986109</v>
      </c>
      <c r="B2161" s="48">
        <f>IF(A2161&lt;&gt;"",DATE(YEAR(TRANSACTIONS!$A2161),MONTH(TRANSACTIONS!$A2161),DAY(TRANSACTIONS!$A2161)),"")</f>
        <v>45351</v>
      </c>
      <c r="C2161" s="49">
        <f>IF(A2161&lt;&gt;"",TIME(HOUR(TRANSACTIONS!$A2161),MINUTE(TRANSACTIONS!$A2161),SECOND(TRANSACTIONS!$A2161)),"")</f>
        <v>0.52520833333333339</v>
      </c>
      <c r="D2161" s="82" t="s">
        <v>64</v>
      </c>
      <c r="E2161" s="82" t="s">
        <v>7</v>
      </c>
      <c r="F2161" s="94">
        <v>300000</v>
      </c>
      <c r="G2161" s="46"/>
      <c r="H2161" s="46">
        <f>IFERROR(TRANSACTIONS!$F2161+TRANSACTIONS!$G2161,"")</f>
        <v>300000</v>
      </c>
      <c r="I2161" s="57" t="s">
        <v>41</v>
      </c>
    </row>
    <row r="2162" spans="1:9" x14ac:dyDescent="0.25">
      <c r="A2162" s="41">
        <v>45351.525222453703</v>
      </c>
      <c r="B2162" s="48">
        <f>IF(A2162&lt;&gt;"",DATE(YEAR(TRANSACTIONS!$A2162),MONTH(TRANSACTIONS!$A2162),DAY(TRANSACTIONS!$A2162)),"")</f>
        <v>45351</v>
      </c>
      <c r="C2162" s="49">
        <f>IF(A2162&lt;&gt;"",TIME(HOUR(TRANSACTIONS!$A2162),MINUTE(TRANSACTIONS!$A2162),SECOND(TRANSACTIONS!$A2162)),"")</f>
        <v>0.52521990740740743</v>
      </c>
      <c r="D2162" s="82" t="s">
        <v>62</v>
      </c>
      <c r="E2162" s="82" t="s">
        <v>7</v>
      </c>
      <c r="F2162" s="94">
        <v>200000</v>
      </c>
      <c r="G2162" s="46"/>
      <c r="H2162" s="46">
        <f>IFERROR(TRANSACTIONS!$F2162+TRANSACTIONS!$G2162,"")</f>
        <v>200000</v>
      </c>
      <c r="I2162" s="57" t="s">
        <v>41</v>
      </c>
    </row>
    <row r="2163" spans="1:9" x14ac:dyDescent="0.25">
      <c r="A2163" s="41">
        <v>45351.525230208332</v>
      </c>
      <c r="B2163" s="48">
        <f>IF(A2163&lt;&gt;"",DATE(YEAR(TRANSACTIONS!$A2163),MONTH(TRANSACTIONS!$A2163),DAY(TRANSACTIONS!$A2163)),"")</f>
        <v>45351</v>
      </c>
      <c r="C2163" s="49">
        <f>IF(A2163&lt;&gt;"",TIME(HOUR(TRANSACTIONS!$A2163),MINUTE(TRANSACTIONS!$A2163),SECOND(TRANSACTIONS!$A2163)),"")</f>
        <v>0.52523148148148147</v>
      </c>
      <c r="D2163" s="82" t="s">
        <v>62</v>
      </c>
      <c r="E2163" s="82" t="s">
        <v>6</v>
      </c>
      <c r="F2163" s="94">
        <v>5050</v>
      </c>
      <c r="G2163" s="46"/>
      <c r="H2163" s="46">
        <f>IFERROR(TRANSACTIONS!$F2163+TRANSACTIONS!$G2163,"")</f>
        <v>5050</v>
      </c>
      <c r="I2163" s="57" t="s">
        <v>41</v>
      </c>
    </row>
    <row r="2164" spans="1:9" x14ac:dyDescent="0.25">
      <c r="A2164" s="41">
        <v>45351.525238310183</v>
      </c>
      <c r="B2164" s="48">
        <f>IF(A2164&lt;&gt;"",DATE(YEAR(TRANSACTIONS!$A2164),MONTH(TRANSACTIONS!$A2164),DAY(TRANSACTIONS!$A2164)),"")</f>
        <v>45351</v>
      </c>
      <c r="C2164" s="49">
        <f>IF(A2164&lt;&gt;"",TIME(HOUR(TRANSACTIONS!$A2164),MINUTE(TRANSACTIONS!$A2164),SECOND(TRANSACTIONS!$A2164)),"")</f>
        <v>0.5252430555555555</v>
      </c>
      <c r="D2164" s="82" t="s">
        <v>62</v>
      </c>
      <c r="E2164" s="82" t="s">
        <v>7</v>
      </c>
      <c r="F2164" s="94">
        <v>3500</v>
      </c>
      <c r="G2164" s="46"/>
      <c r="H2164" s="46">
        <f>IFERROR(TRANSACTIONS!$F2164+TRANSACTIONS!$G2164,"")</f>
        <v>3500</v>
      </c>
      <c r="I2164" s="57" t="s">
        <v>41</v>
      </c>
    </row>
    <row r="2165" spans="1:9" x14ac:dyDescent="0.25">
      <c r="A2165" s="41">
        <v>45351.525259722221</v>
      </c>
      <c r="B2165" s="48">
        <f>IF(A2165&lt;&gt;"",DATE(YEAR(TRANSACTIONS!$A2165),MONTH(TRANSACTIONS!$A2165),DAY(TRANSACTIONS!$A2165)),"")</f>
        <v>45351</v>
      </c>
      <c r="C2165" s="49">
        <f>IF(A2165&lt;&gt;"",TIME(HOUR(TRANSACTIONS!$A2165),MINUTE(TRANSACTIONS!$A2165),SECOND(TRANSACTIONS!$A2165)),"")</f>
        <v>0.52525462962962965</v>
      </c>
      <c r="D2165" s="82" t="s">
        <v>62</v>
      </c>
      <c r="E2165" s="82" t="s">
        <v>6</v>
      </c>
      <c r="F2165" s="94">
        <v>2500</v>
      </c>
      <c r="G2165" s="46"/>
      <c r="H2165" s="46">
        <f>IFERROR(TRANSACTIONS!$F2165+TRANSACTIONS!$G2165,"")</f>
        <v>2500</v>
      </c>
      <c r="I2165" s="57" t="s">
        <v>41</v>
      </c>
    </row>
    <row r="2166" spans="1:9" x14ac:dyDescent="0.25">
      <c r="A2166" s="41">
        <v>45351.525300000001</v>
      </c>
      <c r="B2166" s="48">
        <f>IF(A2166&lt;&gt;"",DATE(YEAR(TRANSACTIONS!$A2166),MONTH(TRANSACTIONS!$A2166),DAY(TRANSACTIONS!$A2166)),"")</f>
        <v>45351</v>
      </c>
      <c r="C2166" s="49">
        <f>IF(A2166&lt;&gt;"",TIME(HOUR(TRANSACTIONS!$A2166),MINUTE(TRANSACTIONS!$A2166),SECOND(TRANSACTIONS!$A2166)),"")</f>
        <v>0.52530092592592592</v>
      </c>
      <c r="D2166" s="82" t="s">
        <v>62</v>
      </c>
      <c r="E2166" s="82" t="s">
        <v>7</v>
      </c>
      <c r="F2166" s="94">
        <v>3000</v>
      </c>
      <c r="G2166" s="46"/>
      <c r="H2166" s="46">
        <f>IFERROR(TRANSACTIONS!$F2166+TRANSACTIONS!$G2166,"")</f>
        <v>3000</v>
      </c>
      <c r="I2166" s="57" t="s">
        <v>41</v>
      </c>
    </row>
    <row r="2167" spans="1:9" x14ac:dyDescent="0.25">
      <c r="A2167" s="41">
        <v>45351.525355902777</v>
      </c>
      <c r="B2167" s="48">
        <f>IF(A2167&lt;&gt;"",DATE(YEAR(TRANSACTIONS!$A2167),MONTH(TRANSACTIONS!$A2167),DAY(TRANSACTIONS!$A2167)),"")</f>
        <v>45351</v>
      </c>
      <c r="C2167" s="49">
        <f>IF(A2167&lt;&gt;"",TIME(HOUR(TRANSACTIONS!$A2167),MINUTE(TRANSACTIONS!$A2167),SECOND(TRANSACTIONS!$A2167)),"")</f>
        <v>0.52535879629629634</v>
      </c>
      <c r="D2167" s="82" t="s">
        <v>62</v>
      </c>
      <c r="E2167" s="82" t="s">
        <v>6</v>
      </c>
      <c r="F2167" s="94">
        <v>10100</v>
      </c>
      <c r="G2167" s="46"/>
      <c r="H2167" s="46">
        <f>IFERROR(TRANSACTIONS!$F2167+TRANSACTIONS!$G2167,"")</f>
        <v>10100</v>
      </c>
      <c r="I2167" s="57" t="s">
        <v>41</v>
      </c>
    </row>
    <row r="2168" spans="1:9" x14ac:dyDescent="0.25">
      <c r="A2168" s="113">
        <v>45351.525365277776</v>
      </c>
      <c r="B2168" s="114">
        <f>IF(A2168&lt;&gt;"",DATE(YEAR(TRANSACTIONS!$A2168),MONTH(TRANSACTIONS!$A2168),DAY(TRANSACTIONS!$A2168)),"")</f>
        <v>45351</v>
      </c>
      <c r="C2168" s="115">
        <f>IF(A2168&lt;&gt;"",TIME(HOUR(TRANSACTIONS!$A2168),MINUTE(TRANSACTIONS!$A2168),SECOND(TRANSACTIONS!$A2168)),"")</f>
        <v>0.52537037037037038</v>
      </c>
      <c r="D2168" s="82" t="s">
        <v>62</v>
      </c>
      <c r="E2168" s="82" t="s">
        <v>6</v>
      </c>
      <c r="F2168" s="94">
        <v>400000</v>
      </c>
      <c r="G2168" s="117"/>
      <c r="H2168" s="117">
        <f>IFERROR(TRANSACTIONS!$F2168+TRANSACTIONS!$G2168,"")</f>
        <v>400000</v>
      </c>
      <c r="I2168" s="123" t="s">
        <v>41</v>
      </c>
    </row>
    <row r="2169" spans="1:9" x14ac:dyDescent="0.25">
      <c r="A2169" s="41">
        <v>45351.525403819447</v>
      </c>
      <c r="B2169" s="48">
        <f>IF(A2169&lt;&gt;"",DATE(YEAR(TRANSACTIONS!$A2169),MONTH(TRANSACTIONS!$A2169),DAY(TRANSACTIONS!$A2169)),"")</f>
        <v>45351</v>
      </c>
      <c r="C2169" s="49">
        <f>IF(A2169&lt;&gt;"",TIME(HOUR(TRANSACTIONS!$A2169),MINUTE(TRANSACTIONS!$A2169),SECOND(TRANSACTIONS!$A2169)),"")</f>
        <v>0.5254050925925926</v>
      </c>
      <c r="D2169" s="82" t="s">
        <v>62</v>
      </c>
      <c r="E2169" s="82" t="s">
        <v>7</v>
      </c>
      <c r="F2169" s="94">
        <v>2000</v>
      </c>
      <c r="G2169" s="46"/>
      <c r="H2169" s="46">
        <f>IFERROR(TRANSACTIONS!$F2169+TRANSACTIONS!$G2169,"")</f>
        <v>2000</v>
      </c>
      <c r="I2169" s="57" t="s">
        <v>41</v>
      </c>
    </row>
    <row r="2170" spans="1:9" x14ac:dyDescent="0.25">
      <c r="A2170" s="41">
        <v>45351.527636226849</v>
      </c>
      <c r="B2170" s="48">
        <f>IF(A2170&lt;&gt;"",DATE(YEAR(TRANSACTIONS!$A2170),MONTH(TRANSACTIONS!$A2170),DAY(TRANSACTIONS!$A2170)),"")</f>
        <v>45351</v>
      </c>
      <c r="C2170" s="49">
        <f>IF(A2170&lt;&gt;"",TIME(HOUR(TRANSACTIONS!$A2170),MINUTE(TRANSACTIONS!$A2170),SECOND(TRANSACTIONS!$A2170)),"")</f>
        <v>0.52763888888888888</v>
      </c>
      <c r="D2170" s="82" t="s">
        <v>62</v>
      </c>
      <c r="E2170" s="82" t="s">
        <v>6</v>
      </c>
      <c r="F2170" s="94">
        <v>5000</v>
      </c>
      <c r="G2170" s="46"/>
      <c r="H2170" s="46">
        <f>IFERROR(TRANSACTIONS!$F2170+TRANSACTIONS!$G2170,"")</f>
        <v>5000</v>
      </c>
      <c r="I2170" s="57" t="s">
        <v>41</v>
      </c>
    </row>
    <row r="2171" spans="1:9" x14ac:dyDescent="0.25">
      <c r="A2171" s="41">
        <v>45351.52766226852</v>
      </c>
      <c r="B2171" s="48">
        <f>IF(A2171&lt;&gt;"",DATE(YEAR(TRANSACTIONS!$A2171),MONTH(TRANSACTIONS!$A2171),DAY(TRANSACTIONS!$A2171)),"")</f>
        <v>45351</v>
      </c>
      <c r="C2171" s="49">
        <f>IF(A2171&lt;&gt;"",TIME(HOUR(TRANSACTIONS!$A2171),MINUTE(TRANSACTIONS!$A2171),SECOND(TRANSACTIONS!$A2171)),"")</f>
        <v>0.52766203703703707</v>
      </c>
      <c r="D2171" s="82" t="s">
        <v>62</v>
      </c>
      <c r="E2171" s="82" t="s">
        <v>7</v>
      </c>
      <c r="F2171" s="94">
        <v>5000</v>
      </c>
      <c r="G2171" s="46"/>
      <c r="H2171" s="46">
        <f>IFERROR(TRANSACTIONS!$F2171+TRANSACTIONS!$G2171,"")</f>
        <v>5000</v>
      </c>
      <c r="I2171" s="57" t="s">
        <v>41</v>
      </c>
    </row>
    <row r="2172" spans="1:9" x14ac:dyDescent="0.25">
      <c r="A2172" s="41">
        <v>45351.527673611112</v>
      </c>
      <c r="B2172" s="48">
        <f>IF(A2172&lt;&gt;"",DATE(YEAR(TRANSACTIONS!$A2172),MONTH(TRANSACTIONS!$A2172),DAY(TRANSACTIONS!$A2172)),"")</f>
        <v>45351</v>
      </c>
      <c r="C2172" s="49">
        <f>IF(A2172&lt;&gt;"",TIME(HOUR(TRANSACTIONS!$A2172),MINUTE(TRANSACTIONS!$A2172),SECOND(TRANSACTIONS!$A2172)),"")</f>
        <v>0.52767361111111111</v>
      </c>
      <c r="D2172" s="82" t="s">
        <v>62</v>
      </c>
      <c r="E2172" s="82" t="s">
        <v>7</v>
      </c>
      <c r="F2172" s="94">
        <v>10000</v>
      </c>
      <c r="G2172" s="46"/>
      <c r="H2172" s="46">
        <f>IFERROR(TRANSACTIONS!$F2172+TRANSACTIONS!$G2172,"")</f>
        <v>10000</v>
      </c>
      <c r="I2172" s="57" t="s">
        <v>41</v>
      </c>
    </row>
    <row r="2173" spans="1:9" x14ac:dyDescent="0.25">
      <c r="A2173" s="41">
        <v>45351.52768634259</v>
      </c>
      <c r="B2173" s="48">
        <f>IF(A2173&lt;&gt;"",DATE(YEAR(TRANSACTIONS!$A2173),MONTH(TRANSACTIONS!$A2173),DAY(TRANSACTIONS!$A2173)),"")</f>
        <v>45351</v>
      </c>
      <c r="C2173" s="49">
        <f>IF(A2173&lt;&gt;"",TIME(HOUR(TRANSACTIONS!$A2173),MINUTE(TRANSACTIONS!$A2173),SECOND(TRANSACTIONS!$A2173)),"")</f>
        <v>0.52768518518518526</v>
      </c>
      <c r="D2173" s="82" t="s">
        <v>62</v>
      </c>
      <c r="E2173" s="82" t="s">
        <v>7</v>
      </c>
      <c r="F2173" s="94">
        <v>17000</v>
      </c>
      <c r="G2173" s="46"/>
      <c r="H2173" s="46">
        <f>IFERROR(TRANSACTIONS!$F2173+TRANSACTIONS!$G2173,"")</f>
        <v>17000</v>
      </c>
      <c r="I2173" s="57" t="s">
        <v>41</v>
      </c>
    </row>
    <row r="2174" spans="1:9" x14ac:dyDescent="0.25">
      <c r="A2174" s="41">
        <v>45351.527693750002</v>
      </c>
      <c r="B2174" s="48">
        <f>IF(A2174&lt;&gt;"",DATE(YEAR(TRANSACTIONS!$A2174),MONTH(TRANSACTIONS!$A2174),DAY(TRANSACTIONS!$A2174)),"")</f>
        <v>45351</v>
      </c>
      <c r="C2174" s="49">
        <f>IF(A2174&lt;&gt;"",TIME(HOUR(TRANSACTIONS!$A2174),MINUTE(TRANSACTIONS!$A2174),SECOND(TRANSACTIONS!$A2174)),"")</f>
        <v>0.5276967592592593</v>
      </c>
      <c r="D2174" s="82" t="s">
        <v>64</v>
      </c>
      <c r="E2174" s="82" t="s">
        <v>7</v>
      </c>
      <c r="F2174" s="94">
        <v>300000</v>
      </c>
      <c r="G2174" s="46"/>
      <c r="H2174" s="46">
        <f>IFERROR(TRANSACTIONS!$F2174+TRANSACTIONS!$G2174,"")</f>
        <v>300000</v>
      </c>
      <c r="I2174" s="57" t="s">
        <v>41</v>
      </c>
    </row>
    <row r="2175" spans="1:9" x14ac:dyDescent="0.25">
      <c r="A2175" s="41">
        <v>45351.527700925923</v>
      </c>
      <c r="B2175" s="48">
        <f>IF(A2175&lt;&gt;"",DATE(YEAR(TRANSACTIONS!$A2175),MONTH(TRANSACTIONS!$A2175),DAY(TRANSACTIONS!$A2175)),"")</f>
        <v>45351</v>
      </c>
      <c r="C2175" s="49">
        <f>IF(A2175&lt;&gt;"",TIME(HOUR(TRANSACTIONS!$A2175),MINUTE(TRANSACTIONS!$A2175),SECOND(TRANSACTIONS!$A2175)),"")</f>
        <v>0.5276967592592593</v>
      </c>
      <c r="D2175" s="82" t="s">
        <v>62</v>
      </c>
      <c r="E2175" s="82" t="s">
        <v>6</v>
      </c>
      <c r="F2175" s="94">
        <v>25000</v>
      </c>
      <c r="G2175" s="46"/>
      <c r="H2175" s="46">
        <f>IFERROR(TRANSACTIONS!$F2175+TRANSACTIONS!$G2175,"")</f>
        <v>25000</v>
      </c>
      <c r="I2175" s="57" t="s">
        <v>41</v>
      </c>
    </row>
    <row r="2176" spans="1:9" x14ac:dyDescent="0.25">
      <c r="A2176" s="41">
        <v>45351.527707986112</v>
      </c>
      <c r="B2176" s="48">
        <f>IF(A2176&lt;&gt;"",DATE(YEAR(TRANSACTIONS!$A2176),MONTH(TRANSACTIONS!$A2176),DAY(TRANSACTIONS!$A2176)),"")</f>
        <v>45351</v>
      </c>
      <c r="C2176" s="49">
        <f>IF(A2176&lt;&gt;"",TIME(HOUR(TRANSACTIONS!$A2176),MINUTE(TRANSACTIONS!$A2176),SECOND(TRANSACTIONS!$A2176)),"")</f>
        <v>0.52770833333333333</v>
      </c>
      <c r="D2176" s="82" t="s">
        <v>62</v>
      </c>
      <c r="E2176" s="82" t="s">
        <v>7</v>
      </c>
      <c r="F2176" s="94">
        <v>1500</v>
      </c>
      <c r="G2176" s="46"/>
      <c r="H2176" s="46">
        <f>IFERROR(TRANSACTIONS!$F2176+TRANSACTIONS!$G2176,"")</f>
        <v>1500</v>
      </c>
      <c r="I2176" s="57" t="s">
        <v>41</v>
      </c>
    </row>
    <row r="2177" spans="1:10" x14ac:dyDescent="0.25">
      <c r="A2177" s="41">
        <v>45351.527722800929</v>
      </c>
      <c r="B2177" s="48">
        <f>IF(A2177&lt;&gt;"",DATE(YEAR(TRANSACTIONS!$A2177),MONTH(TRANSACTIONS!$A2177),DAY(TRANSACTIONS!$A2177)),"")</f>
        <v>45351</v>
      </c>
      <c r="C2177" s="49">
        <f>IF(A2177&lt;&gt;"",TIME(HOUR(TRANSACTIONS!$A2177),MINUTE(TRANSACTIONS!$A2177),SECOND(TRANSACTIONS!$A2177)),"")</f>
        <v>0.52771990740740737</v>
      </c>
      <c r="D2177" s="82" t="s">
        <v>48</v>
      </c>
      <c r="E2177" s="82" t="s">
        <v>6</v>
      </c>
      <c r="F2177" s="94">
        <v>1300</v>
      </c>
      <c r="G2177" s="46"/>
      <c r="H2177" s="46">
        <f>IFERROR(TRANSACTIONS!$F2177+TRANSACTIONS!$G2177,"")</f>
        <v>1300</v>
      </c>
      <c r="I2177" s="57" t="s">
        <v>41</v>
      </c>
    </row>
    <row r="2178" spans="1:10" x14ac:dyDescent="0.25">
      <c r="A2178" s="41">
        <v>45351.527749652778</v>
      </c>
      <c r="B2178" s="48">
        <f>IF(A2178&lt;&gt;"",DATE(YEAR(TRANSACTIONS!$A2178),MONTH(TRANSACTIONS!$A2178),DAY(TRANSACTIONS!$A2178)),"")</f>
        <v>45351</v>
      </c>
      <c r="C2178" s="49">
        <f>IF(A2178&lt;&gt;"",TIME(HOUR(TRANSACTIONS!$A2178),MINUTE(TRANSACTIONS!$A2178),SECOND(TRANSACTIONS!$A2178)),"")</f>
        <v>0.5277546296296296</v>
      </c>
      <c r="D2178" s="82" t="s">
        <v>62</v>
      </c>
      <c r="E2178" s="82" t="s">
        <v>7</v>
      </c>
      <c r="F2178" s="94">
        <v>300</v>
      </c>
      <c r="G2178" s="46"/>
      <c r="H2178" s="46">
        <f>IFERROR(TRANSACTIONS!$F2178+TRANSACTIONS!$G2178,"")</f>
        <v>300</v>
      </c>
      <c r="I2178" s="57" t="s">
        <v>41</v>
      </c>
    </row>
    <row r="2179" spans="1:10" x14ac:dyDescent="0.25">
      <c r="A2179" s="41">
        <v>45351.536529398145</v>
      </c>
      <c r="B2179" s="48">
        <f>IF(A2179&lt;&gt;"",DATE(YEAR(TRANSACTIONS!$A2179),MONTH(TRANSACTIONS!$A2179),DAY(TRANSACTIONS!$A2179)),"")</f>
        <v>45351</v>
      </c>
      <c r="C2179" s="49">
        <f>IF(A2179&lt;&gt;"",TIME(HOUR(TRANSACTIONS!$A2179),MINUTE(TRANSACTIONS!$A2179),SECOND(TRANSACTIONS!$A2179)),"")</f>
        <v>0.53652777777777783</v>
      </c>
      <c r="D2179" s="82" t="s">
        <v>62</v>
      </c>
      <c r="E2179" s="82" t="s">
        <v>7</v>
      </c>
      <c r="F2179" s="94">
        <v>35000</v>
      </c>
      <c r="G2179" s="46"/>
      <c r="H2179" s="46">
        <f>IFERROR(TRANSACTIONS!$F2179+TRANSACTIONS!$G2179,"")</f>
        <v>35000</v>
      </c>
      <c r="I2179" s="57" t="s">
        <v>41</v>
      </c>
    </row>
    <row r="2180" spans="1:10" x14ac:dyDescent="0.25">
      <c r="A2180" s="81">
        <v>45351.797438888891</v>
      </c>
      <c r="B2180" s="83">
        <f>IF(A2180&lt;&gt;"",DATE(YEAR(TRANSACTIONS!$A2180),MONTH(TRANSACTIONS!$A2180),DAY(TRANSACTIONS!$A2180)),"")</f>
        <v>45351</v>
      </c>
      <c r="C2180" s="84">
        <f>IF(A2180&lt;&gt;"",TIME(HOUR(TRANSACTIONS!$A2180),MINUTE(TRANSACTIONS!$A2180),SECOND(TRANSACTIONS!$A2180)),"")</f>
        <v>0.79744212962962957</v>
      </c>
      <c r="D2180" s="82" t="s">
        <v>62</v>
      </c>
      <c r="E2180" s="82" t="s">
        <v>6</v>
      </c>
      <c r="F2180" s="94">
        <v>5000</v>
      </c>
      <c r="G2180" s="86"/>
      <c r="H2180" s="86">
        <f>IFERROR(TRANSACTIONS!$F2180+TRANSACTIONS!$G2180,"")</f>
        <v>5000</v>
      </c>
      <c r="I2180" s="87" t="s">
        <v>41</v>
      </c>
    </row>
    <row r="2181" spans="1:10" x14ac:dyDescent="0.25">
      <c r="A2181" s="41">
        <v>45351.797454513886</v>
      </c>
      <c r="B2181" s="48">
        <f>IF(A2181&lt;&gt;"",DATE(YEAR(TRANSACTIONS!$A2181),MONTH(TRANSACTIONS!$A2181),DAY(TRANSACTIONS!$A2181)),"")</f>
        <v>45351</v>
      </c>
      <c r="C2181" s="49">
        <f>IF(A2181&lt;&gt;"",TIME(HOUR(TRANSACTIONS!$A2181),MINUTE(TRANSACTIONS!$A2181),SECOND(TRANSACTIONS!$A2181)),"")</f>
        <v>0.79745370370370372</v>
      </c>
      <c r="D2181" s="82" t="s">
        <v>62</v>
      </c>
      <c r="E2181" s="82" t="s">
        <v>6</v>
      </c>
      <c r="F2181" s="94">
        <v>2000</v>
      </c>
      <c r="G2181" s="46"/>
      <c r="H2181" s="46">
        <f>IFERROR(TRANSACTIONS!$F2181+TRANSACTIONS!$G2181,"")</f>
        <v>2000</v>
      </c>
      <c r="I2181" s="57" t="s">
        <v>41</v>
      </c>
    </row>
    <row r="2182" spans="1:10" x14ac:dyDescent="0.25">
      <c r="A2182" s="41">
        <v>45351.797482754628</v>
      </c>
      <c r="B2182" s="48">
        <f>IF(A2182&lt;&gt;"",DATE(YEAR(TRANSACTIONS!$A2182),MONTH(TRANSACTIONS!$A2182),DAY(TRANSACTIONS!$A2182)),"")</f>
        <v>45351</v>
      </c>
      <c r="C2182" s="49">
        <f>IF(A2182&lt;&gt;"",TIME(HOUR(TRANSACTIONS!$A2182),MINUTE(TRANSACTIONS!$A2182),SECOND(TRANSACTIONS!$A2182)),"")</f>
        <v>0.79748842592592595</v>
      </c>
      <c r="D2182" s="82" t="s">
        <v>62</v>
      </c>
      <c r="E2182" s="82" t="s">
        <v>7</v>
      </c>
      <c r="F2182" s="94">
        <v>6000</v>
      </c>
      <c r="G2182" s="46"/>
      <c r="H2182" s="46">
        <f>IFERROR(TRANSACTIONS!$F2182+TRANSACTIONS!$G2182,"")</f>
        <v>6000</v>
      </c>
      <c r="I2182" s="57" t="s">
        <v>41</v>
      </c>
    </row>
    <row r="2183" spans="1:10" x14ac:dyDescent="0.25">
      <c r="A2183" s="41">
        <v>45351.798537615738</v>
      </c>
      <c r="B2183" s="48">
        <f>IF(A2183&lt;&gt;"",DATE(YEAR(TRANSACTIONS!$A2183),MONTH(TRANSACTIONS!$A2183),DAY(TRANSACTIONS!$A2183)),"")</f>
        <v>45351</v>
      </c>
      <c r="C2183" s="49">
        <f>IF(A2183&lt;&gt;"",TIME(HOUR(TRANSACTIONS!$A2183),MINUTE(TRANSACTIONS!$A2183),SECOND(TRANSACTIONS!$A2183)),"")</f>
        <v>0.79854166666666659</v>
      </c>
      <c r="D2183" s="82" t="s">
        <v>62</v>
      </c>
      <c r="E2183" s="82" t="s">
        <v>6</v>
      </c>
      <c r="F2183" s="94">
        <v>1000</v>
      </c>
      <c r="G2183" s="46"/>
      <c r="H2183" s="46">
        <f>IFERROR(TRANSACTIONS!$F2183+TRANSACTIONS!$G2183,"")</f>
        <v>1000</v>
      </c>
      <c r="I2183" s="57" t="s">
        <v>41</v>
      </c>
    </row>
    <row r="2184" spans="1:10" x14ac:dyDescent="0.25">
      <c r="A2184" s="113">
        <v>45351.805764351855</v>
      </c>
      <c r="B2184" s="114">
        <f>IF(A2184&lt;&gt;"",DATE(YEAR(TRANSACTIONS!$A2184),MONTH(TRANSACTIONS!$A2184),DAY(TRANSACTIONS!$A2184)),"")</f>
        <v>45351</v>
      </c>
      <c r="C2184" s="115">
        <f>IF(A2184&lt;&gt;"",TIME(HOUR(TRANSACTIONS!$A2184),MINUTE(TRANSACTIONS!$A2184),SECOND(TRANSACTIONS!$A2184)),"")</f>
        <v>0.80576388888888895</v>
      </c>
      <c r="D2184" s="82" t="s">
        <v>62</v>
      </c>
      <c r="E2184" s="82" t="s">
        <v>7</v>
      </c>
      <c r="F2184" s="94">
        <v>2000</v>
      </c>
      <c r="G2184" s="117"/>
      <c r="H2184" s="117">
        <f>IFERROR(TRANSACTIONS!$F2184+TRANSACTIONS!$G2184,"")</f>
        <v>2000</v>
      </c>
      <c r="I2184" s="123" t="s">
        <v>41</v>
      </c>
    </row>
    <row r="2185" spans="1:10" x14ac:dyDescent="0.25">
      <c r="A2185" s="41">
        <v>45351.805808217592</v>
      </c>
      <c r="B2185" s="48">
        <f>IF(A2185&lt;&gt;"",DATE(YEAR(TRANSACTIONS!$A2185),MONTH(TRANSACTIONS!$A2185),DAY(TRANSACTIONS!$A2185)),"")</f>
        <v>45351</v>
      </c>
      <c r="C2185" s="49">
        <f>IF(A2185&lt;&gt;"",TIME(HOUR(TRANSACTIONS!$A2185),MINUTE(TRANSACTIONS!$A2185),SECOND(TRANSACTIONS!$A2185)),"")</f>
        <v>0.80581018518518521</v>
      </c>
      <c r="D2185" s="82" t="s">
        <v>62</v>
      </c>
      <c r="E2185" s="82" t="s">
        <v>6</v>
      </c>
      <c r="F2185" s="94">
        <v>25000</v>
      </c>
      <c r="G2185" s="46"/>
      <c r="H2185" s="46">
        <f>IFERROR(TRANSACTIONS!$F2185+TRANSACTIONS!$G2185,"")</f>
        <v>25000</v>
      </c>
      <c r="I2185" s="57" t="s">
        <v>41</v>
      </c>
    </row>
    <row r="2186" spans="1:10" x14ac:dyDescent="0.25">
      <c r="A2186" s="41">
        <v>45351.805818055553</v>
      </c>
      <c r="B2186" s="48">
        <f>IF(A2186&lt;&gt;"",DATE(YEAR(TRANSACTIONS!$A2186),MONTH(TRANSACTIONS!$A2186),DAY(TRANSACTIONS!$A2186)),"")</f>
        <v>45351</v>
      </c>
      <c r="C2186" s="49">
        <f>IF(A2186&lt;&gt;"",TIME(HOUR(TRANSACTIONS!$A2186),MINUTE(TRANSACTIONS!$A2186),SECOND(TRANSACTIONS!$A2186)),"")</f>
        <v>0.80582175925925925</v>
      </c>
      <c r="D2186" s="82" t="s">
        <v>62</v>
      </c>
      <c r="E2186" s="82" t="s">
        <v>7</v>
      </c>
      <c r="F2186" s="94">
        <v>62000</v>
      </c>
      <c r="G2186" s="46"/>
      <c r="H2186" s="46">
        <f>IFERROR(TRANSACTIONS!$F2186+TRANSACTIONS!$G2186,"")</f>
        <v>62000</v>
      </c>
      <c r="I2186" s="57" t="s">
        <v>41</v>
      </c>
    </row>
    <row r="2187" spans="1:10" x14ac:dyDescent="0.25">
      <c r="A2187" s="113">
        <v>45351.805826736112</v>
      </c>
      <c r="B2187" s="114">
        <f>IF(A2187&lt;&gt;"",DATE(YEAR(TRANSACTIONS!$A2187),MONTH(TRANSACTIONS!$A2187),DAY(TRANSACTIONS!$A2187)),"")</f>
        <v>45351</v>
      </c>
      <c r="C2187" s="115">
        <f>IF(A2187&lt;&gt;"",TIME(HOUR(TRANSACTIONS!$A2187),MINUTE(TRANSACTIONS!$A2187),SECOND(TRANSACTIONS!$A2187)),"")</f>
        <v>0.80582175925925925</v>
      </c>
      <c r="D2187" s="116" t="s">
        <v>62</v>
      </c>
      <c r="E2187" s="116" t="s">
        <v>6</v>
      </c>
      <c r="F2187" s="94">
        <v>5000</v>
      </c>
      <c r="G2187" s="117"/>
      <c r="H2187" s="117">
        <f>IFERROR(TRANSACTIONS!$F2187+TRANSACTIONS!$G2187,"")</f>
        <v>5000</v>
      </c>
      <c r="I2187" s="123" t="s">
        <v>41</v>
      </c>
      <c r="J2187" s="118"/>
    </row>
    <row r="2188" spans="1:10" x14ac:dyDescent="0.25">
      <c r="A2188" s="41">
        <v>45351.805834259256</v>
      </c>
      <c r="B2188" s="48">
        <f>IF(A2188&lt;&gt;"",DATE(YEAR(TRANSACTIONS!$A2188),MONTH(TRANSACTIONS!$A2188),DAY(TRANSACTIONS!$A2188)),"")</f>
        <v>45351</v>
      </c>
      <c r="C2188" s="49">
        <f>IF(A2188&lt;&gt;"",TIME(HOUR(TRANSACTIONS!$A2188),MINUTE(TRANSACTIONS!$A2188),SECOND(TRANSACTIONS!$A2188)),"")</f>
        <v>0.80583333333333329</v>
      </c>
      <c r="D2188" s="82" t="s">
        <v>62</v>
      </c>
      <c r="E2188" s="82" t="s">
        <v>7</v>
      </c>
      <c r="F2188" s="94">
        <v>1000</v>
      </c>
      <c r="G2188" s="46"/>
      <c r="H2188" s="46">
        <f>IFERROR(TRANSACTIONS!$F2188+TRANSACTIONS!$G2188,"")</f>
        <v>1000</v>
      </c>
      <c r="I2188" s="57" t="s">
        <v>41</v>
      </c>
    </row>
    <row r="2189" spans="1:10" x14ac:dyDescent="0.25">
      <c r="A2189" s="81">
        <v>45351.805842824077</v>
      </c>
      <c r="B2189" s="83">
        <f>IF(A2189&lt;&gt;"",DATE(YEAR(TRANSACTIONS!$A2189),MONTH(TRANSACTIONS!$A2189),DAY(TRANSACTIONS!$A2189)),"")</f>
        <v>45351</v>
      </c>
      <c r="C2189" s="84">
        <f>IF(A2189&lt;&gt;"",TIME(HOUR(TRANSACTIONS!$A2189),MINUTE(TRANSACTIONS!$A2189),SECOND(TRANSACTIONS!$A2189)),"")</f>
        <v>0.80584490740740744</v>
      </c>
      <c r="D2189" s="82" t="s">
        <v>62</v>
      </c>
      <c r="E2189" s="82" t="s">
        <v>7</v>
      </c>
      <c r="F2189" s="94">
        <v>20000</v>
      </c>
      <c r="G2189" s="86"/>
      <c r="H2189" s="86">
        <f>IFERROR(TRANSACTIONS!$F2189+TRANSACTIONS!$G2189,"")</f>
        <v>20000</v>
      </c>
      <c r="I2189" s="87" t="s">
        <v>41</v>
      </c>
      <c r="J2189" s="88"/>
    </row>
    <row r="2190" spans="1:10" x14ac:dyDescent="0.25">
      <c r="A2190" s="257">
        <v>45351.805850231482</v>
      </c>
      <c r="B2190" s="258">
        <f>IF(A2190&lt;&gt;"",DATE(YEAR(TRANSACTIONS!$A2190),MONTH(TRANSACTIONS!$A2190),DAY(TRANSACTIONS!$A2190)),"")</f>
        <v>45351</v>
      </c>
      <c r="C2190" s="259">
        <f>IF(A2190&lt;&gt;"",TIME(HOUR(TRANSACTIONS!$A2190),MINUTE(TRANSACTIONS!$A2190),SECOND(TRANSACTIONS!$A2190)),"")</f>
        <v>0.80584490740740744</v>
      </c>
      <c r="D2190" s="260" t="s">
        <v>62</v>
      </c>
      <c r="E2190" s="260" t="s">
        <v>7</v>
      </c>
      <c r="F2190" s="261">
        <v>2500</v>
      </c>
      <c r="G2190" s="262"/>
      <c r="H2190" s="262">
        <f>IFERROR(TRANSACTIONS!$F2190+TRANSACTIONS!$G2190,"")</f>
        <v>2500</v>
      </c>
      <c r="I2190" s="263" t="s">
        <v>41</v>
      </c>
    </row>
    <row r="2191" spans="1:10" x14ac:dyDescent="0.25">
      <c r="A2191" s="41">
        <v>45351.805871875004</v>
      </c>
      <c r="B2191" s="48">
        <f>IF(A2191&lt;&gt;"",DATE(YEAR(TRANSACTIONS!$A2191),MONTH(TRANSACTIONS!$A2191),DAY(TRANSACTIONS!$A2191)),"")</f>
        <v>45351</v>
      </c>
      <c r="C2191" s="49">
        <f>IF(A2191&lt;&gt;"",TIME(HOUR(TRANSACTIONS!$A2191),MINUTE(TRANSACTIONS!$A2191),SECOND(TRANSACTIONS!$A2191)),"")</f>
        <v>0.80586805555555552</v>
      </c>
      <c r="D2191" s="82" t="s">
        <v>62</v>
      </c>
      <c r="E2191" s="82" t="s">
        <v>6</v>
      </c>
      <c r="F2191" s="94">
        <v>50000</v>
      </c>
      <c r="G2191" s="46"/>
      <c r="H2191" s="46">
        <f>IFERROR(TRANSACTIONS!$F2191+TRANSACTIONS!$G2191,"")</f>
        <v>50000</v>
      </c>
      <c r="I2191" s="57" t="s">
        <v>41</v>
      </c>
    </row>
    <row r="2192" spans="1:10" x14ac:dyDescent="0.25">
      <c r="A2192" s="41">
        <v>45351.805879861109</v>
      </c>
      <c r="B2192" s="48">
        <f>IF(A2192&lt;&gt;"",DATE(YEAR(TRANSACTIONS!$A2192),MONTH(TRANSACTIONS!$A2192),DAY(TRANSACTIONS!$A2192)),"")</f>
        <v>45351</v>
      </c>
      <c r="C2192" s="49">
        <f>IF(A2192&lt;&gt;"",TIME(HOUR(TRANSACTIONS!$A2192),MINUTE(TRANSACTIONS!$A2192),SECOND(TRANSACTIONS!$A2192)),"")</f>
        <v>0.80587962962962967</v>
      </c>
      <c r="D2192" s="82" t="s">
        <v>62</v>
      </c>
      <c r="E2192" s="82" t="s">
        <v>6</v>
      </c>
      <c r="F2192" s="94">
        <v>1000</v>
      </c>
      <c r="G2192" s="46"/>
      <c r="H2192" s="46">
        <f>IFERROR(TRANSACTIONS!$F2192+TRANSACTIONS!$G2192,"")</f>
        <v>1000</v>
      </c>
      <c r="I2192" s="57" t="s">
        <v>41</v>
      </c>
    </row>
    <row r="2193" spans="1:11" x14ac:dyDescent="0.25">
      <c r="A2193" s="41">
        <v>45351.805888310184</v>
      </c>
      <c r="B2193" s="48">
        <f>IF(A2193&lt;&gt;"",DATE(YEAR(TRANSACTIONS!$A2193),MONTH(TRANSACTIONS!$A2193),DAY(TRANSACTIONS!$A2193)),"")</f>
        <v>45351</v>
      </c>
      <c r="C2193" s="49">
        <f>IF(A2193&lt;&gt;"",TIME(HOUR(TRANSACTIONS!$A2193),MINUTE(TRANSACTIONS!$A2193),SECOND(TRANSACTIONS!$A2193)),"")</f>
        <v>0.80589120370370371</v>
      </c>
      <c r="D2193" s="82" t="s">
        <v>62</v>
      </c>
      <c r="E2193" s="82" t="s">
        <v>7</v>
      </c>
      <c r="F2193" s="94">
        <v>85000</v>
      </c>
      <c r="G2193" s="46"/>
      <c r="H2193" s="46">
        <f>IFERROR(TRANSACTIONS!$F2193+TRANSACTIONS!$G2193,"")</f>
        <v>85000</v>
      </c>
      <c r="I2193" s="57" t="s">
        <v>41</v>
      </c>
    </row>
    <row r="2194" spans="1:11" x14ac:dyDescent="0.25">
      <c r="A2194" s="41">
        <v>45351.805896990743</v>
      </c>
      <c r="B2194" s="48">
        <f>IF(A2194&lt;&gt;"",DATE(YEAR(TRANSACTIONS!$A2194),MONTH(TRANSACTIONS!$A2194),DAY(TRANSACTIONS!$A2194)),"")</f>
        <v>45351</v>
      </c>
      <c r="C2194" s="49">
        <f>IF(A2194&lt;&gt;"",TIME(HOUR(TRANSACTIONS!$A2194),MINUTE(TRANSACTIONS!$A2194),SECOND(TRANSACTIONS!$A2194)),"")</f>
        <v>0.80590277777777775</v>
      </c>
      <c r="D2194" s="82" t="s">
        <v>62</v>
      </c>
      <c r="E2194" s="82" t="s">
        <v>7</v>
      </c>
      <c r="F2194" s="94">
        <v>5000</v>
      </c>
      <c r="G2194" s="46"/>
      <c r="H2194" s="46">
        <f>IFERROR(TRANSACTIONS!$F2194+TRANSACTIONS!$G2194,"")</f>
        <v>5000</v>
      </c>
      <c r="I2194" s="57" t="s">
        <v>41</v>
      </c>
    </row>
    <row r="2195" spans="1:11" ht="16.5" customHeight="1" x14ac:dyDescent="0.25">
      <c r="A2195" s="41">
        <v>45351.805904050925</v>
      </c>
      <c r="B2195" s="48">
        <f>IF(A2195&lt;&gt;"",DATE(YEAR(TRANSACTIONS!$A2195),MONTH(TRANSACTIONS!$A2195),DAY(TRANSACTIONS!$A2195)),"")</f>
        <v>45351</v>
      </c>
      <c r="C2195" s="49">
        <f>IF(A2195&lt;&gt;"",TIME(HOUR(TRANSACTIONS!$A2195),MINUTE(TRANSACTIONS!$A2195),SECOND(TRANSACTIONS!$A2195)),"")</f>
        <v>0.80590277777777775</v>
      </c>
      <c r="D2195" s="82" t="s">
        <v>62</v>
      </c>
      <c r="E2195" s="82" t="s">
        <v>6</v>
      </c>
      <c r="F2195" s="94">
        <v>10000</v>
      </c>
      <c r="G2195" s="46"/>
      <c r="H2195" s="46">
        <f>IFERROR(TRANSACTIONS!$F2195+TRANSACTIONS!$G2195,"")</f>
        <v>10000</v>
      </c>
      <c r="I2195" s="57" t="s">
        <v>41</v>
      </c>
    </row>
    <row r="2196" spans="1:11" x14ac:dyDescent="0.25">
      <c r="A2196" s="41">
        <v>45351.805911342592</v>
      </c>
      <c r="B2196" s="48">
        <f>IF(A2196&lt;&gt;"",DATE(YEAR(TRANSACTIONS!$A2196),MONTH(TRANSACTIONS!$A2196),DAY(TRANSACTIONS!$A2196)),"")</f>
        <v>45351</v>
      </c>
      <c r="C2196" s="49">
        <f>IF(A2196&lt;&gt;"",TIME(HOUR(TRANSACTIONS!$A2196),MINUTE(TRANSACTIONS!$A2196),SECOND(TRANSACTIONS!$A2196)),"")</f>
        <v>0.80591435185185178</v>
      </c>
      <c r="D2196" s="82" t="s">
        <v>62</v>
      </c>
      <c r="E2196" s="82" t="s">
        <v>7</v>
      </c>
      <c r="F2196" s="94">
        <v>4950</v>
      </c>
      <c r="G2196" s="46"/>
      <c r="H2196" s="46">
        <f>IFERROR(TRANSACTIONS!$F2196+TRANSACTIONS!$G2196,"")</f>
        <v>4950</v>
      </c>
      <c r="I2196" s="57" t="s">
        <v>41</v>
      </c>
    </row>
    <row r="2197" spans="1:11" ht="15" customHeight="1" x14ac:dyDescent="0.25">
      <c r="A2197" s="41">
        <v>45351.805918749997</v>
      </c>
      <c r="B2197" s="48">
        <f>IF(A2197&lt;&gt;"",DATE(YEAR(TRANSACTIONS!$A2197),MONTH(TRANSACTIONS!$A2197),DAY(TRANSACTIONS!$A2197)),"")</f>
        <v>45351</v>
      </c>
      <c r="C2197" s="49">
        <f>IF(A2197&lt;&gt;"",TIME(HOUR(TRANSACTIONS!$A2197),MINUTE(TRANSACTIONS!$A2197),SECOND(TRANSACTIONS!$A2197)),"")</f>
        <v>0.80591435185185178</v>
      </c>
      <c r="D2197" s="82" t="s">
        <v>62</v>
      </c>
      <c r="E2197" s="82" t="s">
        <v>6</v>
      </c>
      <c r="F2197" s="94">
        <v>2000</v>
      </c>
      <c r="G2197" s="46"/>
      <c r="H2197" s="46">
        <f>IFERROR(TRANSACTIONS!$F2197+TRANSACTIONS!$G2197,"")</f>
        <v>2000</v>
      </c>
      <c r="I2197" s="57" t="s">
        <v>41</v>
      </c>
    </row>
    <row r="2198" spans="1:11" hidden="1" x14ac:dyDescent="0.25">
      <c r="A2198" s="41">
        <v>43797.454253356482</v>
      </c>
      <c r="B2198" s="48">
        <f>IF(A2198&lt;&gt;"",DATE(YEAR(TRANSACTIONS!$A2198),MONTH(TRANSACTIONS!$A2198),DAY(TRANSACTIONS!$A2198)),"")</f>
        <v>43797</v>
      </c>
      <c r="C2198" s="49">
        <f>IF(A2198&lt;&gt;"",TIME(HOUR(TRANSACTIONS!$A2198),MINUTE(TRANSACTIONS!$A2198),SECOND(TRANSACTIONS!$A2198)),"")</f>
        <v>0.45424768518518516</v>
      </c>
      <c r="D2198" s="42" t="s">
        <v>25</v>
      </c>
      <c r="E2198" s="42" t="s">
        <v>6</v>
      </c>
      <c r="F2198" s="43">
        <v>31400</v>
      </c>
      <c r="G2198" s="46"/>
      <c r="H2198" s="46">
        <f>IFERROR(TRANSACTIONS!$F2198+TRANSACTIONS!$G2198,"")</f>
        <v>31400</v>
      </c>
      <c r="I2198" s="57" t="s">
        <v>41</v>
      </c>
    </row>
    <row r="2199" spans="1:11" ht="15.75" customHeight="1" x14ac:dyDescent="0.25">
      <c r="A2199" s="41">
        <v>45351.805954282405</v>
      </c>
      <c r="B2199" s="48">
        <f>IF(A2199&lt;&gt;"",DATE(YEAR(TRANSACTIONS!$A2199),MONTH(TRANSACTIONS!$A2199),DAY(TRANSACTIONS!$A2199)),"")</f>
        <v>45351</v>
      </c>
      <c r="C2199" s="49">
        <f>IF(A2199&lt;&gt;"",TIME(HOUR(TRANSACTIONS!$A2199),MINUTE(TRANSACTIONS!$A2199),SECOND(TRANSACTIONS!$A2199)),"")</f>
        <v>0.80594907407407401</v>
      </c>
      <c r="D2199" s="82" t="s">
        <v>62</v>
      </c>
      <c r="E2199" s="82" t="s">
        <v>7</v>
      </c>
      <c r="F2199" s="94">
        <v>85000</v>
      </c>
      <c r="G2199" s="46"/>
      <c r="H2199" s="46">
        <f>IFERROR(TRANSACTIONS!$F2199+TRANSACTIONS!$G2199,"")</f>
        <v>85000</v>
      </c>
      <c r="I2199" s="57" t="s">
        <v>41</v>
      </c>
    </row>
    <row r="2200" spans="1:11" x14ac:dyDescent="0.25">
      <c r="A2200" s="41">
        <v>45351.805979976853</v>
      </c>
      <c r="B2200" s="48">
        <f>IF(A2200&lt;&gt;"",DATE(YEAR(TRANSACTIONS!$A2200),MONTH(TRANSACTIONS!$A2200),DAY(TRANSACTIONS!$A2200)),"")</f>
        <v>45351</v>
      </c>
      <c r="C2200" s="49">
        <f>IF(A2200&lt;&gt;"",TIME(HOUR(TRANSACTIONS!$A2200),MINUTE(TRANSACTIONS!$A2200),SECOND(TRANSACTIONS!$A2200)),"")</f>
        <v>0.80598379629629635</v>
      </c>
      <c r="D2200" s="82" t="s">
        <v>62</v>
      </c>
      <c r="E2200" s="82" t="s">
        <v>7</v>
      </c>
      <c r="F2200" s="94">
        <v>2000</v>
      </c>
      <c r="G2200" s="46"/>
      <c r="H2200" s="46">
        <f>IFERROR(TRANSACTIONS!$F2200+TRANSACTIONS!$G2200,"")</f>
        <v>2000</v>
      </c>
      <c r="I2200" s="57" t="s">
        <v>41</v>
      </c>
    </row>
    <row r="2201" spans="1:11" x14ac:dyDescent="0.25">
      <c r="A2201" s="41">
        <v>45351.806016435185</v>
      </c>
      <c r="B2201" s="48">
        <f>IF(A2201&lt;&gt;"",DATE(YEAR(TRANSACTIONS!$A2201),MONTH(TRANSACTIONS!$A2201),DAY(TRANSACTIONS!$A2201)),"")</f>
        <v>45351</v>
      </c>
      <c r="C2201" s="49">
        <f>IF(A2201&lt;&gt;"",TIME(HOUR(TRANSACTIONS!$A2201),MINUTE(TRANSACTIONS!$A2201),SECOND(TRANSACTIONS!$A2201)),"")</f>
        <v>0.80601851851851858</v>
      </c>
      <c r="D2201" s="82" t="s">
        <v>62</v>
      </c>
      <c r="E2201" s="82" t="s">
        <v>7</v>
      </c>
      <c r="F2201" s="94">
        <v>70000</v>
      </c>
      <c r="G2201" s="46"/>
      <c r="H2201" s="46">
        <f>IFERROR(TRANSACTIONS!$F2201+TRANSACTIONS!$G2201,"")</f>
        <v>70000</v>
      </c>
      <c r="I2201" s="57" t="s">
        <v>41</v>
      </c>
    </row>
    <row r="2202" spans="1:11" x14ac:dyDescent="0.25">
      <c r="A2202" s="41">
        <v>45351.806022453704</v>
      </c>
      <c r="B2202" s="48">
        <f>IF(A2202&lt;&gt;"",DATE(YEAR(TRANSACTIONS!$A2202),MONTH(TRANSACTIONS!$A2202),DAY(TRANSACTIONS!$A2202)),"")</f>
        <v>45351</v>
      </c>
      <c r="C2202" s="49">
        <f>IF(A2202&lt;&gt;"",TIME(HOUR(TRANSACTIONS!$A2202),MINUTE(TRANSACTIONS!$A2202),SECOND(TRANSACTIONS!$A2202)),"")</f>
        <v>0.80601851851851858</v>
      </c>
      <c r="D2202" s="82" t="s">
        <v>62</v>
      </c>
      <c r="E2202" s="82" t="s">
        <v>7</v>
      </c>
      <c r="F2202" s="94">
        <v>3000</v>
      </c>
      <c r="G2202" s="46"/>
      <c r="H2202" s="46">
        <f>IFERROR(TRANSACTIONS!$F2202+TRANSACTIONS!$G2202,"")</f>
        <v>3000</v>
      </c>
      <c r="I2202" s="57" t="s">
        <v>41</v>
      </c>
    </row>
    <row r="2203" spans="1:11" x14ac:dyDescent="0.25">
      <c r="A2203" s="113">
        <v>45351.806036226852</v>
      </c>
      <c r="B2203" s="114">
        <f>IF(A2203&lt;&gt;"",DATE(YEAR(TRANSACTIONS!$A2203),MONTH(TRANSACTIONS!$A2203),DAY(TRANSACTIONS!$A2203)),"")</f>
        <v>45351</v>
      </c>
      <c r="C2203" s="115">
        <f>IF(A2203&lt;&gt;"",TIME(HOUR(TRANSACTIONS!$A2203),MINUTE(TRANSACTIONS!$A2203),SECOND(TRANSACTIONS!$A2203)),"")</f>
        <v>0.80604166666666666</v>
      </c>
      <c r="D2203" s="82" t="s">
        <v>62</v>
      </c>
      <c r="E2203" s="82" t="s">
        <v>7</v>
      </c>
      <c r="F2203" s="94">
        <v>63000</v>
      </c>
      <c r="G2203" s="117"/>
      <c r="H2203" s="117">
        <f>IFERROR(TRANSACTIONS!$F2203+TRANSACTIONS!$G2203,"")</f>
        <v>63000</v>
      </c>
      <c r="I2203" s="123" t="s">
        <v>41</v>
      </c>
      <c r="J2203" s="118"/>
      <c r="K2203" s="118"/>
    </row>
    <row r="2204" spans="1:11" x14ac:dyDescent="0.25">
      <c r="A2204" s="41">
        <v>45351.806071064813</v>
      </c>
      <c r="B2204" s="48">
        <f>IF(A2204&lt;&gt;"",DATE(YEAR(TRANSACTIONS!$A2204),MONTH(TRANSACTIONS!$A2204),DAY(TRANSACTIONS!$A2204)),"")</f>
        <v>45351</v>
      </c>
      <c r="C2204" s="49">
        <f>IF(A2204&lt;&gt;"",TIME(HOUR(TRANSACTIONS!$A2204),MINUTE(TRANSACTIONS!$A2204),SECOND(TRANSACTIONS!$A2204)),"")</f>
        <v>0.80607638888888899</v>
      </c>
      <c r="D2204" s="82" t="s">
        <v>62</v>
      </c>
      <c r="E2204" s="82" t="s">
        <v>6</v>
      </c>
      <c r="F2204" s="94">
        <v>28000</v>
      </c>
      <c r="G2204" s="46"/>
      <c r="H2204" s="46">
        <f>IFERROR(TRANSACTIONS!$F2204+TRANSACTIONS!$G2204,"")</f>
        <v>28000</v>
      </c>
      <c r="I2204" s="57" t="s">
        <v>41</v>
      </c>
    </row>
    <row r="2205" spans="1:11" x14ac:dyDescent="0.25">
      <c r="A2205" s="41">
        <v>45351.806079745373</v>
      </c>
      <c r="B2205" s="48">
        <f>IF(A2205&lt;&gt;"",DATE(YEAR(TRANSACTIONS!$A2205),MONTH(TRANSACTIONS!$A2205),DAY(TRANSACTIONS!$A2205)),"")</f>
        <v>45351</v>
      </c>
      <c r="C2205" s="49">
        <f>IF(A2205&lt;&gt;"",TIME(HOUR(TRANSACTIONS!$A2205),MINUTE(TRANSACTIONS!$A2205),SECOND(TRANSACTIONS!$A2205)),"")</f>
        <v>0.80607638888888899</v>
      </c>
      <c r="D2205" s="82" t="s">
        <v>62</v>
      </c>
      <c r="E2205" s="82" t="s">
        <v>6</v>
      </c>
      <c r="F2205" s="94">
        <v>150000</v>
      </c>
      <c r="G2205" s="46"/>
      <c r="H2205" s="46">
        <f>IFERROR(TRANSACTIONS!$F2205+TRANSACTIONS!$G2205,"")</f>
        <v>150000</v>
      </c>
      <c r="I2205" s="57" t="s">
        <v>41</v>
      </c>
    </row>
    <row r="2206" spans="1:11" x14ac:dyDescent="0.25">
      <c r="A2206" s="41">
        <v>45351.806089351849</v>
      </c>
      <c r="B2206" s="48">
        <f>IF(A2206&lt;&gt;"",DATE(YEAR(TRANSACTIONS!$A2206),MONTH(TRANSACTIONS!$A2206),DAY(TRANSACTIONS!$A2206)),"")</f>
        <v>45351</v>
      </c>
      <c r="C2206" s="49">
        <f>IF(A2206&lt;&gt;"",TIME(HOUR(TRANSACTIONS!$A2206),MINUTE(TRANSACTIONS!$A2206),SECOND(TRANSACTIONS!$A2206)),"")</f>
        <v>0.80608796296296292</v>
      </c>
      <c r="D2206" s="82" t="s">
        <v>62</v>
      </c>
      <c r="E2206" s="82" t="s">
        <v>7</v>
      </c>
      <c r="F2206" s="94">
        <v>5000</v>
      </c>
      <c r="G2206" s="46"/>
      <c r="H2206" s="46">
        <f>IFERROR(TRANSACTIONS!$F2206+TRANSACTIONS!$G2206,"")</f>
        <v>5000</v>
      </c>
      <c r="I2206" s="57" t="s">
        <v>41</v>
      </c>
    </row>
    <row r="2207" spans="1:11" x14ac:dyDescent="0.25">
      <c r="A2207" s="41">
        <v>45351.806096759261</v>
      </c>
      <c r="B2207" s="48">
        <f>IF(A2207&lt;&gt;"",DATE(YEAR(TRANSACTIONS!$A2207),MONTH(TRANSACTIONS!$A2207),DAY(TRANSACTIONS!$A2207)),"")</f>
        <v>45351</v>
      </c>
      <c r="C2207" s="49">
        <f>IF(A2207&lt;&gt;"",TIME(HOUR(TRANSACTIONS!$A2207),MINUTE(TRANSACTIONS!$A2207),SECOND(TRANSACTIONS!$A2207)),"")</f>
        <v>0.80609953703703707</v>
      </c>
      <c r="D2207" s="82" t="s">
        <v>62</v>
      </c>
      <c r="E2207" s="82" t="s">
        <v>7</v>
      </c>
      <c r="F2207" s="94">
        <v>7000</v>
      </c>
      <c r="G2207" s="46"/>
      <c r="H2207" s="46">
        <f>IFERROR(TRANSACTIONS!$F2207+TRANSACTIONS!$G2207,"")</f>
        <v>7000</v>
      </c>
      <c r="I2207" s="57" t="s">
        <v>41</v>
      </c>
    </row>
    <row r="2208" spans="1:11" x14ac:dyDescent="0.25">
      <c r="A2208" s="41">
        <v>45351.806104513889</v>
      </c>
      <c r="B2208" s="48">
        <f>IF(A2208&lt;&gt;"",DATE(YEAR(TRANSACTIONS!$A2208),MONTH(TRANSACTIONS!$A2208),DAY(TRANSACTIONS!$A2208)),"")</f>
        <v>45351</v>
      </c>
      <c r="C2208" s="49">
        <f>IF(A2208&lt;&gt;"",TIME(HOUR(TRANSACTIONS!$A2208),MINUTE(TRANSACTIONS!$A2208),SECOND(TRANSACTIONS!$A2208)),"")</f>
        <v>0.80609953703703707</v>
      </c>
      <c r="D2208" s="82" t="s">
        <v>62</v>
      </c>
      <c r="E2208" s="82" t="s">
        <v>7</v>
      </c>
      <c r="F2208" s="94">
        <v>1000</v>
      </c>
      <c r="G2208" s="46"/>
      <c r="H2208" s="46">
        <f>IFERROR(TRANSACTIONS!$F2208+TRANSACTIONS!$G2208,"")</f>
        <v>1000</v>
      </c>
      <c r="I2208" s="57" t="s">
        <v>41</v>
      </c>
    </row>
    <row r="2209" spans="1:9" x14ac:dyDescent="0.25">
      <c r="A2209" s="41">
        <v>45351.806112268518</v>
      </c>
      <c r="B2209" s="48">
        <f>IF(A2209&lt;&gt;"",DATE(YEAR(TRANSACTIONS!$A2209),MONTH(TRANSACTIONS!$A2209),DAY(TRANSACTIONS!$A2209)),"")</f>
        <v>45351</v>
      </c>
      <c r="C2209" s="49">
        <f>IF(A2209&lt;&gt;"",TIME(HOUR(TRANSACTIONS!$A2209),MINUTE(TRANSACTIONS!$A2209),SECOND(TRANSACTIONS!$A2209)),"")</f>
        <v>0.80611111111111111</v>
      </c>
      <c r="D2209" s="82" t="s">
        <v>62</v>
      </c>
      <c r="E2209" s="82" t="s">
        <v>7</v>
      </c>
      <c r="F2209" s="94">
        <v>5000</v>
      </c>
      <c r="G2209" s="46"/>
      <c r="H2209" s="46">
        <f>IFERROR(TRANSACTIONS!$F2209+TRANSACTIONS!$G2209,"")</f>
        <v>5000</v>
      </c>
      <c r="I2209" s="57" t="s">
        <v>41</v>
      </c>
    </row>
    <row r="2210" spans="1:9" x14ac:dyDescent="0.25">
      <c r="A2210" s="41">
        <v>45351.806120023146</v>
      </c>
      <c r="B2210" s="48">
        <f>IF(A2210&lt;&gt;"",DATE(YEAR(TRANSACTIONS!$A2210),MONTH(TRANSACTIONS!$A2210),DAY(TRANSACTIONS!$A2210)),"")</f>
        <v>45351</v>
      </c>
      <c r="C2210" s="49">
        <f>IF(A2210&lt;&gt;"",TIME(HOUR(TRANSACTIONS!$A2210),MINUTE(TRANSACTIONS!$A2210),SECOND(TRANSACTIONS!$A2210)),"")</f>
        <v>0.80612268518518515</v>
      </c>
      <c r="D2210" s="82" t="s">
        <v>62</v>
      </c>
      <c r="E2210" s="82" t="s">
        <v>7</v>
      </c>
      <c r="F2210" s="94">
        <v>5000</v>
      </c>
      <c r="G2210" s="46"/>
      <c r="H2210" s="46">
        <f>IFERROR(TRANSACTIONS!$F2210+TRANSACTIONS!$G2210,"")</f>
        <v>5000</v>
      </c>
      <c r="I2210" s="57" t="s">
        <v>41</v>
      </c>
    </row>
    <row r="2211" spans="1:9" x14ac:dyDescent="0.25">
      <c r="A2211" s="41">
        <v>45351.806128935183</v>
      </c>
      <c r="B2211" s="48">
        <f>IF(A2211&lt;&gt;"",DATE(YEAR(TRANSACTIONS!$A2211),MONTH(TRANSACTIONS!$A2211),DAY(TRANSACTIONS!$A2211)),"")</f>
        <v>45351</v>
      </c>
      <c r="C2211" s="49">
        <f>IF(A2211&lt;&gt;"",TIME(HOUR(TRANSACTIONS!$A2211),MINUTE(TRANSACTIONS!$A2211),SECOND(TRANSACTIONS!$A2211)),"")</f>
        <v>0.80613425925925919</v>
      </c>
      <c r="D2211" s="82" t="s">
        <v>62</v>
      </c>
      <c r="E2211" s="82" t="s">
        <v>7</v>
      </c>
      <c r="F2211" s="94">
        <v>2000</v>
      </c>
      <c r="G2211" s="46"/>
      <c r="H2211" s="46">
        <f>IFERROR(TRANSACTIONS!$F2211+TRANSACTIONS!$G2211,"")</f>
        <v>2000</v>
      </c>
      <c r="I2211" s="57" t="s">
        <v>41</v>
      </c>
    </row>
    <row r="2212" spans="1:9" x14ac:dyDescent="0.25">
      <c r="A2212" s="41">
        <v>45351.806144675924</v>
      </c>
      <c r="B2212" s="48">
        <f>IF(A2212&lt;&gt;"",DATE(YEAR(TRANSACTIONS!$A2212),MONTH(TRANSACTIONS!$A2212),DAY(TRANSACTIONS!$A2212)),"")</f>
        <v>45351</v>
      </c>
      <c r="C2212" s="49">
        <f>IF(A2212&lt;&gt;"",TIME(HOUR(TRANSACTIONS!$A2212),MINUTE(TRANSACTIONS!$A2212),SECOND(TRANSACTIONS!$A2212)),"")</f>
        <v>0.80614583333333334</v>
      </c>
      <c r="D2212" s="82" t="s">
        <v>62</v>
      </c>
      <c r="E2212" s="82" t="s">
        <v>6</v>
      </c>
      <c r="F2212" s="94">
        <v>20200</v>
      </c>
      <c r="G2212" s="46"/>
      <c r="H2212" s="46">
        <f>IFERROR(TRANSACTIONS!$F2212+TRANSACTIONS!$G2212,"")</f>
        <v>20200</v>
      </c>
      <c r="I2212" s="57" t="s">
        <v>41</v>
      </c>
    </row>
    <row r="2213" spans="1:9" x14ac:dyDescent="0.25">
      <c r="A2213" s="41">
        <v>45351.80617974537</v>
      </c>
      <c r="B2213" s="48">
        <f>IF(A2213&lt;&gt;"",DATE(YEAR(TRANSACTIONS!$A2213),MONTH(TRANSACTIONS!$A2213),DAY(TRANSACTIONS!$A2213)),"")</f>
        <v>45351</v>
      </c>
      <c r="C2213" s="49">
        <f>IF(A2213&lt;&gt;"",TIME(HOUR(TRANSACTIONS!$A2213),MINUTE(TRANSACTIONS!$A2213),SECOND(TRANSACTIONS!$A2213)),"")</f>
        <v>0.80618055555555557</v>
      </c>
      <c r="D2213" s="82" t="s">
        <v>62</v>
      </c>
      <c r="E2213" s="82" t="s">
        <v>6</v>
      </c>
      <c r="F2213" s="94">
        <v>1000</v>
      </c>
      <c r="G2213" s="46"/>
      <c r="H2213" s="46">
        <f>IFERROR(TRANSACTIONS!$F2213+TRANSACTIONS!$G2213,"")</f>
        <v>1000</v>
      </c>
      <c r="I2213" s="57" t="s">
        <v>41</v>
      </c>
    </row>
    <row r="2214" spans="1:9" x14ac:dyDescent="0.25">
      <c r="A2214" s="81">
        <v>45351.806188078706</v>
      </c>
      <c r="B2214" s="83">
        <f>IF(A2214&lt;&gt;"",DATE(YEAR(TRANSACTIONS!$A2214),MONTH(TRANSACTIONS!$A2214),DAY(TRANSACTIONS!$A2214)),"")</f>
        <v>45351</v>
      </c>
      <c r="C2214" s="84">
        <f>IF(A2214&lt;&gt;"",TIME(HOUR(TRANSACTIONS!$A2214),MINUTE(TRANSACTIONS!$A2214),SECOND(TRANSACTIONS!$A2214)),"")</f>
        <v>0.80619212962962961</v>
      </c>
      <c r="D2214" s="82" t="s">
        <v>62</v>
      </c>
      <c r="E2214" s="82" t="s">
        <v>6</v>
      </c>
      <c r="F2214" s="94">
        <v>500</v>
      </c>
      <c r="G2214" s="86"/>
      <c r="H2214" s="86">
        <f>IFERROR(TRANSACTIONS!$F2214+TRANSACTIONS!$G2214,"")</f>
        <v>500</v>
      </c>
      <c r="I2214" s="87" t="s">
        <v>41</v>
      </c>
    </row>
    <row r="2215" spans="1:9" x14ac:dyDescent="0.25">
      <c r="A2215" s="41">
        <v>45351.806196759258</v>
      </c>
      <c r="B2215" s="48">
        <f>IF(A2215&lt;&gt;"",DATE(YEAR(TRANSACTIONS!$A2215),MONTH(TRANSACTIONS!$A2215),DAY(TRANSACTIONS!$A2215)),"")</f>
        <v>45351</v>
      </c>
      <c r="C2215" s="49">
        <f>IF(A2215&lt;&gt;"",TIME(HOUR(TRANSACTIONS!$A2215),MINUTE(TRANSACTIONS!$A2215),SECOND(TRANSACTIONS!$A2215)),"")</f>
        <v>0.80619212962962961</v>
      </c>
      <c r="D2215" s="82" t="s">
        <v>62</v>
      </c>
      <c r="E2215" s="82" t="s">
        <v>7</v>
      </c>
      <c r="F2215" s="94">
        <v>2500</v>
      </c>
      <c r="G2215" s="46"/>
      <c r="H2215" s="46">
        <f>IFERROR(TRANSACTIONS!$F2215+TRANSACTIONS!$G2215,"")</f>
        <v>2500</v>
      </c>
      <c r="I2215" s="57" t="s">
        <v>41</v>
      </c>
    </row>
    <row r="2216" spans="1:9" x14ac:dyDescent="0.25">
      <c r="A2216" s="41">
        <v>45351.80620752315</v>
      </c>
      <c r="B2216" s="48">
        <f>IF(A2216&lt;&gt;"",DATE(YEAR(TRANSACTIONS!$A2216),MONTH(TRANSACTIONS!$A2216),DAY(TRANSACTIONS!$A2216)),"")</f>
        <v>45351</v>
      </c>
      <c r="C2216" s="49">
        <f>IF(A2216&lt;&gt;"",TIME(HOUR(TRANSACTIONS!$A2216),MINUTE(TRANSACTIONS!$A2216),SECOND(TRANSACTIONS!$A2216)),"")</f>
        <v>0.80620370370370376</v>
      </c>
      <c r="D2216" s="82" t="s">
        <v>62</v>
      </c>
      <c r="E2216" s="82" t="s">
        <v>7</v>
      </c>
      <c r="F2216" s="94">
        <v>10000</v>
      </c>
      <c r="G2216" s="46"/>
      <c r="H2216" s="46">
        <f>IFERROR(TRANSACTIONS!$F2216+TRANSACTIONS!$G2216,"")</f>
        <v>10000</v>
      </c>
      <c r="I2216" s="57" t="s">
        <v>41</v>
      </c>
    </row>
    <row r="2217" spans="1:9" x14ac:dyDescent="0.25">
      <c r="A2217" s="41">
        <v>45351.806215277778</v>
      </c>
      <c r="B2217" s="48">
        <f>IF(A2217&lt;&gt;"",DATE(YEAR(TRANSACTIONS!$A2217),MONTH(TRANSACTIONS!$A2217),DAY(TRANSACTIONS!$A2217)),"")</f>
        <v>45351</v>
      </c>
      <c r="C2217" s="49">
        <f>IF(A2217&lt;&gt;"",TIME(HOUR(TRANSACTIONS!$A2217),MINUTE(TRANSACTIONS!$A2217),SECOND(TRANSACTIONS!$A2217)),"")</f>
        <v>0.80621527777777768</v>
      </c>
      <c r="D2217" s="82" t="s">
        <v>62</v>
      </c>
      <c r="E2217" s="82" t="s">
        <v>6</v>
      </c>
      <c r="F2217" s="94">
        <v>2000</v>
      </c>
      <c r="G2217" s="46"/>
      <c r="H2217" s="46">
        <f>IFERROR(TRANSACTIONS!$F2217+TRANSACTIONS!$G2217,"")</f>
        <v>2000</v>
      </c>
      <c r="I2217" s="57" t="s">
        <v>41</v>
      </c>
    </row>
    <row r="2218" spans="1:9" x14ac:dyDescent="0.25">
      <c r="A2218" s="41">
        <v>45351.806232291667</v>
      </c>
      <c r="B2218" s="48">
        <f>IF(A2218&lt;&gt;"",DATE(YEAR(TRANSACTIONS!$A2218),MONTH(TRANSACTIONS!$A2218),DAY(TRANSACTIONS!$A2218)),"")</f>
        <v>45351</v>
      </c>
      <c r="C2218" s="49">
        <f>IF(A2218&lt;&gt;"",TIME(HOUR(TRANSACTIONS!$A2218),MINUTE(TRANSACTIONS!$A2218),SECOND(TRANSACTIONS!$A2218)),"")</f>
        <v>0.80622685185185183</v>
      </c>
      <c r="D2218" s="82" t="s">
        <v>62</v>
      </c>
      <c r="E2218" s="82" t="s">
        <v>7</v>
      </c>
      <c r="F2218" s="94">
        <v>5000</v>
      </c>
      <c r="G2218" s="46"/>
      <c r="H2218" s="46">
        <f>IFERROR(TRANSACTIONS!$F2218+TRANSACTIONS!$G2218,"")</f>
        <v>5000</v>
      </c>
      <c r="I2218" s="57" t="s">
        <v>41</v>
      </c>
    </row>
    <row r="2219" spans="1:9" x14ac:dyDescent="0.25">
      <c r="A2219" s="41">
        <v>45351.806237384262</v>
      </c>
      <c r="B2219" s="48">
        <f>IF(A2219&lt;&gt;"",DATE(YEAR(TRANSACTIONS!$A2219),MONTH(TRANSACTIONS!$A2219),DAY(TRANSACTIONS!$A2219)),"")</f>
        <v>45351</v>
      </c>
      <c r="C2219" s="49">
        <f>IF(A2219&lt;&gt;"",TIME(HOUR(TRANSACTIONS!$A2219),MINUTE(TRANSACTIONS!$A2219),SECOND(TRANSACTIONS!$A2219)),"")</f>
        <v>0.80623842592592598</v>
      </c>
      <c r="D2219" s="82" t="s">
        <v>62</v>
      </c>
      <c r="E2219" s="82" t="s">
        <v>6</v>
      </c>
      <c r="F2219" s="94">
        <v>5000</v>
      </c>
      <c r="G2219" s="46"/>
      <c r="H2219" s="46">
        <f>IFERROR(TRANSACTIONS!$F2219+TRANSACTIONS!$G2219,"")</f>
        <v>5000</v>
      </c>
      <c r="I2219" s="57" t="s">
        <v>41</v>
      </c>
    </row>
    <row r="2220" spans="1:9" x14ac:dyDescent="0.25">
      <c r="A2220" s="41">
        <v>45351.806258217592</v>
      </c>
      <c r="B2220" s="48">
        <f>IF(A2220&lt;&gt;"",DATE(YEAR(TRANSACTIONS!$A2220),MONTH(TRANSACTIONS!$A2220),DAY(TRANSACTIONS!$A2220)),"")</f>
        <v>45351</v>
      </c>
      <c r="C2220" s="49">
        <f>IF(A2220&lt;&gt;"",TIME(HOUR(TRANSACTIONS!$A2220),MINUTE(TRANSACTIONS!$A2220),SECOND(TRANSACTIONS!$A2220)),"")</f>
        <v>0.80626157407407406</v>
      </c>
      <c r="D2220" s="82" t="s">
        <v>62</v>
      </c>
      <c r="E2220" s="82" t="s">
        <v>6</v>
      </c>
      <c r="F2220" s="94">
        <v>1500</v>
      </c>
      <c r="G2220" s="46"/>
      <c r="H2220" s="46">
        <f>IFERROR(TRANSACTIONS!$F2220+TRANSACTIONS!$G2220,"")</f>
        <v>1500</v>
      </c>
      <c r="I2220" s="57" t="s">
        <v>41</v>
      </c>
    </row>
    <row r="2221" spans="1:9" x14ac:dyDescent="0.25">
      <c r="A2221" s="81">
        <v>45351.806298842595</v>
      </c>
      <c r="B2221" s="83">
        <f>IF(A2221&lt;&gt;"",DATE(YEAR(TRANSACTIONS!$A2221),MONTH(TRANSACTIONS!$A2221),DAY(TRANSACTIONS!$A2221)),"")</f>
        <v>45351</v>
      </c>
      <c r="C2221" s="84">
        <f>IF(A2221&lt;&gt;"",TIME(HOUR(TRANSACTIONS!$A2221),MINUTE(TRANSACTIONS!$A2221),SECOND(TRANSACTIONS!$A2221)),"")</f>
        <v>0.8062962962962964</v>
      </c>
      <c r="D2221" s="82" t="s">
        <v>62</v>
      </c>
      <c r="E2221" s="82" t="s">
        <v>6</v>
      </c>
      <c r="F2221" s="94">
        <v>1000</v>
      </c>
      <c r="G2221" s="86"/>
      <c r="H2221" s="86">
        <f>IFERROR(TRANSACTIONS!$F2221+TRANSACTIONS!$G2221,"")</f>
        <v>1000</v>
      </c>
      <c r="I2221" s="87" t="s">
        <v>41</v>
      </c>
    </row>
    <row r="2222" spans="1:9" x14ac:dyDescent="0.25">
      <c r="A2222" s="41">
        <v>45351.806373726853</v>
      </c>
      <c r="B2222" s="48">
        <f>IF(A2222&lt;&gt;"",DATE(YEAR(TRANSACTIONS!$A2222),MONTH(TRANSACTIONS!$A2222),DAY(TRANSACTIONS!$A2222)),"")</f>
        <v>45351</v>
      </c>
      <c r="C2222" s="49">
        <f>IF(A2222&lt;&gt;"",TIME(HOUR(TRANSACTIONS!$A2222),MINUTE(TRANSACTIONS!$A2222),SECOND(TRANSACTIONS!$A2222)),"")</f>
        <v>0.80637731481481489</v>
      </c>
      <c r="D2222" s="82" t="s">
        <v>62</v>
      </c>
      <c r="E2222" s="82" t="s">
        <v>6</v>
      </c>
      <c r="F2222" s="94">
        <v>5050</v>
      </c>
      <c r="G2222" s="46"/>
      <c r="H2222" s="46">
        <f>IFERROR(TRANSACTIONS!$F2222+TRANSACTIONS!$G2222,"")</f>
        <v>5050</v>
      </c>
      <c r="I2222" s="57" t="s">
        <v>41</v>
      </c>
    </row>
    <row r="2223" spans="1:9" x14ac:dyDescent="0.25">
      <c r="A2223" s="41">
        <v>45351.806386111108</v>
      </c>
      <c r="B2223" s="48">
        <f>IF(A2223&lt;&gt;"",DATE(YEAR(TRANSACTIONS!$A2223),MONTH(TRANSACTIONS!$A2223),DAY(TRANSACTIONS!$A2223)),"")</f>
        <v>45351</v>
      </c>
      <c r="C2223" s="49">
        <f>IF(A2223&lt;&gt;"",TIME(HOUR(TRANSACTIONS!$A2223),MINUTE(TRANSACTIONS!$A2223),SECOND(TRANSACTIONS!$A2223)),"")</f>
        <v>0.80638888888888882</v>
      </c>
      <c r="D2223" s="82" t="s">
        <v>62</v>
      </c>
      <c r="E2223" s="82" t="s">
        <v>7</v>
      </c>
      <c r="F2223" s="94">
        <v>1500</v>
      </c>
      <c r="G2223" s="46"/>
      <c r="H2223" s="46">
        <f>IFERROR(TRANSACTIONS!$F2223+TRANSACTIONS!$G2223,"")</f>
        <v>1500</v>
      </c>
      <c r="I2223" s="57" t="s">
        <v>41</v>
      </c>
    </row>
    <row r="2224" spans="1:9" x14ac:dyDescent="0.25">
      <c r="A2224" s="41">
        <v>45351.806395254629</v>
      </c>
      <c r="B2224" s="48">
        <f>IF(A2224&lt;&gt;"",DATE(YEAR(TRANSACTIONS!$A2224),MONTH(TRANSACTIONS!$A2224),DAY(TRANSACTIONS!$A2224)),"")</f>
        <v>45351</v>
      </c>
      <c r="C2224" s="49">
        <f>IF(A2224&lt;&gt;"",TIME(HOUR(TRANSACTIONS!$A2224),MINUTE(TRANSACTIONS!$A2224),SECOND(TRANSACTIONS!$A2224)),"")</f>
        <v>0.80640046296296297</v>
      </c>
      <c r="D2224" s="82" t="s">
        <v>62</v>
      </c>
      <c r="E2224" s="82" t="s">
        <v>7</v>
      </c>
      <c r="F2224" s="94">
        <v>7000</v>
      </c>
      <c r="G2224" s="46"/>
      <c r="H2224" s="46">
        <f>IFERROR(TRANSACTIONS!$F2224+TRANSACTIONS!$G2224,"")</f>
        <v>7000</v>
      </c>
      <c r="I2224" s="57" t="s">
        <v>41</v>
      </c>
    </row>
    <row r="2225" spans="1:9" x14ac:dyDescent="0.25">
      <c r="A2225" s="41">
        <v>45351.806411689817</v>
      </c>
      <c r="B2225" s="48">
        <f>IF(A2225&lt;&gt;"",DATE(YEAR(TRANSACTIONS!$A2225),MONTH(TRANSACTIONS!$A2225),DAY(TRANSACTIONS!$A2225)),"")</f>
        <v>45351</v>
      </c>
      <c r="C2225" s="49">
        <f>IF(A2225&lt;&gt;"",TIME(HOUR(TRANSACTIONS!$A2225),MINUTE(TRANSACTIONS!$A2225),SECOND(TRANSACTIONS!$A2225)),"")</f>
        <v>0.80641203703703701</v>
      </c>
      <c r="D2225" s="82" t="s">
        <v>62</v>
      </c>
      <c r="E2225" s="82" t="s">
        <v>7</v>
      </c>
      <c r="F2225" s="94">
        <v>5000</v>
      </c>
      <c r="G2225" s="46"/>
      <c r="H2225" s="46">
        <f>IFERROR(TRANSACTIONS!$F2225+TRANSACTIONS!$G2225,"")</f>
        <v>5000</v>
      </c>
      <c r="I2225" s="57" t="s">
        <v>41</v>
      </c>
    </row>
    <row r="2226" spans="1:9" x14ac:dyDescent="0.25">
      <c r="A2226" s="41">
        <v>45351.806419791668</v>
      </c>
      <c r="B2226" s="48">
        <f>IF(A2226&lt;&gt;"",DATE(YEAR(TRANSACTIONS!$A2226),MONTH(TRANSACTIONS!$A2226),DAY(TRANSACTIONS!$A2226)),"")</f>
        <v>45351</v>
      </c>
      <c r="C2226" s="49">
        <f>IF(A2226&lt;&gt;"",TIME(HOUR(TRANSACTIONS!$A2226),MINUTE(TRANSACTIONS!$A2226),SECOND(TRANSACTIONS!$A2226)),"")</f>
        <v>0.80642361111111116</v>
      </c>
      <c r="D2226" s="82" t="s">
        <v>62</v>
      </c>
      <c r="E2226" s="82" t="s">
        <v>7</v>
      </c>
      <c r="F2226" s="94">
        <v>500</v>
      </c>
      <c r="G2226" s="46"/>
      <c r="H2226" s="46">
        <f>IFERROR(TRANSACTIONS!$F2226+TRANSACTIONS!$G2226,"")</f>
        <v>500</v>
      </c>
      <c r="I2226" s="57" t="s">
        <v>41</v>
      </c>
    </row>
    <row r="2227" spans="1:9" x14ac:dyDescent="0.25">
      <c r="A2227" s="41">
        <v>45351.80642847222</v>
      </c>
      <c r="B2227" s="48">
        <f>IF(A2227&lt;&gt;"",DATE(YEAR(TRANSACTIONS!$A2227),MONTH(TRANSACTIONS!$A2227),DAY(TRANSACTIONS!$A2227)),"")</f>
        <v>45351</v>
      </c>
      <c r="C2227" s="49">
        <f>IF(A2227&lt;&gt;"",TIME(HOUR(TRANSACTIONS!$A2227),MINUTE(TRANSACTIONS!$A2227),SECOND(TRANSACTIONS!$A2227)),"")</f>
        <v>0.80642361111111116</v>
      </c>
      <c r="D2227" s="82" t="s">
        <v>62</v>
      </c>
      <c r="E2227" s="82" t="s">
        <v>6</v>
      </c>
      <c r="F2227" s="94">
        <v>2500</v>
      </c>
      <c r="G2227" s="46"/>
      <c r="H2227" s="46">
        <f>IFERROR(TRANSACTIONS!$F2227+TRANSACTIONS!$G2227,"")</f>
        <v>2500</v>
      </c>
      <c r="I2227" s="57" t="s">
        <v>41</v>
      </c>
    </row>
    <row r="2228" spans="1:9" x14ac:dyDescent="0.25">
      <c r="A2228" s="41">
        <v>45351.806442592591</v>
      </c>
      <c r="B2228" s="48">
        <f>IF(A2228&lt;&gt;"",DATE(YEAR(TRANSACTIONS!$A2228),MONTH(TRANSACTIONS!$A2228),DAY(TRANSACTIONS!$A2228)),"")</f>
        <v>45351</v>
      </c>
      <c r="C2228" s="49">
        <f>IF(A2228&lt;&gt;"",TIME(HOUR(TRANSACTIONS!$A2228),MINUTE(TRANSACTIONS!$A2228),SECOND(TRANSACTIONS!$A2228)),"")</f>
        <v>0.80644675925925924</v>
      </c>
      <c r="D2228" s="82" t="s">
        <v>62</v>
      </c>
      <c r="E2228" s="82" t="s">
        <v>6</v>
      </c>
      <c r="F2228" s="94">
        <v>5050</v>
      </c>
      <c r="G2228" s="46"/>
      <c r="H2228" s="46">
        <f>IFERROR(TRANSACTIONS!$F2228+TRANSACTIONS!$G2228,"")</f>
        <v>5050</v>
      </c>
      <c r="I2228" s="57" t="s">
        <v>41</v>
      </c>
    </row>
    <row r="2229" spans="1:9" x14ac:dyDescent="0.25">
      <c r="A2229" s="41">
        <v>45351.806468287039</v>
      </c>
      <c r="B2229" s="48">
        <f>IF(A2229&lt;&gt;"",DATE(YEAR(TRANSACTIONS!$A2229),MONTH(TRANSACTIONS!$A2229),DAY(TRANSACTIONS!$A2229)),"")</f>
        <v>45351</v>
      </c>
      <c r="C2229" s="49">
        <f>IF(A2229&lt;&gt;"",TIME(HOUR(TRANSACTIONS!$A2229),MINUTE(TRANSACTIONS!$A2229),SECOND(TRANSACTIONS!$A2229)),"")</f>
        <v>0.80646990740740743</v>
      </c>
      <c r="D2229" s="82" t="s">
        <v>62</v>
      </c>
      <c r="E2229" s="82" t="s">
        <v>6</v>
      </c>
      <c r="F2229" s="94">
        <v>20000</v>
      </c>
      <c r="G2229" s="46"/>
      <c r="H2229" s="46">
        <f>IFERROR(TRANSACTIONS!$F2229+TRANSACTIONS!$G2229,"")</f>
        <v>20000</v>
      </c>
      <c r="I2229" s="57" t="s">
        <v>41</v>
      </c>
    </row>
    <row r="2230" spans="1:9" x14ac:dyDescent="0.25">
      <c r="A2230" s="41">
        <v>45351.806478356484</v>
      </c>
      <c r="B2230" s="48">
        <f>IF(A2230&lt;&gt;"",DATE(YEAR(TRANSACTIONS!$A2230),MONTH(TRANSACTIONS!$A2230),DAY(TRANSACTIONS!$A2230)),"")</f>
        <v>45351</v>
      </c>
      <c r="C2230" s="49">
        <f>IF(A2230&lt;&gt;"",TIME(HOUR(TRANSACTIONS!$A2230),MINUTE(TRANSACTIONS!$A2230),SECOND(TRANSACTIONS!$A2230)),"")</f>
        <v>0.80648148148148147</v>
      </c>
      <c r="D2230" s="82" t="s">
        <v>62</v>
      </c>
      <c r="E2230" s="82" t="s">
        <v>7</v>
      </c>
      <c r="F2230" s="94">
        <v>15000</v>
      </c>
      <c r="G2230" s="46"/>
      <c r="H2230" s="46">
        <f>IFERROR(TRANSACTIONS!$F2230+TRANSACTIONS!$G2230,"")</f>
        <v>15000</v>
      </c>
      <c r="I2230" s="57" t="s">
        <v>41</v>
      </c>
    </row>
    <row r="2231" spans="1:9" x14ac:dyDescent="0.25">
      <c r="A2231" s="41">
        <v>45351.806494791665</v>
      </c>
      <c r="B2231" s="48">
        <f>IF(A2231&lt;&gt;"",DATE(YEAR(TRANSACTIONS!$A2231),MONTH(TRANSACTIONS!$A2231),DAY(TRANSACTIONS!$A2231)),"")</f>
        <v>45351</v>
      </c>
      <c r="C2231" s="49">
        <f>IF(A2231&lt;&gt;"",TIME(HOUR(TRANSACTIONS!$A2231),MINUTE(TRANSACTIONS!$A2231),SECOND(TRANSACTIONS!$A2231)),"")</f>
        <v>0.8064930555555555</v>
      </c>
      <c r="D2231" s="82" t="s">
        <v>62</v>
      </c>
      <c r="E2231" s="82" t="s">
        <v>7</v>
      </c>
      <c r="F2231" s="94">
        <v>350000</v>
      </c>
      <c r="G2231" s="46"/>
      <c r="H2231" s="46">
        <f>IFERROR(TRANSACTIONS!$F2231+TRANSACTIONS!$G2231,"")</f>
        <v>350000</v>
      </c>
      <c r="I2231" s="57" t="s">
        <v>41</v>
      </c>
    </row>
    <row r="2232" spans="1:9" x14ac:dyDescent="0.25">
      <c r="A2232" s="41">
        <v>45351.806502083331</v>
      </c>
      <c r="B2232" s="48">
        <f>IF(A2232&lt;&gt;"",DATE(YEAR(TRANSACTIONS!$A2232),MONTH(TRANSACTIONS!$A2232),DAY(TRANSACTIONS!$A2232)),"")</f>
        <v>45351</v>
      </c>
      <c r="C2232" s="49">
        <f>IF(A2232&lt;&gt;"",TIME(HOUR(TRANSACTIONS!$A2232),MINUTE(TRANSACTIONS!$A2232),SECOND(TRANSACTIONS!$A2232)),"")</f>
        <v>0.80650462962962965</v>
      </c>
      <c r="D2232" s="82" t="s">
        <v>62</v>
      </c>
      <c r="E2232" s="82" t="s">
        <v>7</v>
      </c>
      <c r="F2232" s="94">
        <v>10000</v>
      </c>
      <c r="G2232" s="46"/>
      <c r="H2232" s="46">
        <f>IFERROR(TRANSACTIONS!$F2232+TRANSACTIONS!$G2232,"")</f>
        <v>10000</v>
      </c>
      <c r="I2232" s="57" t="s">
        <v>41</v>
      </c>
    </row>
    <row r="2233" spans="1:9" x14ac:dyDescent="0.25">
      <c r="A2233" s="41">
        <v>45351.806517824072</v>
      </c>
      <c r="B2233" s="48">
        <f>IF(A2233&lt;&gt;"",DATE(YEAR(TRANSACTIONS!$A2233),MONTH(TRANSACTIONS!$A2233),DAY(TRANSACTIONS!$A2233)),"")</f>
        <v>45351</v>
      </c>
      <c r="C2233" s="49">
        <f>IF(A2233&lt;&gt;"",TIME(HOUR(TRANSACTIONS!$A2233),MINUTE(TRANSACTIONS!$A2233),SECOND(TRANSACTIONS!$A2233)),"")</f>
        <v>0.8065162037037038</v>
      </c>
      <c r="D2233" s="82" t="s">
        <v>62</v>
      </c>
      <c r="E2233" s="82" t="s">
        <v>6</v>
      </c>
      <c r="F2233" s="94">
        <v>1500</v>
      </c>
      <c r="G2233" s="46"/>
      <c r="H2233" s="46">
        <f>IFERROR(TRANSACTIONS!$F2233+TRANSACTIONS!$G2233,"")</f>
        <v>1500</v>
      </c>
      <c r="I2233" s="57" t="s">
        <v>41</v>
      </c>
    </row>
    <row r="2234" spans="1:9" x14ac:dyDescent="0.25">
      <c r="A2234" s="41">
        <v>45351.806528587964</v>
      </c>
      <c r="B2234" s="48">
        <f>IF(A2234&lt;&gt;"",DATE(YEAR(TRANSACTIONS!$A2234),MONTH(TRANSACTIONS!$A2234),DAY(TRANSACTIONS!$A2234)),"")</f>
        <v>45351</v>
      </c>
      <c r="C2234" s="49">
        <f>IF(A2234&lt;&gt;"",TIME(HOUR(TRANSACTIONS!$A2234),MINUTE(TRANSACTIONS!$A2234),SECOND(TRANSACTIONS!$A2234)),"")</f>
        <v>0.80652777777777773</v>
      </c>
      <c r="D2234" s="82" t="s">
        <v>62</v>
      </c>
      <c r="E2234" s="82" t="s">
        <v>7</v>
      </c>
      <c r="F2234" s="94">
        <v>1000</v>
      </c>
      <c r="G2234" s="46"/>
      <c r="H2234" s="46">
        <f>IFERROR(TRANSACTIONS!$F2234+TRANSACTIONS!$G2234,"")</f>
        <v>1000</v>
      </c>
      <c r="I2234" s="57" t="s">
        <v>41</v>
      </c>
    </row>
    <row r="2235" spans="1:9" x14ac:dyDescent="0.25">
      <c r="A2235" s="71">
        <v>45351.806536226853</v>
      </c>
      <c r="B2235" s="73">
        <f>IF(A2235&lt;&gt;"",DATE(YEAR(TRANSACTIONS!$A2235),MONTH(TRANSACTIONS!$A2235),DAY(TRANSACTIONS!$A2235)),"")</f>
        <v>45351</v>
      </c>
      <c r="C2235" s="74">
        <f>IF(A2235&lt;&gt;"",TIME(HOUR(TRANSACTIONS!$A2235),MINUTE(TRANSACTIONS!$A2235),SECOND(TRANSACTIONS!$A2235)),"")</f>
        <v>0.80653935185185188</v>
      </c>
      <c r="D2235" s="72" t="s">
        <v>62</v>
      </c>
      <c r="E2235" s="72" t="s">
        <v>6</v>
      </c>
      <c r="F2235" s="180">
        <v>400000</v>
      </c>
      <c r="G2235" s="75"/>
      <c r="H2235" s="75">
        <f>IFERROR(TRANSACTIONS!$F2235+TRANSACTIONS!$G2235,"")</f>
        <v>400000</v>
      </c>
      <c r="I2235" s="89" t="s">
        <v>41</v>
      </c>
    </row>
    <row r="2236" spans="1:9" x14ac:dyDescent="0.25">
      <c r="A2236" s="41">
        <v>45351.806543865743</v>
      </c>
      <c r="B2236" s="48">
        <f>IF(A2236&lt;&gt;"",DATE(YEAR(TRANSACTIONS!$A2236),MONTH(TRANSACTIONS!$A2236),DAY(TRANSACTIONS!$A2236)),"")</f>
        <v>45351</v>
      </c>
      <c r="C2236" s="49">
        <f>IF(A2236&lt;&gt;"",TIME(HOUR(TRANSACTIONS!$A2236),MINUTE(TRANSACTIONS!$A2236),SECOND(TRANSACTIONS!$A2236)),"")</f>
        <v>0.80653935185185188</v>
      </c>
      <c r="D2236" s="82" t="s">
        <v>62</v>
      </c>
      <c r="E2236" s="82" t="s">
        <v>6</v>
      </c>
      <c r="F2236" s="94">
        <v>7000</v>
      </c>
      <c r="G2236" s="46"/>
      <c r="H2236" s="46">
        <f>IFERROR(TRANSACTIONS!$F2236+TRANSACTIONS!$G2236,"")</f>
        <v>7000</v>
      </c>
      <c r="I2236" s="57" t="s">
        <v>41</v>
      </c>
    </row>
    <row r="2237" spans="1:9" x14ac:dyDescent="0.25">
      <c r="A2237" s="41">
        <v>45351.806553819442</v>
      </c>
      <c r="B2237" s="48">
        <f>IF(A2237&lt;&gt;"",DATE(YEAR(TRANSACTIONS!$A2237),MONTH(TRANSACTIONS!$A2237),DAY(TRANSACTIONS!$A2237)),"")</f>
        <v>45351</v>
      </c>
      <c r="C2237" s="49">
        <f>IF(A2237&lt;&gt;"",TIME(HOUR(TRANSACTIONS!$A2237),MINUTE(TRANSACTIONS!$A2237),SECOND(TRANSACTIONS!$A2237)),"")</f>
        <v>0.80655092592592592</v>
      </c>
      <c r="D2237" s="82" t="s">
        <v>62</v>
      </c>
      <c r="E2237" s="82" t="s">
        <v>7</v>
      </c>
      <c r="F2237" s="94">
        <v>1000</v>
      </c>
      <c r="G2237" s="46"/>
      <c r="H2237" s="46">
        <f>IFERROR(TRANSACTIONS!$F2237+TRANSACTIONS!$G2237,"")</f>
        <v>1000</v>
      </c>
      <c r="I2237" s="57" t="s">
        <v>41</v>
      </c>
    </row>
    <row r="2238" spans="1:9" x14ac:dyDescent="0.25">
      <c r="A2238" s="41">
        <v>45351.806561921294</v>
      </c>
      <c r="B2238" s="48">
        <f>IF(A2238&lt;&gt;"",DATE(YEAR(TRANSACTIONS!$A2238),MONTH(TRANSACTIONS!$A2238),DAY(TRANSACTIONS!$A2238)),"")</f>
        <v>45351</v>
      </c>
      <c r="C2238" s="49">
        <f>IF(A2238&lt;&gt;"",TIME(HOUR(TRANSACTIONS!$A2238),MINUTE(TRANSACTIONS!$A2238),SECOND(TRANSACTIONS!$A2238)),"")</f>
        <v>0.80656250000000007</v>
      </c>
      <c r="D2238" s="82" t="s">
        <v>62</v>
      </c>
      <c r="E2238" s="82" t="s">
        <v>7</v>
      </c>
      <c r="F2238" s="94">
        <v>5000</v>
      </c>
      <c r="G2238" s="46"/>
      <c r="H2238" s="46">
        <f>IFERROR(TRANSACTIONS!$F2238+TRANSACTIONS!$G2238,"")</f>
        <v>5000</v>
      </c>
      <c r="I2238" s="57" t="s">
        <v>41</v>
      </c>
    </row>
    <row r="2239" spans="1:9" x14ac:dyDescent="0.25">
      <c r="A2239" s="41">
        <v>45351.806569675929</v>
      </c>
      <c r="B2239" s="48">
        <f>IF(A2239&lt;&gt;"",DATE(YEAR(TRANSACTIONS!$A2239),MONTH(TRANSACTIONS!$A2239),DAY(TRANSACTIONS!$A2239)),"")</f>
        <v>45351</v>
      </c>
      <c r="C2239" s="49">
        <f>IF(A2239&lt;&gt;"",TIME(HOUR(TRANSACTIONS!$A2239),MINUTE(TRANSACTIONS!$A2239),SECOND(TRANSACTIONS!$A2239)),"")</f>
        <v>0.806574074074074</v>
      </c>
      <c r="D2239" s="82" t="s">
        <v>62</v>
      </c>
      <c r="E2239" s="82" t="s">
        <v>7</v>
      </c>
      <c r="F2239" s="94">
        <v>2000</v>
      </c>
      <c r="G2239" s="46"/>
      <c r="H2239" s="46">
        <f>IFERROR(TRANSACTIONS!$F2239+TRANSACTIONS!$G2239,"")</f>
        <v>2000</v>
      </c>
      <c r="I2239" s="57" t="s">
        <v>41</v>
      </c>
    </row>
    <row r="2240" spans="1:9" x14ac:dyDescent="0.25">
      <c r="A2240" s="41">
        <v>45351.806578124997</v>
      </c>
      <c r="B2240" s="48">
        <f>IF(A2240&lt;&gt;"",DATE(YEAR(TRANSACTIONS!$A2240),MONTH(TRANSACTIONS!$A2240),DAY(TRANSACTIONS!$A2240)),"")</f>
        <v>45351</v>
      </c>
      <c r="C2240" s="49">
        <f>IF(A2240&lt;&gt;"",TIME(HOUR(TRANSACTIONS!$A2240),MINUTE(TRANSACTIONS!$A2240),SECOND(TRANSACTIONS!$A2240)),"")</f>
        <v>0.806574074074074</v>
      </c>
      <c r="D2240" s="82" t="s">
        <v>62</v>
      </c>
      <c r="E2240" s="82" t="s">
        <v>7</v>
      </c>
      <c r="F2240" s="94">
        <v>2000</v>
      </c>
      <c r="G2240" s="46"/>
      <c r="H2240" s="46">
        <f>IFERROR(TRANSACTIONS!$F2240+TRANSACTIONS!$G2240,"")</f>
        <v>2000</v>
      </c>
      <c r="I2240" s="57" t="s">
        <v>41</v>
      </c>
    </row>
    <row r="2241" spans="1:10" x14ac:dyDescent="0.25">
      <c r="A2241" s="41">
        <v>45351.806608564817</v>
      </c>
      <c r="B2241" s="48">
        <f>IF(A2241&lt;&gt;"",DATE(YEAR(TRANSACTIONS!$A2241),MONTH(TRANSACTIONS!$A2241),DAY(TRANSACTIONS!$A2241)),"")</f>
        <v>45351</v>
      </c>
      <c r="C2241" s="49">
        <f>IF(A2241&lt;&gt;"",TIME(HOUR(TRANSACTIONS!$A2241),MINUTE(TRANSACTIONS!$A2241),SECOND(TRANSACTIONS!$A2241)),"")</f>
        <v>0.80660879629629623</v>
      </c>
      <c r="D2241" s="82" t="s">
        <v>62</v>
      </c>
      <c r="E2241" s="82" t="s">
        <v>7</v>
      </c>
      <c r="F2241" s="94">
        <v>5000</v>
      </c>
      <c r="G2241" s="46"/>
      <c r="H2241" s="46">
        <f>IFERROR(TRANSACTIONS!$F2241+TRANSACTIONS!$G2241,"")</f>
        <v>5000</v>
      </c>
      <c r="I2241" s="57" t="s">
        <v>41</v>
      </c>
    </row>
    <row r="2242" spans="1:10" x14ac:dyDescent="0.25">
      <c r="A2242" s="41">
        <v>45351.806617939816</v>
      </c>
      <c r="B2242" s="48">
        <f>IF(A2242&lt;&gt;"",DATE(YEAR(TRANSACTIONS!$A2242),MONTH(TRANSACTIONS!$A2242),DAY(TRANSACTIONS!$A2242)),"")</f>
        <v>45351</v>
      </c>
      <c r="C2242" s="49">
        <f>IF(A2242&lt;&gt;"",TIME(HOUR(TRANSACTIONS!$A2242),MINUTE(TRANSACTIONS!$A2242),SECOND(TRANSACTIONS!$A2242)),"")</f>
        <v>0.80662037037037038</v>
      </c>
      <c r="D2242" s="82" t="s">
        <v>62</v>
      </c>
      <c r="E2242" s="82" t="s">
        <v>7</v>
      </c>
      <c r="F2242" s="94">
        <v>4950</v>
      </c>
      <c r="G2242" s="46"/>
      <c r="H2242" s="46">
        <f>IFERROR(TRANSACTIONS!$F2242+TRANSACTIONS!$G2242,"")</f>
        <v>4950</v>
      </c>
      <c r="I2242" s="57" t="s">
        <v>41</v>
      </c>
    </row>
    <row r="2243" spans="1:10" x14ac:dyDescent="0.25">
      <c r="A2243" s="41">
        <v>45351.806644328703</v>
      </c>
      <c r="B2243" s="48">
        <f>IF(A2243&lt;&gt;"",DATE(YEAR(TRANSACTIONS!$A2243),MONTH(TRANSACTIONS!$A2243),DAY(TRANSACTIONS!$A2243)),"")</f>
        <v>45351</v>
      </c>
      <c r="C2243" s="49">
        <f>IF(A2243&lt;&gt;"",TIME(HOUR(TRANSACTIONS!$A2243),MINUTE(TRANSACTIONS!$A2243),SECOND(TRANSACTIONS!$A2243)),"")</f>
        <v>0.80664351851851857</v>
      </c>
      <c r="D2243" s="82" t="s">
        <v>62</v>
      </c>
      <c r="E2243" s="82" t="s">
        <v>7</v>
      </c>
      <c r="F2243" s="94">
        <v>2000</v>
      </c>
      <c r="G2243" s="46"/>
      <c r="H2243" s="46">
        <f>IFERROR(TRANSACTIONS!$F2243+TRANSACTIONS!$G2243,"")</f>
        <v>2000</v>
      </c>
      <c r="I2243" s="57" t="s">
        <v>41</v>
      </c>
    </row>
    <row r="2244" spans="1:10" x14ac:dyDescent="0.25">
      <c r="A2244" s="41">
        <v>45351.806652083331</v>
      </c>
      <c r="B2244" s="48">
        <f>IF(A2244&lt;&gt;"",DATE(YEAR(TRANSACTIONS!$A2244),MONTH(TRANSACTIONS!$A2244),DAY(TRANSACTIONS!$A2244)),"")</f>
        <v>45351</v>
      </c>
      <c r="C2244" s="49">
        <f>IF(A2244&lt;&gt;"",TIME(HOUR(TRANSACTIONS!$A2244),MINUTE(TRANSACTIONS!$A2244),SECOND(TRANSACTIONS!$A2244)),"")</f>
        <v>0.80665509259259249</v>
      </c>
      <c r="D2244" s="82" t="s">
        <v>62</v>
      </c>
      <c r="E2244" s="82" t="s">
        <v>6</v>
      </c>
      <c r="F2244" s="94">
        <v>10000</v>
      </c>
      <c r="G2244" s="46"/>
      <c r="H2244" s="46">
        <f>IFERROR(TRANSACTIONS!$F2244+TRANSACTIONS!$G2244,"")</f>
        <v>10000</v>
      </c>
      <c r="I2244" s="57" t="s">
        <v>41</v>
      </c>
    </row>
    <row r="2245" spans="1:10" x14ac:dyDescent="0.25">
      <c r="A2245" s="41">
        <v>45351.806660069444</v>
      </c>
      <c r="B2245" s="48">
        <f>IF(A2245&lt;&gt;"",DATE(YEAR(TRANSACTIONS!$A2245),MONTH(TRANSACTIONS!$A2245),DAY(TRANSACTIONS!$A2245)),"")</f>
        <v>45351</v>
      </c>
      <c r="C2245" s="49">
        <f>IF(A2245&lt;&gt;"",TIME(HOUR(TRANSACTIONS!$A2245),MINUTE(TRANSACTIONS!$A2245),SECOND(TRANSACTIONS!$A2245)),"")</f>
        <v>0.80665509259259249</v>
      </c>
      <c r="D2245" s="82" t="s">
        <v>25</v>
      </c>
      <c r="E2245" s="82" t="s">
        <v>7</v>
      </c>
      <c r="F2245" s="94">
        <v>22000</v>
      </c>
      <c r="G2245" s="46"/>
      <c r="H2245" s="46">
        <f>IFERROR(TRANSACTIONS!$F2245+TRANSACTIONS!$G2245,"")</f>
        <v>22000</v>
      </c>
      <c r="I2245" s="57" t="s">
        <v>41</v>
      </c>
    </row>
    <row r="2246" spans="1:10" x14ac:dyDescent="0.25">
      <c r="A2246" s="41">
        <v>45351.806669097219</v>
      </c>
      <c r="B2246" s="48">
        <f>IF(A2246&lt;&gt;"",DATE(YEAR(TRANSACTIONS!$A2246),MONTH(TRANSACTIONS!$A2246),DAY(TRANSACTIONS!$A2246)),"")</f>
        <v>45351</v>
      </c>
      <c r="C2246" s="49">
        <f>IF(A2246&lt;&gt;"",TIME(HOUR(TRANSACTIONS!$A2246),MINUTE(TRANSACTIONS!$A2246),SECOND(TRANSACTIONS!$A2246)),"")</f>
        <v>0.80666666666666664</v>
      </c>
      <c r="D2246" s="82" t="s">
        <v>25</v>
      </c>
      <c r="E2246" s="82" t="s">
        <v>6</v>
      </c>
      <c r="F2246" s="94">
        <v>3025</v>
      </c>
      <c r="G2246" s="46"/>
      <c r="H2246" s="46">
        <f>IFERROR(TRANSACTIONS!$F2246+TRANSACTIONS!$G2246,"")</f>
        <v>3025</v>
      </c>
      <c r="I2246" s="57" t="s">
        <v>41</v>
      </c>
    </row>
    <row r="2247" spans="1:10" x14ac:dyDescent="0.25">
      <c r="A2247" s="41">
        <v>45351.806678356479</v>
      </c>
      <c r="B2247" s="48">
        <f>IF(A2247&lt;&gt;"",DATE(YEAR(TRANSACTIONS!$A2247),MONTH(TRANSACTIONS!$A2247),DAY(TRANSACTIONS!$A2247)),"")</f>
        <v>45351</v>
      </c>
      <c r="C2247" s="49">
        <f>IF(A2247&lt;&gt;"",TIME(HOUR(TRANSACTIONS!$A2247),MINUTE(TRANSACTIONS!$A2247),SECOND(TRANSACTIONS!$A2247)),"")</f>
        <v>0.80667824074074079</v>
      </c>
      <c r="D2247" s="82" t="s">
        <v>25</v>
      </c>
      <c r="E2247" s="82" t="s">
        <v>7</v>
      </c>
      <c r="F2247" s="94">
        <v>55000</v>
      </c>
      <c r="G2247" s="46"/>
      <c r="H2247" s="46">
        <f>IFERROR(TRANSACTIONS!$F2247+TRANSACTIONS!$G2247,"")</f>
        <v>55000</v>
      </c>
      <c r="I2247" s="57" t="s">
        <v>41</v>
      </c>
    </row>
    <row r="2248" spans="1:10" x14ac:dyDescent="0.25">
      <c r="A2248" s="81">
        <v>45351.806686458331</v>
      </c>
      <c r="B2248" s="83">
        <f>IF(A2248&lt;&gt;"",DATE(YEAR(TRANSACTIONS!$A2248),MONTH(TRANSACTIONS!$A2248),DAY(TRANSACTIONS!$A2248)),"")</f>
        <v>45351</v>
      </c>
      <c r="C2248" s="84">
        <f>IF(A2248&lt;&gt;"",TIME(HOUR(TRANSACTIONS!$A2248),MINUTE(TRANSACTIONS!$A2248),SECOND(TRANSACTIONS!$A2248)),"")</f>
        <v>0.80668981481481483</v>
      </c>
      <c r="D2248" s="82" t="s">
        <v>25</v>
      </c>
      <c r="E2248" s="82" t="s">
        <v>7</v>
      </c>
      <c r="F2248" s="94">
        <v>10000</v>
      </c>
      <c r="G2248" s="86"/>
      <c r="H2248" s="86">
        <f>IFERROR(TRANSACTIONS!$F2248+TRANSACTIONS!$G2248,"")</f>
        <v>10000</v>
      </c>
      <c r="I2248" s="87" t="s">
        <v>41</v>
      </c>
    </row>
    <row r="2249" spans="1:10" x14ac:dyDescent="0.25">
      <c r="A2249" s="41">
        <v>45351.806693749997</v>
      </c>
      <c r="B2249" s="48">
        <f>IF(A2249&lt;&gt;"",DATE(YEAR(TRANSACTIONS!$A2249),MONTH(TRANSACTIONS!$A2249),DAY(TRANSACTIONS!$A2249)),"")</f>
        <v>45351</v>
      </c>
      <c r="C2249" s="49">
        <f>IF(A2249&lt;&gt;"",TIME(HOUR(TRANSACTIONS!$A2249),MINUTE(TRANSACTIONS!$A2249),SECOND(TRANSACTIONS!$A2249)),"")</f>
        <v>0.80668981481481483</v>
      </c>
      <c r="D2249" s="82" t="s">
        <v>25</v>
      </c>
      <c r="E2249" s="82" t="s">
        <v>6</v>
      </c>
      <c r="F2249" s="94">
        <v>3000</v>
      </c>
      <c r="G2249" s="46"/>
      <c r="H2249" s="46">
        <f>IFERROR(TRANSACTIONS!$F2249+TRANSACTIONS!$G2249,"")</f>
        <v>3000</v>
      </c>
      <c r="I2249" s="57" t="s">
        <v>41</v>
      </c>
    </row>
    <row r="2250" spans="1:10" x14ac:dyDescent="0.25">
      <c r="A2250" s="41">
        <v>45351.806700231478</v>
      </c>
      <c r="B2250" s="48">
        <f>IF(A2250&lt;&gt;"",DATE(YEAR(TRANSACTIONS!$A2250),MONTH(TRANSACTIONS!$A2250),DAY(TRANSACTIONS!$A2250)),"")</f>
        <v>45351</v>
      </c>
      <c r="C2250" s="49">
        <f>IF(A2250&lt;&gt;"",TIME(HOUR(TRANSACTIONS!$A2250),MINUTE(TRANSACTIONS!$A2250),SECOND(TRANSACTIONS!$A2250)),"")</f>
        <v>0.80670138888888887</v>
      </c>
      <c r="D2250" s="82" t="s">
        <v>25</v>
      </c>
      <c r="E2250" s="82" t="s">
        <v>6</v>
      </c>
      <c r="F2250" s="94">
        <v>300</v>
      </c>
      <c r="G2250" s="46"/>
      <c r="H2250" s="46">
        <f>IFERROR(TRANSACTIONS!$F2250+TRANSACTIONS!$G2250,"")</f>
        <v>300</v>
      </c>
      <c r="I2250" s="57" t="s">
        <v>41</v>
      </c>
    </row>
    <row r="2251" spans="1:10" x14ac:dyDescent="0.25">
      <c r="A2251" s="41">
        <v>45351.806744675923</v>
      </c>
      <c r="B2251" s="48">
        <f>IF(A2251&lt;&gt;"",DATE(YEAR(TRANSACTIONS!$A2251),MONTH(TRANSACTIONS!$A2251),DAY(TRANSACTIONS!$A2251)),"")</f>
        <v>45351</v>
      </c>
      <c r="C2251" s="49">
        <f>IF(A2251&lt;&gt;"",TIME(HOUR(TRANSACTIONS!$A2251),MINUTE(TRANSACTIONS!$A2251),SECOND(TRANSACTIONS!$A2251)),"")</f>
        <v>0.80674768518518514</v>
      </c>
      <c r="D2251" s="82" t="s">
        <v>25</v>
      </c>
      <c r="E2251" s="82" t="s">
        <v>6</v>
      </c>
      <c r="F2251" s="94">
        <v>60000</v>
      </c>
      <c r="G2251" s="46"/>
      <c r="H2251" s="46">
        <f>IFERROR(TRANSACTIONS!$F2251+TRANSACTIONS!$G2251,"")</f>
        <v>60000</v>
      </c>
      <c r="I2251" s="57" t="s">
        <v>41</v>
      </c>
    </row>
    <row r="2252" spans="1:10" x14ac:dyDescent="0.25">
      <c r="A2252" s="113">
        <v>45351.80675358796</v>
      </c>
      <c r="B2252" s="114">
        <f>IF(A2252&lt;&gt;"",DATE(YEAR(TRANSACTIONS!$A2252),MONTH(TRANSACTIONS!$A2252),DAY(TRANSACTIONS!$A2252)),"")</f>
        <v>45351</v>
      </c>
      <c r="C2252" s="115">
        <f>IF(A2252&lt;&gt;"",TIME(HOUR(TRANSACTIONS!$A2252),MINUTE(TRANSACTIONS!$A2252),SECOND(TRANSACTIONS!$A2252)),"")</f>
        <v>0.80675925925925929</v>
      </c>
      <c r="D2252" s="116" t="s">
        <v>25</v>
      </c>
      <c r="E2252" s="116" t="s">
        <v>6</v>
      </c>
      <c r="F2252" s="94">
        <v>8000</v>
      </c>
      <c r="G2252" s="117"/>
      <c r="H2252" s="117">
        <f>IFERROR(TRANSACTIONS!$F2252+TRANSACTIONS!$G2252,"")</f>
        <v>8000</v>
      </c>
      <c r="I2252" s="123" t="s">
        <v>41</v>
      </c>
      <c r="J2252" s="118"/>
    </row>
    <row r="2253" spans="1:10" x14ac:dyDescent="0.25">
      <c r="A2253" s="41">
        <v>45351.806760763888</v>
      </c>
      <c r="B2253" s="48">
        <f>IF(A2253&lt;&gt;"",DATE(YEAR(TRANSACTIONS!$A2253),MONTH(TRANSACTIONS!$A2253),DAY(TRANSACTIONS!$A2253)),"")</f>
        <v>45351</v>
      </c>
      <c r="C2253" s="49">
        <f>IF(A2253&lt;&gt;"",TIME(HOUR(TRANSACTIONS!$A2253),MINUTE(TRANSACTIONS!$A2253),SECOND(TRANSACTIONS!$A2253)),"")</f>
        <v>0.80675925925925929</v>
      </c>
      <c r="D2253" s="82" t="s">
        <v>25</v>
      </c>
      <c r="E2253" s="82" t="s">
        <v>7</v>
      </c>
      <c r="F2253" s="94">
        <v>11000</v>
      </c>
      <c r="G2253" s="46"/>
      <c r="H2253" s="46">
        <f>IFERROR(TRANSACTIONS!$F2253+TRANSACTIONS!$G2253,"")</f>
        <v>11000</v>
      </c>
      <c r="I2253" s="57" t="s">
        <v>41</v>
      </c>
    </row>
    <row r="2254" spans="1:10" x14ac:dyDescent="0.25">
      <c r="A2254" s="41">
        <v>45351.806777777776</v>
      </c>
      <c r="B2254" s="48">
        <f>IF(A2254&lt;&gt;"",DATE(YEAR(TRANSACTIONS!$A2254),MONTH(TRANSACTIONS!$A2254),DAY(TRANSACTIONS!$A2254)),"")</f>
        <v>45351</v>
      </c>
      <c r="C2254" s="49">
        <f>IF(A2254&lt;&gt;"",TIME(HOUR(TRANSACTIONS!$A2254),MINUTE(TRANSACTIONS!$A2254),SECOND(TRANSACTIONS!$A2254)),"")</f>
        <v>0.80678240740740748</v>
      </c>
      <c r="D2254" s="82" t="s">
        <v>25</v>
      </c>
      <c r="E2254" s="82" t="s">
        <v>7</v>
      </c>
      <c r="F2254" s="94">
        <v>3000</v>
      </c>
      <c r="G2254" s="46"/>
      <c r="H2254" s="46">
        <f>IFERROR(TRANSACTIONS!$F2254+TRANSACTIONS!$G2254,"")</f>
        <v>3000</v>
      </c>
      <c r="I2254" s="57" t="s">
        <v>41</v>
      </c>
    </row>
    <row r="2255" spans="1:10" x14ac:dyDescent="0.25">
      <c r="A2255" s="41">
        <v>45351.810116898145</v>
      </c>
      <c r="B2255" s="48">
        <f>IF(A2255&lt;&gt;"",DATE(YEAR(TRANSACTIONS!$A2255),MONTH(TRANSACTIONS!$A2255),DAY(TRANSACTIONS!$A2255)),"")</f>
        <v>45351</v>
      </c>
      <c r="C2255" s="49">
        <f>IF(A2255&lt;&gt;"",TIME(HOUR(TRANSACTIONS!$A2255),MINUTE(TRANSACTIONS!$A2255),SECOND(TRANSACTIONS!$A2255)),"")</f>
        <v>0.81011574074074078</v>
      </c>
      <c r="D2255" s="82" t="s">
        <v>25</v>
      </c>
      <c r="E2255" s="82" t="s">
        <v>6</v>
      </c>
      <c r="F2255" s="94">
        <v>1000</v>
      </c>
      <c r="G2255" s="46"/>
      <c r="H2255" s="46">
        <f>IFERROR(TRANSACTIONS!$F2255+TRANSACTIONS!$G2255,"")</f>
        <v>1000</v>
      </c>
      <c r="I2255" s="57" t="s">
        <v>41</v>
      </c>
    </row>
    <row r="2256" spans="1:10" x14ac:dyDescent="0.25">
      <c r="A2256" s="41">
        <v>45351.810119907408</v>
      </c>
      <c r="B2256" s="48">
        <f>IF(A2256&lt;&gt;"",DATE(YEAR(TRANSACTIONS!$A2256),MONTH(TRANSACTIONS!$A2256),DAY(TRANSACTIONS!$A2256)),"")</f>
        <v>45351</v>
      </c>
      <c r="C2256" s="49">
        <f>IF(A2256&lt;&gt;"",TIME(HOUR(TRANSACTIONS!$A2256),MINUTE(TRANSACTIONS!$A2256),SECOND(TRANSACTIONS!$A2256)),"")</f>
        <v>0.81011574074074078</v>
      </c>
      <c r="D2256" s="82" t="s">
        <v>25</v>
      </c>
      <c r="E2256" s="82" t="s">
        <v>7</v>
      </c>
      <c r="F2256" s="94">
        <v>5000</v>
      </c>
      <c r="G2256" s="46"/>
      <c r="H2256" s="46">
        <f>IFERROR(TRANSACTIONS!$F2256+TRANSACTIONS!$G2256,"")</f>
        <v>5000</v>
      </c>
      <c r="I2256" s="57" t="s">
        <v>41</v>
      </c>
    </row>
    <row r="2257" spans="1:10" x14ac:dyDescent="0.25">
      <c r="A2257" s="113">
        <v>45351.810159259257</v>
      </c>
      <c r="B2257" s="114">
        <f>IF(A2257&lt;&gt;"",DATE(YEAR(TRANSACTIONS!$A2257),MONTH(TRANSACTIONS!$A2257),DAY(TRANSACTIONS!$A2257)),"")</f>
        <v>45351</v>
      </c>
      <c r="C2257" s="115">
        <f>IF(A2257&lt;&gt;"",TIME(HOUR(TRANSACTIONS!$A2257),MINUTE(TRANSACTIONS!$A2257),SECOND(TRANSACTIONS!$A2257)),"")</f>
        <v>0.81016203703703704</v>
      </c>
      <c r="D2257" s="82" t="s">
        <v>62</v>
      </c>
      <c r="E2257" s="82" t="s">
        <v>6</v>
      </c>
      <c r="F2257" s="94">
        <v>255000</v>
      </c>
      <c r="G2257" s="117"/>
      <c r="H2257" s="117">
        <f>IFERROR(TRANSACTIONS!$F2257+TRANSACTIONS!$G2257,"")</f>
        <v>255000</v>
      </c>
      <c r="I2257" s="123" t="s">
        <v>41</v>
      </c>
    </row>
    <row r="2258" spans="1:10" x14ac:dyDescent="0.25">
      <c r="A2258" s="41">
        <v>45351.810167592594</v>
      </c>
      <c r="B2258" s="48">
        <f>IF(A2258&lt;&gt;"",DATE(YEAR(TRANSACTIONS!$A2258),MONTH(TRANSACTIONS!$A2258),DAY(TRANSACTIONS!$A2258)),"")</f>
        <v>45351</v>
      </c>
      <c r="C2258" s="49">
        <f>IF(A2258&lt;&gt;"",TIME(HOUR(TRANSACTIONS!$A2258),MINUTE(TRANSACTIONS!$A2258),SECOND(TRANSACTIONS!$A2258)),"")</f>
        <v>0.81016203703703704</v>
      </c>
      <c r="D2258" s="82" t="s">
        <v>62</v>
      </c>
      <c r="E2258" s="82" t="s">
        <v>7</v>
      </c>
      <c r="F2258" s="94">
        <v>2000</v>
      </c>
      <c r="G2258" s="46"/>
      <c r="H2258" s="46">
        <f>IFERROR(TRANSACTIONS!$F2258+TRANSACTIONS!$G2258,"")</f>
        <v>2000</v>
      </c>
      <c r="I2258" s="57" t="s">
        <v>41</v>
      </c>
    </row>
    <row r="2259" spans="1:10" x14ac:dyDescent="0.25">
      <c r="A2259" s="41">
        <v>45351.810175347222</v>
      </c>
      <c r="B2259" s="48">
        <f>IF(A2259&lt;&gt;"",DATE(YEAR(TRANSACTIONS!$A2259),MONTH(TRANSACTIONS!$A2259),DAY(TRANSACTIONS!$A2259)),"")</f>
        <v>45351</v>
      </c>
      <c r="C2259" s="49">
        <f>IF(A2259&lt;&gt;"",TIME(HOUR(TRANSACTIONS!$A2259),MINUTE(TRANSACTIONS!$A2259),SECOND(TRANSACTIONS!$A2259)),"")</f>
        <v>0.81017361111111119</v>
      </c>
      <c r="D2259" s="82">
        <v>3</v>
      </c>
      <c r="E2259" s="82" t="s">
        <v>6</v>
      </c>
      <c r="F2259" s="94">
        <v>5000</v>
      </c>
      <c r="G2259" s="46"/>
      <c r="H2259" s="46">
        <f>IFERROR(TRANSACTIONS!$F2259+TRANSACTIONS!$G2259,"")</f>
        <v>5000</v>
      </c>
      <c r="I2259" s="57" t="s">
        <v>41</v>
      </c>
    </row>
    <row r="2260" spans="1:10" x14ac:dyDescent="0.25">
      <c r="A2260" s="41">
        <v>45351.810186921299</v>
      </c>
      <c r="B2260" s="48">
        <f>IF(A2260&lt;&gt;"",DATE(YEAR(TRANSACTIONS!$A2260),MONTH(TRANSACTIONS!$A2260),DAY(TRANSACTIONS!$A2260)),"")</f>
        <v>45351</v>
      </c>
      <c r="C2260" s="49">
        <f>IF(A2260&lt;&gt;"",TIME(HOUR(TRANSACTIONS!$A2260),MINUTE(TRANSACTIONS!$A2260),SECOND(TRANSACTIONS!$A2260)),"")</f>
        <v>0.81018518518518512</v>
      </c>
      <c r="D2260" s="82" t="s">
        <v>62</v>
      </c>
      <c r="E2260" s="82" t="s">
        <v>6</v>
      </c>
      <c r="F2260" s="94">
        <v>105000</v>
      </c>
      <c r="G2260" s="46"/>
      <c r="H2260" s="46">
        <f>IFERROR(TRANSACTIONS!$F2260+TRANSACTIONS!$G2260,"")</f>
        <v>105000</v>
      </c>
      <c r="I2260" s="57" t="s">
        <v>41</v>
      </c>
    </row>
    <row r="2261" spans="1:10" x14ac:dyDescent="0.25">
      <c r="A2261" s="41">
        <v>45351.81019571759</v>
      </c>
      <c r="B2261" s="48">
        <f>IF(A2261&lt;&gt;"",DATE(YEAR(TRANSACTIONS!$A2261),MONTH(TRANSACTIONS!$A2261),DAY(TRANSACTIONS!$A2261)),"")</f>
        <v>45351</v>
      </c>
      <c r="C2261" s="49">
        <f>IF(A2261&lt;&gt;"",TIME(HOUR(TRANSACTIONS!$A2261),MINUTE(TRANSACTIONS!$A2261),SECOND(TRANSACTIONS!$A2261)),"")</f>
        <v>0.81019675925925927</v>
      </c>
      <c r="D2261" s="82" t="s">
        <v>62</v>
      </c>
      <c r="E2261" s="82" t="s">
        <v>7</v>
      </c>
      <c r="F2261" s="94">
        <v>12000</v>
      </c>
      <c r="G2261" s="46"/>
      <c r="H2261" s="46">
        <f>IFERROR(TRANSACTIONS!$F2261+TRANSACTIONS!$G2261,"")</f>
        <v>12000</v>
      </c>
      <c r="I2261" s="57" t="s">
        <v>41</v>
      </c>
    </row>
    <row r="2262" spans="1:10" x14ac:dyDescent="0.25">
      <c r="A2262" s="41">
        <v>45351.81020428241</v>
      </c>
      <c r="B2262" s="48">
        <f>IF(A2262&lt;&gt;"",DATE(YEAR(TRANSACTIONS!$A2262),MONTH(TRANSACTIONS!$A2262),DAY(TRANSACTIONS!$A2262)),"")</f>
        <v>45351</v>
      </c>
      <c r="C2262" s="49">
        <f>IF(A2262&lt;&gt;"",TIME(HOUR(TRANSACTIONS!$A2262),MINUTE(TRANSACTIONS!$A2262),SECOND(TRANSACTIONS!$A2262)),"")</f>
        <v>0.81020833333333331</v>
      </c>
      <c r="D2262" s="82" t="s">
        <v>62</v>
      </c>
      <c r="E2262" s="82" t="s">
        <v>7</v>
      </c>
      <c r="F2262" s="94">
        <v>2000</v>
      </c>
      <c r="G2262" s="46"/>
      <c r="H2262" s="46">
        <f>IFERROR(TRANSACTIONS!$F2262+TRANSACTIONS!$G2262,"")</f>
        <v>2000</v>
      </c>
      <c r="I2262" s="57" t="s">
        <v>41</v>
      </c>
    </row>
    <row r="2263" spans="1:10" x14ac:dyDescent="0.25">
      <c r="A2263" s="41">
        <v>45351.816991666667</v>
      </c>
      <c r="B2263" s="48">
        <f>IF(A2263&lt;&gt;"",DATE(YEAR(TRANSACTIONS!$A2263),MONTH(TRANSACTIONS!$A2263),DAY(TRANSACTIONS!$A2263)),"")</f>
        <v>45351</v>
      </c>
      <c r="C2263" s="49">
        <f>IF(A2263&lt;&gt;"",TIME(HOUR(TRANSACTIONS!$A2263),MINUTE(TRANSACTIONS!$A2263),SECOND(TRANSACTIONS!$A2263)),"")</f>
        <v>0.81699074074074074</v>
      </c>
      <c r="D2263" s="82" t="s">
        <v>62</v>
      </c>
      <c r="E2263" s="82" t="s">
        <v>7</v>
      </c>
      <c r="F2263" s="94">
        <v>12000</v>
      </c>
      <c r="G2263" s="46"/>
      <c r="H2263" s="46">
        <f>IFERROR(TRANSACTIONS!$F2263+TRANSACTIONS!$G2263,"")</f>
        <v>12000</v>
      </c>
      <c r="I2263" s="57" t="s">
        <v>41</v>
      </c>
    </row>
    <row r="2264" spans="1:10" x14ac:dyDescent="0.25">
      <c r="A2264" s="113">
        <v>45351.817000347219</v>
      </c>
      <c r="B2264" s="114">
        <f>IF(A2264&lt;&gt;"",DATE(YEAR(TRANSACTIONS!$A2264),MONTH(TRANSACTIONS!$A2264),DAY(TRANSACTIONS!$A2264)),"")</f>
        <v>45351</v>
      </c>
      <c r="C2264" s="115">
        <f>IF(A2264&lt;&gt;"",TIME(HOUR(TRANSACTIONS!$A2264),MINUTE(TRANSACTIONS!$A2264),SECOND(TRANSACTIONS!$A2264)),"")</f>
        <v>0.81700231481481478</v>
      </c>
      <c r="D2264" s="82" t="s">
        <v>62</v>
      </c>
      <c r="E2264" s="82" t="s">
        <v>7</v>
      </c>
      <c r="F2264" s="94">
        <v>15000</v>
      </c>
      <c r="G2264" s="117"/>
      <c r="H2264" s="117">
        <f>IFERROR(TRANSACTIONS!$F2264+TRANSACTIONS!$G2264,"")</f>
        <v>15000</v>
      </c>
      <c r="I2264" s="123" t="s">
        <v>41</v>
      </c>
    </row>
    <row r="2265" spans="1:10" x14ac:dyDescent="0.25">
      <c r="A2265" s="41">
        <v>45351.817008217593</v>
      </c>
      <c r="B2265" s="48">
        <f>IF(A2265&lt;&gt;"",DATE(YEAR(TRANSACTIONS!$A2265),MONTH(TRANSACTIONS!$A2265),DAY(TRANSACTIONS!$A2265)),"")</f>
        <v>45351</v>
      </c>
      <c r="C2265" s="49">
        <f>IF(A2265&lt;&gt;"",TIME(HOUR(TRANSACTIONS!$A2265),MINUTE(TRANSACTIONS!$A2265),SECOND(TRANSACTIONS!$A2265)),"")</f>
        <v>0.81701388888888893</v>
      </c>
      <c r="D2265" s="82" t="s">
        <v>62</v>
      </c>
      <c r="E2265" s="82" t="s">
        <v>6</v>
      </c>
      <c r="F2265" s="94">
        <v>20000</v>
      </c>
      <c r="G2265" s="46"/>
      <c r="H2265" s="46">
        <f>IFERROR(TRANSACTIONS!$F2265+TRANSACTIONS!$G2265,"")</f>
        <v>20000</v>
      </c>
      <c r="I2265" s="57" t="s">
        <v>41</v>
      </c>
    </row>
    <row r="2266" spans="1:10" x14ac:dyDescent="0.25">
      <c r="A2266" s="81"/>
      <c r="B2266" s="83" t="str">
        <f>IF(A2266&lt;&gt;"",DATE(YEAR(TRANSACTIONS!$A2266),MONTH(TRANSACTIONS!$A2266),DAY(TRANSACTIONS!$A2266)),"")</f>
        <v/>
      </c>
      <c r="C2266" s="84" t="str">
        <f>IF(A2266&lt;&gt;"",TIME(HOUR(TRANSACTIONS!$A2266),MINUTE(TRANSACTIONS!$A2266),SECOND(TRANSACTIONS!$A2266)),"")</f>
        <v/>
      </c>
      <c r="D2266" s="82"/>
      <c r="E2266" s="82"/>
      <c r="F2266" s="94" t="s">
        <v>40</v>
      </c>
      <c r="G2266" s="86"/>
      <c r="H2266" s="86" t="str">
        <f>IFERROR(TRANSACTIONS!$F2266+TRANSACTIONS!$G2266,"")</f>
        <v/>
      </c>
      <c r="I2266" s="87" t="s">
        <v>41</v>
      </c>
    </row>
    <row r="2267" spans="1:10" x14ac:dyDescent="0.25">
      <c r="A2267" s="41"/>
      <c r="B2267" s="48" t="str">
        <f>IF(A2267&lt;&gt;"",DATE(YEAR(TRANSACTIONS!$A2267),MONTH(TRANSACTIONS!$A2267),DAY(TRANSACTIONS!$A2267)),"")</f>
        <v/>
      </c>
      <c r="C2267" s="49" t="str">
        <f>IF(A2267&lt;&gt;"",TIME(HOUR(TRANSACTIONS!$A2267),MINUTE(TRANSACTIONS!$A2267),SECOND(TRANSACTIONS!$A2267)),"")</f>
        <v/>
      </c>
      <c r="D2267" s="82"/>
      <c r="E2267" s="82"/>
      <c r="F2267" s="94"/>
      <c r="G2267" s="46"/>
      <c r="H2267" s="46">
        <f>IFERROR(TRANSACTIONS!$F2267+TRANSACTIONS!$G2267,"")</f>
        <v>0</v>
      </c>
      <c r="I2267" s="57" t="s">
        <v>41</v>
      </c>
    </row>
    <row r="2268" spans="1:10" x14ac:dyDescent="0.25">
      <c r="A2268" s="41">
        <v>45352.465785069442</v>
      </c>
      <c r="B2268" s="48">
        <f>IF(A2268&lt;&gt;"",DATE(YEAR(TRANSACTIONS!$A2268),MONTH(TRANSACTIONS!$A2268),DAY(TRANSACTIONS!$A2268)),"")</f>
        <v>45352</v>
      </c>
      <c r="C2268" s="49">
        <f>IF(A2268&lt;&gt;"",TIME(HOUR(TRANSACTIONS!$A2268),MINUTE(TRANSACTIONS!$A2268),SECOND(TRANSACTIONS!$A2268)),"")</f>
        <v>0.465787037037037</v>
      </c>
      <c r="D2268" s="82" t="s">
        <v>62</v>
      </c>
      <c r="E2268" s="82" t="s">
        <v>7</v>
      </c>
      <c r="F2268" s="94">
        <v>1000</v>
      </c>
      <c r="G2268" s="46"/>
      <c r="H2268" s="46">
        <f>IFERROR(TRANSACTIONS!$F2268+TRANSACTIONS!$G2268,"")</f>
        <v>1000</v>
      </c>
      <c r="I2268" s="57" t="s">
        <v>41</v>
      </c>
    </row>
    <row r="2269" spans="1:10" x14ac:dyDescent="0.25">
      <c r="A2269" s="81">
        <v>45352.465830439818</v>
      </c>
      <c r="B2269" s="83">
        <f>IF(A2269&lt;&gt;"",DATE(YEAR(TRANSACTIONS!$A2269),MONTH(TRANSACTIONS!$A2269),DAY(TRANSACTIONS!$A2269)),"")</f>
        <v>45352</v>
      </c>
      <c r="C2269" s="84">
        <f>IF(A2269&lt;&gt;"",TIME(HOUR(TRANSACTIONS!$A2269),MINUTE(TRANSACTIONS!$A2269),SECOND(TRANSACTIONS!$A2269)),"")</f>
        <v>0.46583333333333332</v>
      </c>
      <c r="D2269" s="82" t="s">
        <v>62</v>
      </c>
      <c r="E2269" s="82" t="s">
        <v>7</v>
      </c>
      <c r="F2269" s="94">
        <v>1500</v>
      </c>
      <c r="G2269" s="86"/>
      <c r="H2269" s="86">
        <f>IFERROR(TRANSACTIONS!$F2269+TRANSACTIONS!$G2269,"")</f>
        <v>1500</v>
      </c>
      <c r="I2269" s="87" t="s">
        <v>41</v>
      </c>
    </row>
    <row r="2270" spans="1:10" x14ac:dyDescent="0.25">
      <c r="A2270" s="41">
        <v>45352.465845833336</v>
      </c>
      <c r="B2270" s="48">
        <f>IF(A2270&lt;&gt;"",DATE(YEAR(TRANSACTIONS!$A2270),MONTH(TRANSACTIONS!$A2270),DAY(TRANSACTIONS!$A2270)),"")</f>
        <v>45352</v>
      </c>
      <c r="C2270" s="49">
        <f>IF(A2270&lt;&gt;"",TIME(HOUR(TRANSACTIONS!$A2270),MINUTE(TRANSACTIONS!$A2270),SECOND(TRANSACTIONS!$A2270)),"")</f>
        <v>0.46584490740740742</v>
      </c>
      <c r="D2270" s="82" t="s">
        <v>62</v>
      </c>
      <c r="E2270" s="82" t="s">
        <v>6</v>
      </c>
      <c r="F2270" s="94">
        <v>30000</v>
      </c>
      <c r="G2270" s="46"/>
      <c r="H2270" s="46">
        <f>IFERROR(TRANSACTIONS!$F2270+TRANSACTIONS!$G2270,"")</f>
        <v>30000</v>
      </c>
      <c r="I2270" s="57" t="s">
        <v>41</v>
      </c>
    </row>
    <row r="2271" spans="1:10" x14ac:dyDescent="0.25">
      <c r="A2271" s="113">
        <v>45352.465838773147</v>
      </c>
      <c r="B2271" s="114">
        <f>IF(A2271&lt;&gt;"",DATE(YEAR(TRANSACTIONS!$A2271),MONTH(TRANSACTIONS!$A2271),DAY(TRANSACTIONS!$A2271)),"")</f>
        <v>45352</v>
      </c>
      <c r="C2271" s="115">
        <f>IF(A2271&lt;&gt;"",TIME(HOUR(TRANSACTIONS!$A2271),MINUTE(TRANSACTIONS!$A2271),SECOND(TRANSACTIONS!$A2271)),"")</f>
        <v>0.46583333333333332</v>
      </c>
      <c r="D2271" s="116" t="s">
        <v>62</v>
      </c>
      <c r="E2271" s="116" t="s">
        <v>7</v>
      </c>
      <c r="F2271" s="94">
        <v>2000</v>
      </c>
      <c r="G2271" s="117"/>
      <c r="H2271" s="117">
        <f>IFERROR(TRANSACTIONS!$F2271+TRANSACTIONS!$G2271,"")</f>
        <v>2000</v>
      </c>
      <c r="I2271" s="123" t="s">
        <v>41</v>
      </c>
      <c r="J2271" s="118"/>
    </row>
    <row r="2272" spans="1:10" x14ac:dyDescent="0.25">
      <c r="A2272" s="41">
        <v>45352.465859606484</v>
      </c>
      <c r="B2272" s="48">
        <f>IF(A2272&lt;&gt;"",DATE(YEAR(TRANSACTIONS!$A2272),MONTH(TRANSACTIONS!$A2272),DAY(TRANSACTIONS!$A2272)),"")</f>
        <v>45352</v>
      </c>
      <c r="C2272" s="49">
        <f>IF(A2272&lt;&gt;"",TIME(HOUR(TRANSACTIONS!$A2272),MINUTE(TRANSACTIONS!$A2272),SECOND(TRANSACTIONS!$A2272)),"")</f>
        <v>0.46585648148148145</v>
      </c>
      <c r="D2272" s="82" t="s">
        <v>62</v>
      </c>
      <c r="E2272" s="82" t="s">
        <v>7</v>
      </c>
      <c r="F2272" s="94">
        <v>2000</v>
      </c>
      <c r="G2272" s="46"/>
      <c r="H2272" s="46">
        <f>IFERROR(TRANSACTIONS!$F2272+TRANSACTIONS!$G2272,"")</f>
        <v>2000</v>
      </c>
      <c r="I2272" s="57" t="s">
        <v>41</v>
      </c>
    </row>
    <row r="2273" spans="1:9" x14ac:dyDescent="0.25">
      <c r="A2273" s="41">
        <v>45352.465868055559</v>
      </c>
      <c r="B2273" s="48">
        <f>IF(A2273&lt;&gt;"",DATE(YEAR(TRANSACTIONS!$A2273),MONTH(TRANSACTIONS!$A2273),DAY(TRANSACTIONS!$A2273)),"")</f>
        <v>45352</v>
      </c>
      <c r="C2273" s="49">
        <f>IF(A2273&lt;&gt;"",TIME(HOUR(TRANSACTIONS!$A2273),MINUTE(TRANSACTIONS!$A2273),SECOND(TRANSACTIONS!$A2273)),"")</f>
        <v>0.4658680555555556</v>
      </c>
      <c r="D2273" s="82" t="s">
        <v>62</v>
      </c>
      <c r="E2273" s="82" t="s">
        <v>7</v>
      </c>
      <c r="F2273" s="94">
        <v>10000</v>
      </c>
      <c r="G2273" s="46"/>
      <c r="H2273" s="46">
        <f>IFERROR(TRANSACTIONS!$F2273+TRANSACTIONS!$G2273,"")</f>
        <v>10000</v>
      </c>
      <c r="I2273" s="57" t="s">
        <v>41</v>
      </c>
    </row>
    <row r="2274" spans="1:9" x14ac:dyDescent="0.25">
      <c r="A2274" s="41">
        <v>45352.465906018515</v>
      </c>
      <c r="B2274" s="48">
        <f>IF(A2274&lt;&gt;"",DATE(YEAR(TRANSACTIONS!$A2274),MONTH(TRANSACTIONS!$A2274),DAY(TRANSACTIONS!$A2274)),"")</f>
        <v>45352</v>
      </c>
      <c r="C2274" s="49">
        <f>IF(A2274&lt;&gt;"",TIME(HOUR(TRANSACTIONS!$A2274),MINUTE(TRANSACTIONS!$A2274),SECOND(TRANSACTIONS!$A2274)),"")</f>
        <v>0.46590277777777778</v>
      </c>
      <c r="D2274" s="82" t="s">
        <v>62</v>
      </c>
      <c r="E2274" s="82" t="s">
        <v>6</v>
      </c>
      <c r="F2274" s="94">
        <v>500</v>
      </c>
      <c r="G2274" s="46"/>
      <c r="H2274" s="46">
        <f>IFERROR(TRANSACTIONS!$F2274+TRANSACTIONS!$G2274,"")</f>
        <v>500</v>
      </c>
      <c r="I2274" s="57" t="s">
        <v>41</v>
      </c>
    </row>
    <row r="2275" spans="1:9" x14ac:dyDescent="0.25">
      <c r="A2275" s="41">
        <v>45352.624788657406</v>
      </c>
      <c r="B2275" s="48">
        <f>IF(A2275&lt;&gt;"",DATE(YEAR(TRANSACTIONS!$A2275),MONTH(TRANSACTIONS!$A2275),DAY(TRANSACTIONS!$A2275)),"")</f>
        <v>45352</v>
      </c>
      <c r="C2275" s="49">
        <f>IF(A2275&lt;&gt;"",TIME(HOUR(TRANSACTIONS!$A2275),MINUTE(TRANSACTIONS!$A2275),SECOND(TRANSACTIONS!$A2275)),"")</f>
        <v>0.62479166666666663</v>
      </c>
      <c r="D2275" s="82" t="s">
        <v>62</v>
      </c>
      <c r="E2275" s="82" t="s">
        <v>7</v>
      </c>
      <c r="F2275" s="94">
        <v>3000</v>
      </c>
      <c r="G2275" s="46"/>
      <c r="H2275" s="46">
        <f>IFERROR(TRANSACTIONS!$F2275+TRANSACTIONS!$G2275,"")</f>
        <v>3000</v>
      </c>
      <c r="I2275" s="57" t="s">
        <v>41</v>
      </c>
    </row>
    <row r="2276" spans="1:9" x14ac:dyDescent="0.25">
      <c r="A2276" s="41">
        <v>45352.624797569442</v>
      </c>
      <c r="B2276" s="48">
        <f>IF(A2276&lt;&gt;"",DATE(YEAR(TRANSACTIONS!$A2276),MONTH(TRANSACTIONS!$A2276),DAY(TRANSACTIONS!$A2276)),"")</f>
        <v>45352</v>
      </c>
      <c r="C2276" s="49">
        <f>IF(A2276&lt;&gt;"",TIME(HOUR(TRANSACTIONS!$A2276),MINUTE(TRANSACTIONS!$A2276),SECOND(TRANSACTIONS!$A2276)),"")</f>
        <v>0.62480324074074078</v>
      </c>
      <c r="D2276" s="82" t="s">
        <v>62</v>
      </c>
      <c r="E2276" s="82" t="s">
        <v>7</v>
      </c>
      <c r="F2276" s="94">
        <v>1000</v>
      </c>
      <c r="G2276" s="46"/>
      <c r="H2276" s="46">
        <f>IFERROR(TRANSACTIONS!$F2276+TRANSACTIONS!$G2276,"")</f>
        <v>1000</v>
      </c>
      <c r="I2276" s="57" t="s">
        <v>41</v>
      </c>
    </row>
    <row r="2277" spans="1:9" x14ac:dyDescent="0.25">
      <c r="A2277" s="41">
        <v>45352.626334375003</v>
      </c>
      <c r="B2277" s="48">
        <f>IF(A2277&lt;&gt;"",DATE(YEAR(TRANSACTIONS!$A2277),MONTH(TRANSACTIONS!$A2277),DAY(TRANSACTIONS!$A2277)),"")</f>
        <v>45352</v>
      </c>
      <c r="C2277" s="49">
        <f>IF(A2277&lt;&gt;"",TIME(HOUR(TRANSACTIONS!$A2277),MINUTE(TRANSACTIONS!$A2277),SECOND(TRANSACTIONS!$A2277)),"")</f>
        <v>0.62633101851851858</v>
      </c>
      <c r="D2277" s="82" t="s">
        <v>62</v>
      </c>
      <c r="E2277" s="82" t="s">
        <v>7</v>
      </c>
      <c r="F2277" s="94">
        <v>5000</v>
      </c>
      <c r="G2277" s="46"/>
      <c r="H2277" s="46">
        <f>IFERROR(TRANSACTIONS!$F2277+TRANSACTIONS!$G2277,"")</f>
        <v>5000</v>
      </c>
      <c r="I2277" s="57" t="s">
        <v>41</v>
      </c>
    </row>
    <row r="2278" spans="1:9" x14ac:dyDescent="0.25">
      <c r="A2278" s="41">
        <v>45352.626714583334</v>
      </c>
      <c r="B2278" s="48">
        <f>IF(A2278&lt;&gt;"",DATE(YEAR(TRANSACTIONS!$A2278),MONTH(TRANSACTIONS!$A2278),DAY(TRANSACTIONS!$A2278)),"")</f>
        <v>45352</v>
      </c>
      <c r="C2278" s="49">
        <f>IF(A2278&lt;&gt;"",TIME(HOUR(TRANSACTIONS!$A2278),MINUTE(TRANSACTIONS!$A2278),SECOND(TRANSACTIONS!$A2278)),"")</f>
        <v>0.62671296296296297</v>
      </c>
      <c r="D2278" s="82" t="s">
        <v>62</v>
      </c>
      <c r="E2278" s="82" t="s">
        <v>6</v>
      </c>
      <c r="F2278" s="94">
        <v>45000</v>
      </c>
      <c r="G2278" s="46"/>
      <c r="H2278" s="46">
        <f>IFERROR(TRANSACTIONS!$F2278+TRANSACTIONS!$G2278,"")</f>
        <v>45000</v>
      </c>
      <c r="I2278" s="57" t="s">
        <v>41</v>
      </c>
    </row>
    <row r="2279" spans="1:9" x14ac:dyDescent="0.25">
      <c r="A2279" s="41">
        <v>45352.626719328706</v>
      </c>
      <c r="B2279" s="48">
        <f>IF(A2279&lt;&gt;"",DATE(YEAR(TRANSACTIONS!$A2279),MONTH(TRANSACTIONS!$A2279),DAY(TRANSACTIONS!$A2279)),"")</f>
        <v>45352</v>
      </c>
      <c r="C2279" s="49">
        <f>IF(A2279&lt;&gt;"",TIME(HOUR(TRANSACTIONS!$A2279),MINUTE(TRANSACTIONS!$A2279),SECOND(TRANSACTIONS!$A2279)),"")</f>
        <v>0.62672453703703701</v>
      </c>
      <c r="D2279" s="82" t="s">
        <v>62</v>
      </c>
      <c r="E2279" s="82" t="s">
        <v>6</v>
      </c>
      <c r="F2279" s="94">
        <v>5000</v>
      </c>
      <c r="G2279" s="46"/>
      <c r="H2279" s="46">
        <f>IFERROR(TRANSACTIONS!$F2279+TRANSACTIONS!$G2279,"")</f>
        <v>5000</v>
      </c>
      <c r="I2279" s="57" t="s">
        <v>41</v>
      </c>
    </row>
    <row r="2280" spans="1:9" x14ac:dyDescent="0.25">
      <c r="A2280" s="41">
        <v>45352.626729976851</v>
      </c>
      <c r="B2280" s="48">
        <f>IF(A2280&lt;&gt;"",DATE(YEAR(TRANSACTIONS!$A2280),MONTH(TRANSACTIONS!$A2280),DAY(TRANSACTIONS!$A2280)),"")</f>
        <v>45352</v>
      </c>
      <c r="C2280" s="49">
        <f>IF(A2280&lt;&gt;"",TIME(HOUR(TRANSACTIONS!$A2280),MINUTE(TRANSACTIONS!$A2280),SECOND(TRANSACTIONS!$A2280)),"")</f>
        <v>0.62672453703703701</v>
      </c>
      <c r="D2280" s="82" t="s">
        <v>62</v>
      </c>
      <c r="E2280" s="82" t="s">
        <v>6</v>
      </c>
      <c r="F2280" s="94">
        <v>1000</v>
      </c>
      <c r="G2280" s="46"/>
      <c r="H2280" s="46">
        <f>IFERROR(TRANSACTIONS!$F2280+TRANSACTIONS!$G2280,"")</f>
        <v>1000</v>
      </c>
      <c r="I2280" s="57" t="s">
        <v>41</v>
      </c>
    </row>
    <row r="2281" spans="1:9" x14ac:dyDescent="0.25">
      <c r="A2281" s="41">
        <v>45352.626783912034</v>
      </c>
      <c r="B2281" s="48">
        <f>IF(A2281&lt;&gt;"",DATE(YEAR(TRANSACTIONS!$A2281),MONTH(TRANSACTIONS!$A2281),DAY(TRANSACTIONS!$A2281)),"")</f>
        <v>45352</v>
      </c>
      <c r="C2281" s="49">
        <f>IF(A2281&lt;&gt;"",TIME(HOUR(TRANSACTIONS!$A2281),MINUTE(TRANSACTIONS!$A2281),SECOND(TRANSACTIONS!$A2281)),"")</f>
        <v>0.62678240740740743</v>
      </c>
      <c r="D2281" s="82" t="s">
        <v>62</v>
      </c>
      <c r="E2281" s="82" t="s">
        <v>7</v>
      </c>
      <c r="F2281" s="94">
        <v>15000</v>
      </c>
      <c r="G2281" s="46"/>
      <c r="H2281" s="46">
        <f>IFERROR(TRANSACTIONS!$F2281+TRANSACTIONS!$G2281,"")</f>
        <v>15000</v>
      </c>
      <c r="I2281" s="57" t="s">
        <v>41</v>
      </c>
    </row>
    <row r="2282" spans="1:9" x14ac:dyDescent="0.25">
      <c r="A2282" s="41">
        <v>45352.626791666669</v>
      </c>
      <c r="B2282" s="48">
        <f>IF(A2282&lt;&gt;"",DATE(YEAR(TRANSACTIONS!$A2282),MONTH(TRANSACTIONS!$A2282),DAY(TRANSACTIONS!$A2282)),"")</f>
        <v>45352</v>
      </c>
      <c r="C2282" s="49">
        <f>IF(A2282&lt;&gt;"",TIME(HOUR(TRANSACTIONS!$A2282),MINUTE(TRANSACTIONS!$A2282),SECOND(TRANSACTIONS!$A2282)),"")</f>
        <v>0.62679398148148147</v>
      </c>
      <c r="D2282" s="82" t="s">
        <v>62</v>
      </c>
      <c r="E2282" s="82" t="s">
        <v>7</v>
      </c>
      <c r="F2282" s="94">
        <v>1000</v>
      </c>
      <c r="G2282" s="46"/>
      <c r="H2282" s="46">
        <f>IFERROR(TRANSACTIONS!$F2282+TRANSACTIONS!$G2282,"")</f>
        <v>1000</v>
      </c>
      <c r="I2282" s="57" t="s">
        <v>41</v>
      </c>
    </row>
    <row r="2283" spans="1:9" x14ac:dyDescent="0.25">
      <c r="A2283" s="41">
        <v>45352.626799652775</v>
      </c>
      <c r="B2283" s="48">
        <f>IF(A2283&lt;&gt;"",DATE(YEAR(TRANSACTIONS!$A2283),MONTH(TRANSACTIONS!$A2283),DAY(TRANSACTIONS!$A2283)),"")</f>
        <v>45352</v>
      </c>
      <c r="C2283" s="49">
        <f>IF(A2283&lt;&gt;"",TIME(HOUR(TRANSACTIONS!$A2283),MINUTE(TRANSACTIONS!$A2283),SECOND(TRANSACTIONS!$A2283)),"")</f>
        <v>0.62679398148148147</v>
      </c>
      <c r="D2283" s="82" t="s">
        <v>62</v>
      </c>
      <c r="E2283" s="82" t="s">
        <v>7</v>
      </c>
      <c r="F2283" s="94">
        <v>5000</v>
      </c>
      <c r="G2283" s="46"/>
      <c r="H2283" s="46">
        <f>IFERROR(TRANSACTIONS!$F2283+TRANSACTIONS!$G2283,"")</f>
        <v>5000</v>
      </c>
      <c r="I2283" s="57" t="s">
        <v>41</v>
      </c>
    </row>
    <row r="2284" spans="1:9" x14ac:dyDescent="0.25">
      <c r="A2284" s="41">
        <v>45352.629375694443</v>
      </c>
      <c r="B2284" s="48">
        <f>IF(A2284&lt;&gt;"",DATE(YEAR(TRANSACTIONS!$A2284),MONTH(TRANSACTIONS!$A2284),DAY(TRANSACTIONS!$A2284)),"")</f>
        <v>45352</v>
      </c>
      <c r="C2284" s="49">
        <f>IF(A2284&lt;&gt;"",TIME(HOUR(TRANSACTIONS!$A2284),MINUTE(TRANSACTIONS!$A2284),SECOND(TRANSACTIONS!$A2284)),"")</f>
        <v>0.62937500000000002</v>
      </c>
      <c r="D2284" s="82" t="s">
        <v>62</v>
      </c>
      <c r="E2284" s="82" t="s">
        <v>7</v>
      </c>
      <c r="F2284" s="94">
        <v>23000</v>
      </c>
      <c r="G2284" s="46"/>
      <c r="H2284" s="46">
        <f>IFERROR(TRANSACTIONS!$F2284+TRANSACTIONS!$G2284,"")</f>
        <v>23000</v>
      </c>
      <c r="I2284" s="57" t="s">
        <v>41</v>
      </c>
    </row>
    <row r="2285" spans="1:9" x14ac:dyDescent="0.25">
      <c r="A2285" s="41">
        <v>45352.629429398148</v>
      </c>
      <c r="B2285" s="48">
        <f>IF(A2285&lt;&gt;"",DATE(YEAR(TRANSACTIONS!$A2285),MONTH(TRANSACTIONS!$A2285),DAY(TRANSACTIONS!$A2285)),"")</f>
        <v>45352</v>
      </c>
      <c r="C2285" s="49">
        <f>IF(A2285&lt;&gt;"",TIME(HOUR(TRANSACTIONS!$A2285),MINUTE(TRANSACTIONS!$A2285),SECOND(TRANSACTIONS!$A2285)),"")</f>
        <v>0.62943287037037032</v>
      </c>
      <c r="D2285" s="82" t="s">
        <v>62</v>
      </c>
      <c r="E2285" s="82" t="s">
        <v>6</v>
      </c>
      <c r="F2285" s="94">
        <v>3000</v>
      </c>
      <c r="G2285" s="46"/>
      <c r="H2285" s="46">
        <f>IFERROR(TRANSACTIONS!$F2285+TRANSACTIONS!$G2285,"")</f>
        <v>3000</v>
      </c>
      <c r="I2285" s="57" t="s">
        <v>41</v>
      </c>
    </row>
    <row r="2286" spans="1:9" x14ac:dyDescent="0.25">
      <c r="A2286" s="113">
        <v>45352.629437384261</v>
      </c>
      <c r="B2286" s="114">
        <f>IF(A2286&lt;&gt;"",DATE(YEAR(TRANSACTIONS!$A2286),MONTH(TRANSACTIONS!$A2286),DAY(TRANSACTIONS!$A2286)),"")</f>
        <v>45352</v>
      </c>
      <c r="C2286" s="115">
        <f>IF(A2286&lt;&gt;"",TIME(HOUR(TRANSACTIONS!$A2286),MINUTE(TRANSACTIONS!$A2286),SECOND(TRANSACTIONS!$A2286)),"")</f>
        <v>0.62943287037037032</v>
      </c>
      <c r="D2286" s="82" t="s">
        <v>62</v>
      </c>
      <c r="E2286" s="82" t="s">
        <v>6</v>
      </c>
      <c r="F2286" s="94">
        <v>15150</v>
      </c>
      <c r="G2286" s="117"/>
      <c r="H2286" s="117">
        <f>IFERROR(TRANSACTIONS!$F2286+TRANSACTIONS!$G2286,"")</f>
        <v>15150</v>
      </c>
      <c r="I2286" s="123" t="s">
        <v>41</v>
      </c>
    </row>
    <row r="2287" spans="1:9" x14ac:dyDescent="0.25">
      <c r="A2287" s="41">
        <v>45352.629444791666</v>
      </c>
      <c r="B2287" s="48">
        <f>IF(A2287&lt;&gt;"",DATE(YEAR(TRANSACTIONS!$A2287),MONTH(TRANSACTIONS!$A2287),DAY(TRANSACTIONS!$A2287)),"")</f>
        <v>45352</v>
      </c>
      <c r="C2287" s="49">
        <f>IF(A2287&lt;&gt;"",TIME(HOUR(TRANSACTIONS!$A2287),MINUTE(TRANSACTIONS!$A2287),SECOND(TRANSACTIONS!$A2287)),"")</f>
        <v>0.62944444444444447</v>
      </c>
      <c r="D2287" s="82" t="s">
        <v>62</v>
      </c>
      <c r="E2287" s="82" t="s">
        <v>6</v>
      </c>
      <c r="F2287" s="94">
        <v>60000</v>
      </c>
      <c r="G2287" s="46"/>
      <c r="H2287" s="46">
        <f>IFERROR(TRANSACTIONS!$F2287+TRANSACTIONS!$G2287,"")</f>
        <v>60000</v>
      </c>
      <c r="I2287" s="57" t="s">
        <v>41</v>
      </c>
    </row>
    <row r="2288" spans="1:9" x14ac:dyDescent="0.25">
      <c r="A2288" s="41">
        <v>45352.62945659722</v>
      </c>
      <c r="B2288" s="48">
        <f>IF(A2288&lt;&gt;"",DATE(YEAR(TRANSACTIONS!$A2288),MONTH(TRANSACTIONS!$A2288),DAY(TRANSACTIONS!$A2288)),"")</f>
        <v>45352</v>
      </c>
      <c r="C2288" s="49">
        <f>IF(A2288&lt;&gt;"",TIME(HOUR(TRANSACTIONS!$A2288),MINUTE(TRANSACTIONS!$A2288),SECOND(TRANSACTIONS!$A2288)),"")</f>
        <v>0.62945601851851851</v>
      </c>
      <c r="D2288" s="82" t="s">
        <v>62</v>
      </c>
      <c r="E2288" s="82" t="s">
        <v>7</v>
      </c>
      <c r="F2288" s="94">
        <v>4500</v>
      </c>
      <c r="G2288" s="46"/>
      <c r="H2288" s="46">
        <f>IFERROR(TRANSACTIONS!$F2288+TRANSACTIONS!$G2288,"")</f>
        <v>4500</v>
      </c>
      <c r="I2288" s="57" t="s">
        <v>41</v>
      </c>
    </row>
    <row r="2289" spans="1:9" x14ac:dyDescent="0.25">
      <c r="A2289" s="41">
        <v>45352.629465625003</v>
      </c>
      <c r="B2289" s="48">
        <f>IF(A2289&lt;&gt;"",DATE(YEAR(TRANSACTIONS!$A2289),MONTH(TRANSACTIONS!$A2289),DAY(TRANSACTIONS!$A2289)),"")</f>
        <v>45352</v>
      </c>
      <c r="C2289" s="49">
        <f>IF(A2289&lt;&gt;"",TIME(HOUR(TRANSACTIONS!$A2289),MINUTE(TRANSACTIONS!$A2289),SECOND(TRANSACTIONS!$A2289)),"")</f>
        <v>0.62946759259259266</v>
      </c>
      <c r="D2289" s="82" t="s">
        <v>62</v>
      </c>
      <c r="E2289" s="82" t="s">
        <v>7</v>
      </c>
      <c r="F2289" s="94">
        <v>8250</v>
      </c>
      <c r="G2289" s="46"/>
      <c r="H2289" s="46">
        <f>IFERROR(TRANSACTIONS!$F2289+TRANSACTIONS!$G2289,"")</f>
        <v>8250</v>
      </c>
      <c r="I2289" s="57" t="s">
        <v>41</v>
      </c>
    </row>
    <row r="2290" spans="1:9" x14ac:dyDescent="0.25">
      <c r="A2290" s="41">
        <v>45352.629476388887</v>
      </c>
      <c r="B2290" s="48">
        <f>IF(A2290&lt;&gt;"",DATE(YEAR(TRANSACTIONS!$A2290),MONTH(TRANSACTIONS!$A2290),DAY(TRANSACTIONS!$A2290)),"")</f>
        <v>45352</v>
      </c>
      <c r="C2290" s="49">
        <f>IF(A2290&lt;&gt;"",TIME(HOUR(TRANSACTIONS!$A2290),MINUTE(TRANSACTIONS!$A2290),SECOND(TRANSACTIONS!$A2290)),"")</f>
        <v>0.6294791666666667</v>
      </c>
      <c r="D2290" s="82" t="s">
        <v>62</v>
      </c>
      <c r="E2290" s="82" t="s">
        <v>7</v>
      </c>
      <c r="F2290" s="94">
        <v>1450</v>
      </c>
      <c r="G2290" s="46"/>
      <c r="H2290" s="46">
        <f>IFERROR(TRANSACTIONS!$F2290+TRANSACTIONS!$G2290,"")</f>
        <v>1450</v>
      </c>
      <c r="I2290" s="57" t="s">
        <v>41</v>
      </c>
    </row>
    <row r="2291" spans="1:9" x14ac:dyDescent="0.25">
      <c r="A2291" s="41">
        <v>45352.629484953701</v>
      </c>
      <c r="B2291" s="48">
        <f>IF(A2291&lt;&gt;"",DATE(YEAR(TRANSACTIONS!$A2291),MONTH(TRANSACTIONS!$A2291),DAY(TRANSACTIONS!$A2291)),"")</f>
        <v>45352</v>
      </c>
      <c r="C2291" s="49">
        <f>IF(A2291&lt;&gt;"",TIME(HOUR(TRANSACTIONS!$A2291),MINUTE(TRANSACTIONS!$A2291),SECOND(TRANSACTIONS!$A2291)),"")</f>
        <v>0.6294791666666667</v>
      </c>
      <c r="D2291" s="82" t="s">
        <v>62</v>
      </c>
      <c r="E2291" s="82" t="s">
        <v>6</v>
      </c>
      <c r="F2291" s="94">
        <v>1000</v>
      </c>
      <c r="G2291" s="46"/>
      <c r="H2291" s="46">
        <f>IFERROR(TRANSACTIONS!$F2291+TRANSACTIONS!$G2291,"")</f>
        <v>1000</v>
      </c>
      <c r="I2291" s="57" t="s">
        <v>41</v>
      </c>
    </row>
    <row r="2292" spans="1:9" x14ac:dyDescent="0.25">
      <c r="A2292" s="41">
        <v>45352.629493402776</v>
      </c>
      <c r="B2292" s="48">
        <f>IF(A2292&lt;&gt;"",DATE(YEAR(TRANSACTIONS!$A2292),MONTH(TRANSACTIONS!$A2292),DAY(TRANSACTIONS!$A2292)),"")</f>
        <v>45352</v>
      </c>
      <c r="C2292" s="49">
        <f>IF(A2292&lt;&gt;"",TIME(HOUR(TRANSACTIONS!$A2292),MINUTE(TRANSACTIONS!$A2292),SECOND(TRANSACTIONS!$A2292)),"")</f>
        <v>0.62949074074074074</v>
      </c>
      <c r="D2292" s="82" t="s">
        <v>62</v>
      </c>
      <c r="E2292" s="82" t="s">
        <v>7</v>
      </c>
      <c r="F2292" s="94">
        <v>8000</v>
      </c>
      <c r="G2292" s="46"/>
      <c r="H2292" s="46">
        <f>IFERROR(TRANSACTIONS!$F2292+TRANSACTIONS!$G2292,"")</f>
        <v>8000</v>
      </c>
      <c r="I2292" s="57" t="s">
        <v>41</v>
      </c>
    </row>
    <row r="2293" spans="1:9" x14ac:dyDescent="0.25">
      <c r="A2293" s="41">
        <v>45352.629501736112</v>
      </c>
      <c r="B2293" s="48">
        <f>IF(A2293&lt;&gt;"",DATE(YEAR(TRANSACTIONS!$A2293),MONTH(TRANSACTIONS!$A2293),DAY(TRANSACTIONS!$A2293)),"")</f>
        <v>45352</v>
      </c>
      <c r="C2293" s="49">
        <f>IF(A2293&lt;&gt;"",TIME(HOUR(TRANSACTIONS!$A2293),MINUTE(TRANSACTIONS!$A2293),SECOND(TRANSACTIONS!$A2293)),"")</f>
        <v>0.62950231481481478</v>
      </c>
      <c r="D2293" s="82" t="s">
        <v>62</v>
      </c>
      <c r="E2293" s="82" t="s">
        <v>7</v>
      </c>
      <c r="F2293" s="94">
        <v>770000</v>
      </c>
      <c r="G2293" s="46"/>
      <c r="H2293" s="46">
        <f>IFERROR(TRANSACTIONS!$F2293+TRANSACTIONS!$G2293,"")</f>
        <v>770000</v>
      </c>
      <c r="I2293" s="57" t="s">
        <v>41</v>
      </c>
    </row>
    <row r="2294" spans="1:9" x14ac:dyDescent="0.25">
      <c r="A2294" s="41">
        <v>45352.629512962965</v>
      </c>
      <c r="B2294" s="48">
        <f>IF(A2294&lt;&gt;"",DATE(YEAR(TRANSACTIONS!$A2294),MONTH(TRANSACTIONS!$A2294),DAY(TRANSACTIONS!$A2294)),"")</f>
        <v>45352</v>
      </c>
      <c r="C2294" s="49">
        <f>IF(A2294&lt;&gt;"",TIME(HOUR(TRANSACTIONS!$A2294),MINUTE(TRANSACTIONS!$A2294),SECOND(TRANSACTIONS!$A2294)),"")</f>
        <v>0.62951388888888882</v>
      </c>
      <c r="D2294" s="82" t="s">
        <v>62</v>
      </c>
      <c r="E2294" s="82" t="s">
        <v>7</v>
      </c>
      <c r="F2294" s="94">
        <v>72000</v>
      </c>
      <c r="G2294" s="46"/>
      <c r="H2294" s="46">
        <f>IFERROR(TRANSACTIONS!$F2294+TRANSACTIONS!$G2294,"")</f>
        <v>72000</v>
      </c>
      <c r="I2294" s="57" t="s">
        <v>41</v>
      </c>
    </row>
    <row r="2295" spans="1:9" x14ac:dyDescent="0.25">
      <c r="A2295" s="41">
        <v>45352.629521643517</v>
      </c>
      <c r="B2295" s="48">
        <f>IF(A2295&lt;&gt;"",DATE(YEAR(TRANSACTIONS!$A2295),MONTH(TRANSACTIONS!$A2295),DAY(TRANSACTIONS!$A2295)),"")</f>
        <v>45352</v>
      </c>
      <c r="C2295" s="49">
        <f>IF(A2295&lt;&gt;"",TIME(HOUR(TRANSACTIONS!$A2295),MINUTE(TRANSACTIONS!$A2295),SECOND(TRANSACTIONS!$A2295)),"")</f>
        <v>0.62952546296296297</v>
      </c>
      <c r="D2295" s="82" t="s">
        <v>62</v>
      </c>
      <c r="E2295" s="82" t="s">
        <v>6</v>
      </c>
      <c r="F2295" s="94">
        <v>300000</v>
      </c>
      <c r="G2295" s="46"/>
      <c r="H2295" s="46">
        <f>IFERROR(TRANSACTIONS!$F2295+TRANSACTIONS!$G2295,"")</f>
        <v>300000</v>
      </c>
      <c r="I2295" s="57" t="s">
        <v>41</v>
      </c>
    </row>
    <row r="2296" spans="1:9" x14ac:dyDescent="0.25">
      <c r="A2296" s="41">
        <v>45352.629530324077</v>
      </c>
      <c r="B2296" s="48">
        <f>IF(A2296&lt;&gt;"",DATE(YEAR(TRANSACTIONS!$A2296),MONTH(TRANSACTIONS!$A2296),DAY(TRANSACTIONS!$A2296)),"")</f>
        <v>45352</v>
      </c>
      <c r="C2296" s="49">
        <f>IF(A2296&lt;&gt;"",TIME(HOUR(TRANSACTIONS!$A2296),MINUTE(TRANSACTIONS!$A2296),SECOND(TRANSACTIONS!$A2296)),"")</f>
        <v>0.62952546296296297</v>
      </c>
      <c r="D2296" s="82" t="s">
        <v>62</v>
      </c>
      <c r="E2296" s="82" t="s">
        <v>6</v>
      </c>
      <c r="F2296" s="94">
        <v>165000</v>
      </c>
      <c r="G2296" s="46"/>
      <c r="H2296" s="46">
        <f>IFERROR(TRANSACTIONS!$F2296+TRANSACTIONS!$G2296,"")</f>
        <v>165000</v>
      </c>
      <c r="I2296" s="57" t="s">
        <v>41</v>
      </c>
    </row>
    <row r="2297" spans="1:9" x14ac:dyDescent="0.25">
      <c r="A2297" s="41">
        <v>45352.629538773152</v>
      </c>
      <c r="B2297" s="48">
        <f>IF(A2297&lt;&gt;"",DATE(YEAR(TRANSACTIONS!$A2297),MONTH(TRANSACTIONS!$A2297),DAY(TRANSACTIONS!$A2297)),"")</f>
        <v>45352</v>
      </c>
      <c r="C2297" s="49">
        <f>IF(A2297&lt;&gt;"",TIME(HOUR(TRANSACTIONS!$A2297),MINUTE(TRANSACTIONS!$A2297),SECOND(TRANSACTIONS!$A2297)),"")</f>
        <v>0.62953703703703701</v>
      </c>
      <c r="D2297" s="82" t="s">
        <v>62</v>
      </c>
      <c r="E2297" s="82" t="s">
        <v>7</v>
      </c>
      <c r="F2297" s="94">
        <v>15500</v>
      </c>
      <c r="G2297" s="46"/>
      <c r="H2297" s="46">
        <f>IFERROR(TRANSACTIONS!$F2297+TRANSACTIONS!$G2297,"")</f>
        <v>15500</v>
      </c>
      <c r="I2297" s="57" t="s">
        <v>41</v>
      </c>
    </row>
    <row r="2298" spans="1:9" x14ac:dyDescent="0.25">
      <c r="A2298" s="41">
        <v>45352.629549537036</v>
      </c>
      <c r="B2298" s="48">
        <f>IF(A2298&lt;&gt;"",DATE(YEAR(TRANSACTIONS!$A2298),MONTH(TRANSACTIONS!$A2298),DAY(TRANSACTIONS!$A2298)),"")</f>
        <v>45352</v>
      </c>
      <c r="C2298" s="49">
        <f>IF(A2298&lt;&gt;"",TIME(HOUR(TRANSACTIONS!$A2298),MINUTE(TRANSACTIONS!$A2298),SECOND(TRANSACTIONS!$A2298)),"")</f>
        <v>0.62954861111111116</v>
      </c>
      <c r="D2298" s="82" t="s">
        <v>62</v>
      </c>
      <c r="E2298" s="82" t="s">
        <v>7</v>
      </c>
      <c r="F2298" s="94">
        <v>100000</v>
      </c>
      <c r="G2298" s="46"/>
      <c r="H2298" s="46">
        <f>IFERROR(TRANSACTIONS!$F2298+TRANSACTIONS!$G2298,"")</f>
        <v>100000</v>
      </c>
      <c r="I2298" s="57" t="s">
        <v>41</v>
      </c>
    </row>
    <row r="2299" spans="1:9" x14ac:dyDescent="0.25">
      <c r="A2299" s="41">
        <v>45352.629557638887</v>
      </c>
      <c r="B2299" s="48">
        <f>IF(A2299&lt;&gt;"",DATE(YEAR(TRANSACTIONS!$A2299),MONTH(TRANSACTIONS!$A2299),DAY(TRANSACTIONS!$A2299)),"")</f>
        <v>45352</v>
      </c>
      <c r="C2299" s="49">
        <f>IF(A2299&lt;&gt;"",TIME(HOUR(TRANSACTIONS!$A2299),MINUTE(TRANSACTIONS!$A2299),SECOND(TRANSACTIONS!$A2299)),"")</f>
        <v>0.62956018518518519</v>
      </c>
      <c r="D2299" s="82" t="s">
        <v>62</v>
      </c>
      <c r="E2299" s="82" t="s">
        <v>6</v>
      </c>
      <c r="F2299" s="94">
        <v>20000</v>
      </c>
      <c r="G2299" s="46"/>
      <c r="H2299" s="46">
        <f>IFERROR(TRANSACTIONS!$F2299+TRANSACTIONS!$G2299,"")</f>
        <v>20000</v>
      </c>
      <c r="I2299" s="57" t="s">
        <v>41</v>
      </c>
    </row>
    <row r="2300" spans="1:9" x14ac:dyDescent="0.25">
      <c r="A2300" s="41">
        <v>45352.62957060185</v>
      </c>
      <c r="B2300" s="48">
        <f>IF(A2300&lt;&gt;"",DATE(YEAR(TRANSACTIONS!$A2300),MONTH(TRANSACTIONS!$A2300),DAY(TRANSACTIONS!$A2300)),"")</f>
        <v>45352</v>
      </c>
      <c r="C2300" s="49">
        <f>IF(A2300&lt;&gt;"",TIME(HOUR(TRANSACTIONS!$A2300),MINUTE(TRANSACTIONS!$A2300),SECOND(TRANSACTIONS!$A2300)),"")</f>
        <v>0.62957175925925923</v>
      </c>
      <c r="D2300" s="82" t="s">
        <v>62</v>
      </c>
      <c r="E2300" s="82" t="s">
        <v>7</v>
      </c>
      <c r="F2300" s="94">
        <v>5000</v>
      </c>
      <c r="G2300" s="46"/>
      <c r="H2300" s="46">
        <f>IFERROR(TRANSACTIONS!$F2300+TRANSACTIONS!$G2300,"")</f>
        <v>5000</v>
      </c>
      <c r="I2300" s="57" t="s">
        <v>41</v>
      </c>
    </row>
    <row r="2301" spans="1:9" x14ac:dyDescent="0.25">
      <c r="A2301" s="41">
        <v>45352.629579629633</v>
      </c>
      <c r="B2301" s="48">
        <f>IF(A2301&lt;&gt;"",DATE(YEAR(TRANSACTIONS!$A2301),MONTH(TRANSACTIONS!$A2301),DAY(TRANSACTIONS!$A2301)),"")</f>
        <v>45352</v>
      </c>
      <c r="C2301" s="49">
        <f>IF(A2301&lt;&gt;"",TIME(HOUR(TRANSACTIONS!$A2301),MINUTE(TRANSACTIONS!$A2301),SECOND(TRANSACTIONS!$A2301)),"")</f>
        <v>0.62958333333333327</v>
      </c>
      <c r="D2301" s="82" t="s">
        <v>62</v>
      </c>
      <c r="E2301" s="82" t="s">
        <v>7</v>
      </c>
      <c r="F2301" s="94">
        <v>5000</v>
      </c>
      <c r="G2301" s="46"/>
      <c r="H2301" s="46">
        <f>IFERROR(TRANSACTIONS!$F2301+TRANSACTIONS!$G2301,"")</f>
        <v>5000</v>
      </c>
      <c r="I2301" s="57" t="s">
        <v>41</v>
      </c>
    </row>
    <row r="2302" spans="1:9" x14ac:dyDescent="0.25">
      <c r="A2302" s="41">
        <v>45352.629587962962</v>
      </c>
      <c r="B2302" s="48">
        <f>IF(A2302&lt;&gt;"",DATE(YEAR(TRANSACTIONS!$A2302),MONTH(TRANSACTIONS!$A2302),DAY(TRANSACTIONS!$A2302)),"")</f>
        <v>45352</v>
      </c>
      <c r="C2302" s="49">
        <f>IF(A2302&lt;&gt;"",TIME(HOUR(TRANSACTIONS!$A2302),MINUTE(TRANSACTIONS!$A2302),SECOND(TRANSACTIONS!$A2302)),"")</f>
        <v>0.62958333333333327</v>
      </c>
      <c r="D2302" s="82" t="s">
        <v>62</v>
      </c>
      <c r="E2302" s="82" t="s">
        <v>6</v>
      </c>
      <c r="F2302" s="94">
        <v>26000</v>
      </c>
      <c r="G2302" s="46"/>
      <c r="H2302" s="46">
        <f>IFERROR(TRANSACTIONS!$F2302+TRANSACTIONS!$G2302,"")</f>
        <v>26000</v>
      </c>
      <c r="I2302" s="57" t="s">
        <v>41</v>
      </c>
    </row>
    <row r="2303" spans="1:9" x14ac:dyDescent="0.25">
      <c r="A2303" s="41">
        <v>45352.629599768516</v>
      </c>
      <c r="B2303" s="48">
        <f>IF(A2303&lt;&gt;"",DATE(YEAR(TRANSACTIONS!$A2303),MONTH(TRANSACTIONS!$A2303),DAY(TRANSACTIONS!$A2303)),"")</f>
        <v>45352</v>
      </c>
      <c r="C2303" s="49">
        <f>IF(A2303&lt;&gt;"",TIME(HOUR(TRANSACTIONS!$A2303),MINUTE(TRANSACTIONS!$A2303),SECOND(TRANSACTIONS!$A2303)),"")</f>
        <v>0.62959490740740742</v>
      </c>
      <c r="D2303" s="82" t="s">
        <v>62</v>
      </c>
      <c r="E2303" s="82" t="s">
        <v>7</v>
      </c>
      <c r="F2303" s="94">
        <v>5000</v>
      </c>
      <c r="G2303" s="46"/>
      <c r="H2303" s="46">
        <f>IFERROR(TRANSACTIONS!$F2303+TRANSACTIONS!$G2303,"")</f>
        <v>5000</v>
      </c>
      <c r="I2303" s="57" t="s">
        <v>41</v>
      </c>
    </row>
    <row r="2304" spans="1:9" x14ac:dyDescent="0.25">
      <c r="A2304" s="41">
        <v>45352.629608101852</v>
      </c>
      <c r="B2304" s="48">
        <f>IF(A2304&lt;&gt;"",DATE(YEAR(TRANSACTIONS!$A2304),MONTH(TRANSACTIONS!$A2304),DAY(TRANSACTIONS!$A2304)),"")</f>
        <v>45352</v>
      </c>
      <c r="C2304" s="49">
        <f>IF(A2304&lt;&gt;"",TIME(HOUR(TRANSACTIONS!$A2304),MINUTE(TRANSACTIONS!$A2304),SECOND(TRANSACTIONS!$A2304)),"")</f>
        <v>0.62960648148148146</v>
      </c>
      <c r="D2304" s="82" t="s">
        <v>62</v>
      </c>
      <c r="E2304" s="82" t="s">
        <v>7</v>
      </c>
      <c r="F2304" s="94">
        <v>10000</v>
      </c>
      <c r="G2304" s="46"/>
      <c r="H2304" s="46">
        <f>IFERROR(TRANSACTIONS!$F2304+TRANSACTIONS!$G2304,"")</f>
        <v>10000</v>
      </c>
      <c r="I2304" s="57" t="s">
        <v>41</v>
      </c>
    </row>
    <row r="2305" spans="1:9" x14ac:dyDescent="0.25">
      <c r="A2305" s="41">
        <v>45352.629616550927</v>
      </c>
      <c r="B2305" s="48">
        <f>IF(A2305&lt;&gt;"",DATE(YEAR(TRANSACTIONS!$A2305),MONTH(TRANSACTIONS!$A2305),DAY(TRANSACTIONS!$A2305)),"")</f>
        <v>45352</v>
      </c>
      <c r="C2305" s="49">
        <f>IF(A2305&lt;&gt;"",TIME(HOUR(TRANSACTIONS!$A2305),MINUTE(TRANSACTIONS!$A2305),SECOND(TRANSACTIONS!$A2305)),"")</f>
        <v>0.62961805555555561</v>
      </c>
      <c r="D2305" s="82" t="s">
        <v>62</v>
      </c>
      <c r="E2305" s="82" t="s">
        <v>7</v>
      </c>
      <c r="F2305" s="94">
        <v>7000</v>
      </c>
      <c r="G2305" s="46"/>
      <c r="H2305" s="46">
        <f>IFERROR(TRANSACTIONS!$F2305+TRANSACTIONS!$G2305,"")</f>
        <v>7000</v>
      </c>
      <c r="I2305" s="57" t="s">
        <v>41</v>
      </c>
    </row>
    <row r="2306" spans="1:9" x14ac:dyDescent="0.25">
      <c r="A2306" s="41">
        <v>45352.629667245368</v>
      </c>
      <c r="B2306" s="48">
        <f>IF(A2306&lt;&gt;"",DATE(YEAR(TRANSACTIONS!$A2306),MONTH(TRANSACTIONS!$A2306),DAY(TRANSACTIONS!$A2306)),"")</f>
        <v>45352</v>
      </c>
      <c r="C2306" s="49">
        <f>IF(A2306&lt;&gt;"",TIME(HOUR(TRANSACTIONS!$A2306),MINUTE(TRANSACTIONS!$A2306),SECOND(TRANSACTIONS!$A2306)),"")</f>
        <v>0.62966435185185188</v>
      </c>
      <c r="D2306" s="82" t="s">
        <v>62</v>
      </c>
      <c r="E2306" s="82" t="s">
        <v>7</v>
      </c>
      <c r="F2306" s="94">
        <v>50000</v>
      </c>
      <c r="G2306" s="46"/>
      <c r="H2306" s="46">
        <f>IFERROR(TRANSACTIONS!$F2306+TRANSACTIONS!$G2306,"")</f>
        <v>50000</v>
      </c>
      <c r="I2306" s="57" t="s">
        <v>41</v>
      </c>
    </row>
    <row r="2307" spans="1:9" x14ac:dyDescent="0.25">
      <c r="A2307" s="41">
        <v>45352.629649884257</v>
      </c>
      <c r="B2307" s="48">
        <f>IF(A2307&lt;&gt;"",DATE(YEAR(TRANSACTIONS!$A2307),MONTH(TRANSACTIONS!$A2307),DAY(TRANSACTIONS!$A2307)),"")</f>
        <v>45352</v>
      </c>
      <c r="C2307" s="49">
        <f>IF(A2307&lt;&gt;"",TIME(HOUR(TRANSACTIONS!$A2307),MINUTE(TRANSACTIONS!$A2307),SECOND(TRANSACTIONS!$A2307)),"")</f>
        <v>0.62965277777777773</v>
      </c>
      <c r="D2307" s="82" t="s">
        <v>62</v>
      </c>
      <c r="E2307" s="82" t="s">
        <v>7</v>
      </c>
      <c r="F2307" s="94">
        <v>150000</v>
      </c>
      <c r="G2307" s="46"/>
      <c r="H2307" s="46">
        <f>IFERROR(TRANSACTIONS!$F2307+TRANSACTIONS!$G2307,"")</f>
        <v>150000</v>
      </c>
      <c r="I2307" s="57" t="s">
        <v>41</v>
      </c>
    </row>
    <row r="2308" spans="1:9" x14ac:dyDescent="0.25">
      <c r="A2308" s="41">
        <v>45352.629685300926</v>
      </c>
      <c r="B2308" s="48">
        <f>IF(A2308&lt;&gt;"",DATE(YEAR(TRANSACTIONS!$A2308),MONTH(TRANSACTIONS!$A2308),DAY(TRANSACTIONS!$A2308)),"")</f>
        <v>45352</v>
      </c>
      <c r="C2308" s="49">
        <f>IF(A2308&lt;&gt;"",TIME(HOUR(TRANSACTIONS!$A2308),MINUTE(TRANSACTIONS!$A2308),SECOND(TRANSACTIONS!$A2308)),"")</f>
        <v>0.62968750000000007</v>
      </c>
      <c r="D2308" s="82" t="s">
        <v>62</v>
      </c>
      <c r="E2308" s="82" t="s">
        <v>7</v>
      </c>
      <c r="F2308" s="94">
        <v>30000</v>
      </c>
      <c r="G2308" s="46"/>
      <c r="H2308" s="46">
        <f>IFERROR(TRANSACTIONS!$F2308+TRANSACTIONS!$G2308,"")</f>
        <v>30000</v>
      </c>
      <c r="I2308" s="57" t="s">
        <v>41</v>
      </c>
    </row>
    <row r="2309" spans="1:9" x14ac:dyDescent="0.25">
      <c r="A2309" s="41">
        <v>45352.629714236115</v>
      </c>
      <c r="B2309" s="48">
        <f>IF(A2309&lt;&gt;"",DATE(YEAR(TRANSACTIONS!$A2309),MONTH(TRANSACTIONS!$A2309),DAY(TRANSACTIONS!$A2309)),"")</f>
        <v>45352</v>
      </c>
      <c r="C2309" s="49">
        <f>IF(A2309&lt;&gt;"",TIME(HOUR(TRANSACTIONS!$A2309),MINUTE(TRANSACTIONS!$A2309),SECOND(TRANSACTIONS!$A2309)),"")</f>
        <v>0.62971064814814814</v>
      </c>
      <c r="D2309" s="82" t="s">
        <v>62</v>
      </c>
      <c r="E2309" s="82" t="s">
        <v>7</v>
      </c>
      <c r="F2309" s="94">
        <v>1000</v>
      </c>
      <c r="G2309" s="46"/>
      <c r="H2309" s="46">
        <f>IFERROR(TRANSACTIONS!$F2309+TRANSACTIONS!$G2309,"")</f>
        <v>1000</v>
      </c>
      <c r="I2309" s="57" t="s">
        <v>41</v>
      </c>
    </row>
    <row r="2310" spans="1:9" x14ac:dyDescent="0.25">
      <c r="A2310" s="41">
        <v>45352.629738657408</v>
      </c>
      <c r="B2310" s="48">
        <f>IF(A2310&lt;&gt;"",DATE(YEAR(TRANSACTIONS!$A2310),MONTH(TRANSACTIONS!$A2310),DAY(TRANSACTIONS!$A2310)),"")</f>
        <v>45352</v>
      </c>
      <c r="C2310" s="49">
        <f>IF(A2310&lt;&gt;"",TIME(HOUR(TRANSACTIONS!$A2310),MINUTE(TRANSACTIONS!$A2310),SECOND(TRANSACTIONS!$A2310)),"")</f>
        <v>0.62973379629629633</v>
      </c>
      <c r="D2310" s="82" t="s">
        <v>62</v>
      </c>
      <c r="E2310" s="82" t="s">
        <v>6</v>
      </c>
      <c r="F2310" s="94">
        <v>15000</v>
      </c>
      <c r="G2310" s="46"/>
      <c r="H2310" s="46">
        <f>IFERROR(TRANSACTIONS!$F2310+TRANSACTIONS!$G2310,"")</f>
        <v>15000</v>
      </c>
      <c r="I2310" s="57" t="s">
        <v>41</v>
      </c>
    </row>
    <row r="2311" spans="1:9" x14ac:dyDescent="0.25">
      <c r="A2311" s="41">
        <v>45352.629757175928</v>
      </c>
      <c r="B2311" s="48">
        <f>IF(A2311&lt;&gt;"",DATE(YEAR(TRANSACTIONS!$A2311),MONTH(TRANSACTIONS!$A2311),DAY(TRANSACTIONS!$A2311)),"")</f>
        <v>45352</v>
      </c>
      <c r="C2311" s="49">
        <f>IF(A2311&lt;&gt;"",TIME(HOUR(TRANSACTIONS!$A2311),MINUTE(TRANSACTIONS!$A2311),SECOND(TRANSACTIONS!$A2311)),"")</f>
        <v>0.62975694444444441</v>
      </c>
      <c r="D2311" s="82" t="s">
        <v>62</v>
      </c>
      <c r="E2311" s="82" t="s">
        <v>7</v>
      </c>
      <c r="F2311" s="94">
        <v>1000</v>
      </c>
      <c r="G2311" s="46"/>
      <c r="H2311" s="46">
        <f>IFERROR(TRANSACTIONS!$F2311+TRANSACTIONS!$G2311,"")</f>
        <v>1000</v>
      </c>
      <c r="I2311" s="57" t="s">
        <v>41</v>
      </c>
    </row>
    <row r="2312" spans="1:9" x14ac:dyDescent="0.25">
      <c r="A2312" s="41">
        <v>45352.629765393518</v>
      </c>
      <c r="B2312" s="48">
        <f>IF(A2312&lt;&gt;"",DATE(YEAR(TRANSACTIONS!$A2312),MONTH(TRANSACTIONS!$A2312),DAY(TRANSACTIONS!$A2312)),"")</f>
        <v>45352</v>
      </c>
      <c r="C2312" s="49">
        <f>IF(A2312&lt;&gt;"",TIME(HOUR(TRANSACTIONS!$A2312),MINUTE(TRANSACTIONS!$A2312),SECOND(TRANSACTIONS!$A2312)),"")</f>
        <v>0.62976851851851856</v>
      </c>
      <c r="D2312" s="82" t="s">
        <v>62</v>
      </c>
      <c r="E2312" s="82" t="s">
        <v>6</v>
      </c>
      <c r="F2312" s="94">
        <v>49500</v>
      </c>
      <c r="G2312" s="46"/>
      <c r="H2312" s="46">
        <f>IFERROR(TRANSACTIONS!$F2312+TRANSACTIONS!$G2312,"")</f>
        <v>49500</v>
      </c>
      <c r="I2312" s="57" t="s">
        <v>41</v>
      </c>
    </row>
    <row r="2313" spans="1:9" x14ac:dyDescent="0.25">
      <c r="A2313" s="41">
        <v>45352.629777893519</v>
      </c>
      <c r="B2313" s="48">
        <f>IF(A2313&lt;&gt;"",DATE(YEAR(TRANSACTIONS!$A2313),MONTH(TRANSACTIONS!$A2313),DAY(TRANSACTIONS!$A2313)),"")</f>
        <v>45352</v>
      </c>
      <c r="C2313" s="49">
        <f>IF(A2313&lt;&gt;"",TIME(HOUR(TRANSACTIONS!$A2313),MINUTE(TRANSACTIONS!$A2313),SECOND(TRANSACTIONS!$A2313)),"")</f>
        <v>0.6297800925925926</v>
      </c>
      <c r="D2313" s="82" t="s">
        <v>62</v>
      </c>
      <c r="E2313" s="82" t="s">
        <v>7</v>
      </c>
      <c r="F2313" s="94">
        <v>6000</v>
      </c>
      <c r="G2313" s="46"/>
      <c r="H2313" s="46">
        <f>IFERROR(TRANSACTIONS!$F2313+TRANSACTIONS!$G2313,"")</f>
        <v>6000</v>
      </c>
      <c r="I2313" s="57" t="s">
        <v>41</v>
      </c>
    </row>
    <row r="2314" spans="1:9" x14ac:dyDescent="0.25">
      <c r="A2314" s="41">
        <v>45352.629785648147</v>
      </c>
      <c r="B2314" s="48">
        <f>IF(A2314&lt;&gt;"",DATE(YEAR(TRANSACTIONS!$A2314),MONTH(TRANSACTIONS!$A2314),DAY(TRANSACTIONS!$A2314)),"")</f>
        <v>45352</v>
      </c>
      <c r="C2314" s="49">
        <f>IF(A2314&lt;&gt;"",TIME(HOUR(TRANSACTIONS!$A2314),MINUTE(TRANSACTIONS!$A2314),SECOND(TRANSACTIONS!$A2314)),"")</f>
        <v>0.6297800925925926</v>
      </c>
      <c r="D2314" s="82" t="s">
        <v>62</v>
      </c>
      <c r="E2314" s="82" t="s">
        <v>6</v>
      </c>
      <c r="F2314" s="94">
        <v>4000</v>
      </c>
      <c r="G2314" s="46"/>
      <c r="H2314" s="46">
        <f>IFERROR(TRANSACTIONS!$F2314+TRANSACTIONS!$G2314,"")</f>
        <v>4000</v>
      </c>
      <c r="I2314" s="57" t="s">
        <v>41</v>
      </c>
    </row>
    <row r="2315" spans="1:9" x14ac:dyDescent="0.25">
      <c r="A2315" s="41">
        <v>45352.629792708336</v>
      </c>
      <c r="B2315" s="48">
        <f>IF(A2315&lt;&gt;"",DATE(YEAR(TRANSACTIONS!$A2315),MONTH(TRANSACTIONS!$A2315),DAY(TRANSACTIONS!$A2315)),"")</f>
        <v>45352</v>
      </c>
      <c r="C2315" s="49">
        <f>IF(A2315&lt;&gt;"",TIME(HOUR(TRANSACTIONS!$A2315),MINUTE(TRANSACTIONS!$A2315),SECOND(TRANSACTIONS!$A2315)),"")</f>
        <v>0.62979166666666664</v>
      </c>
      <c r="D2315" s="82" t="s">
        <v>62</v>
      </c>
      <c r="E2315" s="82" t="s">
        <v>7</v>
      </c>
      <c r="F2315" s="94">
        <v>3000</v>
      </c>
      <c r="G2315" s="46"/>
      <c r="H2315" s="46">
        <f>IFERROR(TRANSACTIONS!$F2315+TRANSACTIONS!$G2315,"")</f>
        <v>3000</v>
      </c>
      <c r="I2315" s="57" t="s">
        <v>41</v>
      </c>
    </row>
    <row r="2316" spans="1:9" x14ac:dyDescent="0.25">
      <c r="A2316" s="41">
        <v>45352.629817476853</v>
      </c>
      <c r="B2316" s="48">
        <f>IF(A2316&lt;&gt;"",DATE(YEAR(TRANSACTIONS!$A2316),MONTH(TRANSACTIONS!$A2316),DAY(TRANSACTIONS!$A2316)),"")</f>
        <v>45352</v>
      </c>
      <c r="C2316" s="49">
        <f>IF(A2316&lt;&gt;"",TIME(HOUR(TRANSACTIONS!$A2316),MINUTE(TRANSACTIONS!$A2316),SECOND(TRANSACTIONS!$A2316)),"")</f>
        <v>0.62981481481481483</v>
      </c>
      <c r="D2316" s="82" t="s">
        <v>62</v>
      </c>
      <c r="E2316" s="82" t="s">
        <v>6</v>
      </c>
      <c r="F2316" s="94">
        <v>30000</v>
      </c>
      <c r="G2316" s="46"/>
      <c r="H2316" s="46">
        <f>IFERROR(TRANSACTIONS!$F2316+TRANSACTIONS!$G2316,"")</f>
        <v>30000</v>
      </c>
      <c r="I2316" s="57" t="s">
        <v>41</v>
      </c>
    </row>
    <row r="2317" spans="1:9" x14ac:dyDescent="0.25">
      <c r="A2317" s="81">
        <v>45352.629825231481</v>
      </c>
      <c r="B2317" s="83">
        <f>IF(A2317&lt;&gt;"",DATE(YEAR(TRANSACTIONS!$A2317),MONTH(TRANSACTIONS!$A2317),DAY(TRANSACTIONS!$A2317)),"")</f>
        <v>45352</v>
      </c>
      <c r="C2317" s="84">
        <f>IF(A2317&lt;&gt;"",TIME(HOUR(TRANSACTIONS!$A2317),MINUTE(TRANSACTIONS!$A2317),SECOND(TRANSACTIONS!$A2317)),"")</f>
        <v>0.62982638888888887</v>
      </c>
      <c r="D2317" s="82" t="s">
        <v>25</v>
      </c>
      <c r="E2317" s="82" t="s">
        <v>6</v>
      </c>
      <c r="F2317" s="94">
        <v>1500</v>
      </c>
      <c r="G2317" s="86"/>
      <c r="H2317" s="86">
        <f>IFERROR(TRANSACTIONS!$F2317+TRANSACTIONS!$G2317,"")</f>
        <v>1500</v>
      </c>
      <c r="I2317" s="87" t="s">
        <v>41</v>
      </c>
    </row>
    <row r="2318" spans="1:9" x14ac:dyDescent="0.25">
      <c r="A2318" s="41">
        <v>45352.629881134257</v>
      </c>
      <c r="B2318" s="48">
        <f>IF(A2318&lt;&gt;"",DATE(YEAR(TRANSACTIONS!$A2318),MONTH(TRANSACTIONS!$A2318),DAY(TRANSACTIONS!$A2318)),"")</f>
        <v>45352</v>
      </c>
      <c r="C2318" s="49">
        <f>IF(A2318&lt;&gt;"",TIME(HOUR(TRANSACTIONS!$A2318),MINUTE(TRANSACTIONS!$A2318),SECOND(TRANSACTIONS!$A2318)),"")</f>
        <v>0.62988425925925928</v>
      </c>
      <c r="D2318" s="82" t="s">
        <v>25</v>
      </c>
      <c r="E2318" s="82" t="s">
        <v>7</v>
      </c>
      <c r="F2318" s="94">
        <v>5000</v>
      </c>
      <c r="G2318" s="46"/>
      <c r="H2318" s="46">
        <f>IFERROR(TRANSACTIONS!$F2318+TRANSACTIONS!$G2318,"")</f>
        <v>5000</v>
      </c>
      <c r="I2318" s="57" t="s">
        <v>41</v>
      </c>
    </row>
    <row r="2319" spans="1:9" x14ac:dyDescent="0.25">
      <c r="A2319" s="41">
        <v>45352.629889004631</v>
      </c>
      <c r="B2319" s="48">
        <f>IF(A2319&lt;&gt;"",DATE(YEAR(TRANSACTIONS!$A2319),MONTH(TRANSACTIONS!$A2319),DAY(TRANSACTIONS!$A2319)),"")</f>
        <v>45352</v>
      </c>
      <c r="C2319" s="49">
        <f>IF(A2319&lt;&gt;"",TIME(HOUR(TRANSACTIONS!$A2319),MINUTE(TRANSACTIONS!$A2319),SECOND(TRANSACTIONS!$A2319)),"")</f>
        <v>0.62988425925925928</v>
      </c>
      <c r="D2319" s="82" t="s">
        <v>25</v>
      </c>
      <c r="E2319" s="82" t="s">
        <v>7</v>
      </c>
      <c r="F2319" s="94">
        <v>10000</v>
      </c>
      <c r="G2319" s="46"/>
      <c r="H2319" s="46">
        <f>IFERROR(TRANSACTIONS!$F2319+TRANSACTIONS!$G2319,"")</f>
        <v>10000</v>
      </c>
      <c r="I2319" s="57" t="s">
        <v>41</v>
      </c>
    </row>
    <row r="2320" spans="1:9" x14ac:dyDescent="0.25">
      <c r="A2320" s="41">
        <v>45352.629896412036</v>
      </c>
      <c r="B2320" s="48">
        <f>IF(A2320&lt;&gt;"",DATE(YEAR(TRANSACTIONS!$A2320),MONTH(TRANSACTIONS!$A2320),DAY(TRANSACTIONS!$A2320)),"")</f>
        <v>45352</v>
      </c>
      <c r="C2320" s="49">
        <f>IF(A2320&lt;&gt;"",TIME(HOUR(TRANSACTIONS!$A2320),MINUTE(TRANSACTIONS!$A2320),SECOND(TRANSACTIONS!$A2320)),"")</f>
        <v>0.62989583333333332</v>
      </c>
      <c r="D2320" s="82" t="s">
        <v>25</v>
      </c>
      <c r="E2320" s="82" t="s">
        <v>7</v>
      </c>
      <c r="F2320" s="94">
        <v>4500</v>
      </c>
      <c r="G2320" s="46"/>
      <c r="H2320" s="46">
        <f>IFERROR(TRANSACTIONS!$F2320+TRANSACTIONS!$G2320,"")</f>
        <v>4500</v>
      </c>
      <c r="I2320" s="57" t="s">
        <v>41</v>
      </c>
    </row>
    <row r="2321" spans="1:10" x14ac:dyDescent="0.25">
      <c r="A2321" s="41">
        <v>45352.629904050926</v>
      </c>
      <c r="B2321" s="48">
        <f>IF(A2321&lt;&gt;"",DATE(YEAR(TRANSACTIONS!$A2321),MONTH(TRANSACTIONS!$A2321),DAY(TRANSACTIONS!$A2321)),"")</f>
        <v>45352</v>
      </c>
      <c r="C2321" s="49">
        <f>IF(A2321&lt;&gt;"",TIME(HOUR(TRANSACTIONS!$A2321),MINUTE(TRANSACTIONS!$A2321),SECOND(TRANSACTIONS!$A2321)),"")</f>
        <v>0.62990740740740747</v>
      </c>
      <c r="D2321" s="82" t="s">
        <v>25</v>
      </c>
      <c r="E2321" s="82" t="s">
        <v>7</v>
      </c>
      <c r="F2321" s="94">
        <v>15000</v>
      </c>
      <c r="G2321" s="46"/>
      <c r="H2321" s="46">
        <f>IFERROR(TRANSACTIONS!$F2321+TRANSACTIONS!$G2321,"")</f>
        <v>15000</v>
      </c>
      <c r="I2321" s="57" t="s">
        <v>41</v>
      </c>
    </row>
    <row r="2322" spans="1:10" x14ac:dyDescent="0.25">
      <c r="A2322" s="41">
        <v>45352.629911226853</v>
      </c>
      <c r="B2322" s="48">
        <f>IF(A2322&lt;&gt;"",DATE(YEAR(TRANSACTIONS!$A2322),MONTH(TRANSACTIONS!$A2322),DAY(TRANSACTIONS!$A2322)),"")</f>
        <v>45352</v>
      </c>
      <c r="C2322" s="49">
        <f>IF(A2322&lt;&gt;"",TIME(HOUR(TRANSACTIONS!$A2322),MINUTE(TRANSACTIONS!$A2322),SECOND(TRANSACTIONS!$A2322)),"")</f>
        <v>0.62990740740740747</v>
      </c>
      <c r="D2322" s="82" t="s">
        <v>25</v>
      </c>
      <c r="E2322" s="82" t="s">
        <v>7</v>
      </c>
      <c r="F2322" s="94">
        <v>3500</v>
      </c>
      <c r="G2322" s="46"/>
      <c r="H2322" s="46">
        <f>IFERROR(TRANSACTIONS!$F2322+TRANSACTIONS!$G2322,"")</f>
        <v>3500</v>
      </c>
      <c r="I2322" s="57" t="s">
        <v>41</v>
      </c>
    </row>
    <row r="2323" spans="1:10" x14ac:dyDescent="0.25">
      <c r="A2323" s="41">
        <v>45352.629920833337</v>
      </c>
      <c r="B2323" s="48">
        <f>IF(A2323&lt;&gt;"",DATE(YEAR(TRANSACTIONS!$A2323),MONTH(TRANSACTIONS!$A2323),DAY(TRANSACTIONS!$A2323)),"")</f>
        <v>45352</v>
      </c>
      <c r="C2323" s="49">
        <f>IF(A2323&lt;&gt;"",TIME(HOUR(TRANSACTIONS!$A2323),MINUTE(TRANSACTIONS!$A2323),SECOND(TRANSACTIONS!$A2323)),"")</f>
        <v>0.62991898148148151</v>
      </c>
      <c r="D2323" s="82" t="s">
        <v>25</v>
      </c>
      <c r="E2323" s="82" t="s">
        <v>7</v>
      </c>
      <c r="F2323" s="94">
        <v>49500</v>
      </c>
      <c r="G2323" s="46"/>
      <c r="H2323" s="46">
        <f>IFERROR(TRANSACTIONS!$F2323+TRANSACTIONS!$G2323,"")</f>
        <v>49500</v>
      </c>
      <c r="I2323" s="57" t="s">
        <v>41</v>
      </c>
    </row>
    <row r="2324" spans="1:10" x14ac:dyDescent="0.25">
      <c r="A2324" s="41">
        <v>45352.629930092589</v>
      </c>
      <c r="B2324" s="48">
        <f>IF(A2324&lt;&gt;"",DATE(YEAR(TRANSACTIONS!$A2324),MONTH(TRANSACTIONS!$A2324),DAY(TRANSACTIONS!$A2324)),"")</f>
        <v>45352</v>
      </c>
      <c r="C2324" s="49">
        <f>IF(A2324&lt;&gt;"",TIME(HOUR(TRANSACTIONS!$A2324),MINUTE(TRANSACTIONS!$A2324),SECOND(TRANSACTIONS!$A2324)),"")</f>
        <v>0.62993055555555555</v>
      </c>
      <c r="D2324" s="82" t="s">
        <v>25</v>
      </c>
      <c r="E2324" s="82" t="s">
        <v>6</v>
      </c>
      <c r="F2324" s="94">
        <v>150000</v>
      </c>
      <c r="G2324" s="46"/>
      <c r="H2324" s="46">
        <f>IFERROR(TRANSACTIONS!$F2324+TRANSACTIONS!$G2324,"")</f>
        <v>150000</v>
      </c>
      <c r="I2324" s="57" t="s">
        <v>41</v>
      </c>
    </row>
    <row r="2325" spans="1:10" x14ac:dyDescent="0.25">
      <c r="A2325" s="41">
        <v>45352.630057870374</v>
      </c>
      <c r="B2325" s="48">
        <f>IF(A2325&lt;&gt;"",DATE(YEAR(TRANSACTIONS!$A2325),MONTH(TRANSACTIONS!$A2325),DAY(TRANSACTIONS!$A2325)),"")</f>
        <v>45352</v>
      </c>
      <c r="C2325" s="49">
        <f>IF(A2325&lt;&gt;"",TIME(HOUR(TRANSACTIONS!$A2325),MINUTE(TRANSACTIONS!$A2325),SECOND(TRANSACTIONS!$A2325)),"")</f>
        <v>0.63005787037037042</v>
      </c>
      <c r="D2325" s="82" t="s">
        <v>25</v>
      </c>
      <c r="E2325" s="82" t="s">
        <v>7</v>
      </c>
      <c r="F2325" s="94">
        <v>10000</v>
      </c>
      <c r="G2325" s="46"/>
      <c r="H2325" s="46">
        <f>IFERROR(TRANSACTIONS!$F2325+TRANSACTIONS!$G2325,"")</f>
        <v>10000</v>
      </c>
      <c r="I2325" s="57" t="s">
        <v>41</v>
      </c>
    </row>
    <row r="2326" spans="1:10" x14ac:dyDescent="0.25">
      <c r="A2326" s="41">
        <v>45352.630066203703</v>
      </c>
      <c r="B2326" s="48">
        <f>IF(A2326&lt;&gt;"",DATE(YEAR(TRANSACTIONS!$A2326),MONTH(TRANSACTIONS!$A2326),DAY(TRANSACTIONS!$A2326)),"")</f>
        <v>45352</v>
      </c>
      <c r="C2326" s="49">
        <f>IF(A2326&lt;&gt;"",TIME(HOUR(TRANSACTIONS!$A2326),MINUTE(TRANSACTIONS!$A2326),SECOND(TRANSACTIONS!$A2326)),"")</f>
        <v>0.63006944444444446</v>
      </c>
      <c r="D2326" s="82" t="s">
        <v>25</v>
      </c>
      <c r="E2326" s="82" t="s">
        <v>7</v>
      </c>
      <c r="F2326" s="94">
        <v>15000</v>
      </c>
      <c r="G2326" s="46"/>
      <c r="H2326" s="46">
        <f>IFERROR(TRANSACTIONS!$F2326+TRANSACTIONS!$G2326,"")</f>
        <v>15000</v>
      </c>
      <c r="I2326" s="57" t="s">
        <v>41</v>
      </c>
    </row>
    <row r="2327" spans="1:10" x14ac:dyDescent="0.25">
      <c r="A2327" s="41">
        <v>45352.630933680557</v>
      </c>
      <c r="B2327" s="48">
        <f>IF(A2327&lt;&gt;"",DATE(YEAR(TRANSACTIONS!$A2327),MONTH(TRANSACTIONS!$A2327),DAY(TRANSACTIONS!$A2327)),"")</f>
        <v>45352</v>
      </c>
      <c r="C2327" s="49">
        <f>IF(A2327&lt;&gt;"",TIME(HOUR(TRANSACTIONS!$A2327),MINUTE(TRANSACTIONS!$A2327),SECOND(TRANSACTIONS!$A2327)),"")</f>
        <v>0.63093750000000004</v>
      </c>
      <c r="D2327" s="82" t="s">
        <v>25</v>
      </c>
      <c r="E2327" s="82" t="s">
        <v>7</v>
      </c>
      <c r="F2327" s="94">
        <v>2000</v>
      </c>
      <c r="G2327" s="46"/>
      <c r="H2327" s="46">
        <f>IFERROR(TRANSACTIONS!$F2327+TRANSACTIONS!$G2327,"")</f>
        <v>2000</v>
      </c>
      <c r="I2327" s="57" t="s">
        <v>41</v>
      </c>
    </row>
    <row r="2328" spans="1:10" x14ac:dyDescent="0.25">
      <c r="A2328" s="41">
        <v>45352.630936805559</v>
      </c>
      <c r="B2328" s="48">
        <f>IF(A2328&lt;&gt;"",DATE(YEAR(TRANSACTIONS!$A2328),MONTH(TRANSACTIONS!$A2328),DAY(TRANSACTIONS!$A2328)),"")</f>
        <v>45352</v>
      </c>
      <c r="C2328" s="49">
        <f>IF(A2328&lt;&gt;"",TIME(HOUR(TRANSACTIONS!$A2328),MINUTE(TRANSACTIONS!$A2328),SECOND(TRANSACTIONS!$A2328)),"")</f>
        <v>0.63093750000000004</v>
      </c>
      <c r="D2328" s="82" t="s">
        <v>25</v>
      </c>
      <c r="E2328" s="82" t="s">
        <v>7</v>
      </c>
      <c r="F2328" s="94">
        <v>15000</v>
      </c>
      <c r="G2328" s="46"/>
      <c r="H2328" s="46">
        <f>IFERROR(TRANSACTIONS!$F2328+TRANSACTIONS!$G2328,"")</f>
        <v>15000</v>
      </c>
      <c r="I2328" s="57" t="s">
        <v>41</v>
      </c>
    </row>
    <row r="2329" spans="1:10" x14ac:dyDescent="0.25">
      <c r="A2329" s="41">
        <v>45352.630980324073</v>
      </c>
      <c r="B2329" s="48">
        <f>IF(A2329&lt;&gt;"",DATE(YEAR(TRANSACTIONS!$A2329),MONTH(TRANSACTIONS!$A2329),DAY(TRANSACTIONS!$A2329)),"")</f>
        <v>45352</v>
      </c>
      <c r="C2329" s="49">
        <f>IF(A2329&lt;&gt;"",TIME(HOUR(TRANSACTIONS!$A2329),MINUTE(TRANSACTIONS!$A2329),SECOND(TRANSACTIONS!$A2329)),"")</f>
        <v>0.63098379629629631</v>
      </c>
      <c r="D2329" s="82" t="s">
        <v>25</v>
      </c>
      <c r="E2329" s="82" t="s">
        <v>6</v>
      </c>
      <c r="F2329" s="94">
        <v>15125</v>
      </c>
      <c r="G2329" s="46"/>
      <c r="H2329" s="46">
        <f>IFERROR(TRANSACTIONS!$F2329+TRANSACTIONS!$G2329,"")</f>
        <v>15125</v>
      </c>
      <c r="I2329" s="57" t="s">
        <v>41</v>
      </c>
    </row>
    <row r="2330" spans="1:10" x14ac:dyDescent="0.25">
      <c r="A2330" s="81">
        <v>45352.63550798611</v>
      </c>
      <c r="B2330" s="83">
        <f>IF(A2330&lt;&gt;"",DATE(YEAR(TRANSACTIONS!$A2330),MONTH(TRANSACTIONS!$A2330),DAY(TRANSACTIONS!$A2330)),"")</f>
        <v>45352</v>
      </c>
      <c r="C2330" s="84">
        <f>IF(A2330&lt;&gt;"",TIME(HOUR(TRANSACTIONS!$A2330),MINUTE(TRANSACTIONS!$A2330),SECOND(TRANSACTIONS!$A2330)),"")</f>
        <v>0.63550925925925927</v>
      </c>
      <c r="D2330" s="82" t="s">
        <v>25</v>
      </c>
      <c r="E2330" s="82" t="s">
        <v>6</v>
      </c>
      <c r="F2330" s="94">
        <v>2000</v>
      </c>
      <c r="G2330" s="86"/>
      <c r="H2330" s="86">
        <f>IFERROR(TRANSACTIONS!$F2330+TRANSACTIONS!$G2330,"")</f>
        <v>2000</v>
      </c>
      <c r="I2330" s="87" t="s">
        <v>41</v>
      </c>
    </row>
    <row r="2331" spans="1:10" x14ac:dyDescent="0.25">
      <c r="A2331" s="41">
        <v>45352.635539583331</v>
      </c>
      <c r="B2331" s="48">
        <f>IF(A2331&lt;&gt;"",DATE(YEAR(TRANSACTIONS!$A2331),MONTH(TRANSACTIONS!$A2331),DAY(TRANSACTIONS!$A2331)),"")</f>
        <v>45352</v>
      </c>
      <c r="C2331" s="49">
        <f>IF(A2331&lt;&gt;"",TIME(HOUR(TRANSACTIONS!$A2331),MINUTE(TRANSACTIONS!$A2331),SECOND(TRANSACTIONS!$A2331)),"")</f>
        <v>0.6355439814814815</v>
      </c>
      <c r="D2331" s="82" t="s">
        <v>62</v>
      </c>
      <c r="E2331" s="82" t="s">
        <v>7</v>
      </c>
      <c r="F2331" s="94">
        <v>15000</v>
      </c>
      <c r="G2331" s="46"/>
      <c r="H2331" s="46">
        <f>IFERROR(TRANSACTIONS!$F2331+TRANSACTIONS!$G2331,"")</f>
        <v>15000</v>
      </c>
      <c r="I2331" s="57" t="s">
        <v>41</v>
      </c>
    </row>
    <row r="2332" spans="1:10" x14ac:dyDescent="0.25">
      <c r="A2332" s="113">
        <v>45352.635548032405</v>
      </c>
      <c r="B2332" s="114">
        <f>IF(A2332&lt;&gt;"",DATE(YEAR(TRANSACTIONS!$A2332),MONTH(TRANSACTIONS!$A2332),DAY(TRANSACTIONS!$A2332)),"")</f>
        <v>45352</v>
      </c>
      <c r="C2332" s="115">
        <f>IF(A2332&lt;&gt;"",TIME(HOUR(TRANSACTIONS!$A2332),MINUTE(TRANSACTIONS!$A2332),SECOND(TRANSACTIONS!$A2332)),"")</f>
        <v>0.6355439814814815</v>
      </c>
      <c r="D2332" s="82" t="s">
        <v>62</v>
      </c>
      <c r="E2332" s="82" t="s">
        <v>7</v>
      </c>
      <c r="F2332" s="94">
        <v>5000</v>
      </c>
      <c r="G2332" s="117"/>
      <c r="H2332" s="117">
        <f>IFERROR(TRANSACTIONS!$F2332+TRANSACTIONS!$G2332,"")</f>
        <v>5000</v>
      </c>
      <c r="I2332" s="123" t="s">
        <v>41</v>
      </c>
      <c r="J2332" s="118"/>
    </row>
    <row r="2333" spans="1:10" x14ac:dyDescent="0.25">
      <c r="A2333" s="41">
        <v>45352.635569328704</v>
      </c>
      <c r="B2333" s="48">
        <f>IF(A2333&lt;&gt;"",DATE(YEAR(TRANSACTIONS!$A2333),MONTH(TRANSACTIONS!$A2333),DAY(TRANSACTIONS!$A2333)),"")</f>
        <v>45352</v>
      </c>
      <c r="C2333" s="49">
        <f>IF(A2333&lt;&gt;"",TIME(HOUR(TRANSACTIONS!$A2333),MINUTE(TRANSACTIONS!$A2333),SECOND(TRANSACTIONS!$A2333)),"")</f>
        <v>0.63556712962962958</v>
      </c>
      <c r="D2333" s="82" t="s">
        <v>62</v>
      </c>
      <c r="E2333" s="82" t="s">
        <v>6</v>
      </c>
      <c r="F2333" s="94">
        <v>40000</v>
      </c>
      <c r="G2333" s="46"/>
      <c r="H2333" s="46">
        <f>IFERROR(TRANSACTIONS!$F2333+TRANSACTIONS!$G2333,"")</f>
        <v>40000</v>
      </c>
      <c r="I2333" s="57" t="s">
        <v>41</v>
      </c>
    </row>
    <row r="2334" spans="1:10" x14ac:dyDescent="0.25">
      <c r="A2334" s="41">
        <v>45352.63557835648</v>
      </c>
      <c r="B2334" s="48">
        <f>IF(A2334&lt;&gt;"",DATE(YEAR(TRANSACTIONS!$A2334),MONTH(TRANSACTIONS!$A2334),DAY(TRANSACTIONS!$A2334)),"")</f>
        <v>45352</v>
      </c>
      <c r="C2334" s="49">
        <f>IF(A2334&lt;&gt;"",TIME(HOUR(TRANSACTIONS!$A2334),MINUTE(TRANSACTIONS!$A2334),SECOND(TRANSACTIONS!$A2334)),"")</f>
        <v>0.63557870370370373</v>
      </c>
      <c r="D2334" s="82" t="s">
        <v>62</v>
      </c>
      <c r="E2334" s="82" t="s">
        <v>6</v>
      </c>
      <c r="F2334" s="94">
        <v>40000</v>
      </c>
      <c r="G2334" s="46"/>
      <c r="H2334" s="46">
        <f>IFERROR(TRANSACTIONS!$F2334+TRANSACTIONS!$G2334,"")</f>
        <v>40000</v>
      </c>
      <c r="I2334" s="57" t="s">
        <v>41</v>
      </c>
    </row>
    <row r="2335" spans="1:10" x14ac:dyDescent="0.25">
      <c r="A2335" s="41">
        <v>45352.639337615743</v>
      </c>
      <c r="B2335" s="48">
        <f>IF(A2335&lt;&gt;"",DATE(YEAR(TRANSACTIONS!$A2335),MONTH(TRANSACTIONS!$A2335),DAY(TRANSACTIONS!$A2335)),"")</f>
        <v>45352</v>
      </c>
      <c r="C2335" s="49">
        <f>IF(A2335&lt;&gt;"",TIME(HOUR(TRANSACTIONS!$A2335),MINUTE(TRANSACTIONS!$A2335),SECOND(TRANSACTIONS!$A2335)),"")</f>
        <v>0.6393402777777778</v>
      </c>
      <c r="D2335" s="82" t="s">
        <v>25</v>
      </c>
      <c r="E2335" s="82" t="s">
        <v>7</v>
      </c>
      <c r="F2335" s="94">
        <v>45000</v>
      </c>
      <c r="G2335" s="46"/>
      <c r="H2335" s="46">
        <f>IFERROR(TRANSACTIONS!$F2335+TRANSACTIONS!$G2335,"")</f>
        <v>45000</v>
      </c>
      <c r="I2335" s="57" t="s">
        <v>41</v>
      </c>
    </row>
    <row r="2336" spans="1:10" x14ac:dyDescent="0.25">
      <c r="A2336" s="41">
        <v>45352.639385185183</v>
      </c>
      <c r="B2336" s="48">
        <f>IF(A2336&lt;&gt;"",DATE(YEAR(TRANSACTIONS!$A2336),MONTH(TRANSACTIONS!$A2336),DAY(TRANSACTIONS!$A2336)),"")</f>
        <v>45352</v>
      </c>
      <c r="C2336" s="49">
        <f>IF(A2336&lt;&gt;"",TIME(HOUR(TRANSACTIONS!$A2336),MINUTE(TRANSACTIONS!$A2336),SECOND(TRANSACTIONS!$A2336)),"")</f>
        <v>0.63938657407407407</v>
      </c>
      <c r="D2336" s="82" t="s">
        <v>25</v>
      </c>
      <c r="E2336" s="82" t="s">
        <v>6</v>
      </c>
      <c r="F2336" s="94">
        <v>500</v>
      </c>
      <c r="G2336" s="46"/>
      <c r="H2336" s="46">
        <f>IFERROR(TRANSACTIONS!$F2336+TRANSACTIONS!$G2336,"")</f>
        <v>500</v>
      </c>
      <c r="I2336" s="57" t="s">
        <v>41</v>
      </c>
    </row>
    <row r="2337" spans="1:9" x14ac:dyDescent="0.25">
      <c r="A2337" s="41">
        <v>45352.639394560189</v>
      </c>
      <c r="B2337" s="48">
        <f>IF(A2337&lt;&gt;"",DATE(YEAR(TRANSACTIONS!$A2337),MONTH(TRANSACTIONS!$A2337),DAY(TRANSACTIONS!$A2337)),"")</f>
        <v>45352</v>
      </c>
      <c r="C2337" s="49">
        <f>IF(A2337&lt;&gt;"",TIME(HOUR(TRANSACTIONS!$A2337),MINUTE(TRANSACTIONS!$A2337),SECOND(TRANSACTIONS!$A2337)),"")</f>
        <v>0.63939814814814822</v>
      </c>
      <c r="D2337" s="82" t="s">
        <v>25</v>
      </c>
      <c r="E2337" s="82" t="s">
        <v>7</v>
      </c>
      <c r="F2337" s="94">
        <v>50000</v>
      </c>
      <c r="G2337" s="46"/>
      <c r="H2337" s="46">
        <f>IFERROR(TRANSACTIONS!$F2337+TRANSACTIONS!$G2337,"")</f>
        <v>50000</v>
      </c>
      <c r="I2337" s="57" t="s">
        <v>41</v>
      </c>
    </row>
    <row r="2338" spans="1:9" x14ac:dyDescent="0.25">
      <c r="A2338" s="41">
        <v>45352.639410416668</v>
      </c>
      <c r="B2338" s="48">
        <f>IF(A2338&lt;&gt;"",DATE(YEAR(TRANSACTIONS!$A2338),MONTH(TRANSACTIONS!$A2338),DAY(TRANSACTIONS!$A2338)),"")</f>
        <v>45352</v>
      </c>
      <c r="C2338" s="49">
        <f>IF(A2338&lt;&gt;"",TIME(HOUR(TRANSACTIONS!$A2338),MINUTE(TRANSACTIONS!$A2338),SECOND(TRANSACTIONS!$A2338)),"")</f>
        <v>0.63940972222222225</v>
      </c>
      <c r="D2338" s="82" t="s">
        <v>25</v>
      </c>
      <c r="E2338" s="82" t="s">
        <v>6</v>
      </c>
      <c r="F2338" s="94">
        <v>50400</v>
      </c>
      <c r="G2338" s="46"/>
      <c r="H2338" s="46">
        <f>IFERROR(TRANSACTIONS!$F2338+TRANSACTIONS!$G2338,"")</f>
        <v>50400</v>
      </c>
      <c r="I2338" s="57" t="s">
        <v>41</v>
      </c>
    </row>
    <row r="2339" spans="1:9" x14ac:dyDescent="0.25">
      <c r="A2339" s="41">
        <v>45352.639419444444</v>
      </c>
      <c r="B2339" s="48">
        <f>IF(A2339&lt;&gt;"",DATE(YEAR(TRANSACTIONS!$A2339),MONTH(TRANSACTIONS!$A2339),DAY(TRANSACTIONS!$A2339)),"")</f>
        <v>45352</v>
      </c>
      <c r="C2339" s="49">
        <f>IF(A2339&lt;&gt;"",TIME(HOUR(TRANSACTIONS!$A2339),MINUTE(TRANSACTIONS!$A2339),SECOND(TRANSACTIONS!$A2339)),"")</f>
        <v>0.63942129629629629</v>
      </c>
      <c r="D2339" s="82" t="s">
        <v>25</v>
      </c>
      <c r="E2339" s="82" t="s">
        <v>6</v>
      </c>
      <c r="F2339" s="94">
        <v>4000</v>
      </c>
      <c r="G2339" s="46"/>
      <c r="H2339" s="46">
        <f>IFERROR(TRANSACTIONS!$F2339+TRANSACTIONS!$G2339,"")</f>
        <v>4000</v>
      </c>
      <c r="I2339" s="57" t="s">
        <v>41</v>
      </c>
    </row>
    <row r="2340" spans="1:9" x14ac:dyDescent="0.25">
      <c r="A2340" s="41">
        <v>45352.639437731479</v>
      </c>
      <c r="B2340" s="48">
        <f>IF(A2340&lt;&gt;"",DATE(YEAR(TRANSACTIONS!$A2340),MONTH(TRANSACTIONS!$A2340),DAY(TRANSACTIONS!$A2340)),"")</f>
        <v>45352</v>
      </c>
      <c r="C2340" s="49">
        <f>IF(A2340&lt;&gt;"",TIME(HOUR(TRANSACTIONS!$A2340),MINUTE(TRANSACTIONS!$A2340),SECOND(TRANSACTIONS!$A2340)),"")</f>
        <v>0.63943287037037033</v>
      </c>
      <c r="D2340" s="82" t="s">
        <v>25</v>
      </c>
      <c r="E2340" s="82" t="s">
        <v>6</v>
      </c>
      <c r="F2340" s="94">
        <v>10300</v>
      </c>
      <c r="G2340" s="46"/>
      <c r="H2340" s="46">
        <f>IFERROR(TRANSACTIONS!$F2340+TRANSACTIONS!$G2340,"")</f>
        <v>10300</v>
      </c>
      <c r="I2340" s="57" t="s">
        <v>41</v>
      </c>
    </row>
    <row r="2341" spans="1:9" x14ac:dyDescent="0.25">
      <c r="A2341" s="41">
        <v>45352.639451620373</v>
      </c>
      <c r="B2341" s="48">
        <f>IF(A2341&lt;&gt;"",DATE(YEAR(TRANSACTIONS!$A2341),MONTH(TRANSACTIONS!$A2341),DAY(TRANSACTIONS!$A2341)),"")</f>
        <v>45352</v>
      </c>
      <c r="C2341" s="49">
        <f>IF(A2341&lt;&gt;"",TIME(HOUR(TRANSACTIONS!$A2341),MINUTE(TRANSACTIONS!$A2341),SECOND(TRANSACTIONS!$A2341)),"")</f>
        <v>0.63945601851851852</v>
      </c>
      <c r="D2341" s="82" t="s">
        <v>25</v>
      </c>
      <c r="E2341" s="82" t="s">
        <v>7</v>
      </c>
      <c r="F2341" s="94">
        <v>105000</v>
      </c>
      <c r="G2341" s="46"/>
      <c r="H2341" s="46">
        <f>IFERROR(TRANSACTIONS!$F2341+TRANSACTIONS!$G2341,"")</f>
        <v>105000</v>
      </c>
      <c r="I2341" s="57" t="s">
        <v>41</v>
      </c>
    </row>
    <row r="2342" spans="1:9" x14ac:dyDescent="0.25">
      <c r="A2342" s="41">
        <v>45352.639470138885</v>
      </c>
      <c r="B2342" s="48">
        <f>IF(A2342&lt;&gt;"",DATE(YEAR(TRANSACTIONS!$A2342),MONTH(TRANSACTIONS!$A2342),DAY(TRANSACTIONS!$A2342)),"")</f>
        <v>45352</v>
      </c>
      <c r="C2342" s="49">
        <f>IF(A2342&lt;&gt;"",TIME(HOUR(TRANSACTIONS!$A2342),MINUTE(TRANSACTIONS!$A2342),SECOND(TRANSACTIONS!$A2342)),"")</f>
        <v>0.63946759259259256</v>
      </c>
      <c r="D2342" s="82" t="s">
        <v>25</v>
      </c>
      <c r="E2342" s="82" t="s">
        <v>6</v>
      </c>
      <c r="F2342" s="94">
        <v>7000</v>
      </c>
      <c r="G2342" s="46"/>
      <c r="H2342" s="46">
        <f>IFERROR(TRANSACTIONS!$F2342+TRANSACTIONS!$G2342,"")</f>
        <v>7000</v>
      </c>
      <c r="I2342" s="57" t="s">
        <v>41</v>
      </c>
    </row>
    <row r="2343" spans="1:9" x14ac:dyDescent="0.25">
      <c r="A2343" s="41">
        <v>45352.639527199077</v>
      </c>
      <c r="B2343" s="48">
        <f>IF(A2343&lt;&gt;"",DATE(YEAR(TRANSACTIONS!$A2343),MONTH(TRANSACTIONS!$A2343),DAY(TRANSACTIONS!$A2343)),"")</f>
        <v>45352</v>
      </c>
      <c r="C2343" s="49">
        <f>IF(A2343&lt;&gt;"",TIME(HOUR(TRANSACTIONS!$A2343),MINUTE(TRANSACTIONS!$A2343),SECOND(TRANSACTIONS!$A2343)),"")</f>
        <v>0.63952546296296298</v>
      </c>
      <c r="D2343" s="82" t="s">
        <v>25</v>
      </c>
      <c r="E2343" s="82" t="s">
        <v>6</v>
      </c>
      <c r="F2343" s="94">
        <v>10000</v>
      </c>
      <c r="G2343" s="46"/>
      <c r="H2343" s="46">
        <f>IFERROR(TRANSACTIONS!$F2343+TRANSACTIONS!$G2343,"")</f>
        <v>10000</v>
      </c>
      <c r="I2343" s="57" t="s">
        <v>41</v>
      </c>
    </row>
    <row r="2344" spans="1:9" x14ac:dyDescent="0.25">
      <c r="A2344" s="41">
        <v>45352.814511921293</v>
      </c>
      <c r="B2344" s="48">
        <f>IF(A2344&lt;&gt;"",DATE(YEAR(TRANSACTIONS!$A2344),MONTH(TRANSACTIONS!$A2344),DAY(TRANSACTIONS!$A2344)),"")</f>
        <v>45352</v>
      </c>
      <c r="C2344" s="49">
        <f>IF(A2344&lt;&gt;"",TIME(HOUR(TRANSACTIONS!$A2344),MINUTE(TRANSACTIONS!$A2344),SECOND(TRANSACTIONS!$A2344)),"")</f>
        <v>0.81451388888888887</v>
      </c>
      <c r="D2344" s="82" t="s">
        <v>25</v>
      </c>
      <c r="E2344" s="82" t="s">
        <v>6</v>
      </c>
      <c r="F2344" s="94">
        <v>1000</v>
      </c>
      <c r="G2344" s="46"/>
      <c r="H2344" s="46">
        <f>IFERROR(TRANSACTIONS!$F2344+TRANSACTIONS!$G2344,"")</f>
        <v>1000</v>
      </c>
      <c r="I2344" s="57" t="s">
        <v>41</v>
      </c>
    </row>
    <row r="2345" spans="1:9" x14ac:dyDescent="0.25">
      <c r="A2345" s="41">
        <v>45352.814538541665</v>
      </c>
      <c r="B2345" s="48">
        <f>IF(A2345&lt;&gt;"",DATE(YEAR(TRANSACTIONS!$A2345),MONTH(TRANSACTIONS!$A2345),DAY(TRANSACTIONS!$A2345)),"")</f>
        <v>45352</v>
      </c>
      <c r="C2345" s="49">
        <f>IF(A2345&lt;&gt;"",TIME(HOUR(TRANSACTIONS!$A2345),MINUTE(TRANSACTIONS!$A2345),SECOND(TRANSACTIONS!$A2345)),"")</f>
        <v>0.81453703703703706</v>
      </c>
      <c r="D2345" s="82" t="s">
        <v>25</v>
      </c>
      <c r="E2345" s="82" t="s">
        <v>6</v>
      </c>
      <c r="F2345" s="94">
        <v>300</v>
      </c>
      <c r="G2345" s="46"/>
      <c r="H2345" s="46">
        <f>IFERROR(TRANSACTIONS!$F2345+TRANSACTIONS!$G2345,"")</f>
        <v>300</v>
      </c>
      <c r="I2345" s="57" t="s">
        <v>41</v>
      </c>
    </row>
    <row r="2346" spans="1:9" x14ac:dyDescent="0.25">
      <c r="A2346" s="41">
        <v>45352.814556249999</v>
      </c>
      <c r="B2346" s="48">
        <f>IF(A2346&lt;&gt;"",DATE(YEAR(TRANSACTIONS!$A2346),MONTH(TRANSACTIONS!$A2346),DAY(TRANSACTIONS!$A2346)),"")</f>
        <v>45352</v>
      </c>
      <c r="C2346" s="49">
        <f>IF(A2346&lt;&gt;"",TIME(HOUR(TRANSACTIONS!$A2346),MINUTE(TRANSACTIONS!$A2346),SECOND(TRANSACTIONS!$A2346)),"")</f>
        <v>0.81456018518518514</v>
      </c>
      <c r="D2346" s="82" t="s">
        <v>25</v>
      </c>
      <c r="E2346" s="82" t="s">
        <v>7</v>
      </c>
      <c r="F2346" s="94">
        <v>1000</v>
      </c>
      <c r="G2346" s="46"/>
      <c r="H2346" s="46">
        <f>IFERROR(TRANSACTIONS!$F2346+TRANSACTIONS!$G2346,"")</f>
        <v>1000</v>
      </c>
      <c r="I2346" s="57" t="s">
        <v>41</v>
      </c>
    </row>
    <row r="2347" spans="1:9" x14ac:dyDescent="0.25">
      <c r="A2347" s="41">
        <v>45352.814566203706</v>
      </c>
      <c r="B2347" s="48">
        <f>IF(A2347&lt;&gt;"",DATE(YEAR(TRANSACTIONS!$A2347),MONTH(TRANSACTIONS!$A2347),DAY(TRANSACTIONS!$A2347)),"")</f>
        <v>45352</v>
      </c>
      <c r="C2347" s="49">
        <f>IF(A2347&lt;&gt;"",TIME(HOUR(TRANSACTIONS!$A2347),MINUTE(TRANSACTIONS!$A2347),SECOND(TRANSACTIONS!$A2347)),"")</f>
        <v>0.81457175925925929</v>
      </c>
      <c r="D2347" s="82" t="s">
        <v>25</v>
      </c>
      <c r="E2347" s="82" t="s">
        <v>6</v>
      </c>
      <c r="F2347" s="94">
        <v>1100</v>
      </c>
      <c r="G2347" s="46"/>
      <c r="H2347" s="46">
        <f>IFERROR(TRANSACTIONS!$F2347+TRANSACTIONS!$G2347,"")</f>
        <v>1100</v>
      </c>
      <c r="I2347" s="57" t="s">
        <v>41</v>
      </c>
    </row>
    <row r="2348" spans="1:9" x14ac:dyDescent="0.25">
      <c r="A2348" s="41">
        <v>45352.814577777775</v>
      </c>
      <c r="B2348" s="48">
        <f>IF(A2348&lt;&gt;"",DATE(YEAR(TRANSACTIONS!$A2348),MONTH(TRANSACTIONS!$A2348),DAY(TRANSACTIONS!$A2348)),"")</f>
        <v>45352</v>
      </c>
      <c r="C2348" s="49">
        <f>IF(A2348&lt;&gt;"",TIME(HOUR(TRANSACTIONS!$A2348),MINUTE(TRANSACTIONS!$A2348),SECOND(TRANSACTIONS!$A2348)),"")</f>
        <v>0.81458333333333333</v>
      </c>
      <c r="D2348" s="82" t="s">
        <v>25</v>
      </c>
      <c r="E2348" s="82" t="s">
        <v>7</v>
      </c>
      <c r="F2348" s="94">
        <v>2500</v>
      </c>
      <c r="G2348" s="46"/>
      <c r="H2348" s="46">
        <f>IFERROR(TRANSACTIONS!$F2348+TRANSACTIONS!$G2348,"")</f>
        <v>2500</v>
      </c>
      <c r="I2348" s="57" t="s">
        <v>41</v>
      </c>
    </row>
    <row r="2349" spans="1:9" x14ac:dyDescent="0.25">
      <c r="A2349" s="41">
        <v>45352.814586921297</v>
      </c>
      <c r="B2349" s="48">
        <f>IF(A2349&lt;&gt;"",DATE(YEAR(TRANSACTIONS!$A2349),MONTH(TRANSACTIONS!$A2349),DAY(TRANSACTIONS!$A2349)),"")</f>
        <v>45352</v>
      </c>
      <c r="C2349" s="49">
        <f>IF(A2349&lt;&gt;"",TIME(HOUR(TRANSACTIONS!$A2349),MINUTE(TRANSACTIONS!$A2349),SECOND(TRANSACTIONS!$A2349)),"")</f>
        <v>0.81458333333333333</v>
      </c>
      <c r="D2349" s="82" t="s">
        <v>62</v>
      </c>
      <c r="E2349" s="82" t="s">
        <v>7</v>
      </c>
      <c r="F2349" s="94">
        <v>1000</v>
      </c>
      <c r="G2349" s="46"/>
      <c r="H2349" s="46">
        <f>IFERROR(TRANSACTIONS!$F2349+TRANSACTIONS!$G2349,"")</f>
        <v>1000</v>
      </c>
      <c r="I2349" s="57" t="s">
        <v>41</v>
      </c>
    </row>
    <row r="2350" spans="1:9" x14ac:dyDescent="0.25">
      <c r="A2350" s="41">
        <v>45352.81459548611</v>
      </c>
      <c r="B2350" s="48">
        <f>IF(A2350&lt;&gt;"",DATE(YEAR(TRANSACTIONS!$A2350),MONTH(TRANSACTIONS!$A2350),DAY(TRANSACTIONS!$A2350)),"")</f>
        <v>45352</v>
      </c>
      <c r="C2350" s="49">
        <f>IF(A2350&lt;&gt;"",TIME(HOUR(TRANSACTIONS!$A2350),MINUTE(TRANSACTIONS!$A2350),SECOND(TRANSACTIONS!$A2350)),"")</f>
        <v>0.81459490740740748</v>
      </c>
      <c r="D2350" s="82" t="s">
        <v>62</v>
      </c>
      <c r="E2350" s="82" t="s">
        <v>6</v>
      </c>
      <c r="F2350" s="94">
        <v>2000</v>
      </c>
      <c r="G2350" s="46"/>
      <c r="H2350" s="46">
        <f>IFERROR(TRANSACTIONS!$F2350+TRANSACTIONS!$G2350,"")</f>
        <v>2000</v>
      </c>
      <c r="I2350" s="57" t="s">
        <v>41</v>
      </c>
    </row>
    <row r="2351" spans="1:9" x14ac:dyDescent="0.25">
      <c r="A2351" s="81">
        <v>45352.81460416667</v>
      </c>
      <c r="B2351" s="83">
        <f>IF(A2351&lt;&gt;"",DATE(YEAR(TRANSACTIONS!$A2351),MONTH(TRANSACTIONS!$A2351),DAY(TRANSACTIONS!$A2351)),"")</f>
        <v>45352</v>
      </c>
      <c r="C2351" s="84">
        <f>IF(A2351&lt;&gt;"",TIME(HOUR(TRANSACTIONS!$A2351),MINUTE(TRANSACTIONS!$A2351),SECOND(TRANSACTIONS!$A2351)),"")</f>
        <v>0.8146064814814814</v>
      </c>
      <c r="D2351" s="82" t="s">
        <v>62</v>
      </c>
      <c r="E2351" s="82" t="s">
        <v>6</v>
      </c>
      <c r="F2351" s="94">
        <v>10000</v>
      </c>
      <c r="G2351" s="86"/>
      <c r="H2351" s="86">
        <f>IFERROR(TRANSACTIONS!$F2351+TRANSACTIONS!$G2351,"")</f>
        <v>10000</v>
      </c>
      <c r="I2351" s="87" t="s">
        <v>41</v>
      </c>
    </row>
    <row r="2352" spans="1:9" x14ac:dyDescent="0.25">
      <c r="A2352" s="41">
        <v>45352.81461296296</v>
      </c>
      <c r="B2352" s="48">
        <f>IF(A2352&lt;&gt;"",DATE(YEAR(TRANSACTIONS!$A2352),MONTH(TRANSACTIONS!$A2352),DAY(TRANSACTIONS!$A2352)),"")</f>
        <v>45352</v>
      </c>
      <c r="C2352" s="49">
        <f>IF(A2352&lt;&gt;"",TIME(HOUR(TRANSACTIONS!$A2352),MINUTE(TRANSACTIONS!$A2352),SECOND(TRANSACTIONS!$A2352)),"")</f>
        <v>0.81461805555555555</v>
      </c>
      <c r="D2352" s="82" t="s">
        <v>62</v>
      </c>
      <c r="E2352" s="82" t="s">
        <v>7</v>
      </c>
      <c r="F2352" s="94">
        <v>105000</v>
      </c>
      <c r="G2352" s="46"/>
      <c r="H2352" s="46">
        <f>IFERROR(TRANSACTIONS!$F2352+TRANSACTIONS!$G2352,"")</f>
        <v>105000</v>
      </c>
      <c r="I2352" s="57" t="s">
        <v>41</v>
      </c>
    </row>
    <row r="2353" spans="1:10" x14ac:dyDescent="0.25">
      <c r="A2353" s="41">
        <v>45352.814633101851</v>
      </c>
      <c r="B2353" s="48">
        <f>IF(A2353&lt;&gt;"",DATE(YEAR(TRANSACTIONS!$A2353),MONTH(TRANSACTIONS!$A2353),DAY(TRANSACTIONS!$A2353)),"")</f>
        <v>45352</v>
      </c>
      <c r="C2353" s="49">
        <f>IF(A2353&lt;&gt;"",TIME(HOUR(TRANSACTIONS!$A2353),MINUTE(TRANSACTIONS!$A2353),SECOND(TRANSACTIONS!$A2353)),"")</f>
        <v>0.8146296296296297</v>
      </c>
      <c r="D2353" s="82" t="s">
        <v>62</v>
      </c>
      <c r="E2353" s="82" t="s">
        <v>7</v>
      </c>
      <c r="F2353" s="94">
        <v>50000</v>
      </c>
      <c r="G2353" s="46"/>
      <c r="H2353" s="46">
        <f>IFERROR(TRANSACTIONS!$F2353+TRANSACTIONS!$G2353,"")</f>
        <v>50000</v>
      </c>
      <c r="I2353" s="57" t="s">
        <v>41</v>
      </c>
    </row>
    <row r="2354" spans="1:10" x14ac:dyDescent="0.25">
      <c r="A2354" s="41">
        <v>45352.814638310185</v>
      </c>
      <c r="B2354" s="48">
        <f>IF(A2354&lt;&gt;"",DATE(YEAR(TRANSACTIONS!$A2354),MONTH(TRANSACTIONS!$A2354),DAY(TRANSACTIONS!$A2354)),"")</f>
        <v>45352</v>
      </c>
      <c r="C2354" s="49">
        <f>IF(A2354&lt;&gt;"",TIME(HOUR(TRANSACTIONS!$A2354),MINUTE(TRANSACTIONS!$A2354),SECOND(TRANSACTIONS!$A2354)),"")</f>
        <v>0.81464120370370363</v>
      </c>
      <c r="D2354" s="82" t="s">
        <v>62</v>
      </c>
      <c r="E2354" s="82" t="s">
        <v>6</v>
      </c>
      <c r="F2354" s="94">
        <v>2100</v>
      </c>
      <c r="G2354" s="46"/>
      <c r="H2354" s="46">
        <f>IFERROR(TRANSACTIONS!$F2354+TRANSACTIONS!$G2354,"")</f>
        <v>2100</v>
      </c>
      <c r="I2354" s="57" t="s">
        <v>41</v>
      </c>
    </row>
    <row r="2355" spans="1:10" x14ac:dyDescent="0.25">
      <c r="A2355" s="41">
        <v>45352.814652314817</v>
      </c>
      <c r="B2355" s="48">
        <f>IF(A2355&lt;&gt;"",DATE(YEAR(TRANSACTIONS!$A2355),MONTH(TRANSACTIONS!$A2355),DAY(TRANSACTIONS!$A2355)),"")</f>
        <v>45352</v>
      </c>
      <c r="C2355" s="49">
        <f>IF(A2355&lt;&gt;"",TIME(HOUR(TRANSACTIONS!$A2355),MINUTE(TRANSACTIONS!$A2355),SECOND(TRANSACTIONS!$A2355)),"")</f>
        <v>0.81465277777777778</v>
      </c>
      <c r="D2355" s="82" t="s">
        <v>62</v>
      </c>
      <c r="E2355" s="82" t="s">
        <v>6</v>
      </c>
      <c r="F2355" s="94">
        <v>5000</v>
      </c>
      <c r="G2355" s="46"/>
      <c r="H2355" s="46">
        <f>IFERROR(TRANSACTIONS!$F2355+TRANSACTIONS!$G2355,"")</f>
        <v>5000</v>
      </c>
      <c r="I2355" s="57" t="s">
        <v>41</v>
      </c>
    </row>
    <row r="2356" spans="1:10" x14ac:dyDescent="0.25">
      <c r="A2356" s="41">
        <v>45352.81471712963</v>
      </c>
      <c r="B2356" s="48">
        <f>IF(A2356&lt;&gt;"",DATE(YEAR(TRANSACTIONS!$A2356),MONTH(TRANSACTIONS!$A2356),DAY(TRANSACTIONS!$A2356)),"")</f>
        <v>45352</v>
      </c>
      <c r="C2356" s="49">
        <f>IF(A2356&lt;&gt;"",TIME(HOUR(TRANSACTIONS!$A2356),MINUTE(TRANSACTIONS!$A2356),SECOND(TRANSACTIONS!$A2356)),"")</f>
        <v>0.81472222222222224</v>
      </c>
      <c r="D2356" s="82" t="s">
        <v>62</v>
      </c>
      <c r="E2356" s="82" t="s">
        <v>6</v>
      </c>
      <c r="F2356" s="94">
        <v>1000</v>
      </c>
      <c r="G2356" s="86"/>
      <c r="H2356" s="86">
        <f>IFERROR(TRANSACTIONS!$F2356+TRANSACTIONS!$G2356,"")</f>
        <v>1000</v>
      </c>
      <c r="I2356" s="87" t="s">
        <v>41</v>
      </c>
      <c r="J2356" s="88"/>
    </row>
    <row r="2357" spans="1:10" x14ac:dyDescent="0.25">
      <c r="A2357" s="41">
        <v>45352.814723495372</v>
      </c>
      <c r="B2357" s="48">
        <f>IF(A2357&lt;&gt;"",DATE(YEAR(TRANSACTIONS!$A2357),MONTH(TRANSACTIONS!$A2357),DAY(TRANSACTIONS!$A2357)),"")</f>
        <v>45352</v>
      </c>
      <c r="C2357" s="49">
        <f>IF(A2357&lt;&gt;"",TIME(HOUR(TRANSACTIONS!$A2357),MINUTE(TRANSACTIONS!$A2357),SECOND(TRANSACTIONS!$A2357)),"")</f>
        <v>0.81472222222222224</v>
      </c>
      <c r="D2357" s="82" t="s">
        <v>62</v>
      </c>
      <c r="E2357" s="82" t="s">
        <v>7</v>
      </c>
      <c r="F2357" s="94">
        <v>5000</v>
      </c>
      <c r="G2357" s="86"/>
      <c r="H2357" s="86">
        <f>IFERROR(TRANSACTIONS!$F2357+TRANSACTIONS!$G2357,"")</f>
        <v>5000</v>
      </c>
      <c r="I2357" s="87" t="s">
        <v>41</v>
      </c>
      <c r="J2357" s="88"/>
    </row>
    <row r="2358" spans="1:10" x14ac:dyDescent="0.25">
      <c r="A2358" s="41">
        <v>45352.820451504631</v>
      </c>
      <c r="B2358" s="48">
        <f>IF(A2358&lt;&gt;"",DATE(YEAR(TRANSACTIONS!$A2358),MONTH(TRANSACTIONS!$A2358),DAY(TRANSACTIONS!$A2358)),"")</f>
        <v>45352</v>
      </c>
      <c r="C2358" s="49">
        <f>IF(A2358&lt;&gt;"",TIME(HOUR(TRANSACTIONS!$A2358),MINUTE(TRANSACTIONS!$A2358),SECOND(TRANSACTIONS!$A2358)),"")</f>
        <v>0.82045138888888891</v>
      </c>
      <c r="D2358" s="82" t="s">
        <v>62</v>
      </c>
      <c r="E2358" s="82" t="s">
        <v>6</v>
      </c>
      <c r="F2358" s="94">
        <v>20500</v>
      </c>
      <c r="G2358" s="86"/>
      <c r="H2358" s="86">
        <f>IFERROR(TRANSACTIONS!$F2358+TRANSACTIONS!$G2358,"")</f>
        <v>20500</v>
      </c>
      <c r="I2358" s="87" t="s">
        <v>41</v>
      </c>
      <c r="J2358" s="88"/>
    </row>
    <row r="2359" spans="1:10" x14ac:dyDescent="0.25">
      <c r="A2359" s="81">
        <v>45352.821302777775</v>
      </c>
      <c r="B2359" s="83">
        <f>IF(A2359&lt;&gt;"",DATE(YEAR(TRANSACTIONS!$A2359),MONTH(TRANSACTIONS!$A2359),DAY(TRANSACTIONS!$A2359)),"")</f>
        <v>45352</v>
      </c>
      <c r="C2359" s="84">
        <f>IF(A2359&lt;&gt;"",TIME(HOUR(TRANSACTIONS!$A2359),MINUTE(TRANSACTIONS!$A2359),SECOND(TRANSACTIONS!$A2359)),"")</f>
        <v>0.82130787037037034</v>
      </c>
      <c r="D2359" s="82" t="s">
        <v>62</v>
      </c>
      <c r="E2359" s="82" t="s">
        <v>7</v>
      </c>
      <c r="F2359" s="94">
        <v>2000</v>
      </c>
      <c r="G2359" s="86"/>
      <c r="H2359" s="86">
        <f>IFERROR(TRANSACTIONS!$F2359+TRANSACTIONS!$G2359,"")</f>
        <v>2000</v>
      </c>
      <c r="I2359" s="87" t="s">
        <v>41</v>
      </c>
      <c r="J2359" s="88"/>
    </row>
    <row r="2360" spans="1:10" x14ac:dyDescent="0.25">
      <c r="A2360" s="81">
        <v>45352.821316550922</v>
      </c>
      <c r="B2360" s="83">
        <f>IF(A2360&lt;&gt;"",DATE(YEAR(TRANSACTIONS!$A2360),MONTH(TRANSACTIONS!$A2360),DAY(TRANSACTIONS!$A2360)),"")</f>
        <v>45352</v>
      </c>
      <c r="C2360" s="84">
        <f>IF(A2360&lt;&gt;"",TIME(HOUR(TRANSACTIONS!$A2360),MINUTE(TRANSACTIONS!$A2360),SECOND(TRANSACTIONS!$A2360)),"")</f>
        <v>0.82131944444444438</v>
      </c>
      <c r="D2360" s="82" t="s">
        <v>62</v>
      </c>
      <c r="E2360" s="82" t="s">
        <v>7</v>
      </c>
      <c r="F2360" s="94">
        <v>2000</v>
      </c>
      <c r="G2360" s="86"/>
      <c r="H2360" s="86">
        <f>IFERROR(TRANSACTIONS!$F2360+TRANSACTIONS!$G2360,"")</f>
        <v>2000</v>
      </c>
      <c r="I2360" s="87" t="s">
        <v>41</v>
      </c>
      <c r="J2360" s="88"/>
    </row>
    <row r="2361" spans="1:10" x14ac:dyDescent="0.25">
      <c r="A2361" s="81">
        <v>45352.821328240738</v>
      </c>
      <c r="B2361" s="83">
        <f>IF(A2361&lt;&gt;"",DATE(YEAR(TRANSACTIONS!$A2361),MONTH(TRANSACTIONS!$A2361),DAY(TRANSACTIONS!$A2361)),"")</f>
        <v>45352</v>
      </c>
      <c r="C2361" s="84">
        <f>IF(A2361&lt;&gt;"",TIME(HOUR(TRANSACTIONS!$A2361),MINUTE(TRANSACTIONS!$A2361),SECOND(TRANSACTIONS!$A2361)),"")</f>
        <v>0.82133101851851853</v>
      </c>
      <c r="D2361" s="82" t="s">
        <v>62</v>
      </c>
      <c r="E2361" s="82" t="s">
        <v>7</v>
      </c>
      <c r="F2361" s="94">
        <v>10000</v>
      </c>
      <c r="G2361" s="86"/>
      <c r="H2361" s="86">
        <f>IFERROR(TRANSACTIONS!$F2361+TRANSACTIONS!$G2361,"")</f>
        <v>10000</v>
      </c>
      <c r="I2361" s="87" t="s">
        <v>41</v>
      </c>
      <c r="J2361" s="88"/>
    </row>
    <row r="2362" spans="1:10" x14ac:dyDescent="0.25">
      <c r="A2362" s="41">
        <v>45352.821337037036</v>
      </c>
      <c r="B2362" s="48">
        <f>IF(A2362&lt;&gt;"",DATE(YEAR(TRANSACTIONS!$A2362),MONTH(TRANSACTIONS!$A2362),DAY(TRANSACTIONS!$A2362)),"")</f>
        <v>45352</v>
      </c>
      <c r="C2362" s="49">
        <f>IF(A2362&lt;&gt;"",TIME(HOUR(TRANSACTIONS!$A2362),MINUTE(TRANSACTIONS!$A2362),SECOND(TRANSACTIONS!$A2362)),"")</f>
        <v>0.82134259259259268</v>
      </c>
      <c r="D2362" s="82" t="s">
        <v>62</v>
      </c>
      <c r="E2362" s="82" t="s">
        <v>6</v>
      </c>
      <c r="F2362" s="94">
        <v>800000</v>
      </c>
      <c r="G2362" s="86"/>
      <c r="H2362" s="86">
        <f>IFERROR(TRANSACTIONS!$F2362+TRANSACTIONS!$G2362,"")</f>
        <v>800000</v>
      </c>
      <c r="I2362" s="87" t="s">
        <v>41</v>
      </c>
      <c r="J2362" s="88"/>
    </row>
    <row r="2363" spans="1:10" x14ac:dyDescent="0.25">
      <c r="A2363" s="41">
        <v>45352.821384722221</v>
      </c>
      <c r="B2363" s="48">
        <f>IF(A2363&lt;&gt;"",DATE(YEAR(TRANSACTIONS!$A2363),MONTH(TRANSACTIONS!$A2363),DAY(TRANSACTIONS!$A2363)),"")</f>
        <v>45352</v>
      </c>
      <c r="C2363" s="49">
        <f>IF(A2363&lt;&gt;"",TIME(HOUR(TRANSACTIONS!$A2363),MINUTE(TRANSACTIONS!$A2363),SECOND(TRANSACTIONS!$A2363)),"")</f>
        <v>0.82138888888888895</v>
      </c>
      <c r="D2363" s="82" t="s">
        <v>62</v>
      </c>
      <c r="E2363" s="82" t="s">
        <v>7</v>
      </c>
      <c r="F2363" s="94">
        <v>3000</v>
      </c>
      <c r="G2363" s="86"/>
      <c r="H2363" s="86">
        <f>IFERROR(TRANSACTIONS!$F2363+TRANSACTIONS!$G2363,"")</f>
        <v>3000</v>
      </c>
      <c r="I2363" s="87" t="s">
        <v>41</v>
      </c>
      <c r="J2363" s="88"/>
    </row>
    <row r="2364" spans="1:10" x14ac:dyDescent="0.25">
      <c r="A2364" s="41">
        <v>45352.821396990737</v>
      </c>
      <c r="B2364" s="48">
        <f>IF(A2364&lt;&gt;"",DATE(YEAR(TRANSACTIONS!$A2364),MONTH(TRANSACTIONS!$A2364),DAY(TRANSACTIONS!$A2364)),"")</f>
        <v>45352</v>
      </c>
      <c r="C2364" s="49">
        <f>IF(A2364&lt;&gt;"",TIME(HOUR(TRANSACTIONS!$A2364),MINUTE(TRANSACTIONS!$A2364),SECOND(TRANSACTIONS!$A2364)),"")</f>
        <v>0.82140046296296287</v>
      </c>
      <c r="D2364" s="82" t="s">
        <v>62</v>
      </c>
      <c r="E2364" s="82" t="s">
        <v>6</v>
      </c>
      <c r="F2364" s="94">
        <v>50000</v>
      </c>
      <c r="G2364" s="86"/>
      <c r="H2364" s="86">
        <f>IFERROR(TRANSACTIONS!$F2364+TRANSACTIONS!$G2364,"")</f>
        <v>50000</v>
      </c>
      <c r="I2364" s="87" t="s">
        <v>41</v>
      </c>
      <c r="J2364" s="88"/>
    </row>
    <row r="2365" spans="1:10" x14ac:dyDescent="0.25">
      <c r="A2365" s="41">
        <v>45352.821405671297</v>
      </c>
      <c r="B2365" s="48">
        <f>IF(A2365&lt;&gt;"",DATE(YEAR(TRANSACTIONS!$A2365),MONTH(TRANSACTIONS!$A2365),DAY(TRANSACTIONS!$A2365)),"")</f>
        <v>45352</v>
      </c>
      <c r="C2365" s="49">
        <f>IF(A2365&lt;&gt;"",TIME(HOUR(TRANSACTIONS!$A2365),MINUTE(TRANSACTIONS!$A2365),SECOND(TRANSACTIONS!$A2365)),"")</f>
        <v>0.82140046296296287</v>
      </c>
      <c r="D2365" s="82" t="s">
        <v>62</v>
      </c>
      <c r="E2365" s="82" t="s">
        <v>7</v>
      </c>
      <c r="F2365" s="94">
        <v>3000</v>
      </c>
      <c r="G2365" s="46"/>
      <c r="H2365" s="46">
        <f>IFERROR(TRANSACTIONS!$F2365+TRANSACTIONS!$G2365,"")</f>
        <v>3000</v>
      </c>
      <c r="I2365" s="57" t="s">
        <v>41</v>
      </c>
    </row>
    <row r="2366" spans="1:10" x14ac:dyDescent="0.25">
      <c r="A2366" s="113">
        <v>45352.821414583334</v>
      </c>
      <c r="B2366" s="114">
        <f>IF(A2366&lt;&gt;"",DATE(YEAR(TRANSACTIONS!$A2366),MONTH(TRANSACTIONS!$A2366),DAY(TRANSACTIONS!$A2366)),"")</f>
        <v>45352</v>
      </c>
      <c r="C2366" s="115">
        <f>IF(A2366&lt;&gt;"",TIME(HOUR(TRANSACTIONS!$A2366),MINUTE(TRANSACTIONS!$A2366),SECOND(TRANSACTIONS!$A2366)),"")</f>
        <v>0.82141203703703702</v>
      </c>
      <c r="D2366" s="116" t="s">
        <v>62</v>
      </c>
      <c r="E2366" s="116" t="s">
        <v>7</v>
      </c>
      <c r="F2366" s="185">
        <v>2000</v>
      </c>
      <c r="G2366" s="117"/>
      <c r="H2366" s="117">
        <f>IFERROR(TRANSACTIONS!$F2366+TRANSACTIONS!$G2366,"")</f>
        <v>2000</v>
      </c>
      <c r="I2366" s="123" t="s">
        <v>41</v>
      </c>
      <c r="J2366" s="118"/>
    </row>
    <row r="2367" spans="1:10" x14ac:dyDescent="0.25">
      <c r="A2367" s="41">
        <v>45352.821423032408</v>
      </c>
      <c r="B2367" s="48">
        <f>IF(A2367&lt;&gt;"",DATE(YEAR(TRANSACTIONS!$A2367),MONTH(TRANSACTIONS!$A2367),DAY(TRANSACTIONS!$A2367)),"")</f>
        <v>45352</v>
      </c>
      <c r="C2367" s="49">
        <f>IF(A2367&lt;&gt;"",TIME(HOUR(TRANSACTIONS!$A2367),MINUTE(TRANSACTIONS!$A2367),SECOND(TRANSACTIONS!$A2367)),"")</f>
        <v>0.82142361111111117</v>
      </c>
      <c r="D2367" s="82" t="s">
        <v>62</v>
      </c>
      <c r="E2367" s="82" t="s">
        <v>7</v>
      </c>
      <c r="F2367" s="94">
        <v>50000</v>
      </c>
      <c r="G2367" s="46"/>
      <c r="H2367" s="46">
        <f>IFERROR(TRANSACTIONS!$F2367+TRANSACTIONS!$G2367,"")</f>
        <v>50000</v>
      </c>
      <c r="I2367" s="57" t="s">
        <v>41</v>
      </c>
    </row>
    <row r="2368" spans="1:10" x14ac:dyDescent="0.25">
      <c r="A2368" s="41">
        <v>45352.821505208332</v>
      </c>
      <c r="B2368" s="48">
        <f>IF(A2368&lt;&gt;"",DATE(YEAR(TRANSACTIONS!$A2368),MONTH(TRANSACTIONS!$A2368),DAY(TRANSACTIONS!$A2368)),"")</f>
        <v>45352</v>
      </c>
      <c r="C2368" s="49">
        <f>IF(A2368&lt;&gt;"",TIME(HOUR(TRANSACTIONS!$A2368),MINUTE(TRANSACTIONS!$A2368),SECOND(TRANSACTIONS!$A2368)),"")</f>
        <v>0.82150462962962967</v>
      </c>
      <c r="D2368" s="82" t="s">
        <v>62</v>
      </c>
      <c r="E2368" s="82" t="s">
        <v>6</v>
      </c>
      <c r="F2368" s="94">
        <v>10000</v>
      </c>
      <c r="G2368" s="46"/>
      <c r="H2368" s="46">
        <f>IFERROR(TRANSACTIONS!$F2368+TRANSACTIONS!$G2368,"")</f>
        <v>10000</v>
      </c>
      <c r="I2368" s="57" t="s">
        <v>41</v>
      </c>
    </row>
    <row r="2369" spans="1:10" x14ac:dyDescent="0.25">
      <c r="A2369" s="41">
        <v>45352.821432523146</v>
      </c>
      <c r="B2369" s="48">
        <f>IF(A2369&lt;&gt;"",DATE(YEAR(TRANSACTIONS!$A2369),MONTH(TRANSACTIONS!$A2369),DAY(TRANSACTIONS!$A2369)),"")</f>
        <v>45352</v>
      </c>
      <c r="C2369" s="49">
        <f>IF(A2369&lt;&gt;"",TIME(HOUR(TRANSACTIONS!$A2369),MINUTE(TRANSACTIONS!$A2369),SECOND(TRANSACTIONS!$A2369)),"")</f>
        <v>0.82143518518518521</v>
      </c>
      <c r="D2369" s="82" t="s">
        <v>62</v>
      </c>
      <c r="E2369" s="82" t="s">
        <v>7</v>
      </c>
      <c r="F2369" s="94">
        <v>20000</v>
      </c>
      <c r="G2369" s="46"/>
      <c r="H2369" s="46">
        <f>IFERROR(TRANSACTIONS!$F2369+TRANSACTIONS!$G2369,"")</f>
        <v>20000</v>
      </c>
      <c r="I2369" s="57" t="s">
        <v>41</v>
      </c>
    </row>
    <row r="2370" spans="1:10" x14ac:dyDescent="0.25">
      <c r="A2370" s="41">
        <v>45352.821450000003</v>
      </c>
      <c r="B2370" s="48">
        <f>IF(A2370&lt;&gt;"",DATE(YEAR(TRANSACTIONS!$A2370),MONTH(TRANSACTIONS!$A2370),DAY(TRANSACTIONS!$A2370)),"")</f>
        <v>45352</v>
      </c>
      <c r="C2370" s="49">
        <f>IF(A2370&lt;&gt;"",TIME(HOUR(TRANSACTIONS!$A2370),MINUTE(TRANSACTIONS!$A2370),SECOND(TRANSACTIONS!$A2370)),"")</f>
        <v>0.82144675925925925</v>
      </c>
      <c r="D2370" s="82" t="s">
        <v>62</v>
      </c>
      <c r="E2370" s="82" t="s">
        <v>7</v>
      </c>
      <c r="F2370" s="94">
        <v>1000</v>
      </c>
      <c r="G2370" s="46"/>
      <c r="H2370" s="46">
        <f>IFERROR(TRANSACTIONS!$F2370+TRANSACTIONS!$G2370,"")</f>
        <v>1000</v>
      </c>
      <c r="I2370" s="57" t="s">
        <v>41</v>
      </c>
    </row>
    <row r="2371" spans="1:10" x14ac:dyDescent="0.25">
      <c r="A2371" s="113">
        <v>45352.821458680555</v>
      </c>
      <c r="B2371" s="114">
        <f>IF(A2371&lt;&gt;"",DATE(YEAR(TRANSACTIONS!$A2371),MONTH(TRANSACTIONS!$A2371),DAY(TRANSACTIONS!$A2371)),"")</f>
        <v>45352</v>
      </c>
      <c r="C2371" s="115">
        <f>IF(A2371&lt;&gt;"",TIME(HOUR(TRANSACTIONS!$A2371),MINUTE(TRANSACTIONS!$A2371),SECOND(TRANSACTIONS!$A2371)),"")</f>
        <v>0.82145833333333329</v>
      </c>
      <c r="D2371" s="82" t="s">
        <v>62</v>
      </c>
      <c r="E2371" s="82" t="s">
        <v>7</v>
      </c>
      <c r="F2371" s="94">
        <v>200000</v>
      </c>
      <c r="G2371" s="117"/>
      <c r="H2371" s="117">
        <f>IFERROR(TRANSACTIONS!$F2371+TRANSACTIONS!$G2371,"")</f>
        <v>200000</v>
      </c>
      <c r="I2371" s="123" t="s">
        <v>41</v>
      </c>
      <c r="J2371" s="118"/>
    </row>
    <row r="2372" spans="1:10" x14ac:dyDescent="0.25">
      <c r="A2372" s="41">
        <v>45352.821471643518</v>
      </c>
      <c r="B2372" s="48">
        <f>IF(A2372&lt;&gt;"",DATE(YEAR(TRANSACTIONS!$A2372),MONTH(TRANSACTIONS!$A2372),DAY(TRANSACTIONS!$A2372)),"")</f>
        <v>45352</v>
      </c>
      <c r="C2372" s="49">
        <f>IF(A2372&lt;&gt;"",TIME(HOUR(TRANSACTIONS!$A2372),MINUTE(TRANSACTIONS!$A2372),SECOND(TRANSACTIONS!$A2372)),"")</f>
        <v>0.82146990740740744</v>
      </c>
      <c r="D2372" s="82" t="s">
        <v>62</v>
      </c>
      <c r="E2372" s="82" t="s">
        <v>6</v>
      </c>
      <c r="F2372" s="94">
        <v>3500</v>
      </c>
      <c r="G2372" s="46"/>
      <c r="H2372" s="46">
        <f>IFERROR(TRANSACTIONS!$F2372+TRANSACTIONS!$G2372,"")</f>
        <v>3500</v>
      </c>
      <c r="I2372" s="57" t="s">
        <v>41</v>
      </c>
    </row>
    <row r="2373" spans="1:10" x14ac:dyDescent="0.25">
      <c r="A2373" s="41">
        <v>45352.821488888891</v>
      </c>
      <c r="B2373" s="48">
        <f>IF(A2373&lt;&gt;"",DATE(YEAR(TRANSACTIONS!$A2373),MONTH(TRANSACTIONS!$A2373),DAY(TRANSACTIONS!$A2373)),"")</f>
        <v>45352</v>
      </c>
      <c r="C2373" s="49">
        <f>IF(A2373&lt;&gt;"",TIME(HOUR(TRANSACTIONS!$A2373),MINUTE(TRANSACTIONS!$A2373),SECOND(TRANSACTIONS!$A2373)),"")</f>
        <v>0.82149305555555552</v>
      </c>
      <c r="D2373" s="82" t="s">
        <v>62</v>
      </c>
      <c r="E2373" s="82" t="s">
        <v>7</v>
      </c>
      <c r="F2373" s="94">
        <v>7000</v>
      </c>
      <c r="G2373" s="46"/>
      <c r="H2373" s="46">
        <f>IFERROR(TRANSACTIONS!$F2373+TRANSACTIONS!$G2373,"")</f>
        <v>7000</v>
      </c>
      <c r="I2373" s="57" t="s">
        <v>41</v>
      </c>
    </row>
    <row r="2374" spans="1:10" x14ac:dyDescent="0.25">
      <c r="A2374" s="41">
        <v>45352.821497222219</v>
      </c>
      <c r="B2374" s="48">
        <f>IF(A2374&lt;&gt;"",DATE(YEAR(TRANSACTIONS!$A2374),MONTH(TRANSACTIONS!$A2374),DAY(TRANSACTIONS!$A2374)),"")</f>
        <v>45352</v>
      </c>
      <c r="C2374" s="49">
        <f>IF(A2374&lt;&gt;"",TIME(HOUR(TRANSACTIONS!$A2374),MINUTE(TRANSACTIONS!$A2374),SECOND(TRANSACTIONS!$A2374)),"")</f>
        <v>0.82149305555555552</v>
      </c>
      <c r="D2374" s="82" t="s">
        <v>62</v>
      </c>
      <c r="E2374" s="82" t="s">
        <v>7</v>
      </c>
      <c r="F2374" s="94">
        <v>2000</v>
      </c>
      <c r="G2374" s="46"/>
      <c r="H2374" s="46">
        <f>IFERROR(TRANSACTIONS!$F2374+TRANSACTIONS!$G2374,"")</f>
        <v>2000</v>
      </c>
      <c r="I2374" s="57" t="s">
        <v>41</v>
      </c>
    </row>
    <row r="2375" spans="1:10" x14ac:dyDescent="0.25">
      <c r="A2375" s="41">
        <v>45352.821518518518</v>
      </c>
      <c r="B2375" s="48">
        <f>IF(A2375&lt;&gt;"",DATE(YEAR(TRANSACTIONS!$A2375),MONTH(TRANSACTIONS!$A2375),DAY(TRANSACTIONS!$A2375)),"")</f>
        <v>45352</v>
      </c>
      <c r="C2375" s="49">
        <f>IF(A2375&lt;&gt;"",TIME(HOUR(TRANSACTIONS!$A2375),MINUTE(TRANSACTIONS!$A2375),SECOND(TRANSACTIONS!$A2375)),"")</f>
        <v>0.82151620370370371</v>
      </c>
      <c r="D2375" s="82" t="s">
        <v>62</v>
      </c>
      <c r="E2375" s="82" t="s">
        <v>7</v>
      </c>
      <c r="F2375" s="94">
        <v>5000</v>
      </c>
      <c r="G2375" s="46"/>
      <c r="H2375" s="46">
        <f>IFERROR(TRANSACTIONS!$F2375+TRANSACTIONS!$G2375,"")</f>
        <v>5000</v>
      </c>
      <c r="I2375" s="57" t="s">
        <v>41</v>
      </c>
    </row>
    <row r="2376" spans="1:10" x14ac:dyDescent="0.25">
      <c r="A2376" s="41">
        <v>45352.821552083333</v>
      </c>
      <c r="B2376" s="48">
        <f>IF(A2376&lt;&gt;"",DATE(YEAR(TRANSACTIONS!$A2376),MONTH(TRANSACTIONS!$A2376),DAY(TRANSACTIONS!$A2376)),"")</f>
        <v>45352</v>
      </c>
      <c r="C2376" s="49">
        <f>IF(A2376&lt;&gt;"",TIME(HOUR(TRANSACTIONS!$A2376),MINUTE(TRANSACTIONS!$A2376),SECOND(TRANSACTIONS!$A2376)),"")</f>
        <v>0.82155092592592593</v>
      </c>
      <c r="D2376" s="82" t="s">
        <v>62</v>
      </c>
      <c r="E2376" s="82" t="s">
        <v>6</v>
      </c>
      <c r="F2376" s="94">
        <v>30000</v>
      </c>
      <c r="G2376" s="46"/>
      <c r="H2376" s="46">
        <f>IFERROR(TRANSACTIONS!$F2376+TRANSACTIONS!$G2376,"")</f>
        <v>30000</v>
      </c>
      <c r="I2376" s="57" t="s">
        <v>41</v>
      </c>
    </row>
    <row r="2377" spans="1:10" x14ac:dyDescent="0.25">
      <c r="A2377" s="41">
        <v>45352.821563425925</v>
      </c>
      <c r="B2377" s="48">
        <f>IF(A2377&lt;&gt;"",DATE(YEAR(TRANSACTIONS!$A2377),MONTH(TRANSACTIONS!$A2377),DAY(TRANSACTIONS!$A2377)),"")</f>
        <v>45352</v>
      </c>
      <c r="C2377" s="49">
        <f>IF(A2377&lt;&gt;"",TIME(HOUR(TRANSACTIONS!$A2377),MINUTE(TRANSACTIONS!$A2377),SECOND(TRANSACTIONS!$A2377)),"")</f>
        <v>0.82156250000000008</v>
      </c>
      <c r="D2377" s="82" t="s">
        <v>62</v>
      </c>
      <c r="E2377" s="82" t="s">
        <v>7</v>
      </c>
      <c r="F2377" s="94">
        <v>45000</v>
      </c>
      <c r="G2377" s="46"/>
      <c r="H2377" s="46">
        <f>IFERROR(TRANSACTIONS!$F2377+TRANSACTIONS!$G2377,"")</f>
        <v>45000</v>
      </c>
      <c r="I2377" s="57" t="s">
        <v>41</v>
      </c>
    </row>
    <row r="2378" spans="1:10" x14ac:dyDescent="0.25">
      <c r="A2378" s="41">
        <v>45352.821572337962</v>
      </c>
      <c r="B2378" s="48">
        <f>IF(A2378&lt;&gt;"",DATE(YEAR(TRANSACTIONS!$A2378),MONTH(TRANSACTIONS!$A2378),DAY(TRANSACTIONS!$A2378)),"")</f>
        <v>45352</v>
      </c>
      <c r="C2378" s="49">
        <f>IF(A2378&lt;&gt;"",TIME(HOUR(TRANSACTIONS!$A2378),MINUTE(TRANSACTIONS!$A2378),SECOND(TRANSACTIONS!$A2378)),"")</f>
        <v>0.82157407407407401</v>
      </c>
      <c r="D2378" s="82" t="s">
        <v>62</v>
      </c>
      <c r="E2378" s="82" t="s">
        <v>7</v>
      </c>
      <c r="F2378" s="94">
        <v>10500</v>
      </c>
      <c r="G2378" s="46"/>
      <c r="H2378" s="46">
        <f>IFERROR(TRANSACTIONS!$F2378+TRANSACTIONS!$G2378,"")</f>
        <v>10500</v>
      </c>
      <c r="I2378" s="57" t="s">
        <v>41</v>
      </c>
    </row>
    <row r="2379" spans="1:10" x14ac:dyDescent="0.25">
      <c r="A2379" s="90">
        <v>45352.821583333331</v>
      </c>
      <c r="B2379" s="91">
        <f>IF(A2379&lt;&gt;"",DATE(YEAR(TRANSACTIONS!$A2379),MONTH(TRANSACTIONS!$A2379),DAY(TRANSACTIONS!$A2379)),"")</f>
        <v>45352</v>
      </c>
      <c r="C2379" s="92">
        <f>IF(A2379&lt;&gt;"",TIME(HOUR(TRANSACTIONS!$A2379),MINUTE(TRANSACTIONS!$A2379),SECOND(TRANSACTIONS!$A2379)),"")</f>
        <v>0.82158564814814816</v>
      </c>
      <c r="D2379" s="93" t="s">
        <v>62</v>
      </c>
      <c r="E2379" s="93" t="s">
        <v>6</v>
      </c>
      <c r="F2379" s="94">
        <v>3000</v>
      </c>
      <c r="G2379" s="95"/>
      <c r="H2379" s="95">
        <f>IFERROR(TRANSACTIONS!$F2379+TRANSACTIONS!$G2379,"")</f>
        <v>3000</v>
      </c>
      <c r="I2379" s="96" t="s">
        <v>41</v>
      </c>
    </row>
    <row r="2380" spans="1:10" x14ac:dyDescent="0.25">
      <c r="A2380" s="113">
        <v>45352.821592476852</v>
      </c>
      <c r="B2380" s="114">
        <f>IF(A2380&lt;&gt;"",DATE(YEAR(TRANSACTIONS!$A2380),MONTH(TRANSACTIONS!$A2380),DAY(TRANSACTIONS!$A2380)),"")</f>
        <v>45352</v>
      </c>
      <c r="C2380" s="115">
        <f>IF(A2380&lt;&gt;"",TIME(HOUR(TRANSACTIONS!$A2380),MINUTE(TRANSACTIONS!$A2380),SECOND(TRANSACTIONS!$A2380)),"")</f>
        <v>0.8215972222222222</v>
      </c>
      <c r="D2380" s="82" t="s">
        <v>62</v>
      </c>
      <c r="E2380" s="82" t="s">
        <v>7</v>
      </c>
      <c r="F2380" s="94">
        <v>1000</v>
      </c>
      <c r="G2380" s="117"/>
      <c r="H2380" s="117">
        <f>IFERROR(TRANSACTIONS!$F2380+TRANSACTIONS!$G2380,"")</f>
        <v>1000</v>
      </c>
      <c r="I2380" s="123" t="s">
        <v>41</v>
      </c>
    </row>
    <row r="2381" spans="1:10" x14ac:dyDescent="0.25">
      <c r="A2381" s="41">
        <v>45352.821601157404</v>
      </c>
      <c r="B2381" s="48">
        <f>IF(A2381&lt;&gt;"",DATE(YEAR(TRANSACTIONS!$A2381),MONTH(TRANSACTIONS!$A2381),DAY(TRANSACTIONS!$A2381)),"")</f>
        <v>45352</v>
      </c>
      <c r="C2381" s="49">
        <f>IF(A2381&lt;&gt;"",TIME(HOUR(TRANSACTIONS!$A2381),MINUTE(TRANSACTIONS!$A2381),SECOND(TRANSACTIONS!$A2381)),"")</f>
        <v>0.8215972222222222</v>
      </c>
      <c r="D2381" s="82" t="s">
        <v>62</v>
      </c>
      <c r="E2381" s="82" t="s">
        <v>6</v>
      </c>
      <c r="F2381" s="94">
        <v>22000</v>
      </c>
      <c r="G2381" s="46"/>
      <c r="H2381" s="46">
        <f>IFERROR(TRANSACTIONS!$F2381+TRANSACTIONS!$G2381,"")</f>
        <v>22000</v>
      </c>
      <c r="I2381" s="57" t="s">
        <v>41</v>
      </c>
    </row>
    <row r="2382" spans="1:10" x14ac:dyDescent="0.25">
      <c r="A2382" s="41">
        <v>45352.821609027778</v>
      </c>
      <c r="B2382" s="48">
        <f>IF(A2382&lt;&gt;"",DATE(YEAR(TRANSACTIONS!$A2382),MONTH(TRANSACTIONS!$A2382),DAY(TRANSACTIONS!$A2382)),"")</f>
        <v>45352</v>
      </c>
      <c r="C2382" s="49">
        <f>IF(A2382&lt;&gt;"",TIME(HOUR(TRANSACTIONS!$A2382),MINUTE(TRANSACTIONS!$A2382),SECOND(TRANSACTIONS!$A2382)),"")</f>
        <v>0.82160879629629635</v>
      </c>
      <c r="D2382" s="82" t="s">
        <v>62</v>
      </c>
      <c r="E2382" s="82" t="s">
        <v>7</v>
      </c>
      <c r="F2382" s="94">
        <v>20000</v>
      </c>
      <c r="G2382" s="46"/>
      <c r="H2382" s="46">
        <f>IFERROR(TRANSACTIONS!$F2382+TRANSACTIONS!$G2382,"")</f>
        <v>20000</v>
      </c>
      <c r="I2382" s="57" t="s">
        <v>41</v>
      </c>
    </row>
    <row r="2383" spans="1:10" x14ac:dyDescent="0.25">
      <c r="A2383" s="41">
        <v>45352.82161712963</v>
      </c>
      <c r="B2383" s="48">
        <f>IF(A2383&lt;&gt;"",DATE(YEAR(TRANSACTIONS!$A2383),MONTH(TRANSACTIONS!$A2383),DAY(TRANSACTIONS!$A2383)),"")</f>
        <v>45352</v>
      </c>
      <c r="C2383" s="49">
        <f>IF(A2383&lt;&gt;"",TIME(HOUR(TRANSACTIONS!$A2383),MINUTE(TRANSACTIONS!$A2383),SECOND(TRANSACTIONS!$A2383)),"")</f>
        <v>0.82162037037037028</v>
      </c>
      <c r="D2383" s="82" t="s">
        <v>62</v>
      </c>
      <c r="E2383" s="82" t="s">
        <v>6</v>
      </c>
      <c r="F2383" s="94">
        <v>35350</v>
      </c>
      <c r="G2383" s="46"/>
      <c r="H2383" s="46">
        <f>IFERROR(TRANSACTIONS!$F2383+TRANSACTIONS!$G2383,"")</f>
        <v>35350</v>
      </c>
      <c r="I2383" s="57" t="s">
        <v>41</v>
      </c>
    </row>
    <row r="2384" spans="1:10" x14ac:dyDescent="0.25">
      <c r="A2384" s="41">
        <v>45352.821625115743</v>
      </c>
      <c r="B2384" s="48">
        <f>IF(A2384&lt;&gt;"",DATE(YEAR(TRANSACTIONS!$A2384),MONTH(TRANSACTIONS!$A2384),DAY(TRANSACTIONS!$A2384)),"")</f>
        <v>45352</v>
      </c>
      <c r="C2384" s="49">
        <f>IF(A2384&lt;&gt;"",TIME(HOUR(TRANSACTIONS!$A2384),MINUTE(TRANSACTIONS!$A2384),SECOND(TRANSACTIONS!$A2384)),"")</f>
        <v>0.82162037037037028</v>
      </c>
      <c r="D2384" s="82" t="s">
        <v>62</v>
      </c>
      <c r="E2384" s="82" t="s">
        <v>7</v>
      </c>
      <c r="F2384" s="94">
        <v>2000</v>
      </c>
      <c r="G2384" s="46"/>
      <c r="H2384" s="46">
        <f>IFERROR(TRANSACTIONS!$F2384+TRANSACTIONS!$G2384,"")</f>
        <v>2000</v>
      </c>
      <c r="I2384" s="57" t="s">
        <v>41</v>
      </c>
    </row>
    <row r="2385" spans="1:9" x14ac:dyDescent="0.25">
      <c r="A2385" s="41">
        <v>45352.82163298611</v>
      </c>
      <c r="B2385" s="48">
        <f>IF(A2385&lt;&gt;"",DATE(YEAR(TRANSACTIONS!$A2385),MONTH(TRANSACTIONS!$A2385),DAY(TRANSACTIONS!$A2385)),"")</f>
        <v>45352</v>
      </c>
      <c r="C2385" s="49">
        <f>IF(A2385&lt;&gt;"",TIME(HOUR(TRANSACTIONS!$A2385),MINUTE(TRANSACTIONS!$A2385),SECOND(TRANSACTIONS!$A2385)),"")</f>
        <v>0.82163194444444443</v>
      </c>
      <c r="D2385" s="82" t="s">
        <v>62</v>
      </c>
      <c r="E2385" s="82" t="s">
        <v>7</v>
      </c>
      <c r="F2385" s="94">
        <v>212500</v>
      </c>
      <c r="G2385" s="46"/>
      <c r="H2385" s="46">
        <f>IFERROR(TRANSACTIONS!$F2385+TRANSACTIONS!$G2385,"")</f>
        <v>212500</v>
      </c>
      <c r="I2385" s="57" t="s">
        <v>41</v>
      </c>
    </row>
    <row r="2386" spans="1:9" x14ac:dyDescent="0.25">
      <c r="A2386" s="41">
        <v>45352.821640856484</v>
      </c>
      <c r="B2386" s="48">
        <f>IF(A2386&lt;&gt;"",DATE(YEAR(TRANSACTIONS!$A2386),MONTH(TRANSACTIONS!$A2386),DAY(TRANSACTIONS!$A2386)),"")</f>
        <v>45352</v>
      </c>
      <c r="C2386" s="49">
        <f>IF(A2386&lt;&gt;"",TIME(HOUR(TRANSACTIONS!$A2386),MINUTE(TRANSACTIONS!$A2386),SECOND(TRANSACTIONS!$A2386)),"")</f>
        <v>0.82164351851851858</v>
      </c>
      <c r="D2386" s="82" t="s">
        <v>62</v>
      </c>
      <c r="E2386" s="82" t="s">
        <v>6</v>
      </c>
      <c r="F2386" s="94">
        <v>1000</v>
      </c>
      <c r="G2386" s="46"/>
      <c r="H2386" s="46">
        <f>IFERROR(TRANSACTIONS!$F2386+TRANSACTIONS!$G2386,"")</f>
        <v>1000</v>
      </c>
      <c r="I2386" s="57" t="s">
        <v>41</v>
      </c>
    </row>
    <row r="2387" spans="1:9" x14ac:dyDescent="0.25">
      <c r="A2387" s="81">
        <v>45352.821666898148</v>
      </c>
      <c r="B2387" s="83">
        <f>IF(A2387&lt;&gt;"",DATE(YEAR(TRANSACTIONS!$A2387),MONTH(TRANSACTIONS!$A2387),DAY(TRANSACTIONS!$A2387)),"")</f>
        <v>45352</v>
      </c>
      <c r="C2387" s="84">
        <f>IF(A2387&lt;&gt;"",TIME(HOUR(TRANSACTIONS!$A2387),MINUTE(TRANSACTIONS!$A2387),SECOND(TRANSACTIONS!$A2387)),"")</f>
        <v>0.82166666666666666</v>
      </c>
      <c r="D2387" s="82" t="s">
        <v>62</v>
      </c>
      <c r="E2387" s="82" t="s">
        <v>7</v>
      </c>
      <c r="F2387" s="94">
        <v>1000</v>
      </c>
      <c r="G2387" s="46"/>
      <c r="H2387" s="46">
        <f>IFERROR(TRANSACTIONS!$F2387+TRANSACTIONS!$G2387,"")</f>
        <v>1000</v>
      </c>
      <c r="I2387" s="57" t="s">
        <v>41</v>
      </c>
    </row>
    <row r="2388" spans="1:9" x14ac:dyDescent="0.25">
      <c r="A2388" s="41">
        <v>45352.821683912036</v>
      </c>
      <c r="B2388" s="48">
        <f>IF(A2388&lt;&gt;"",DATE(YEAR(TRANSACTIONS!$A2388),MONTH(TRANSACTIONS!$A2388),DAY(TRANSACTIONS!$A2388)),"")</f>
        <v>45352</v>
      </c>
      <c r="C2388" s="49">
        <f>IF(A2388&lt;&gt;"",TIME(HOUR(TRANSACTIONS!$A2388),MINUTE(TRANSACTIONS!$A2388),SECOND(TRANSACTIONS!$A2388)),"")</f>
        <v>0.8216782407407407</v>
      </c>
      <c r="D2388" s="82" t="s">
        <v>62</v>
      </c>
      <c r="E2388" s="82" t="s">
        <v>6</v>
      </c>
      <c r="F2388" s="94">
        <v>7000</v>
      </c>
      <c r="G2388" s="46"/>
      <c r="H2388" s="46">
        <f>IFERROR(TRANSACTIONS!$F2388+TRANSACTIONS!$G2388,"")</f>
        <v>7000</v>
      </c>
      <c r="I2388" s="57" t="s">
        <v>41</v>
      </c>
    </row>
    <row r="2389" spans="1:9" x14ac:dyDescent="0.25">
      <c r="A2389" s="41">
        <v>45352.821691435187</v>
      </c>
      <c r="B2389" s="48">
        <f>IF(A2389&lt;&gt;"",DATE(YEAR(TRANSACTIONS!$A2389),MONTH(TRANSACTIONS!$A2389),DAY(TRANSACTIONS!$A2389)),"")</f>
        <v>45352</v>
      </c>
      <c r="C2389" s="49">
        <f>IF(A2389&lt;&gt;"",TIME(HOUR(TRANSACTIONS!$A2389),MINUTE(TRANSACTIONS!$A2389),SECOND(TRANSACTIONS!$A2389)),"")</f>
        <v>0.82168981481481485</v>
      </c>
      <c r="D2389" s="82" t="s">
        <v>62</v>
      </c>
      <c r="E2389" s="82" t="s">
        <v>7</v>
      </c>
      <c r="F2389" s="94">
        <v>5000</v>
      </c>
      <c r="G2389" s="46"/>
      <c r="H2389" s="46">
        <f>IFERROR(TRANSACTIONS!$F2389+TRANSACTIONS!$G2389,"")</f>
        <v>5000</v>
      </c>
      <c r="I2389" s="57" t="s">
        <v>41</v>
      </c>
    </row>
    <row r="2390" spans="1:9" x14ac:dyDescent="0.25">
      <c r="A2390" s="41">
        <v>45352.821704398149</v>
      </c>
      <c r="B2390" s="48">
        <f>IF(A2390&lt;&gt;"",DATE(YEAR(TRANSACTIONS!$A2390),MONTH(TRANSACTIONS!$A2390),DAY(TRANSACTIONS!$A2390)),"")</f>
        <v>45352</v>
      </c>
      <c r="C2390" s="49">
        <f>IF(A2390&lt;&gt;"",TIME(HOUR(TRANSACTIONS!$A2390),MINUTE(TRANSACTIONS!$A2390),SECOND(TRANSACTIONS!$A2390)),"")</f>
        <v>0.82170138888888899</v>
      </c>
      <c r="D2390" s="82" t="s">
        <v>62</v>
      </c>
      <c r="E2390" s="82" t="s">
        <v>6</v>
      </c>
      <c r="F2390" s="94">
        <v>90000</v>
      </c>
      <c r="G2390" s="46"/>
      <c r="H2390" s="46">
        <f>IFERROR(TRANSACTIONS!$F2390+TRANSACTIONS!$G2390,"")</f>
        <v>90000</v>
      </c>
      <c r="I2390" s="57" t="s">
        <v>41</v>
      </c>
    </row>
    <row r="2391" spans="1:9" x14ac:dyDescent="0.25">
      <c r="A2391" s="105">
        <v>45352.821717592589</v>
      </c>
      <c r="B2391" s="106">
        <f>IF(A2391&lt;&gt;"",DATE(YEAR(TRANSACTIONS!$A2391),MONTH(TRANSACTIONS!$A2391),DAY(TRANSACTIONS!$A2391)),"")</f>
        <v>45352</v>
      </c>
      <c r="C2391" s="107">
        <f>IF(A2391&lt;&gt;"",TIME(HOUR(TRANSACTIONS!$A2391),MINUTE(TRANSACTIONS!$A2391),SECOND(TRANSACTIONS!$A2391)),"")</f>
        <v>0.82171296296296292</v>
      </c>
      <c r="D2391" s="93" t="s">
        <v>62</v>
      </c>
      <c r="E2391" s="93" t="s">
        <v>7</v>
      </c>
      <c r="F2391" s="94">
        <v>50000</v>
      </c>
      <c r="G2391" s="108"/>
      <c r="H2391" s="108">
        <f>IFERROR(TRANSACTIONS!$F2391+TRANSACTIONS!$G2391,"")</f>
        <v>50000</v>
      </c>
      <c r="I2391" s="135" t="s">
        <v>41</v>
      </c>
    </row>
    <row r="2392" spans="1:9" x14ac:dyDescent="0.25">
      <c r="A2392" s="41"/>
      <c r="B2392" s="48" t="str">
        <f>IF(A2392&lt;&gt;"",DATE(YEAR(TRANSACTIONS!$A2392),MONTH(TRANSACTIONS!$A2392),DAY(TRANSACTIONS!$A2392)),"")</f>
        <v/>
      </c>
      <c r="C2392" s="49" t="str">
        <f>IF(A2392&lt;&gt;"",TIME(HOUR(TRANSACTIONS!$A2392),MINUTE(TRANSACTIONS!$A2392),SECOND(TRANSACTIONS!$A2392)),"")</f>
        <v/>
      </c>
      <c r="D2392" s="82"/>
      <c r="E2392" s="82"/>
      <c r="F2392" s="94"/>
      <c r="G2392" s="46"/>
      <c r="H2392" s="46">
        <f>IFERROR(TRANSACTIONS!$F2392+TRANSACTIONS!$G2392,"")</f>
        <v>0</v>
      </c>
      <c r="I2392" s="57" t="s">
        <v>41</v>
      </c>
    </row>
    <row r="2393" spans="1:9" x14ac:dyDescent="0.25">
      <c r="A2393" s="41">
        <v>45353.421768865737</v>
      </c>
      <c r="B2393" s="48">
        <f>IF(A2393&lt;&gt;"",DATE(YEAR(TRANSACTIONS!$A2393),MONTH(TRANSACTIONS!$A2393),DAY(TRANSACTIONS!$A2393)),"")</f>
        <v>45353</v>
      </c>
      <c r="C2393" s="49">
        <f>IF(A2393&lt;&gt;"",TIME(HOUR(TRANSACTIONS!$A2393),MINUTE(TRANSACTIONS!$A2393),SECOND(TRANSACTIONS!$A2393)),"")</f>
        <v>0.42177083333333337</v>
      </c>
      <c r="D2393" s="82" t="s">
        <v>62</v>
      </c>
      <c r="E2393" s="82" t="s">
        <v>7</v>
      </c>
      <c r="F2393" s="94">
        <v>30000</v>
      </c>
      <c r="G2393" s="46"/>
      <c r="H2393" s="46">
        <f>IFERROR(TRANSACTIONS!$F2393+TRANSACTIONS!$G2393,"")</f>
        <v>30000</v>
      </c>
      <c r="I2393" s="57" t="s">
        <v>41</v>
      </c>
    </row>
    <row r="2394" spans="1:9" x14ac:dyDescent="0.25">
      <c r="A2394" s="41">
        <v>45353.426151736108</v>
      </c>
      <c r="B2394" s="48">
        <f>IF(A2394&lt;&gt;"",DATE(YEAR(TRANSACTIONS!$A2394),MONTH(TRANSACTIONS!$A2394),DAY(TRANSACTIONS!$A2394)),"")</f>
        <v>45353</v>
      </c>
      <c r="C2394" s="49">
        <f>IF(A2394&lt;&gt;"",TIME(HOUR(TRANSACTIONS!$A2394),MINUTE(TRANSACTIONS!$A2394),SECOND(TRANSACTIONS!$A2394)),"")</f>
        <v>0.42615740740740743</v>
      </c>
      <c r="D2394" s="82" t="s">
        <v>62</v>
      </c>
      <c r="E2394" s="82" t="s">
        <v>6</v>
      </c>
      <c r="F2394" s="94">
        <v>200000</v>
      </c>
      <c r="G2394" s="46"/>
      <c r="H2394" s="46">
        <f>IFERROR(TRANSACTIONS!$F2394+TRANSACTIONS!$G2394,"")</f>
        <v>200000</v>
      </c>
      <c r="I2394" s="57" t="s">
        <v>41</v>
      </c>
    </row>
    <row r="2395" spans="1:9" x14ac:dyDescent="0.25">
      <c r="A2395" s="41">
        <v>45353.426194907406</v>
      </c>
      <c r="B2395" s="48">
        <f>IF(A2395&lt;&gt;"",DATE(YEAR(TRANSACTIONS!$A2395),MONTH(TRANSACTIONS!$A2395),DAY(TRANSACTIONS!$A2395)),"")</f>
        <v>45353</v>
      </c>
      <c r="C2395" s="49">
        <f>IF(A2395&lt;&gt;"",TIME(HOUR(TRANSACTIONS!$A2395),MINUTE(TRANSACTIONS!$A2395),SECOND(TRANSACTIONS!$A2395)),"")</f>
        <v>0.4261921296296296</v>
      </c>
      <c r="D2395" s="82" t="s">
        <v>62</v>
      </c>
      <c r="E2395" s="82" t="s">
        <v>6</v>
      </c>
      <c r="F2395" s="40">
        <v>22000</v>
      </c>
      <c r="G2395" s="46"/>
      <c r="H2395" s="46">
        <f>IFERROR(TRANSACTIONS!$F2396+TRANSACTIONS!$G2395,"")</f>
        <v>0</v>
      </c>
      <c r="I2395" s="57" t="s">
        <v>41</v>
      </c>
    </row>
    <row r="2396" spans="1:9" x14ac:dyDescent="0.25">
      <c r="A2396" s="41">
        <v>45353.426202662034</v>
      </c>
      <c r="B2396" s="48">
        <f>IF(A2396&lt;&gt;"",DATE(YEAR(TRANSACTIONS!$A2396),MONTH(TRANSACTIONS!$A2396),DAY(TRANSACTIONS!$A2396)),"")</f>
        <v>45353</v>
      </c>
      <c r="C2396" s="49">
        <f>IF(A2396&lt;&gt;"",TIME(HOUR(TRANSACTIONS!$A2396),MINUTE(TRANSACTIONS!$A2396),SECOND(TRANSACTIONS!$A2396)),"")</f>
        <v>0.4262037037037037</v>
      </c>
      <c r="D2396" s="82" t="s">
        <v>62</v>
      </c>
      <c r="E2396" s="82"/>
      <c r="F2396" s="94"/>
      <c r="G2396" s="46"/>
      <c r="H2396" s="46" t="str">
        <f>IFERROR(TRANSACTIONS!#REF!+TRANSACTIONS!$G2396,"")</f>
        <v/>
      </c>
      <c r="I2396" s="57" t="s">
        <v>41</v>
      </c>
    </row>
    <row r="2397" spans="1:9" x14ac:dyDescent="0.25">
      <c r="A2397" s="81">
        <v>45353.426211226855</v>
      </c>
      <c r="B2397" s="83">
        <f>IF(A2397&lt;&gt;"",DATE(YEAR(TRANSACTIONS!$A2397),MONTH(TRANSACTIONS!$A2397),DAY(TRANSACTIONS!$A2397)),"")</f>
        <v>45353</v>
      </c>
      <c r="C2397" s="84">
        <f>IF(A2397&lt;&gt;"",TIME(HOUR(TRANSACTIONS!$A2397),MINUTE(TRANSACTIONS!$A2397),SECOND(TRANSACTIONS!$A2397)),"")</f>
        <v>0.42621527777777773</v>
      </c>
      <c r="D2397" s="82" t="s">
        <v>62</v>
      </c>
      <c r="E2397" s="82" t="s">
        <v>6</v>
      </c>
      <c r="F2397" s="94">
        <v>4500</v>
      </c>
      <c r="G2397" s="86"/>
      <c r="H2397" s="86">
        <f>IFERROR(TRANSACTIONS!$F2397+TRANSACTIONS!$G2397,"")</f>
        <v>4500</v>
      </c>
      <c r="I2397" s="87" t="s">
        <v>41</v>
      </c>
    </row>
    <row r="2398" spans="1:9" x14ac:dyDescent="0.25">
      <c r="A2398" s="41">
        <v>45353.426219212961</v>
      </c>
      <c r="B2398" s="48">
        <f>IF(A2398&lt;&gt;"",DATE(YEAR(TRANSACTIONS!$A2398),MONTH(TRANSACTIONS!$A2398),DAY(TRANSACTIONS!$A2398)),"")</f>
        <v>45353</v>
      </c>
      <c r="C2398" s="49">
        <f>IF(A2398&lt;&gt;"",TIME(HOUR(TRANSACTIONS!$A2398),MINUTE(TRANSACTIONS!$A2398),SECOND(TRANSACTIONS!$A2398)),"")</f>
        <v>0.42621527777777773</v>
      </c>
      <c r="D2398" s="40" t="s">
        <v>62</v>
      </c>
      <c r="E2398" s="82" t="s">
        <v>6</v>
      </c>
      <c r="F2398" s="94">
        <v>1000000</v>
      </c>
      <c r="G2398" s="46"/>
      <c r="H2398" s="46">
        <f>IFERROR(TRANSACTIONS!$F2398+TRANSACTIONS!$G2398,"")</f>
        <v>1000000</v>
      </c>
      <c r="I2398" s="57" t="s">
        <v>41</v>
      </c>
    </row>
    <row r="2399" spans="1:9" x14ac:dyDescent="0.25">
      <c r="A2399" s="41">
        <v>45353.426226620373</v>
      </c>
      <c r="B2399" s="48">
        <f>IF(A2399&lt;&gt;"",DATE(YEAR(TRANSACTIONS!$A2399),MONTH(TRANSACTIONS!$A2399),DAY(TRANSACTIONS!$A2399)),"")</f>
        <v>45353</v>
      </c>
      <c r="C2399" s="49">
        <f>IF(A2399&lt;&gt;"",TIME(HOUR(TRANSACTIONS!$A2399),MINUTE(TRANSACTIONS!$A2399),SECOND(TRANSACTIONS!$A2399)),"")</f>
        <v>0.42622685185185188</v>
      </c>
      <c r="D2399" s="82" t="s">
        <v>62</v>
      </c>
      <c r="E2399" s="82" t="s">
        <v>6</v>
      </c>
      <c r="F2399" s="94">
        <v>5000</v>
      </c>
      <c r="G2399" s="46"/>
      <c r="H2399" s="46">
        <f>IFERROR(TRANSACTIONS!$F2399+TRANSACTIONS!$G2399,"")</f>
        <v>5000</v>
      </c>
      <c r="I2399" s="57" t="s">
        <v>41</v>
      </c>
    </row>
    <row r="2400" spans="1:9" x14ac:dyDescent="0.25">
      <c r="A2400" s="41">
        <v>45353.426233796294</v>
      </c>
      <c r="B2400" s="48">
        <f>IF(A2400&lt;&gt;"",DATE(YEAR(TRANSACTIONS!$A2400),MONTH(TRANSACTIONS!$A2400),DAY(TRANSACTIONS!$A2400)),"")</f>
        <v>45353</v>
      </c>
      <c r="C2400" s="49">
        <f>IF(A2400&lt;&gt;"",TIME(HOUR(TRANSACTIONS!$A2400),MINUTE(TRANSACTIONS!$A2400),SECOND(TRANSACTIONS!$A2400)),"")</f>
        <v>0.42623842592592592</v>
      </c>
      <c r="D2400" s="82" t="s">
        <v>62</v>
      </c>
      <c r="E2400" s="82" t="s">
        <v>6</v>
      </c>
      <c r="F2400" s="94">
        <v>2025</v>
      </c>
      <c r="G2400" s="46"/>
      <c r="H2400" s="46">
        <f>IFERROR(TRANSACTIONS!$F2400+TRANSACTIONS!$G2400,"")</f>
        <v>2025</v>
      </c>
      <c r="I2400" s="57" t="s">
        <v>41</v>
      </c>
    </row>
    <row r="2401" spans="1:9" x14ac:dyDescent="0.25">
      <c r="A2401" s="41">
        <v>45353.426242476853</v>
      </c>
      <c r="B2401" s="48">
        <f>IF(A2401&lt;&gt;"",DATE(YEAR(TRANSACTIONS!$A2401),MONTH(TRANSACTIONS!$A2401),DAY(TRANSACTIONS!$A2401)),"")</f>
        <v>45353</v>
      </c>
      <c r="C2401" s="49">
        <f>IF(A2401&lt;&gt;"",TIME(HOUR(TRANSACTIONS!$A2401),MINUTE(TRANSACTIONS!$A2401),SECOND(TRANSACTIONS!$A2401)),"")</f>
        <v>0.42623842592592592</v>
      </c>
      <c r="D2401" s="82" t="s">
        <v>62</v>
      </c>
      <c r="E2401" s="82" t="s">
        <v>7</v>
      </c>
      <c r="F2401" s="94">
        <v>5000</v>
      </c>
      <c r="G2401" s="46"/>
      <c r="H2401" s="46">
        <f>IFERROR(TRANSACTIONS!$F2401+TRANSACTIONS!$G2401,"")</f>
        <v>5000</v>
      </c>
      <c r="I2401" s="57" t="s">
        <v>41</v>
      </c>
    </row>
    <row r="2402" spans="1:9" x14ac:dyDescent="0.25">
      <c r="A2402" s="41">
        <v>45353.426252083336</v>
      </c>
      <c r="B2402" s="48">
        <f>IF(A2402&lt;&gt;"",DATE(YEAR(TRANSACTIONS!$A2402),MONTH(TRANSACTIONS!$A2402),DAY(TRANSACTIONS!$A2402)),"")</f>
        <v>45353</v>
      </c>
      <c r="C2402" s="49">
        <f>IF(A2402&lt;&gt;"",TIME(HOUR(TRANSACTIONS!$A2402),MINUTE(TRANSACTIONS!$A2402),SECOND(TRANSACTIONS!$A2402)),"")</f>
        <v>0.42625000000000002</v>
      </c>
      <c r="D2402" s="82" t="s">
        <v>62</v>
      </c>
      <c r="E2402" s="82" t="s">
        <v>7</v>
      </c>
      <c r="F2402" s="94">
        <v>1200000</v>
      </c>
      <c r="G2402" s="46"/>
      <c r="H2402" s="46">
        <f>IFERROR(TRANSACTIONS!$F2402+TRANSACTIONS!$G2402,"")</f>
        <v>1200000</v>
      </c>
      <c r="I2402" s="57" t="s">
        <v>41</v>
      </c>
    </row>
    <row r="2403" spans="1:9" x14ac:dyDescent="0.25">
      <c r="A2403" s="41">
        <v>45353.426260416665</v>
      </c>
      <c r="B2403" s="48">
        <f>IF(A2403&lt;&gt;"",DATE(YEAR(TRANSACTIONS!$A2403),MONTH(TRANSACTIONS!$A2403),DAY(TRANSACTIONS!$A2403)),"")</f>
        <v>45353</v>
      </c>
      <c r="C2403" s="49">
        <f>IF(A2403&lt;&gt;"",TIME(HOUR(TRANSACTIONS!$A2403),MINUTE(TRANSACTIONS!$A2403),SECOND(TRANSACTIONS!$A2403)),"")</f>
        <v>0.42626157407407406</v>
      </c>
      <c r="D2403" s="82" t="s">
        <v>62</v>
      </c>
      <c r="E2403" s="82" t="s">
        <v>7</v>
      </c>
      <c r="F2403" s="94">
        <v>2500</v>
      </c>
      <c r="G2403" s="46"/>
      <c r="H2403" s="46">
        <f>IFERROR(TRANSACTIONS!$F2403+TRANSACTIONS!$G2403,"")</f>
        <v>2500</v>
      </c>
      <c r="I2403" s="57" t="s">
        <v>41</v>
      </c>
    </row>
    <row r="2404" spans="1:9" x14ac:dyDescent="0.25">
      <c r="A2404" s="41">
        <v>45353.426274189813</v>
      </c>
      <c r="B2404" s="48">
        <f>IF(A2404&lt;&gt;"",DATE(YEAR(TRANSACTIONS!$A2404),MONTH(TRANSACTIONS!$A2404),DAY(TRANSACTIONS!$A2404)),"")</f>
        <v>45353</v>
      </c>
      <c r="C2404" s="49">
        <f>IF(A2404&lt;&gt;"",TIME(HOUR(TRANSACTIONS!$A2404),MINUTE(TRANSACTIONS!$A2404),SECOND(TRANSACTIONS!$A2404)),"")</f>
        <v>0.42627314814814815</v>
      </c>
      <c r="D2404" s="82" t="s">
        <v>62</v>
      </c>
      <c r="E2404" s="82"/>
      <c r="F2404" s="94">
        <v>10000</v>
      </c>
      <c r="G2404" s="46"/>
      <c r="H2404" s="46">
        <f>IFERROR(TRANSACTIONS!$F2404+TRANSACTIONS!$G2404,"")</f>
        <v>10000</v>
      </c>
      <c r="I2404" s="57" t="s">
        <v>41</v>
      </c>
    </row>
    <row r="2405" spans="1:9" x14ac:dyDescent="0.25">
      <c r="A2405" s="41">
        <v>45353.426284259258</v>
      </c>
      <c r="B2405" s="48">
        <f>IF(A2405&lt;&gt;"",DATE(YEAR(TRANSACTIONS!$A2405),MONTH(TRANSACTIONS!$A2405),DAY(TRANSACTIONS!$A2405)),"")</f>
        <v>45353</v>
      </c>
      <c r="C2405" s="49">
        <f>IF(A2405&lt;&gt;"",TIME(HOUR(TRANSACTIONS!$A2405),MINUTE(TRANSACTIONS!$A2405),SECOND(TRANSACTIONS!$A2405)),"")</f>
        <v>0.42628472222222219</v>
      </c>
      <c r="D2405" s="82" t="s">
        <v>62</v>
      </c>
      <c r="E2405" s="82" t="s">
        <v>7</v>
      </c>
      <c r="F2405" s="94">
        <v>1000</v>
      </c>
      <c r="G2405" s="46"/>
      <c r="H2405" s="46">
        <f>IFERROR(TRANSACTIONS!$F2405+TRANSACTIONS!$G2405,"")</f>
        <v>1000</v>
      </c>
      <c r="I2405" s="57" t="s">
        <v>41</v>
      </c>
    </row>
    <row r="2406" spans="1:9" x14ac:dyDescent="0.25">
      <c r="A2406" s="41">
        <v>45353.426327083333</v>
      </c>
      <c r="B2406" s="48">
        <f>IF(A2406&lt;&gt;"",DATE(YEAR(TRANSACTIONS!$A2406),MONTH(TRANSACTIONS!$A2406),DAY(TRANSACTIONS!$A2406)),"")</f>
        <v>45353</v>
      </c>
      <c r="C2406" s="49">
        <f>IF(A2406&lt;&gt;"",TIME(HOUR(TRANSACTIONS!$A2406),MINUTE(TRANSACTIONS!$A2406),SECOND(TRANSACTIONS!$A2406)),"")</f>
        <v>0.42633101851851851</v>
      </c>
      <c r="D2406" s="82" t="s">
        <v>62</v>
      </c>
      <c r="E2406" s="82" t="s">
        <v>7</v>
      </c>
      <c r="F2406" s="94">
        <v>5000</v>
      </c>
      <c r="G2406" s="46"/>
      <c r="H2406" s="46">
        <f>IFERROR(TRANSACTIONS!$F2406+TRANSACTIONS!$G2406,"")</f>
        <v>5000</v>
      </c>
      <c r="I2406" s="57" t="s">
        <v>41</v>
      </c>
    </row>
    <row r="2407" spans="1:9" x14ac:dyDescent="0.25">
      <c r="A2407" s="41">
        <v>45353.426292013886</v>
      </c>
      <c r="B2407" s="48">
        <f>IF(A2407&lt;&gt;"",DATE(YEAR(TRANSACTIONS!$A2407),MONTH(TRANSACTIONS!$A2407),DAY(TRANSACTIONS!$A2407)),"")</f>
        <v>45353</v>
      </c>
      <c r="C2407" s="49">
        <f>IF(A2407&lt;&gt;"",TIME(HOUR(TRANSACTIONS!$A2407),MINUTE(TRANSACTIONS!$A2407),SECOND(TRANSACTIONS!$A2407)),"")</f>
        <v>0.42629629629629634</v>
      </c>
      <c r="D2407" s="82" t="s">
        <v>62</v>
      </c>
      <c r="E2407" s="82" t="s">
        <v>7</v>
      </c>
      <c r="F2407" s="94">
        <v>80000</v>
      </c>
      <c r="G2407" s="46"/>
      <c r="H2407" s="46">
        <f>IFERROR(TRANSACTIONS!$F2407+TRANSACTIONS!$G2407,"")</f>
        <v>80000</v>
      </c>
      <c r="I2407" s="57" t="s">
        <v>41</v>
      </c>
    </row>
    <row r="2408" spans="1:9" x14ac:dyDescent="0.25">
      <c r="A2408" s="41">
        <v>45353.426336342593</v>
      </c>
      <c r="B2408" s="48">
        <f>IF(A2408&lt;&gt;"",DATE(YEAR(TRANSACTIONS!$A2408),MONTH(TRANSACTIONS!$A2408),DAY(TRANSACTIONS!$A2408)),"")</f>
        <v>45353</v>
      </c>
      <c r="C2408" s="49">
        <f>IF(A2408&lt;&gt;"",TIME(HOUR(TRANSACTIONS!$A2408),MINUTE(TRANSACTIONS!$A2408),SECOND(TRANSACTIONS!$A2408)),"")</f>
        <v>0.42633101851851851</v>
      </c>
      <c r="D2408" s="82" t="s">
        <v>62</v>
      </c>
      <c r="E2408" s="82" t="s">
        <v>7</v>
      </c>
      <c r="F2408" s="94">
        <v>6000</v>
      </c>
      <c r="G2408" s="46"/>
      <c r="H2408" s="46">
        <f>IFERROR(TRANSACTIONS!$F2408+TRANSACTIONS!$G2408,"")</f>
        <v>6000</v>
      </c>
      <c r="I2408" s="57" t="s">
        <v>41</v>
      </c>
    </row>
    <row r="2409" spans="1:9" x14ac:dyDescent="0.25">
      <c r="A2409" s="41">
        <v>45353.426348958332</v>
      </c>
      <c r="B2409" s="48">
        <f>IF(A2409&lt;&gt;"",DATE(YEAR(TRANSACTIONS!$A2409),MONTH(TRANSACTIONS!$A2409),DAY(TRANSACTIONS!$A2409)),"")</f>
        <v>45353</v>
      </c>
      <c r="C2409" s="49">
        <f>IF(A2409&lt;&gt;"",TIME(HOUR(TRANSACTIONS!$A2409),MINUTE(TRANSACTIONS!$A2409),SECOND(TRANSACTIONS!$A2409)),"")</f>
        <v>0.42635416666666665</v>
      </c>
      <c r="D2409" s="82" t="s">
        <v>62</v>
      </c>
      <c r="E2409" s="82" t="s">
        <v>7</v>
      </c>
      <c r="F2409" s="94">
        <v>100000</v>
      </c>
      <c r="G2409" s="46"/>
      <c r="H2409" s="46">
        <f>IFERROR(TRANSACTIONS!$F2409+TRANSACTIONS!$G2409,"")</f>
        <v>100000</v>
      </c>
      <c r="I2409" s="57" t="s">
        <v>41</v>
      </c>
    </row>
    <row r="2410" spans="1:9" x14ac:dyDescent="0.25">
      <c r="A2410" s="41">
        <v>45353.426374305556</v>
      </c>
      <c r="B2410" s="48">
        <f>IF(A2410&lt;&gt;"",DATE(YEAR(TRANSACTIONS!$A2410),MONTH(TRANSACTIONS!$A2410),DAY(TRANSACTIONS!$A2410)),"")</f>
        <v>45353</v>
      </c>
      <c r="C2410" s="49">
        <f>IF(A2410&lt;&gt;"",TIME(HOUR(TRANSACTIONS!$A2410),MINUTE(TRANSACTIONS!$A2410),SECOND(TRANSACTIONS!$A2410)),"")</f>
        <v>0.42637731481481483</v>
      </c>
      <c r="D2410" s="82" t="s">
        <v>25</v>
      </c>
      <c r="E2410" s="82" t="s">
        <v>7</v>
      </c>
      <c r="F2410" s="94">
        <v>25000</v>
      </c>
      <c r="G2410" s="46"/>
      <c r="H2410" s="46">
        <f>IFERROR(TRANSACTIONS!$F2410+TRANSACTIONS!$G2410,"")</f>
        <v>25000</v>
      </c>
      <c r="I2410" s="57" t="s">
        <v>41</v>
      </c>
    </row>
    <row r="2411" spans="1:9" x14ac:dyDescent="0.25">
      <c r="A2411" s="41">
        <v>45353.426383564816</v>
      </c>
      <c r="B2411" s="48">
        <f>IF(A2411&lt;&gt;"",DATE(YEAR(TRANSACTIONS!$A2411),MONTH(TRANSACTIONS!$A2411),DAY(TRANSACTIONS!$A2411)),"")</f>
        <v>45353</v>
      </c>
      <c r="C2411" s="49">
        <f>IF(A2411&lt;&gt;"",TIME(HOUR(TRANSACTIONS!$A2411),MINUTE(TRANSACTIONS!$A2411),SECOND(TRANSACTIONS!$A2411)),"")</f>
        <v>0.42638888888888887</v>
      </c>
      <c r="D2411" s="82" t="s">
        <v>25</v>
      </c>
      <c r="E2411" s="82" t="s">
        <v>7</v>
      </c>
      <c r="F2411" s="94">
        <v>11000</v>
      </c>
      <c r="G2411" s="46"/>
      <c r="H2411" s="46">
        <f>IFERROR(TRANSACTIONS!$F2411+TRANSACTIONS!$G2411,"")</f>
        <v>11000</v>
      </c>
      <c r="I2411" s="57" t="s">
        <v>41</v>
      </c>
    </row>
    <row r="2412" spans="1:9" x14ac:dyDescent="0.25">
      <c r="A2412" s="41">
        <v>45353.426398148149</v>
      </c>
      <c r="B2412" s="48">
        <f>IF(A2412&lt;&gt;"",DATE(YEAR(TRANSACTIONS!$A2412),MONTH(TRANSACTIONS!$A2412),DAY(TRANSACTIONS!$A2412)),"")</f>
        <v>45353</v>
      </c>
      <c r="C2412" s="49">
        <f>IF(A2412&lt;&gt;"",TIME(HOUR(TRANSACTIONS!$A2412),MINUTE(TRANSACTIONS!$A2412),SECOND(TRANSACTIONS!$A2412)),"")</f>
        <v>0.42640046296296297</v>
      </c>
      <c r="D2412" s="82" t="s">
        <v>62</v>
      </c>
      <c r="E2412" s="82" t="s">
        <v>6</v>
      </c>
      <c r="F2412" s="94">
        <v>22000</v>
      </c>
      <c r="G2412" s="46"/>
      <c r="H2412" s="46">
        <f>IFERROR(TRANSACTIONS!$F2412+TRANSACTIONS!$G2412,"")</f>
        <v>22000</v>
      </c>
      <c r="I2412" s="57" t="s">
        <v>41</v>
      </c>
    </row>
    <row r="2413" spans="1:9" x14ac:dyDescent="0.25">
      <c r="A2413" s="113">
        <v>45353.426406134262</v>
      </c>
      <c r="B2413" s="114">
        <f>IF(A2413&lt;&gt;"",DATE(YEAR(TRANSACTIONS!$A2413),MONTH(TRANSACTIONS!$A2413),DAY(TRANSACTIONS!$A2413)),"")</f>
        <v>45353</v>
      </c>
      <c r="C2413" s="115">
        <f>IF(A2413&lt;&gt;"",TIME(HOUR(TRANSACTIONS!$A2413),MINUTE(TRANSACTIONS!$A2413),SECOND(TRANSACTIONS!$A2413)),"")</f>
        <v>0.42640046296296297</v>
      </c>
      <c r="D2413" s="82" t="s">
        <v>59</v>
      </c>
      <c r="E2413" s="82" t="s">
        <v>7</v>
      </c>
      <c r="F2413" s="94">
        <v>50000</v>
      </c>
      <c r="G2413" s="117"/>
      <c r="H2413" s="117">
        <f>IFERROR(TRANSACTIONS!$F2413+TRANSACTIONS!$G2413,"")</f>
        <v>50000</v>
      </c>
      <c r="I2413" s="123" t="s">
        <v>41</v>
      </c>
    </row>
    <row r="2414" spans="1:9" x14ac:dyDescent="0.25">
      <c r="A2414" s="71">
        <v>45353.426414120368</v>
      </c>
      <c r="B2414" s="73">
        <f>IF(A2414&lt;&gt;"",DATE(YEAR(TRANSACTIONS!$A2414),MONTH(TRANSACTIONS!$A2414),DAY(TRANSACTIONS!$A2414)),"")</f>
        <v>45353</v>
      </c>
      <c r="C2414" s="74">
        <f>IF(A2414&lt;&gt;"",TIME(HOUR(TRANSACTIONS!$A2414),MINUTE(TRANSACTIONS!$A2414),SECOND(TRANSACTIONS!$A2414)),"")</f>
        <v>0.42641203703703701</v>
      </c>
      <c r="D2414" s="72" t="s">
        <v>62</v>
      </c>
      <c r="E2414" s="72" t="s">
        <v>7</v>
      </c>
      <c r="F2414" s="180">
        <v>95000</v>
      </c>
      <c r="G2414" s="46"/>
      <c r="H2414" s="46">
        <f>IFERROR(TRANSACTIONS!$F2414+TRANSACTIONS!$G2414,"")</f>
        <v>95000</v>
      </c>
      <c r="I2414" s="57" t="s">
        <v>41</v>
      </c>
    </row>
    <row r="2415" spans="1:9" x14ac:dyDescent="0.25">
      <c r="A2415" s="41"/>
      <c r="B2415" s="48" t="str">
        <f>IF(A2415&lt;&gt;"",DATE(YEAR(TRANSACTIONS!$A2415),MONTH(TRANSACTIONS!$A2415),DAY(TRANSACTIONS!$A2415)),"")</f>
        <v/>
      </c>
      <c r="C2415" s="49" t="str">
        <f>IF(A2415&lt;&gt;"",TIME(HOUR(TRANSACTIONS!$A2415),MINUTE(TRANSACTIONS!$A2415),SECOND(TRANSACTIONS!$A2415)),"")</f>
        <v/>
      </c>
      <c r="D2415" s="82"/>
      <c r="E2415" s="82"/>
      <c r="F2415" s="94"/>
      <c r="G2415" s="46"/>
      <c r="H2415" s="46">
        <f>IFERROR(TRANSACTIONS!$F2415+TRANSACTIONS!$G2415,"")</f>
        <v>0</v>
      </c>
      <c r="I2415" s="57" t="s">
        <v>41</v>
      </c>
    </row>
    <row r="2416" spans="1:9" x14ac:dyDescent="0.25">
      <c r="A2416" s="41">
        <v>45355.397165509261</v>
      </c>
      <c r="B2416" s="48">
        <f>IF(A2416&lt;&gt;"",DATE(YEAR(TRANSACTIONS!$A2416),MONTH(TRANSACTIONS!$A2416),DAY(TRANSACTIONS!$A2416)),"")</f>
        <v>45355</v>
      </c>
      <c r="C2416" s="49">
        <f>IF(A2416&lt;&gt;"",TIME(HOUR(TRANSACTIONS!$A2416),MINUTE(TRANSACTIONS!$A2416),SECOND(TRANSACTIONS!$A2416)),"")</f>
        <v>0.39716435185185189</v>
      </c>
      <c r="D2416" s="82" t="s">
        <v>62</v>
      </c>
      <c r="E2416" s="82" t="s">
        <v>6</v>
      </c>
      <c r="F2416" s="94">
        <v>50000</v>
      </c>
      <c r="G2416" s="46"/>
      <c r="H2416" s="46">
        <f>IFERROR(TRANSACTIONS!$F2416+TRANSACTIONS!$G2416,"")</f>
        <v>50000</v>
      </c>
      <c r="I2416" s="57" t="s">
        <v>41</v>
      </c>
    </row>
    <row r="2417" spans="1:10" x14ac:dyDescent="0.25">
      <c r="A2417" s="41">
        <v>45355.397226504632</v>
      </c>
      <c r="B2417" s="48">
        <f>IF(A2417&lt;&gt;"",DATE(YEAR(TRANSACTIONS!$A2417),MONTH(TRANSACTIONS!$A2417),DAY(TRANSACTIONS!$A2417)),"")</f>
        <v>45355</v>
      </c>
      <c r="C2417" s="49">
        <f>IF(A2417&lt;&gt;"",TIME(HOUR(TRANSACTIONS!$A2417),MINUTE(TRANSACTIONS!$A2417),SECOND(TRANSACTIONS!$A2417)),"")</f>
        <v>0.3972222222222222</v>
      </c>
      <c r="D2417" s="82" t="s">
        <v>25</v>
      </c>
      <c r="E2417" s="82" t="s">
        <v>6</v>
      </c>
      <c r="F2417" s="94">
        <v>1500</v>
      </c>
      <c r="G2417" s="46"/>
      <c r="H2417" s="46">
        <f>IFERROR(TRANSACTIONS!$F2417+TRANSACTIONS!$G2417,"")</f>
        <v>1500</v>
      </c>
      <c r="I2417" s="57" t="s">
        <v>41</v>
      </c>
    </row>
    <row r="2418" spans="1:10" x14ac:dyDescent="0.25">
      <c r="A2418" s="41">
        <v>45355.397240162034</v>
      </c>
      <c r="B2418" s="48">
        <f>IF(A2418&lt;&gt;"",DATE(YEAR(TRANSACTIONS!$A2418),MONTH(TRANSACTIONS!$A2418),DAY(TRANSACTIONS!$A2418)),"")</f>
        <v>45355</v>
      </c>
      <c r="C2418" s="49">
        <f>IF(A2418&lt;&gt;"",TIME(HOUR(TRANSACTIONS!$A2418),MINUTE(TRANSACTIONS!$A2418),SECOND(TRANSACTIONS!$A2418)),"")</f>
        <v>0.39724537037037039</v>
      </c>
      <c r="D2418" s="82" t="s">
        <v>25</v>
      </c>
      <c r="E2418" s="82" t="s">
        <v>6</v>
      </c>
      <c r="F2418" s="94">
        <v>500</v>
      </c>
      <c r="G2418" s="46"/>
      <c r="H2418" s="46">
        <f>IFERROR(TRANSACTIONS!$F2418+TRANSACTIONS!$G2418,"")</f>
        <v>500</v>
      </c>
      <c r="I2418" s="57" t="s">
        <v>41</v>
      </c>
    </row>
    <row r="2419" spans="1:10" x14ac:dyDescent="0.25">
      <c r="A2419" s="41">
        <v>45355.397256365737</v>
      </c>
      <c r="B2419" s="48">
        <f>IF(A2419&lt;&gt;"",DATE(YEAR(TRANSACTIONS!$A2419),MONTH(TRANSACTIONS!$A2419),DAY(TRANSACTIONS!$A2419)),"")</f>
        <v>45355</v>
      </c>
      <c r="C2419" s="49">
        <f>IF(A2419&lt;&gt;"",TIME(HOUR(TRANSACTIONS!$A2419),MINUTE(TRANSACTIONS!$A2419),SECOND(TRANSACTIONS!$A2419)),"")</f>
        <v>0.39725694444444443</v>
      </c>
      <c r="D2419" s="82" t="s">
        <v>25</v>
      </c>
      <c r="E2419" s="82" t="s">
        <v>7</v>
      </c>
      <c r="F2419" s="94">
        <v>14000</v>
      </c>
      <c r="G2419" s="46"/>
      <c r="H2419" s="46">
        <f>IFERROR(TRANSACTIONS!$F2419+TRANSACTIONS!$G2419,"")</f>
        <v>14000</v>
      </c>
      <c r="I2419" s="57" t="s">
        <v>41</v>
      </c>
    </row>
    <row r="2420" spans="1:10" x14ac:dyDescent="0.25">
      <c r="A2420" s="41">
        <v>45355.465847916668</v>
      </c>
      <c r="B2420" s="48">
        <f>IF(A2420&lt;&gt;"",DATE(YEAR(TRANSACTIONS!$A2420),MONTH(TRANSACTIONS!$A2420),DAY(TRANSACTIONS!$A2420)),"")</f>
        <v>45355</v>
      </c>
      <c r="C2420" s="49">
        <f>IF(A2420&lt;&gt;"",TIME(HOUR(TRANSACTIONS!$A2420),MINUTE(TRANSACTIONS!$A2420),SECOND(TRANSACTIONS!$A2420)),"")</f>
        <v>0.46584490740740742</v>
      </c>
      <c r="D2420" s="82" t="s">
        <v>62</v>
      </c>
      <c r="E2420" s="82" t="s">
        <v>6</v>
      </c>
      <c r="F2420" s="94">
        <v>11000</v>
      </c>
      <c r="G2420" s="46"/>
      <c r="H2420" s="46">
        <f>IFERROR(TRANSACTIONS!$F2420+TRANSACTIONS!$G2420,"")</f>
        <v>11000</v>
      </c>
      <c r="I2420" s="57" t="s">
        <v>41</v>
      </c>
    </row>
    <row r="2421" spans="1:10" x14ac:dyDescent="0.25">
      <c r="A2421" s="41">
        <v>45355.472191319444</v>
      </c>
      <c r="B2421" s="48">
        <f>IF(A2421&lt;&gt;"",DATE(YEAR(TRANSACTIONS!$A2421),MONTH(TRANSACTIONS!$A2421),DAY(TRANSACTIONS!$A2421)),"")</f>
        <v>45355</v>
      </c>
      <c r="C2421" s="49">
        <f>IF(A2421&lt;&gt;"",TIME(HOUR(TRANSACTIONS!$A2421),MINUTE(TRANSACTIONS!$A2421),SECOND(TRANSACTIONS!$A2421)),"")</f>
        <v>0.47218749999999998</v>
      </c>
      <c r="D2421" s="82" t="s">
        <v>62</v>
      </c>
      <c r="E2421" s="82" t="s">
        <v>7</v>
      </c>
      <c r="F2421" s="94">
        <v>4000</v>
      </c>
      <c r="G2421" s="46"/>
      <c r="H2421" s="46">
        <f>IFERROR(TRANSACTIONS!$F2421+TRANSACTIONS!$G2421,"")</f>
        <v>4000</v>
      </c>
      <c r="I2421" s="57" t="s">
        <v>41</v>
      </c>
    </row>
    <row r="2422" spans="1:10" x14ac:dyDescent="0.25">
      <c r="A2422" s="41">
        <v>45355.472207870371</v>
      </c>
      <c r="B2422" s="48">
        <f>IF(A2422&lt;&gt;"",DATE(YEAR(TRANSACTIONS!$A2422),MONTH(TRANSACTIONS!$A2422),DAY(TRANSACTIONS!$A2422)),"")</f>
        <v>45355</v>
      </c>
      <c r="C2422" s="49">
        <f>IF(A2422&lt;&gt;"",TIME(HOUR(TRANSACTIONS!$A2422),MINUTE(TRANSACTIONS!$A2422),SECOND(TRANSACTIONS!$A2422)),"")</f>
        <v>0.47221064814814812</v>
      </c>
      <c r="D2422" s="82" t="s">
        <v>62</v>
      </c>
      <c r="E2422" s="82" t="s">
        <v>7</v>
      </c>
      <c r="F2422" s="94">
        <v>95000</v>
      </c>
      <c r="G2422" s="46"/>
      <c r="H2422" s="46">
        <f>IFERROR(TRANSACTIONS!$F2422+TRANSACTIONS!$G2422,"")</f>
        <v>95000</v>
      </c>
      <c r="I2422" s="57" t="s">
        <v>41</v>
      </c>
      <c r="J2422" s="57"/>
    </row>
    <row r="2423" spans="1:10" x14ac:dyDescent="0.25">
      <c r="A2423" s="41">
        <v>45355.472217361108</v>
      </c>
      <c r="B2423" s="48">
        <f>IF(A2423&lt;&gt;"",DATE(YEAR(TRANSACTIONS!$A2423),MONTH(TRANSACTIONS!$A2423),DAY(TRANSACTIONS!$A2423)),"")</f>
        <v>45355</v>
      </c>
      <c r="C2423" s="49">
        <f>IF(A2423&lt;&gt;"",TIME(HOUR(TRANSACTIONS!$A2423),MINUTE(TRANSACTIONS!$A2423),SECOND(TRANSACTIONS!$A2423)),"")</f>
        <v>0.47222222222222227</v>
      </c>
      <c r="D2423" s="82" t="s">
        <v>62</v>
      </c>
      <c r="E2423" s="82" t="s">
        <v>7</v>
      </c>
      <c r="F2423" s="94">
        <v>1500</v>
      </c>
      <c r="G2423" s="46"/>
      <c r="H2423" s="46">
        <f>IFERROR(TRANSACTIONS!$F2423+TRANSACTIONS!$G2423,"")</f>
        <v>1500</v>
      </c>
      <c r="I2423" s="57" t="s">
        <v>41</v>
      </c>
    </row>
    <row r="2424" spans="1:10" x14ac:dyDescent="0.25">
      <c r="A2424" s="41">
        <v>45355.472228587962</v>
      </c>
      <c r="B2424" s="48">
        <f>IF(A2424&lt;&gt;"",DATE(YEAR(TRANSACTIONS!$A2424),MONTH(TRANSACTIONS!$A2424),DAY(TRANSACTIONS!$A2424)),"")</f>
        <v>45355</v>
      </c>
      <c r="C2424" s="49">
        <f>IF(A2424&lt;&gt;"",TIME(HOUR(TRANSACTIONS!$A2424),MINUTE(TRANSACTIONS!$A2424),SECOND(TRANSACTIONS!$A2424)),"")</f>
        <v>0.4722337962962963</v>
      </c>
      <c r="D2424" s="82" t="s">
        <v>62</v>
      </c>
      <c r="E2424" s="82" t="s">
        <v>6</v>
      </c>
      <c r="F2424" s="94">
        <v>2000</v>
      </c>
      <c r="G2424" s="46"/>
      <c r="H2424" s="46">
        <f>IFERROR(TRANSACTIONS!$F2424+TRANSACTIONS!$G2424,"")</f>
        <v>2000</v>
      </c>
      <c r="I2424" s="57" t="s">
        <v>41</v>
      </c>
    </row>
    <row r="2425" spans="1:10" x14ac:dyDescent="0.25">
      <c r="A2425" s="41">
        <v>45355.472236574074</v>
      </c>
      <c r="B2425" s="48">
        <f>IF(A2425&lt;&gt;"",DATE(YEAR(TRANSACTIONS!$A2425),MONTH(TRANSACTIONS!$A2425),DAY(TRANSACTIONS!$A2425)),"")</f>
        <v>45355</v>
      </c>
      <c r="C2425" s="49">
        <f>IF(A2425&lt;&gt;"",TIME(HOUR(TRANSACTIONS!$A2425),MINUTE(TRANSACTIONS!$A2425),SECOND(TRANSACTIONS!$A2425)),"")</f>
        <v>0.4722337962962963</v>
      </c>
      <c r="D2425" s="82" t="s">
        <v>62</v>
      </c>
      <c r="E2425" s="82" t="s">
        <v>6</v>
      </c>
      <c r="F2425" s="94">
        <v>8000</v>
      </c>
      <c r="G2425" s="46"/>
      <c r="H2425" s="46">
        <f>IFERROR(TRANSACTIONS!$F2425+TRANSACTIONS!$G2425,"")</f>
        <v>8000</v>
      </c>
      <c r="I2425" s="57" t="s">
        <v>41</v>
      </c>
    </row>
    <row r="2426" spans="1:10" x14ac:dyDescent="0.25">
      <c r="A2426" s="41">
        <v>45355.472245254627</v>
      </c>
      <c r="B2426" s="48">
        <f>IF(A2426&lt;&gt;"",DATE(YEAR(TRANSACTIONS!$A2426),MONTH(TRANSACTIONS!$A2426),DAY(TRANSACTIONS!$A2426)),"")</f>
        <v>45355</v>
      </c>
      <c r="C2426" s="49">
        <f>IF(A2426&lt;&gt;"",TIME(HOUR(TRANSACTIONS!$A2426),MINUTE(TRANSACTIONS!$A2426),SECOND(TRANSACTIONS!$A2426)),"")</f>
        <v>0.4722453703703704</v>
      </c>
      <c r="D2426" s="82" t="s">
        <v>62</v>
      </c>
      <c r="E2426" s="82" t="s">
        <v>7</v>
      </c>
      <c r="F2426" s="94">
        <v>3000</v>
      </c>
      <c r="G2426" s="46"/>
      <c r="H2426" s="46">
        <f>IFERROR(TRANSACTIONS!$F2426+TRANSACTIONS!$G2426,"")</f>
        <v>3000</v>
      </c>
      <c r="I2426" s="57" t="s">
        <v>41</v>
      </c>
    </row>
    <row r="2427" spans="1:10" ht="18.75" x14ac:dyDescent="0.3">
      <c r="A2427" s="41">
        <v>45355.472253935186</v>
      </c>
      <c r="B2427" s="48">
        <f>IF(A2427&lt;&gt;"",DATE(YEAR(TRANSACTIONS!$A2427),MONTH(TRANSACTIONS!$A2427),DAY(TRANSACTIONS!$A2427)),"")</f>
        <v>45355</v>
      </c>
      <c r="C2427" s="49">
        <f>IF(A2427&lt;&gt;"",TIME(HOUR(TRANSACTIONS!$A2427),MINUTE(TRANSACTIONS!$A2427),SECOND(TRANSACTIONS!$A2427)),"")</f>
        <v>0.47225694444444444</v>
      </c>
      <c r="D2427" s="82" t="s">
        <v>62</v>
      </c>
      <c r="E2427" s="231" t="s">
        <v>7</v>
      </c>
      <c r="F2427" s="94">
        <v>10000</v>
      </c>
      <c r="G2427" s="46"/>
      <c r="H2427" s="46">
        <f>IFERROR(TRANSACTIONS!$F2427+TRANSACTIONS!$G2427,"")</f>
        <v>10000</v>
      </c>
      <c r="I2427" s="57" t="s">
        <v>41</v>
      </c>
    </row>
    <row r="2428" spans="1:10" x14ac:dyDescent="0.25">
      <c r="A2428" s="41">
        <v>45355.472262731484</v>
      </c>
      <c r="B2428" s="48">
        <f>IF(A2428&lt;&gt;"",DATE(YEAR(TRANSACTIONS!$A2428),MONTH(TRANSACTIONS!$A2428),DAY(TRANSACTIONS!$A2428)),"")</f>
        <v>45355</v>
      </c>
      <c r="C2428" s="49">
        <f>IF(A2428&lt;&gt;"",TIME(HOUR(TRANSACTIONS!$A2428),MINUTE(TRANSACTIONS!$A2428),SECOND(TRANSACTIONS!$A2428)),"")</f>
        <v>0.47226851851851853</v>
      </c>
      <c r="D2428" s="82" t="s">
        <v>62</v>
      </c>
      <c r="E2428" s="82" t="s">
        <v>7</v>
      </c>
      <c r="F2428" s="94">
        <v>100000</v>
      </c>
      <c r="G2428" s="46"/>
      <c r="H2428" s="46">
        <f>IFERROR(TRANSACTIONS!$F2428+TRANSACTIONS!$G2428,"")</f>
        <v>100000</v>
      </c>
      <c r="I2428" s="57" t="s">
        <v>41</v>
      </c>
    </row>
    <row r="2429" spans="1:10" x14ac:dyDescent="0.25">
      <c r="A2429" s="41">
        <v>45355.472270949074</v>
      </c>
      <c r="B2429" s="48">
        <f>IF(A2429&lt;&gt;"",DATE(YEAR(TRANSACTIONS!$A2429),MONTH(TRANSACTIONS!$A2429),DAY(TRANSACTIONS!$A2429)),"")</f>
        <v>45355</v>
      </c>
      <c r="C2429" s="49">
        <f>IF(A2429&lt;&gt;"",TIME(HOUR(TRANSACTIONS!$A2429),MINUTE(TRANSACTIONS!$A2429),SECOND(TRANSACTIONS!$A2429)),"")</f>
        <v>0.47226851851851853</v>
      </c>
      <c r="D2429" s="82" t="s">
        <v>62</v>
      </c>
      <c r="E2429" s="82" t="s">
        <v>7</v>
      </c>
      <c r="F2429" s="94">
        <v>150000</v>
      </c>
      <c r="G2429" s="46"/>
      <c r="H2429" s="46">
        <f>IFERROR(TRANSACTIONS!$F2429+TRANSACTIONS!$G2429,"")</f>
        <v>150000</v>
      </c>
      <c r="I2429" s="40" t="s">
        <v>41</v>
      </c>
    </row>
    <row r="2430" spans="1:10" x14ac:dyDescent="0.25">
      <c r="A2430" s="41">
        <v>45355.487012268517</v>
      </c>
      <c r="B2430" s="48">
        <f>IF(A2430&lt;&gt;"",DATE(YEAR(TRANSACTIONS!$A2430),MONTH(TRANSACTIONS!$A2430),DAY(TRANSACTIONS!$A2430)),"")</f>
        <v>45355</v>
      </c>
      <c r="C2430" s="49">
        <f>IF(A2430&lt;&gt;"",TIME(HOUR(TRANSACTIONS!$A2430),MINUTE(TRANSACTIONS!$A2430),SECOND(TRANSACTIONS!$A2430)),"")</f>
        <v>0.48701388888888886</v>
      </c>
      <c r="D2430" s="82" t="s">
        <v>62</v>
      </c>
      <c r="E2430" s="82" t="s">
        <v>6</v>
      </c>
      <c r="F2430" s="94">
        <v>41100</v>
      </c>
      <c r="G2430" s="46"/>
      <c r="H2430" s="46">
        <f>IFERROR(TRANSACTIONS!$F2430+TRANSACTIONS!$G2430,"")</f>
        <v>41100</v>
      </c>
      <c r="I2430" s="40" t="s">
        <v>41</v>
      </c>
    </row>
    <row r="2431" spans="1:10" x14ac:dyDescent="0.25">
      <c r="A2431" s="41">
        <v>45355.487015740742</v>
      </c>
      <c r="B2431" s="48">
        <f>IF(A2431&lt;&gt;"",DATE(YEAR(TRANSACTIONS!$A2431),MONTH(TRANSACTIONS!$A2431),DAY(TRANSACTIONS!$A2431)),"")</f>
        <v>45355</v>
      </c>
      <c r="C2431" s="49">
        <f>IF(A2431&lt;&gt;"",TIME(HOUR(TRANSACTIONS!$A2431),MINUTE(TRANSACTIONS!$A2431),SECOND(TRANSACTIONS!$A2431)),"")</f>
        <v>0.48701388888888886</v>
      </c>
      <c r="D2431" s="82" t="s">
        <v>62</v>
      </c>
      <c r="E2431" s="82" t="s">
        <v>7</v>
      </c>
      <c r="F2431" s="94">
        <v>500</v>
      </c>
      <c r="G2431" s="46"/>
      <c r="H2431" s="46">
        <f>IFERROR(TRANSACTIONS!$F2431+TRANSACTIONS!$G2431,"")</f>
        <v>500</v>
      </c>
      <c r="I2431" s="40" t="s">
        <v>41</v>
      </c>
    </row>
    <row r="2432" spans="1:10" x14ac:dyDescent="0.25">
      <c r="A2432" s="41">
        <v>45355.487058796294</v>
      </c>
      <c r="B2432" s="48">
        <f>IF(A2432&lt;&gt;"",DATE(YEAR(TRANSACTIONS!$A2432),MONTH(TRANSACTIONS!$A2432),DAY(TRANSACTIONS!$A2432)),"")</f>
        <v>45355</v>
      </c>
      <c r="C2432" s="49">
        <f>IF(A2432&lt;&gt;"",TIME(HOUR(TRANSACTIONS!$A2432),MINUTE(TRANSACTIONS!$A2432),SECOND(TRANSACTIONS!$A2432)),"")</f>
        <v>0.48706018518518518</v>
      </c>
      <c r="D2432" s="82" t="s">
        <v>62</v>
      </c>
      <c r="E2432" s="82" t="s">
        <v>7</v>
      </c>
      <c r="F2432" s="94">
        <v>2000</v>
      </c>
      <c r="G2432" s="46"/>
      <c r="H2432" s="46">
        <f>IFERROR(TRANSACTIONS!$F2432+TRANSACTIONS!$G2432,"")</f>
        <v>2000</v>
      </c>
      <c r="I2432" s="40" t="s">
        <v>41</v>
      </c>
    </row>
    <row r="2433" spans="1:10" x14ac:dyDescent="0.25">
      <c r="A2433" s="41">
        <v>45355.487066782407</v>
      </c>
      <c r="B2433" s="48">
        <f>IF(A2433&lt;&gt;"",DATE(YEAR(TRANSACTIONS!$A2433),MONTH(TRANSACTIONS!$A2433),DAY(TRANSACTIONS!$A2433)),"")</f>
        <v>45355</v>
      </c>
      <c r="C2433" s="49">
        <f>IF(A2433&lt;&gt;"",TIME(HOUR(TRANSACTIONS!$A2433),MINUTE(TRANSACTIONS!$A2433),SECOND(TRANSACTIONS!$A2433)),"")</f>
        <v>0.48707175925925927</v>
      </c>
      <c r="D2433" s="82" t="s">
        <v>62</v>
      </c>
      <c r="E2433" s="82" t="s">
        <v>7</v>
      </c>
      <c r="F2433" s="94">
        <v>500</v>
      </c>
      <c r="G2433" s="46"/>
      <c r="H2433" s="46">
        <f>IFERROR(TRANSACTIONS!$F2433+TRANSACTIONS!$G2433,"")</f>
        <v>500</v>
      </c>
      <c r="I2433" s="40" t="s">
        <v>41</v>
      </c>
    </row>
    <row r="2434" spans="1:10" x14ac:dyDescent="0.25">
      <c r="A2434" s="41">
        <v>45355.487074189812</v>
      </c>
      <c r="B2434" s="48">
        <f>IF(A2434&lt;&gt;"",DATE(YEAR(TRANSACTIONS!$A2434),MONTH(TRANSACTIONS!$A2434),DAY(TRANSACTIONS!$A2434)),"")</f>
        <v>45355</v>
      </c>
      <c r="C2434" s="49">
        <f>IF(A2434&lt;&gt;"",TIME(HOUR(TRANSACTIONS!$A2434),MINUTE(TRANSACTIONS!$A2434),SECOND(TRANSACTIONS!$A2434)),"")</f>
        <v>0.48707175925925927</v>
      </c>
      <c r="D2434" s="82" t="s">
        <v>62</v>
      </c>
      <c r="E2434" s="82" t="s">
        <v>6</v>
      </c>
      <c r="F2434" s="94">
        <v>12625</v>
      </c>
      <c r="G2434" s="46"/>
      <c r="H2434" s="46">
        <f>IFERROR(TRANSACTIONS!$F2434+TRANSACTIONS!$G2434,"")</f>
        <v>12625</v>
      </c>
      <c r="I2434" s="40" t="s">
        <v>41</v>
      </c>
    </row>
    <row r="2435" spans="1:10" x14ac:dyDescent="0.25">
      <c r="A2435" s="81">
        <v>45355.487091898147</v>
      </c>
      <c r="B2435" s="83">
        <f>IF(A2435&lt;&gt;"",DATE(YEAR(TRANSACTIONS!$A2435),MONTH(TRANSACTIONS!$A2435),DAY(TRANSACTIONS!$A2435)),"")</f>
        <v>45355</v>
      </c>
      <c r="C2435" s="84">
        <f>IF(A2435&lt;&gt;"",TIME(HOUR(TRANSACTIONS!$A2435),MINUTE(TRANSACTIONS!$A2435),SECOND(TRANSACTIONS!$A2435)),"")</f>
        <v>0.48709490740740741</v>
      </c>
      <c r="D2435" s="82" t="s">
        <v>62</v>
      </c>
      <c r="E2435" s="82" t="s">
        <v>7</v>
      </c>
      <c r="F2435" s="94">
        <v>2500</v>
      </c>
      <c r="G2435" s="86"/>
      <c r="H2435" s="86">
        <f>IFERROR(TRANSACTIONS!$F2435+TRANSACTIONS!$G2435,"")</f>
        <v>2500</v>
      </c>
      <c r="I2435" s="88" t="s">
        <v>41</v>
      </c>
      <c r="J2435" s="88"/>
    </row>
    <row r="2436" spans="1:10" x14ac:dyDescent="0.25">
      <c r="A2436" s="81">
        <v>45355.487101157407</v>
      </c>
      <c r="B2436" s="83">
        <f>IF(A2436&lt;&gt;"",DATE(YEAR(TRANSACTIONS!$A2436),MONTH(TRANSACTIONS!$A2436),DAY(TRANSACTIONS!$A2436)),"")</f>
        <v>45355</v>
      </c>
      <c r="C2436" s="84">
        <f>IF(A2436&lt;&gt;"",TIME(HOUR(TRANSACTIONS!$A2436),MINUTE(TRANSACTIONS!$A2436),SECOND(TRANSACTIONS!$A2436)),"")</f>
        <v>0.48710648148148145</v>
      </c>
      <c r="D2436" s="82" t="s">
        <v>62</v>
      </c>
      <c r="E2436" s="82" t="s">
        <v>6</v>
      </c>
      <c r="F2436" s="94">
        <v>21000</v>
      </c>
      <c r="G2436" s="86"/>
      <c r="H2436" s="86">
        <f>IFERROR(TRANSACTIONS!$F2436+TRANSACTIONS!$G2436,"")</f>
        <v>21000</v>
      </c>
      <c r="I2436" s="88" t="s">
        <v>41</v>
      </c>
      <c r="J2436" s="88"/>
    </row>
    <row r="2437" spans="1:10" x14ac:dyDescent="0.25">
      <c r="A2437" s="41">
        <v>45355.48710914352</v>
      </c>
      <c r="B2437" s="48">
        <f>IF(A2437&lt;&gt;"",DATE(YEAR(TRANSACTIONS!$A2437),MONTH(TRANSACTIONS!$A2437),DAY(TRANSACTIONS!$A2437)),"")</f>
        <v>45355</v>
      </c>
      <c r="C2437" s="49">
        <f>IF(A2437&lt;&gt;"",TIME(HOUR(TRANSACTIONS!$A2437),MINUTE(TRANSACTIONS!$A2437),SECOND(TRANSACTIONS!$A2437)),"")</f>
        <v>0.48710648148148145</v>
      </c>
      <c r="D2437" s="82" t="s">
        <v>62</v>
      </c>
      <c r="E2437" s="82" t="s">
        <v>7</v>
      </c>
      <c r="F2437" s="94">
        <v>1000</v>
      </c>
      <c r="G2437" s="46"/>
      <c r="H2437" s="46">
        <f>IFERROR(TRANSACTIONS!$F2437+TRANSACTIONS!$G2437,"")</f>
        <v>1000</v>
      </c>
      <c r="I2437" s="40" t="s">
        <v>41</v>
      </c>
    </row>
    <row r="2438" spans="1:10" x14ac:dyDescent="0.25">
      <c r="A2438" s="41">
        <v>45355.487119444442</v>
      </c>
      <c r="B2438" s="48">
        <f>IF(A2438&lt;&gt;"",DATE(YEAR(TRANSACTIONS!$A2438),MONTH(TRANSACTIONS!$A2438),DAY(TRANSACTIONS!$A2438)),"")</f>
        <v>45355</v>
      </c>
      <c r="C2438" s="49">
        <f>IF(A2438&lt;&gt;"",TIME(HOUR(TRANSACTIONS!$A2438),MINUTE(TRANSACTIONS!$A2438),SECOND(TRANSACTIONS!$A2438)),"")</f>
        <v>0.4871180555555556</v>
      </c>
      <c r="D2438" s="82" t="s">
        <v>62</v>
      </c>
      <c r="E2438" s="82" t="s">
        <v>6</v>
      </c>
      <c r="F2438" s="94">
        <v>50000</v>
      </c>
      <c r="G2438" s="46"/>
      <c r="H2438" s="46">
        <f>IFERROR(TRANSACTIONS!$F2438+TRANSACTIONS!$G2438,"")</f>
        <v>50000</v>
      </c>
      <c r="I2438" s="40" t="s">
        <v>41</v>
      </c>
    </row>
    <row r="2439" spans="1:10" x14ac:dyDescent="0.25">
      <c r="A2439" s="41">
        <v>45355.487127199071</v>
      </c>
      <c r="B2439" s="48">
        <f>IF(A2439&lt;&gt;"",DATE(YEAR(TRANSACTIONS!$A2439),MONTH(TRANSACTIONS!$A2439),DAY(TRANSACTIONS!$A2439)),"")</f>
        <v>45355</v>
      </c>
      <c r="C2439" s="49">
        <f>IF(A2439&lt;&gt;"",TIME(HOUR(TRANSACTIONS!$A2439),MINUTE(TRANSACTIONS!$A2439),SECOND(TRANSACTIONS!$A2439)),"")</f>
        <v>0.48712962962962963</v>
      </c>
      <c r="D2439" s="82" t="s">
        <v>62</v>
      </c>
      <c r="E2439" s="82" t="s">
        <v>6</v>
      </c>
      <c r="F2439" s="94">
        <v>20100</v>
      </c>
      <c r="G2439" s="46"/>
      <c r="H2439" s="46">
        <f>IFERROR(TRANSACTIONS!$F2439+TRANSACTIONS!$G2439,"")</f>
        <v>20100</v>
      </c>
      <c r="I2439" s="40" t="s">
        <v>41</v>
      </c>
    </row>
    <row r="2440" spans="1:10" x14ac:dyDescent="0.25">
      <c r="A2440" s="41">
        <v>45355.487163078702</v>
      </c>
      <c r="B2440" s="48">
        <f>IF(A2440&lt;&gt;"",DATE(YEAR(TRANSACTIONS!$A2440),MONTH(TRANSACTIONS!$A2440),DAY(TRANSACTIONS!$A2440)),"")</f>
        <v>45355</v>
      </c>
      <c r="C2440" s="49">
        <f>IF(A2440&lt;&gt;"",TIME(HOUR(TRANSACTIONS!$A2440),MINUTE(TRANSACTIONS!$A2440),SECOND(TRANSACTIONS!$A2440)),"")</f>
        <v>0.48716435185185186</v>
      </c>
      <c r="D2440" s="82" t="s">
        <v>62</v>
      </c>
      <c r="E2440" s="82" t="s">
        <v>6</v>
      </c>
      <c r="F2440" s="94">
        <v>60000</v>
      </c>
      <c r="G2440" s="46"/>
      <c r="H2440" s="46">
        <f>IFERROR(TRANSACTIONS!$F2440+TRANSACTIONS!$G2440,"")</f>
        <v>60000</v>
      </c>
      <c r="I2440" s="40" t="s">
        <v>41</v>
      </c>
    </row>
    <row r="2441" spans="1:10" x14ac:dyDescent="0.25">
      <c r="A2441" s="41">
        <v>45355.487170949076</v>
      </c>
      <c r="B2441" s="48">
        <f>IF(A2441&lt;&gt;"",DATE(YEAR(TRANSACTIONS!$A2441),MONTH(TRANSACTIONS!$A2441),DAY(TRANSACTIONS!$A2441)),"")</f>
        <v>45355</v>
      </c>
      <c r="C2441" s="49">
        <f>IF(A2441&lt;&gt;"",TIME(HOUR(TRANSACTIONS!$A2441),MINUTE(TRANSACTIONS!$A2441),SECOND(TRANSACTIONS!$A2441)),"")</f>
        <v>0.4871759259259259</v>
      </c>
      <c r="D2441" s="82" t="s">
        <v>62</v>
      </c>
      <c r="E2441" s="82" t="s">
        <v>6</v>
      </c>
      <c r="F2441" s="94">
        <v>5000</v>
      </c>
      <c r="G2441" s="46"/>
      <c r="H2441" s="46">
        <f>IFERROR(TRANSACTIONS!$F2441+TRANSACTIONS!$G2441,"")</f>
        <v>5000</v>
      </c>
      <c r="I2441" s="40" t="s">
        <v>41</v>
      </c>
    </row>
    <row r="2442" spans="1:10" x14ac:dyDescent="0.25">
      <c r="A2442" s="41">
        <v>45355.487190509259</v>
      </c>
      <c r="B2442" s="48">
        <f>IF(A2442&lt;&gt;"",DATE(YEAR(TRANSACTIONS!$A2442),MONTH(TRANSACTIONS!$A2442),DAY(TRANSACTIONS!$A2442)),"")</f>
        <v>45355</v>
      </c>
      <c r="C2442" s="49">
        <f>IF(A2442&lt;&gt;"",TIME(HOUR(TRANSACTIONS!$A2442),MINUTE(TRANSACTIONS!$A2442),SECOND(TRANSACTIONS!$A2442)),"")</f>
        <v>0.48718750000000005</v>
      </c>
      <c r="D2442" s="82" t="s">
        <v>62</v>
      </c>
      <c r="E2442" s="82" t="s">
        <v>7</v>
      </c>
      <c r="F2442" s="94">
        <v>17000</v>
      </c>
      <c r="G2442" s="46"/>
      <c r="H2442" s="46">
        <f>IFERROR(TRANSACTIONS!$F2442+TRANSACTIONS!$G2442,"")</f>
        <v>17000</v>
      </c>
      <c r="I2442" s="40" t="s">
        <v>41</v>
      </c>
    </row>
    <row r="2443" spans="1:10" x14ac:dyDescent="0.25">
      <c r="A2443" s="41">
        <v>45355.487201851851</v>
      </c>
      <c r="B2443" s="48">
        <f>IF(A2443&lt;&gt;"",DATE(YEAR(TRANSACTIONS!$A2443),MONTH(TRANSACTIONS!$A2443),DAY(TRANSACTIONS!$A2443)),"")</f>
        <v>45355</v>
      </c>
      <c r="C2443" s="49">
        <f>IF(A2443&lt;&gt;"",TIME(HOUR(TRANSACTIONS!$A2443),MINUTE(TRANSACTIONS!$A2443),SECOND(TRANSACTIONS!$A2443)),"")</f>
        <v>0.48719907407407409</v>
      </c>
      <c r="D2443" s="82" t="s">
        <v>62</v>
      </c>
      <c r="E2443" s="82" t="s">
        <v>6</v>
      </c>
      <c r="F2443" s="94">
        <v>3000</v>
      </c>
      <c r="G2443" s="46"/>
      <c r="H2443" s="46">
        <f>IFERROR(TRANSACTIONS!$F2443+TRANSACTIONS!$G2443,"")</f>
        <v>3000</v>
      </c>
      <c r="I2443" s="40" t="s">
        <v>41</v>
      </c>
    </row>
    <row r="2444" spans="1:10" x14ac:dyDescent="0.25">
      <c r="A2444" s="41">
        <v>45355.487210416664</v>
      </c>
      <c r="B2444" s="48">
        <f>IF(A2444&lt;&gt;"",DATE(YEAR(TRANSACTIONS!$A2444),MONTH(TRANSACTIONS!$A2444),DAY(TRANSACTIONS!$A2444)),"")</f>
        <v>45355</v>
      </c>
      <c r="C2444" s="49">
        <f>IF(A2444&lt;&gt;"",TIME(HOUR(TRANSACTIONS!$A2444),MINUTE(TRANSACTIONS!$A2444),SECOND(TRANSACTIONS!$A2444)),"")</f>
        <v>0.48721064814814818</v>
      </c>
      <c r="D2444" s="82" t="s">
        <v>62</v>
      </c>
      <c r="E2444" s="82" t="s">
        <v>6</v>
      </c>
      <c r="F2444" s="94">
        <v>8000</v>
      </c>
      <c r="G2444" s="46"/>
      <c r="H2444" s="46">
        <f>IFERROR(TRANSACTIONS!$F2444+TRANSACTIONS!$G2444,"")</f>
        <v>8000</v>
      </c>
      <c r="I2444" s="40" t="s">
        <v>41</v>
      </c>
    </row>
    <row r="2445" spans="1:10" x14ac:dyDescent="0.25">
      <c r="A2445" s="41">
        <v>45355.487218518516</v>
      </c>
      <c r="B2445" s="48">
        <f>IF(A2445&lt;&gt;"",DATE(YEAR(TRANSACTIONS!$A2445),MONTH(TRANSACTIONS!$A2445),DAY(TRANSACTIONS!$A2445)),"")</f>
        <v>45355</v>
      </c>
      <c r="C2445" s="49">
        <f>IF(A2445&lt;&gt;"",TIME(HOUR(TRANSACTIONS!$A2445),MINUTE(TRANSACTIONS!$A2445),SECOND(TRANSACTIONS!$A2445)),"")</f>
        <v>0.48722222222222222</v>
      </c>
      <c r="D2445" s="82" t="s">
        <v>62</v>
      </c>
      <c r="E2445" s="82" t="s">
        <v>7</v>
      </c>
      <c r="F2445" s="94">
        <v>3000</v>
      </c>
      <c r="G2445" s="46"/>
      <c r="H2445" s="46">
        <f>IFERROR(TRANSACTIONS!$F2445+TRANSACTIONS!$G2445,"")</f>
        <v>3000</v>
      </c>
      <c r="I2445" s="40" t="s">
        <v>41</v>
      </c>
    </row>
    <row r="2446" spans="1:10" x14ac:dyDescent="0.25">
      <c r="A2446" s="41">
        <v>45355.487225925928</v>
      </c>
      <c r="B2446" s="48">
        <f>IF(A2446&lt;&gt;"",DATE(YEAR(TRANSACTIONS!$A2446),MONTH(TRANSACTIONS!$A2446),DAY(TRANSACTIONS!$A2446)),"")</f>
        <v>45355</v>
      </c>
      <c r="C2446" s="49">
        <f>IF(A2446&lt;&gt;"",TIME(HOUR(TRANSACTIONS!$A2446),MINUTE(TRANSACTIONS!$A2446),SECOND(TRANSACTIONS!$A2446)),"")</f>
        <v>0.48722222222222222</v>
      </c>
      <c r="D2446" s="82" t="s">
        <v>62</v>
      </c>
      <c r="E2446" s="82" t="s">
        <v>7</v>
      </c>
      <c r="F2446" s="94">
        <v>45000</v>
      </c>
      <c r="G2446" s="46"/>
      <c r="H2446" s="46">
        <f>IFERROR(TRANSACTIONS!$F2446+TRANSACTIONS!$G2446,"")</f>
        <v>45000</v>
      </c>
      <c r="I2446" s="40" t="s">
        <v>41</v>
      </c>
    </row>
    <row r="2447" spans="1:10" x14ac:dyDescent="0.25">
      <c r="A2447" s="41">
        <v>45355.487233564818</v>
      </c>
      <c r="B2447" s="48">
        <f>IF(A2447&lt;&gt;"",DATE(YEAR(TRANSACTIONS!$A2447),MONTH(TRANSACTIONS!$A2447),DAY(TRANSACTIONS!$A2447)),"")</f>
        <v>45355</v>
      </c>
      <c r="C2447" s="49">
        <f>IF(A2447&lt;&gt;"",TIME(HOUR(TRANSACTIONS!$A2447),MINUTE(TRANSACTIONS!$A2447),SECOND(TRANSACTIONS!$A2447)),"")</f>
        <v>0.48723379629629626</v>
      </c>
      <c r="D2447" s="82" t="s">
        <v>62</v>
      </c>
      <c r="E2447" s="82" t="s">
        <v>7</v>
      </c>
      <c r="F2447" s="94">
        <v>65000</v>
      </c>
      <c r="G2447" s="46"/>
      <c r="H2447" s="46">
        <f>IFERROR(TRANSACTIONS!$F2447+TRANSACTIONS!$G2447,"")</f>
        <v>65000</v>
      </c>
      <c r="I2447" s="40" t="s">
        <v>41</v>
      </c>
    </row>
    <row r="2448" spans="1:10" x14ac:dyDescent="0.25">
      <c r="A2448" s="41">
        <v>45355.487241550923</v>
      </c>
      <c r="B2448" s="48">
        <f>IF(A2448&lt;&gt;"",DATE(YEAR(TRANSACTIONS!$A2448),MONTH(TRANSACTIONS!$A2448),DAY(TRANSACTIONS!$A2448)),"")</f>
        <v>45355</v>
      </c>
      <c r="C2448" s="49">
        <f>IF(A2448&lt;&gt;"",TIME(HOUR(TRANSACTIONS!$A2448),MINUTE(TRANSACTIONS!$A2448),SECOND(TRANSACTIONS!$A2448)),"")</f>
        <v>0.48724537037037036</v>
      </c>
      <c r="D2448" s="82" t="s">
        <v>62</v>
      </c>
      <c r="E2448" s="82" t="s">
        <v>7</v>
      </c>
      <c r="F2448" s="94">
        <v>5000</v>
      </c>
      <c r="G2448" s="46"/>
      <c r="H2448" s="46">
        <f>IFERROR(TRANSACTIONS!$F2448+TRANSACTIONS!$G2448,"")</f>
        <v>5000</v>
      </c>
      <c r="I2448" s="40" t="s">
        <v>41</v>
      </c>
    </row>
    <row r="2449" spans="1:9" x14ac:dyDescent="0.25">
      <c r="A2449" s="41">
        <v>45355.487249074074</v>
      </c>
      <c r="B2449" s="48">
        <f>IF(A2449&lt;&gt;"",DATE(YEAR(TRANSACTIONS!$A2449),MONTH(TRANSACTIONS!$A2449),DAY(TRANSACTIONS!$A2449)),"")</f>
        <v>45355</v>
      </c>
      <c r="C2449" s="49">
        <f>IF(A2449&lt;&gt;"",TIME(HOUR(TRANSACTIONS!$A2449),MINUTE(TRANSACTIONS!$A2449),SECOND(TRANSACTIONS!$A2449)),"")</f>
        <v>0.48724537037037036</v>
      </c>
      <c r="D2449" s="82" t="s">
        <v>62</v>
      </c>
      <c r="E2449" s="82" t="s">
        <v>7</v>
      </c>
      <c r="F2449" s="94">
        <v>6000</v>
      </c>
      <c r="G2449" s="46"/>
      <c r="H2449" s="46">
        <f>IFERROR(TRANSACTIONS!$F2449+TRANSACTIONS!$G2449,"")</f>
        <v>6000</v>
      </c>
      <c r="I2449" s="40" t="s">
        <v>41</v>
      </c>
    </row>
    <row r="2450" spans="1:9" x14ac:dyDescent="0.25">
      <c r="A2450" s="41">
        <v>45355.487256134256</v>
      </c>
      <c r="B2450" s="48">
        <f>IF(A2450&lt;&gt;"",DATE(YEAR(TRANSACTIONS!$A2450),MONTH(TRANSACTIONS!$A2450),DAY(TRANSACTIONS!$A2450)),"")</f>
        <v>45355</v>
      </c>
      <c r="C2450" s="49">
        <f>IF(A2450&lt;&gt;"",TIME(HOUR(TRANSACTIONS!$A2450),MINUTE(TRANSACTIONS!$A2450),SECOND(TRANSACTIONS!$A2450)),"")</f>
        <v>0.4872569444444444</v>
      </c>
      <c r="D2450" s="82" t="s">
        <v>62</v>
      </c>
      <c r="E2450" s="82" t="s">
        <v>7</v>
      </c>
      <c r="F2450" s="94">
        <v>150000</v>
      </c>
      <c r="G2450" s="46"/>
      <c r="H2450" s="46">
        <f>IFERROR(TRANSACTIONS!$F2450+TRANSACTIONS!$G2450,"")</f>
        <v>150000</v>
      </c>
      <c r="I2450" s="40" t="s">
        <v>41</v>
      </c>
    </row>
    <row r="2451" spans="1:9" x14ac:dyDescent="0.25">
      <c r="A2451" s="41">
        <v>45355.487307523152</v>
      </c>
      <c r="B2451" s="48">
        <f>IF(A2451&lt;&gt;"",DATE(YEAR(TRANSACTIONS!$A2451),MONTH(TRANSACTIONS!$A2451),DAY(TRANSACTIONS!$A2451)),"")</f>
        <v>45355</v>
      </c>
      <c r="C2451" s="49">
        <f>IF(A2451&lt;&gt;"",TIME(HOUR(TRANSACTIONS!$A2451),MINUTE(TRANSACTIONS!$A2451),SECOND(TRANSACTIONS!$A2451)),"")</f>
        <v>0.48730324074074072</v>
      </c>
      <c r="D2451" s="82" t="s">
        <v>62</v>
      </c>
      <c r="E2451" s="82" t="s">
        <v>7</v>
      </c>
      <c r="F2451" s="94">
        <v>2500</v>
      </c>
      <c r="G2451" s="46"/>
      <c r="H2451" s="46">
        <f>IFERROR(TRANSACTIONS!$F2451+TRANSACTIONS!$G2451,"")</f>
        <v>2500</v>
      </c>
      <c r="I2451" s="40" t="s">
        <v>41</v>
      </c>
    </row>
    <row r="2452" spans="1:9" x14ac:dyDescent="0.25">
      <c r="A2452" s="113">
        <v>45355.48731527778</v>
      </c>
      <c r="B2452" s="114">
        <f>IF(A2452&lt;&gt;"",DATE(YEAR(TRANSACTIONS!$A2452),MONTH(TRANSACTIONS!$A2452),DAY(TRANSACTIONS!$A2452)),"")</f>
        <v>45355</v>
      </c>
      <c r="C2452" s="115">
        <f>IF(A2452&lt;&gt;"",TIME(HOUR(TRANSACTIONS!$A2452),MINUTE(TRANSACTIONS!$A2452),SECOND(TRANSACTIONS!$A2452)),"")</f>
        <v>0.48731481481481481</v>
      </c>
      <c r="D2452" s="82" t="s">
        <v>62</v>
      </c>
      <c r="E2452" s="82" t="s">
        <v>6</v>
      </c>
      <c r="F2452" s="94">
        <v>15000</v>
      </c>
      <c r="G2452" s="117"/>
      <c r="H2452" s="117">
        <f>IFERROR(TRANSACTIONS!$F2452+TRANSACTIONS!$G2452,"")</f>
        <v>15000</v>
      </c>
      <c r="I2452" s="118" t="s">
        <v>41</v>
      </c>
    </row>
    <row r="2453" spans="1:9" x14ac:dyDescent="0.25">
      <c r="A2453" s="41">
        <v>45355.487322337962</v>
      </c>
      <c r="B2453" s="48">
        <f>IF(A2453&lt;&gt;"",DATE(YEAR(TRANSACTIONS!$A2453),MONTH(TRANSACTIONS!$A2453),DAY(TRANSACTIONS!$A2453)),"")</f>
        <v>45355</v>
      </c>
      <c r="C2453" s="49">
        <f>IF(A2453&lt;&gt;"",TIME(HOUR(TRANSACTIONS!$A2453),MINUTE(TRANSACTIONS!$A2453),SECOND(TRANSACTIONS!$A2453)),"")</f>
        <v>0.48732638888888885</v>
      </c>
      <c r="D2453" s="82" t="s">
        <v>62</v>
      </c>
      <c r="E2453" s="82" t="s">
        <v>6</v>
      </c>
      <c r="F2453" s="94">
        <v>15000</v>
      </c>
      <c r="G2453" s="46"/>
      <c r="H2453" s="46">
        <f>IFERROR(TRANSACTIONS!$F2453+TRANSACTIONS!$G2453,"")</f>
        <v>15000</v>
      </c>
      <c r="I2453" s="40" t="s">
        <v>41</v>
      </c>
    </row>
    <row r="2454" spans="1:9" x14ac:dyDescent="0.25">
      <c r="A2454" s="41">
        <v>45355.487329166666</v>
      </c>
      <c r="B2454" s="48">
        <f>IF(A2454&lt;&gt;"",DATE(YEAR(TRANSACTIONS!$A2454),MONTH(TRANSACTIONS!$A2454),DAY(TRANSACTIONS!$A2454)),"")</f>
        <v>45355</v>
      </c>
      <c r="C2454" s="49">
        <f>IF(A2454&lt;&gt;"",TIME(HOUR(TRANSACTIONS!$A2454),MINUTE(TRANSACTIONS!$A2454),SECOND(TRANSACTIONS!$A2454)),"")</f>
        <v>0.48732638888888885</v>
      </c>
      <c r="D2454" s="82" t="s">
        <v>62</v>
      </c>
      <c r="E2454" s="82" t="s">
        <v>7</v>
      </c>
      <c r="F2454" s="94">
        <v>5000</v>
      </c>
      <c r="G2454" s="46"/>
      <c r="H2454" s="46">
        <f>IFERROR(TRANSACTIONS!$F2454+TRANSACTIONS!$G2454,"")</f>
        <v>5000</v>
      </c>
      <c r="I2454" s="40" t="s">
        <v>41</v>
      </c>
    </row>
    <row r="2455" spans="1:9" x14ac:dyDescent="0.25">
      <c r="A2455" s="41">
        <v>45355.487336458333</v>
      </c>
      <c r="B2455" s="48">
        <f>IF(A2455&lt;&gt;"",DATE(YEAR(TRANSACTIONS!$A2455),MONTH(TRANSACTIONS!$A2455),DAY(TRANSACTIONS!$A2455)),"")</f>
        <v>45355</v>
      </c>
      <c r="C2455" s="49">
        <f>IF(A2455&lt;&gt;"",TIME(HOUR(TRANSACTIONS!$A2455),MINUTE(TRANSACTIONS!$A2455),SECOND(TRANSACTIONS!$A2455)),"")</f>
        <v>0.487337962962963</v>
      </c>
      <c r="D2455" s="82" t="s">
        <v>62</v>
      </c>
      <c r="E2455" s="82" t="s">
        <v>7</v>
      </c>
      <c r="F2455" s="94">
        <v>10000</v>
      </c>
      <c r="G2455" s="46"/>
      <c r="H2455" s="46">
        <f>IFERROR(TRANSACTIONS!$F2455+TRANSACTIONS!$G2455,"")</f>
        <v>10000</v>
      </c>
      <c r="I2455" s="40" t="s">
        <v>41</v>
      </c>
    </row>
    <row r="2456" spans="1:9" x14ac:dyDescent="0.25">
      <c r="A2456" s="81">
        <v>45355.487344791669</v>
      </c>
      <c r="B2456" s="83">
        <f>IF(A2456&lt;&gt;"",DATE(YEAR(TRANSACTIONS!$A2456),MONTH(TRANSACTIONS!$A2456),DAY(TRANSACTIONS!$A2456)),"")</f>
        <v>45355</v>
      </c>
      <c r="C2456" s="84">
        <f>IF(A2456&lt;&gt;"",TIME(HOUR(TRANSACTIONS!$A2456),MINUTE(TRANSACTIONS!$A2456),SECOND(TRANSACTIONS!$A2456)),"")</f>
        <v>0.48734953703703704</v>
      </c>
      <c r="D2456" s="82" t="s">
        <v>62</v>
      </c>
      <c r="E2456" s="82" t="s">
        <v>7</v>
      </c>
      <c r="F2456" s="94">
        <v>5000</v>
      </c>
      <c r="G2456" s="86"/>
      <c r="H2456" s="86">
        <f>IFERROR(TRANSACTIONS!$F2456+TRANSACTIONS!$G2456,"")</f>
        <v>5000</v>
      </c>
      <c r="I2456" s="88" t="s">
        <v>41</v>
      </c>
    </row>
    <row r="2457" spans="1:9" x14ac:dyDescent="0.25">
      <c r="A2457" s="81">
        <v>45355.487354166668</v>
      </c>
      <c r="B2457" s="83">
        <f>IF(A2457&lt;&gt;"",DATE(YEAR(TRANSACTIONS!$A2457),MONTH(TRANSACTIONS!$A2457),DAY(TRANSACTIONS!$A2457)),"")</f>
        <v>45355</v>
      </c>
      <c r="C2457" s="84">
        <f>IF(A2457&lt;&gt;"",TIME(HOUR(TRANSACTIONS!$A2457),MINUTE(TRANSACTIONS!$A2457),SECOND(TRANSACTIONS!$A2457)),"")</f>
        <v>0.48734953703703704</v>
      </c>
      <c r="D2457" s="82" t="s">
        <v>62</v>
      </c>
      <c r="E2457" s="82" t="s">
        <v>7</v>
      </c>
      <c r="F2457" s="94">
        <v>28000</v>
      </c>
      <c r="G2457" s="86"/>
      <c r="H2457" s="86">
        <f>IFERROR(TRANSACTIONS!$F2457+TRANSACTIONS!$G2457,"")</f>
        <v>28000</v>
      </c>
      <c r="I2457" s="88" t="s">
        <v>41</v>
      </c>
    </row>
    <row r="2458" spans="1:9" x14ac:dyDescent="0.25">
      <c r="A2458" s="41">
        <v>45355.487362268519</v>
      </c>
      <c r="B2458" s="48">
        <f>IF(A2458&lt;&gt;"",DATE(YEAR(TRANSACTIONS!$A2458),MONTH(TRANSACTIONS!$A2458),DAY(TRANSACTIONS!$A2458)),"")</f>
        <v>45355</v>
      </c>
      <c r="C2458" s="49">
        <f>IF(A2458&lt;&gt;"",TIME(HOUR(TRANSACTIONS!$A2458),MINUTE(TRANSACTIONS!$A2458),SECOND(TRANSACTIONS!$A2458)),"")</f>
        <v>0.48736111111111113</v>
      </c>
      <c r="D2458" s="82" t="s">
        <v>62</v>
      </c>
      <c r="E2458" s="82" t="s">
        <v>6</v>
      </c>
      <c r="F2458" s="94">
        <v>28000</v>
      </c>
      <c r="G2458" s="46"/>
      <c r="H2458" s="46">
        <f>IFERROR(TRANSACTIONS!$F2458+TRANSACTIONS!$G2458,"")</f>
        <v>28000</v>
      </c>
      <c r="I2458" s="40" t="s">
        <v>41</v>
      </c>
    </row>
    <row r="2459" spans="1:9" x14ac:dyDescent="0.25">
      <c r="A2459" s="41">
        <v>45355.487369907409</v>
      </c>
      <c r="B2459" s="48">
        <f>IF(A2459&lt;&gt;"",DATE(YEAR(TRANSACTIONS!$A2459),MONTH(TRANSACTIONS!$A2459),DAY(TRANSACTIONS!$A2459)),"")</f>
        <v>45355</v>
      </c>
      <c r="C2459" s="49">
        <f>IF(A2459&lt;&gt;"",TIME(HOUR(TRANSACTIONS!$A2459),MINUTE(TRANSACTIONS!$A2459),SECOND(TRANSACTIONS!$A2459)),"")</f>
        <v>0.48737268518518517</v>
      </c>
      <c r="D2459" s="82" t="s">
        <v>62</v>
      </c>
      <c r="E2459" s="82" t="s">
        <v>7</v>
      </c>
      <c r="F2459" s="94">
        <v>30000</v>
      </c>
      <c r="G2459" s="46"/>
      <c r="H2459" s="46">
        <f>IFERROR(TRANSACTIONS!$F2459+TRANSACTIONS!$G2459,"")</f>
        <v>30000</v>
      </c>
      <c r="I2459" s="40" t="s">
        <v>41</v>
      </c>
    </row>
    <row r="2460" spans="1:9" x14ac:dyDescent="0.25">
      <c r="A2460" s="41">
        <v>45355.487377430552</v>
      </c>
      <c r="B2460" s="48">
        <f>IF(A2460&lt;&gt;"",DATE(YEAR(TRANSACTIONS!$A2460),MONTH(TRANSACTIONS!$A2460),DAY(TRANSACTIONS!$A2460)),"")</f>
        <v>45355</v>
      </c>
      <c r="C2460" s="49">
        <f>IF(A2460&lt;&gt;"",TIME(HOUR(TRANSACTIONS!$A2460),MINUTE(TRANSACTIONS!$A2460),SECOND(TRANSACTIONS!$A2460)),"")</f>
        <v>0.48737268518518517</v>
      </c>
      <c r="D2460" s="82" t="s">
        <v>62</v>
      </c>
      <c r="E2460" s="82" t="s">
        <v>7</v>
      </c>
      <c r="F2460" s="94">
        <v>10000</v>
      </c>
      <c r="G2460" s="46"/>
      <c r="H2460" s="46">
        <f>IFERROR(TRANSACTIONS!$F2460+TRANSACTIONS!$G2460,"")</f>
        <v>10000</v>
      </c>
      <c r="I2460" s="40" t="s">
        <v>41</v>
      </c>
    </row>
    <row r="2461" spans="1:9" x14ac:dyDescent="0.25">
      <c r="A2461" s="41">
        <v>45355.487386458335</v>
      </c>
      <c r="B2461" s="48">
        <f>IF(A2461&lt;&gt;"",DATE(YEAR(TRANSACTIONS!$A2461),MONTH(TRANSACTIONS!$A2461),DAY(TRANSACTIONS!$A2461)),"")</f>
        <v>45355</v>
      </c>
      <c r="C2461" s="49">
        <f>IF(A2461&lt;&gt;"",TIME(HOUR(TRANSACTIONS!$A2461),MINUTE(TRANSACTIONS!$A2461),SECOND(TRANSACTIONS!$A2461)),"")</f>
        <v>0.48738425925925927</v>
      </c>
      <c r="D2461" s="82" t="s">
        <v>62</v>
      </c>
      <c r="E2461" s="82" t="s">
        <v>7</v>
      </c>
      <c r="F2461" s="94">
        <v>50000</v>
      </c>
      <c r="G2461" s="46"/>
      <c r="H2461" s="46">
        <f>IFERROR(TRANSACTIONS!$F2461+TRANSACTIONS!$G2461,"")</f>
        <v>50000</v>
      </c>
      <c r="I2461" s="40" t="s">
        <v>41</v>
      </c>
    </row>
    <row r="2462" spans="1:9" x14ac:dyDescent="0.25">
      <c r="A2462" s="41">
        <v>45355.487417592594</v>
      </c>
      <c r="B2462" s="48">
        <f>IF(A2462&lt;&gt;"",DATE(YEAR(TRANSACTIONS!$A2462),MONTH(TRANSACTIONS!$A2462),DAY(TRANSACTIONS!$A2462)),"")</f>
        <v>45355</v>
      </c>
      <c r="C2462" s="49">
        <f>IF(A2462&lt;&gt;"",TIME(HOUR(TRANSACTIONS!$A2462),MINUTE(TRANSACTIONS!$A2462),SECOND(TRANSACTIONS!$A2462)),"")</f>
        <v>0.48741898148148149</v>
      </c>
      <c r="D2462" s="82" t="s">
        <v>62</v>
      </c>
      <c r="E2462" s="82" t="s">
        <v>7</v>
      </c>
      <c r="F2462" s="94">
        <v>1000</v>
      </c>
      <c r="G2462" s="46"/>
      <c r="H2462" s="46">
        <f>IFERROR(TRANSACTIONS!$F2462+TRANSACTIONS!$G2462,"")</f>
        <v>1000</v>
      </c>
      <c r="I2462" s="40" t="s">
        <v>41</v>
      </c>
    </row>
    <row r="2463" spans="1:9" x14ac:dyDescent="0.25">
      <c r="A2463" s="41">
        <v>45355.48742824074</v>
      </c>
      <c r="B2463" s="48">
        <f>IF(A2463&lt;&gt;"",DATE(YEAR(TRANSACTIONS!$A2463),MONTH(TRANSACTIONS!$A2463),DAY(TRANSACTIONS!$A2463)),"")</f>
        <v>45355</v>
      </c>
      <c r="C2463" s="49">
        <f>IF(A2463&lt;&gt;"",TIME(HOUR(TRANSACTIONS!$A2463),MINUTE(TRANSACTIONS!$A2463),SECOND(TRANSACTIONS!$A2463)),"")</f>
        <v>0.48743055555555559</v>
      </c>
      <c r="D2463" s="82" t="s">
        <v>62</v>
      </c>
      <c r="E2463" s="82" t="s">
        <v>7</v>
      </c>
      <c r="F2463" s="94">
        <v>5000</v>
      </c>
      <c r="G2463" s="46"/>
      <c r="H2463" s="46">
        <f>IFERROR(TRANSACTIONS!$F2463+TRANSACTIONS!$G2463,"")</f>
        <v>5000</v>
      </c>
      <c r="I2463" s="40" t="s">
        <v>41</v>
      </c>
    </row>
    <row r="2464" spans="1:9" x14ac:dyDescent="0.25">
      <c r="A2464" s="41">
        <v>45355.487440740741</v>
      </c>
      <c r="B2464" s="48">
        <f>IF(A2464&lt;&gt;"",DATE(YEAR(TRANSACTIONS!$A2464),MONTH(TRANSACTIONS!$A2464),DAY(TRANSACTIONS!$A2464)),"")</f>
        <v>45355</v>
      </c>
      <c r="C2464" s="49">
        <f>IF(A2464&lt;&gt;"",TIME(HOUR(TRANSACTIONS!$A2464),MINUTE(TRANSACTIONS!$A2464),SECOND(TRANSACTIONS!$A2464)),"")</f>
        <v>0.48744212962962963</v>
      </c>
      <c r="D2464" s="82" t="s">
        <v>62</v>
      </c>
      <c r="E2464" s="82" t="s">
        <v>6</v>
      </c>
      <c r="F2464" s="94">
        <v>4250</v>
      </c>
      <c r="G2464" s="46"/>
      <c r="H2464" s="46">
        <f>IFERROR(TRANSACTIONS!$F2464+TRANSACTIONS!$G2464,"")</f>
        <v>4250</v>
      </c>
      <c r="I2464" s="40" t="s">
        <v>41</v>
      </c>
    </row>
    <row r="2465" spans="1:11" x14ac:dyDescent="0.25">
      <c r="A2465" s="41">
        <v>45355.487450000001</v>
      </c>
      <c r="B2465" s="48">
        <f>IF(A2465&lt;&gt;"",DATE(YEAR(TRANSACTIONS!$A2465),MONTH(TRANSACTIONS!$A2465),DAY(TRANSACTIONS!$A2465)),"")</f>
        <v>45355</v>
      </c>
      <c r="C2465" s="49">
        <f>IF(A2465&lt;&gt;"",TIME(HOUR(TRANSACTIONS!$A2465),MINUTE(TRANSACTIONS!$A2465),SECOND(TRANSACTIONS!$A2465)),"")</f>
        <v>0.48745370370370367</v>
      </c>
      <c r="D2465" s="82" t="s">
        <v>62</v>
      </c>
      <c r="E2465" s="82" t="s">
        <v>7</v>
      </c>
      <c r="F2465" s="94">
        <v>87000</v>
      </c>
      <c r="G2465" s="46"/>
      <c r="H2465" s="46">
        <f>IFERROR(TRANSACTIONS!$F2465+TRANSACTIONS!$G2465,"")</f>
        <v>87000</v>
      </c>
      <c r="I2465" s="40" t="s">
        <v>41</v>
      </c>
    </row>
    <row r="2466" spans="1:11" x14ac:dyDescent="0.25">
      <c r="A2466" s="41">
        <v>45355.487491087966</v>
      </c>
      <c r="B2466" s="48">
        <f>IF(A2466&lt;&gt;"",DATE(YEAR(TRANSACTIONS!$A2466),MONTH(TRANSACTIONS!$A2466),DAY(TRANSACTIONS!$A2466)),"")</f>
        <v>45355</v>
      </c>
      <c r="C2466" s="49">
        <f>IF(A2466&lt;&gt;"",TIME(HOUR(TRANSACTIONS!$A2466),MINUTE(TRANSACTIONS!$A2466),SECOND(TRANSACTIONS!$A2466)),"")</f>
        <v>0.48748842592592595</v>
      </c>
      <c r="D2466" s="82" t="s">
        <v>62</v>
      </c>
      <c r="E2466" s="82" t="s">
        <v>6</v>
      </c>
      <c r="F2466" s="94">
        <v>30000</v>
      </c>
      <c r="G2466" s="46"/>
      <c r="H2466" s="46">
        <f>IFERROR(TRANSACTIONS!$F2466+TRANSACTIONS!$G2466,"")</f>
        <v>30000</v>
      </c>
      <c r="I2466" s="40" t="s">
        <v>41</v>
      </c>
    </row>
    <row r="2467" spans="1:11" x14ac:dyDescent="0.25">
      <c r="A2467" s="41">
        <v>45355.487499421295</v>
      </c>
      <c r="B2467" s="48">
        <f>IF(A2467&lt;&gt;"",DATE(YEAR(TRANSACTIONS!$A2467),MONTH(TRANSACTIONS!$A2467),DAY(TRANSACTIONS!$A2467)),"")</f>
        <v>45355</v>
      </c>
      <c r="C2467" s="49">
        <f>IF(A2467&lt;&gt;"",TIME(HOUR(TRANSACTIONS!$A2467),MINUTE(TRANSACTIONS!$A2467),SECOND(TRANSACTIONS!$A2467)),"")</f>
        <v>0.48749999999999999</v>
      </c>
      <c r="D2467" s="82" t="s">
        <v>62</v>
      </c>
      <c r="E2467" s="82" t="s">
        <v>7</v>
      </c>
      <c r="F2467" s="94">
        <v>3000</v>
      </c>
      <c r="G2467" s="46"/>
      <c r="H2467" s="46">
        <f>IFERROR(TRANSACTIONS!$F2467+TRANSACTIONS!$G2467,"")</f>
        <v>3000</v>
      </c>
      <c r="I2467" s="40" t="s">
        <v>41</v>
      </c>
    </row>
    <row r="2468" spans="1:11" x14ac:dyDescent="0.25">
      <c r="A2468" s="41">
        <v>45355.487508564816</v>
      </c>
      <c r="B2468" s="48">
        <f>IF(A2468&lt;&gt;"",DATE(YEAR(TRANSACTIONS!$A2468),MONTH(TRANSACTIONS!$A2468),DAY(TRANSACTIONS!$A2468)),"")</f>
        <v>45355</v>
      </c>
      <c r="C2468" s="49">
        <f>IF(A2468&lt;&gt;"",TIME(HOUR(TRANSACTIONS!$A2468),MINUTE(TRANSACTIONS!$A2468),SECOND(TRANSACTIONS!$A2468)),"")</f>
        <v>0.48751157407407408</v>
      </c>
      <c r="D2468" s="82" t="s">
        <v>62</v>
      </c>
      <c r="E2468" s="82" t="s">
        <v>6</v>
      </c>
      <c r="F2468" s="94">
        <v>3000</v>
      </c>
      <c r="G2468" s="46"/>
      <c r="H2468" s="46">
        <f>IFERROR(TRANSACTIONS!$F2468+TRANSACTIONS!$G2468,"")</f>
        <v>3000</v>
      </c>
      <c r="I2468" s="40" t="s">
        <v>41</v>
      </c>
    </row>
    <row r="2469" spans="1:11" x14ac:dyDescent="0.25">
      <c r="A2469" s="41">
        <v>45355.487516203706</v>
      </c>
      <c r="B2469" s="48">
        <f>IF(A2469&lt;&gt;"",DATE(YEAR(TRANSACTIONS!$A2469),MONTH(TRANSACTIONS!$A2469),DAY(TRANSACTIONS!$A2469)),"")</f>
        <v>45355</v>
      </c>
      <c r="C2469" s="49">
        <f>IF(A2469&lt;&gt;"",TIME(HOUR(TRANSACTIONS!$A2469),MINUTE(TRANSACTIONS!$A2469),SECOND(TRANSACTIONS!$A2469)),"")</f>
        <v>0.48751157407407408</v>
      </c>
      <c r="D2469" s="82" t="s">
        <v>62</v>
      </c>
      <c r="E2469" s="82" t="s">
        <v>7</v>
      </c>
      <c r="F2469" s="94">
        <v>20000</v>
      </c>
      <c r="G2469" s="46"/>
      <c r="H2469" s="46">
        <f>IFERROR(TRANSACTIONS!$F2469+TRANSACTIONS!$G2469,"")</f>
        <v>20000</v>
      </c>
      <c r="I2469" s="40" t="s">
        <v>41</v>
      </c>
    </row>
    <row r="2470" spans="1:11" x14ac:dyDescent="0.25">
      <c r="A2470" s="41">
        <v>45355.48754224537</v>
      </c>
      <c r="B2470" s="48">
        <f>IF(A2470&lt;&gt;"",DATE(YEAR(TRANSACTIONS!$A2470),MONTH(TRANSACTIONS!$A2470),DAY(TRANSACTIONS!$A2470)),"")</f>
        <v>45355</v>
      </c>
      <c r="C2470" s="49">
        <f>IF(A2470&lt;&gt;"",TIME(HOUR(TRANSACTIONS!$A2470),MINUTE(TRANSACTIONS!$A2470),SECOND(TRANSACTIONS!$A2470)),"")</f>
        <v>0.48754629629629626</v>
      </c>
      <c r="D2470" s="82" t="s">
        <v>62</v>
      </c>
      <c r="E2470" s="82" t="s">
        <v>7</v>
      </c>
      <c r="F2470" s="94">
        <v>5000</v>
      </c>
      <c r="G2470" s="46"/>
      <c r="H2470" s="46">
        <f>IFERROR(TRANSACTIONS!$F2470+TRANSACTIONS!$G2470,"")</f>
        <v>5000</v>
      </c>
      <c r="I2470" s="40" t="s">
        <v>41</v>
      </c>
    </row>
    <row r="2471" spans="1:11" x14ac:dyDescent="0.25">
      <c r="A2471" s="41">
        <v>45355.487523958334</v>
      </c>
      <c r="B2471" s="48">
        <f>IF(A2471&lt;&gt;"",DATE(YEAR(TRANSACTIONS!$A2471),MONTH(TRANSACTIONS!$A2471),DAY(TRANSACTIONS!$A2471)),"")</f>
        <v>45355</v>
      </c>
      <c r="C2471" s="49">
        <f>IF(A2471&lt;&gt;"",TIME(HOUR(TRANSACTIONS!$A2471),MINUTE(TRANSACTIONS!$A2471),SECOND(TRANSACTIONS!$A2471)),"")</f>
        <v>0.48752314814814812</v>
      </c>
      <c r="D2471" s="82" t="s">
        <v>25</v>
      </c>
      <c r="E2471" s="82" t="s">
        <v>6</v>
      </c>
      <c r="F2471" s="94">
        <v>5050</v>
      </c>
      <c r="G2471" s="46"/>
      <c r="H2471" s="46">
        <f>IFERROR(TRANSACTIONS!$F2471+TRANSACTIONS!$G2471,"")</f>
        <v>5050</v>
      </c>
      <c r="I2471" s="40" t="s">
        <v>41</v>
      </c>
    </row>
    <row r="2472" spans="1:11" x14ac:dyDescent="0.25">
      <c r="A2472" s="41">
        <v>45355.487555439817</v>
      </c>
      <c r="B2472" s="48">
        <f>IF(A2472&lt;&gt;"",DATE(YEAR(TRANSACTIONS!$A2472),MONTH(TRANSACTIONS!$A2472),DAY(TRANSACTIONS!$A2472)),"")</f>
        <v>45355</v>
      </c>
      <c r="C2472" s="49">
        <f>IF(A2472&lt;&gt;"",TIME(HOUR(TRANSACTIONS!$A2472),MINUTE(TRANSACTIONS!$A2472),SECOND(TRANSACTIONS!$A2472)),"")</f>
        <v>0.48755787037037041</v>
      </c>
      <c r="D2472" s="82" t="s">
        <v>25</v>
      </c>
      <c r="E2472" s="82" t="s">
        <v>6</v>
      </c>
      <c r="F2472" s="94">
        <v>90000</v>
      </c>
      <c r="G2472" s="46"/>
      <c r="H2472" s="46">
        <f>IFERROR(TRANSACTIONS!$F2472+TRANSACTIONS!$G2472,"")</f>
        <v>90000</v>
      </c>
      <c r="I2472" s="40" t="s">
        <v>41</v>
      </c>
    </row>
    <row r="2473" spans="1:11" x14ac:dyDescent="0.25">
      <c r="A2473" s="81">
        <v>45355.487569328703</v>
      </c>
      <c r="B2473" s="83">
        <f>IF(A2473&lt;&gt;"",DATE(YEAR(TRANSACTIONS!$A2473),MONTH(TRANSACTIONS!$A2473),DAY(TRANSACTIONS!$A2473)),"")</f>
        <v>45355</v>
      </c>
      <c r="C2473" s="84">
        <f>IF(A2473&lt;&gt;"",TIME(HOUR(TRANSACTIONS!$A2473),MINUTE(TRANSACTIONS!$A2473),SECOND(TRANSACTIONS!$A2473)),"")</f>
        <v>0.48756944444444444</v>
      </c>
      <c r="D2473" s="82" t="s">
        <v>25</v>
      </c>
      <c r="E2473" s="82" t="s">
        <v>7</v>
      </c>
      <c r="F2473" s="94">
        <v>15000</v>
      </c>
      <c r="G2473" s="86"/>
      <c r="H2473" s="86">
        <f>IFERROR(TRANSACTIONS!$F2473+TRANSACTIONS!$G2473,"")</f>
        <v>15000</v>
      </c>
      <c r="I2473" s="88" t="s">
        <v>41</v>
      </c>
      <c r="J2473" s="88"/>
      <c r="K2473" s="88"/>
    </row>
    <row r="2474" spans="1:11" x14ac:dyDescent="0.25">
      <c r="A2474" s="41">
        <v>45355.487578703702</v>
      </c>
      <c r="B2474" s="48">
        <f>IF(A2474&lt;&gt;"",DATE(YEAR(TRANSACTIONS!$A2474),MONTH(TRANSACTIONS!$A2474),DAY(TRANSACTIONS!$A2474)),"")</f>
        <v>45355</v>
      </c>
      <c r="C2474" s="49">
        <f>IF(A2474&lt;&gt;"",TIME(HOUR(TRANSACTIONS!$A2474),MINUTE(TRANSACTIONS!$A2474),SECOND(TRANSACTIONS!$A2474)),"")</f>
        <v>0.48758101851851854</v>
      </c>
      <c r="D2474" s="82" t="s">
        <v>25</v>
      </c>
      <c r="E2474" s="82" t="s">
        <v>6</v>
      </c>
      <c r="F2474" s="94">
        <v>10100</v>
      </c>
      <c r="G2474" s="46"/>
      <c r="H2474" s="46">
        <f>IFERROR(TRANSACTIONS!$F2474+TRANSACTIONS!$G2474,"")</f>
        <v>10100</v>
      </c>
      <c r="I2474" s="40" t="s">
        <v>41</v>
      </c>
    </row>
    <row r="2475" spans="1:11" x14ac:dyDescent="0.25">
      <c r="A2475" s="41">
        <v>45355.487622685185</v>
      </c>
      <c r="B2475" s="48">
        <f>IF(A2475&lt;&gt;"",DATE(YEAR(TRANSACTIONS!$A2475),MONTH(TRANSACTIONS!$A2475),DAY(TRANSACTIONS!$A2475)),"")</f>
        <v>45355</v>
      </c>
      <c r="C2475" s="49">
        <f>IF(A2475&lt;&gt;"",TIME(HOUR(TRANSACTIONS!$A2475),MINUTE(TRANSACTIONS!$A2475),SECOND(TRANSACTIONS!$A2475)),"")</f>
        <v>0.48762731481481486</v>
      </c>
      <c r="D2475" s="82" t="s">
        <v>25</v>
      </c>
      <c r="E2475" s="82" t="s">
        <v>6</v>
      </c>
      <c r="F2475" s="94">
        <v>6000</v>
      </c>
      <c r="G2475" s="46"/>
      <c r="H2475" s="46">
        <f>IFERROR(TRANSACTIONS!$F2475+TRANSACTIONS!$G2475,"")</f>
        <v>6000</v>
      </c>
      <c r="I2475" s="40" t="s">
        <v>41</v>
      </c>
    </row>
    <row r="2476" spans="1:11" x14ac:dyDescent="0.25">
      <c r="A2476" s="41">
        <v>45355.487725694446</v>
      </c>
      <c r="B2476" s="48">
        <f>IF(A2476&lt;&gt;"",DATE(YEAR(TRANSACTIONS!$A2476),MONTH(TRANSACTIONS!$A2476),DAY(TRANSACTIONS!$A2476)),"")</f>
        <v>45355</v>
      </c>
      <c r="C2476" s="49">
        <f>IF(A2476&lt;&gt;"",TIME(HOUR(TRANSACTIONS!$A2476),MINUTE(TRANSACTIONS!$A2476),SECOND(TRANSACTIONS!$A2476)),"")</f>
        <v>0.48771990740740739</v>
      </c>
      <c r="D2476" s="82" t="s">
        <v>25</v>
      </c>
      <c r="E2476" s="82" t="s">
        <v>6</v>
      </c>
      <c r="F2476" s="94">
        <v>2000</v>
      </c>
      <c r="G2476" s="46"/>
      <c r="H2476" s="46">
        <f>IFERROR(TRANSACTIONS!$F2476+TRANSACTIONS!$G2476,"")</f>
        <v>2000</v>
      </c>
      <c r="I2476" s="40" t="s">
        <v>41</v>
      </c>
    </row>
    <row r="2477" spans="1:11" x14ac:dyDescent="0.25">
      <c r="A2477" s="41">
        <v>45355.48773483796</v>
      </c>
      <c r="B2477" s="48">
        <f>IF(A2477&lt;&gt;"",DATE(YEAR(TRANSACTIONS!$A2477),MONTH(TRANSACTIONS!$A2477),DAY(TRANSACTIONS!$A2477)),"")</f>
        <v>45355</v>
      </c>
      <c r="C2477" s="49">
        <f>IF(A2477&lt;&gt;"",TIME(HOUR(TRANSACTIONS!$A2477),MINUTE(TRANSACTIONS!$A2477),SECOND(TRANSACTIONS!$A2477)),"")</f>
        <v>0.48773148148148149</v>
      </c>
      <c r="D2477" s="82" t="s">
        <v>25</v>
      </c>
      <c r="E2477" s="82" t="s">
        <v>6</v>
      </c>
      <c r="F2477" s="94">
        <v>600</v>
      </c>
      <c r="G2477" s="46"/>
      <c r="H2477" s="46">
        <f>IFERROR(TRANSACTIONS!$F2477+TRANSACTIONS!$G2477,"")</f>
        <v>600</v>
      </c>
      <c r="I2477" s="40" t="s">
        <v>41</v>
      </c>
    </row>
    <row r="2478" spans="1:11" x14ac:dyDescent="0.25">
      <c r="A2478" s="41">
        <v>45355.487742592595</v>
      </c>
      <c r="B2478" s="48">
        <f>IF(A2478&lt;&gt;"",DATE(YEAR(TRANSACTIONS!$A2478),MONTH(TRANSACTIONS!$A2478),DAY(TRANSACTIONS!$A2478)),"")</f>
        <v>45355</v>
      </c>
      <c r="C2478" s="49">
        <f>IF(A2478&lt;&gt;"",TIME(HOUR(TRANSACTIONS!$A2478),MINUTE(TRANSACTIONS!$A2478),SECOND(TRANSACTIONS!$A2478)),"")</f>
        <v>0.48774305555555553</v>
      </c>
      <c r="D2478" s="82" t="s">
        <v>25</v>
      </c>
      <c r="E2478" s="82" t="s">
        <v>6</v>
      </c>
      <c r="F2478" s="94">
        <v>200000</v>
      </c>
      <c r="G2478" s="46"/>
      <c r="H2478" s="46">
        <f>IFERROR(TRANSACTIONS!$F2478+TRANSACTIONS!$G2478,"")</f>
        <v>200000</v>
      </c>
      <c r="I2478" s="40" t="s">
        <v>41</v>
      </c>
    </row>
    <row r="2479" spans="1:11" x14ac:dyDescent="0.25">
      <c r="A2479" s="41">
        <v>45355.487773611108</v>
      </c>
      <c r="B2479" s="48">
        <f>IF(A2479&lt;&gt;"",DATE(YEAR(TRANSACTIONS!$A2479),MONTH(TRANSACTIONS!$A2479),DAY(TRANSACTIONS!$A2479)),"")</f>
        <v>45355</v>
      </c>
      <c r="C2479" s="49">
        <f>IF(A2479&lt;&gt;"",TIME(HOUR(TRANSACTIONS!$A2479),MINUTE(TRANSACTIONS!$A2479),SECOND(TRANSACTIONS!$A2479)),"")</f>
        <v>0.48777777777777781</v>
      </c>
      <c r="D2479" s="82" t="s">
        <v>25</v>
      </c>
      <c r="E2479" s="82" t="s">
        <v>6</v>
      </c>
      <c r="F2479" s="94">
        <v>2200</v>
      </c>
      <c r="G2479" s="46"/>
      <c r="H2479" s="46">
        <f>IFERROR(TRANSACTIONS!$F2479+TRANSACTIONS!$G2479,"")</f>
        <v>2200</v>
      </c>
      <c r="I2479" s="40" t="s">
        <v>41</v>
      </c>
    </row>
    <row r="2480" spans="1:11" x14ac:dyDescent="0.25">
      <c r="A2480" s="41">
        <v>45355.487783101853</v>
      </c>
      <c r="B2480" s="48">
        <f>IF(A2480&lt;&gt;"",DATE(YEAR(TRANSACTIONS!$A2480),MONTH(TRANSACTIONS!$A2480),DAY(TRANSACTIONS!$A2480)),"")</f>
        <v>45355</v>
      </c>
      <c r="C2480" s="49">
        <f>IF(A2480&lt;&gt;"",TIME(HOUR(TRANSACTIONS!$A2480),MINUTE(TRANSACTIONS!$A2480),SECOND(TRANSACTIONS!$A2480)),"")</f>
        <v>0.48777777777777781</v>
      </c>
      <c r="D2480" s="82" t="s">
        <v>25</v>
      </c>
      <c r="E2480" s="82" t="s">
        <v>6</v>
      </c>
      <c r="F2480" s="94">
        <v>500</v>
      </c>
      <c r="G2480" s="46"/>
      <c r="H2480" s="46">
        <f>IFERROR(TRANSACTIONS!$F2480+TRANSACTIONS!$G2480,"")</f>
        <v>500</v>
      </c>
      <c r="I2480" s="40" t="s">
        <v>41</v>
      </c>
    </row>
    <row r="2481" spans="1:9" x14ac:dyDescent="0.25">
      <c r="A2481" s="41">
        <v>45355.683928935185</v>
      </c>
      <c r="B2481" s="48">
        <f>IF(A2481&lt;&gt;"",DATE(YEAR(TRANSACTIONS!$A2481),MONTH(TRANSACTIONS!$A2481),DAY(TRANSACTIONS!$A2481)),"")</f>
        <v>45355</v>
      </c>
      <c r="C2481" s="49">
        <f>IF(A2481&lt;&gt;"",TIME(HOUR(TRANSACTIONS!$A2481),MINUTE(TRANSACTIONS!$A2481),SECOND(TRANSACTIONS!$A2481)),"")</f>
        <v>0.68392361111111111</v>
      </c>
      <c r="D2481" s="82" t="s">
        <v>25</v>
      </c>
      <c r="E2481" s="82" t="s">
        <v>7</v>
      </c>
      <c r="F2481" s="94">
        <v>50000</v>
      </c>
      <c r="G2481" s="46"/>
      <c r="H2481" s="46">
        <f>IFERROR(TRANSACTIONS!$F2481+TRANSACTIONS!$G2481,"")</f>
        <v>50000</v>
      </c>
      <c r="I2481" s="40" t="s">
        <v>41</v>
      </c>
    </row>
    <row r="2482" spans="1:9" x14ac:dyDescent="0.25">
      <c r="A2482" s="81">
        <v>45355.684231134263</v>
      </c>
      <c r="B2482" s="83">
        <f>IF(A2482&lt;&gt;"",DATE(YEAR(TRANSACTIONS!$A2482),MONTH(TRANSACTIONS!$A2482),DAY(TRANSACTIONS!$A2482)),"")</f>
        <v>45355</v>
      </c>
      <c r="C2482" s="84">
        <f>IF(A2482&lt;&gt;"",TIME(HOUR(TRANSACTIONS!$A2482),MINUTE(TRANSACTIONS!$A2482),SECOND(TRANSACTIONS!$A2482)),"")</f>
        <v>0.68423611111111116</v>
      </c>
      <c r="D2482" s="82" t="s">
        <v>25</v>
      </c>
      <c r="E2482" s="82" t="s">
        <v>6</v>
      </c>
      <c r="F2482" s="94">
        <v>10000</v>
      </c>
      <c r="G2482" s="86"/>
      <c r="H2482" s="86">
        <f>IFERROR(TRANSACTIONS!$F2482+TRANSACTIONS!$G2482,"")</f>
        <v>10000</v>
      </c>
      <c r="I2482" s="88" t="s">
        <v>41</v>
      </c>
    </row>
    <row r="2483" spans="1:9" x14ac:dyDescent="0.25">
      <c r="A2483" s="41">
        <v>45355.684240509261</v>
      </c>
      <c r="B2483" s="48">
        <f>IF(A2483&lt;&gt;"",DATE(YEAR(TRANSACTIONS!$A2483),MONTH(TRANSACTIONS!$A2483),DAY(TRANSACTIONS!$A2483)),"")</f>
        <v>45355</v>
      </c>
      <c r="C2483" s="49">
        <f>IF(A2483&lt;&gt;"",TIME(HOUR(TRANSACTIONS!$A2483),MINUTE(TRANSACTIONS!$A2483),SECOND(TRANSACTIONS!$A2483)),"")</f>
        <v>0.68423611111111116</v>
      </c>
      <c r="D2483" s="82" t="s">
        <v>25</v>
      </c>
      <c r="E2483" s="82" t="s">
        <v>6</v>
      </c>
      <c r="F2483" s="94">
        <v>1000</v>
      </c>
      <c r="G2483" s="46"/>
      <c r="H2483" s="46">
        <f>IFERROR(TRANSACTIONS!$F2483+TRANSACTIONS!$G2483,"")</f>
        <v>1000</v>
      </c>
      <c r="I2483" s="40" t="s">
        <v>41</v>
      </c>
    </row>
    <row r="2484" spans="1:9" x14ac:dyDescent="0.25">
      <c r="A2484" s="41">
        <v>45355.684247569443</v>
      </c>
      <c r="B2484" s="48">
        <f>IF(A2484&lt;&gt;"",DATE(YEAR(TRANSACTIONS!$A2484),MONTH(TRANSACTIONS!$A2484),DAY(TRANSACTIONS!$A2484)),"")</f>
        <v>45355</v>
      </c>
      <c r="C2484" s="49">
        <f>IF(A2484&lt;&gt;"",TIME(HOUR(TRANSACTIONS!$A2484),MINUTE(TRANSACTIONS!$A2484),SECOND(TRANSACTIONS!$A2484)),"")</f>
        <v>0.68424768518518519</v>
      </c>
      <c r="D2484" s="82" t="s">
        <v>25</v>
      </c>
      <c r="E2484" s="82" t="s">
        <v>6</v>
      </c>
      <c r="F2484" s="94">
        <v>2000</v>
      </c>
      <c r="G2484" s="46"/>
      <c r="H2484" s="46">
        <f>IFERROR(TRANSACTIONS!$F2484+TRANSACTIONS!$G2484,"")</f>
        <v>2000</v>
      </c>
      <c r="I2484" s="40" t="s">
        <v>41</v>
      </c>
    </row>
    <row r="2485" spans="1:9" x14ac:dyDescent="0.25">
      <c r="A2485" s="41">
        <v>45355.684268750003</v>
      </c>
      <c r="B2485" s="48">
        <f>IF(A2485&lt;&gt;"",DATE(YEAR(TRANSACTIONS!$A2485),MONTH(TRANSACTIONS!$A2485),DAY(TRANSACTIONS!$A2485)),"")</f>
        <v>45355</v>
      </c>
      <c r="C2485" s="49">
        <f>IF(A2485&lt;&gt;"",TIME(HOUR(TRANSACTIONS!$A2485),MINUTE(TRANSACTIONS!$A2485),SECOND(TRANSACTIONS!$A2485)),"")</f>
        <v>0.68427083333333327</v>
      </c>
      <c r="D2485" s="82" t="s">
        <v>62</v>
      </c>
      <c r="E2485" s="82" t="s">
        <v>6</v>
      </c>
      <c r="F2485" s="94">
        <v>2000</v>
      </c>
      <c r="G2485" s="46"/>
      <c r="H2485" s="46">
        <f>IFERROR(TRANSACTIONS!$F2485+TRANSACTIONS!$G2485,"")</f>
        <v>2000</v>
      </c>
      <c r="I2485" s="40" t="s">
        <v>41</v>
      </c>
    </row>
    <row r="2486" spans="1:9" x14ac:dyDescent="0.25">
      <c r="A2486" s="41">
        <v>45355.684277777778</v>
      </c>
      <c r="B2486" s="48">
        <f>IF(A2486&lt;&gt;"",DATE(YEAR(TRANSACTIONS!$A2486),MONTH(TRANSACTIONS!$A2486),DAY(TRANSACTIONS!$A2486)),"")</f>
        <v>45355</v>
      </c>
      <c r="C2486" s="49">
        <f>IF(A2486&lt;&gt;"",TIME(HOUR(TRANSACTIONS!$A2486),MINUTE(TRANSACTIONS!$A2486),SECOND(TRANSACTIONS!$A2486)),"")</f>
        <v>0.68428240740740742</v>
      </c>
      <c r="D2486" s="82" t="s">
        <v>62</v>
      </c>
      <c r="E2486" s="82" t="s">
        <v>7</v>
      </c>
      <c r="F2486" s="94">
        <v>2000</v>
      </c>
      <c r="G2486" s="46"/>
      <c r="H2486" s="46">
        <f>IFERROR(TRANSACTIONS!$F2486+TRANSACTIONS!$G2486,"")</f>
        <v>2000</v>
      </c>
      <c r="I2486" s="40" t="s">
        <v>41</v>
      </c>
    </row>
    <row r="2487" spans="1:9" x14ac:dyDescent="0.25">
      <c r="A2487" s="41">
        <v>45355.684293287035</v>
      </c>
      <c r="B2487" s="48">
        <f>IF(A2487&lt;&gt;"",DATE(YEAR(TRANSACTIONS!$A2487),MONTH(TRANSACTIONS!$A2487),DAY(TRANSACTIONS!$A2487)),"")</f>
        <v>45355</v>
      </c>
      <c r="C2487" s="49">
        <f>IF(A2487&lt;&gt;"",TIME(HOUR(TRANSACTIONS!$A2487),MINUTE(TRANSACTIONS!$A2487),SECOND(TRANSACTIONS!$A2487)),"")</f>
        <v>0.68429398148148157</v>
      </c>
      <c r="D2487" s="82" t="s">
        <v>62</v>
      </c>
      <c r="E2487" s="82" t="s">
        <v>6</v>
      </c>
      <c r="F2487" s="94">
        <v>300000</v>
      </c>
      <c r="G2487" s="46"/>
      <c r="H2487" s="46">
        <f>IFERROR(TRANSACTIONS!$F2487+TRANSACTIONS!$G2487,"")</f>
        <v>300000</v>
      </c>
      <c r="I2487" s="40" t="s">
        <v>41</v>
      </c>
    </row>
    <row r="2488" spans="1:9" x14ac:dyDescent="0.25">
      <c r="A2488" s="41">
        <v>45355.684285995369</v>
      </c>
      <c r="B2488" s="48">
        <f>IF(A2488&lt;&gt;"",DATE(YEAR(TRANSACTIONS!$A2488),MONTH(TRANSACTIONS!$A2488),DAY(TRANSACTIONS!$A2488)),"")</f>
        <v>45355</v>
      </c>
      <c r="C2488" s="49">
        <f>IF(A2488&lt;&gt;"",TIME(HOUR(TRANSACTIONS!$A2488),MINUTE(TRANSACTIONS!$A2488),SECOND(TRANSACTIONS!$A2488)),"")</f>
        <v>0.68428240740740742</v>
      </c>
      <c r="D2488" s="82" t="s">
        <v>62</v>
      </c>
      <c r="E2488" s="82" t="s">
        <v>6</v>
      </c>
      <c r="F2488" s="94">
        <v>200000</v>
      </c>
      <c r="G2488" s="46"/>
      <c r="H2488" s="46">
        <f>IFERROR(TRANSACTIONS!$F2488+TRANSACTIONS!$G2488,"")</f>
        <v>200000</v>
      </c>
      <c r="I2488" s="40" t="s">
        <v>41</v>
      </c>
    </row>
    <row r="2489" spans="1:9" x14ac:dyDescent="0.25">
      <c r="A2489" s="41">
        <v>45355.684306712959</v>
      </c>
      <c r="B2489" s="48">
        <f>IF(A2489&lt;&gt;"",DATE(YEAR(TRANSACTIONS!$A2489),MONTH(TRANSACTIONS!$A2489),DAY(TRANSACTIONS!$A2489)),"")</f>
        <v>45355</v>
      </c>
      <c r="C2489" s="49">
        <f>IF(A2489&lt;&gt;"",TIME(HOUR(TRANSACTIONS!$A2489),MINUTE(TRANSACTIONS!$A2489),SECOND(TRANSACTIONS!$A2489)),"")</f>
        <v>0.6843055555555555</v>
      </c>
      <c r="D2489" s="82" t="s">
        <v>62</v>
      </c>
      <c r="E2489" s="82" t="s">
        <v>6</v>
      </c>
      <c r="F2489" s="94">
        <v>100000</v>
      </c>
      <c r="G2489" s="46"/>
      <c r="H2489" s="46">
        <f>IFERROR(TRANSACTIONS!$F2489+TRANSACTIONS!$G2489,"")</f>
        <v>100000</v>
      </c>
      <c r="I2489" s="40" t="s">
        <v>41</v>
      </c>
    </row>
    <row r="2490" spans="1:9" x14ac:dyDescent="0.25">
      <c r="A2490" s="41">
        <v>45355.684323263886</v>
      </c>
      <c r="B2490" s="48">
        <f>IF(A2490&lt;&gt;"",DATE(YEAR(TRANSACTIONS!$A2490),MONTH(TRANSACTIONS!$A2490),DAY(TRANSACTIONS!$A2490)),"")</f>
        <v>45355</v>
      </c>
      <c r="C2490" s="49">
        <f>IF(A2490&lt;&gt;"",TIME(HOUR(TRANSACTIONS!$A2490),MINUTE(TRANSACTIONS!$A2490),SECOND(TRANSACTIONS!$A2490)),"")</f>
        <v>0.68432870370370369</v>
      </c>
      <c r="D2490" s="82" t="s">
        <v>62</v>
      </c>
      <c r="E2490" s="82" t="s">
        <v>7</v>
      </c>
      <c r="F2490" s="94">
        <v>35000</v>
      </c>
      <c r="G2490" s="46"/>
      <c r="H2490" s="46">
        <f>IFERROR(TRANSACTIONS!$F2490+TRANSACTIONS!$G2490,"")</f>
        <v>35000</v>
      </c>
      <c r="I2490" s="40" t="s">
        <v>41</v>
      </c>
    </row>
    <row r="2491" spans="1:9" x14ac:dyDescent="0.25">
      <c r="A2491" s="41">
        <v>45355.684332175922</v>
      </c>
      <c r="B2491" s="48">
        <f>IF(A2491&lt;&gt;"",DATE(YEAR(TRANSACTIONS!$A2491),MONTH(TRANSACTIONS!$A2491),DAY(TRANSACTIONS!$A2491)),"")</f>
        <v>45355</v>
      </c>
      <c r="C2491" s="49">
        <f>IF(A2491&lt;&gt;"",TIME(HOUR(TRANSACTIONS!$A2491),MINUTE(TRANSACTIONS!$A2491),SECOND(TRANSACTIONS!$A2491)),"")</f>
        <v>0.68432870370370369</v>
      </c>
      <c r="D2491" s="82" t="s">
        <v>62</v>
      </c>
      <c r="E2491" s="82" t="s">
        <v>7</v>
      </c>
      <c r="F2491" s="94">
        <v>1000</v>
      </c>
      <c r="G2491" s="46"/>
      <c r="H2491" s="46">
        <f>IFERROR(TRANSACTIONS!$F2491+TRANSACTIONS!$G2491,"")</f>
        <v>1000</v>
      </c>
      <c r="I2491" s="40" t="s">
        <v>41</v>
      </c>
    </row>
    <row r="2492" spans="1:9" x14ac:dyDescent="0.25">
      <c r="A2492" s="41">
        <v>45355.684339930558</v>
      </c>
      <c r="B2492" s="48">
        <f>IF(A2492&lt;&gt;"",DATE(YEAR(TRANSACTIONS!$A2492),MONTH(TRANSACTIONS!$A2492),DAY(TRANSACTIONS!$A2492)),"")</f>
        <v>45355</v>
      </c>
      <c r="C2492" s="49">
        <f>IF(A2492&lt;&gt;"",TIME(HOUR(TRANSACTIONS!$A2492),MINUTE(TRANSACTIONS!$A2492),SECOND(TRANSACTIONS!$A2492)),"")</f>
        <v>0.68434027777777784</v>
      </c>
      <c r="D2492" s="82" t="s">
        <v>62</v>
      </c>
      <c r="E2492" s="82" t="s">
        <v>7</v>
      </c>
      <c r="F2492" s="94">
        <v>25000</v>
      </c>
      <c r="G2492" s="46"/>
      <c r="H2492" s="46">
        <f>IFERROR(TRANSACTIONS!$F2492+TRANSACTIONS!$G2492,"")</f>
        <v>25000</v>
      </c>
      <c r="I2492" s="40" t="s">
        <v>41</v>
      </c>
    </row>
    <row r="2493" spans="1:9" x14ac:dyDescent="0.25">
      <c r="A2493" s="41">
        <v>45355.684348958333</v>
      </c>
      <c r="B2493" s="48">
        <f>IF(A2493&lt;&gt;"",DATE(YEAR(TRANSACTIONS!$A2493),MONTH(TRANSACTIONS!$A2493),DAY(TRANSACTIONS!$A2493)),"")</f>
        <v>45355</v>
      </c>
      <c r="C2493" s="49">
        <f>IF(A2493&lt;&gt;"",TIME(HOUR(TRANSACTIONS!$A2493),MINUTE(TRANSACTIONS!$A2493),SECOND(TRANSACTIONS!$A2493)),"")</f>
        <v>0.68435185185185177</v>
      </c>
      <c r="D2493" s="82" t="s">
        <v>62</v>
      </c>
      <c r="E2493" s="82" t="s">
        <v>7</v>
      </c>
      <c r="F2493" s="94">
        <v>10000</v>
      </c>
      <c r="G2493" s="46"/>
      <c r="H2493" s="46">
        <f>IFERROR(TRANSACTIONS!$F2493+TRANSACTIONS!$G2493,"")</f>
        <v>10000</v>
      </c>
      <c r="I2493" s="40" t="s">
        <v>41</v>
      </c>
    </row>
    <row r="2494" spans="1:9" x14ac:dyDescent="0.25">
      <c r="A2494" s="41">
        <v>45355.684371759256</v>
      </c>
      <c r="B2494" s="48">
        <f>IF(A2494&lt;&gt;"",DATE(YEAR(TRANSACTIONS!$A2494),MONTH(TRANSACTIONS!$A2494),DAY(TRANSACTIONS!$A2494)),"")</f>
        <v>45355</v>
      </c>
      <c r="C2494" s="49">
        <f>IF(A2494&lt;&gt;"",TIME(HOUR(TRANSACTIONS!$A2494),MINUTE(TRANSACTIONS!$A2494),SECOND(TRANSACTIONS!$A2494)),"")</f>
        <v>0.68437500000000007</v>
      </c>
      <c r="D2494" s="82" t="s">
        <v>62</v>
      </c>
      <c r="E2494" s="82" t="s">
        <v>6</v>
      </c>
      <c r="F2494" s="94">
        <v>5000</v>
      </c>
      <c r="G2494" s="46"/>
      <c r="H2494" s="46">
        <f>IFERROR(TRANSACTIONS!$F2494+TRANSACTIONS!$G2494,"")</f>
        <v>5000</v>
      </c>
      <c r="I2494" s="40" t="s">
        <v>41</v>
      </c>
    </row>
    <row r="2495" spans="1:9" x14ac:dyDescent="0.25">
      <c r="A2495" s="41">
        <v>45355.684383449072</v>
      </c>
      <c r="B2495" s="48">
        <f>IF(A2495&lt;&gt;"",DATE(YEAR(TRANSACTIONS!$A2495),MONTH(TRANSACTIONS!$A2495),DAY(TRANSACTIONS!$A2495)),"")</f>
        <v>45355</v>
      </c>
      <c r="C2495" s="49">
        <f>IF(A2495&lt;&gt;"",TIME(HOUR(TRANSACTIONS!$A2495),MINUTE(TRANSACTIONS!$A2495),SECOND(TRANSACTIONS!$A2495)),"")</f>
        <v>0.68438657407407411</v>
      </c>
      <c r="D2495" s="82" t="s">
        <v>62</v>
      </c>
      <c r="E2495" s="82" t="s">
        <v>7</v>
      </c>
      <c r="F2495" s="94">
        <v>7000</v>
      </c>
      <c r="G2495" s="46"/>
      <c r="H2495" s="46">
        <f>IFERROR(TRANSACTIONS!$F2495+TRANSACTIONS!$G2495,"")</f>
        <v>7000</v>
      </c>
      <c r="I2495" s="40" t="s">
        <v>41</v>
      </c>
    </row>
    <row r="2496" spans="1:9" x14ac:dyDescent="0.25">
      <c r="A2496" s="41">
        <v>45355.684400694445</v>
      </c>
      <c r="B2496" s="48">
        <f>IF(A2496&lt;&gt;"",DATE(YEAR(TRANSACTIONS!$A2496),MONTH(TRANSACTIONS!$A2496),DAY(TRANSACTIONS!$A2496)),"")</f>
        <v>45355</v>
      </c>
      <c r="C2496" s="49">
        <f>IF(A2496&lt;&gt;"",TIME(HOUR(TRANSACTIONS!$A2496),MINUTE(TRANSACTIONS!$A2496),SECOND(TRANSACTIONS!$A2496)),"")</f>
        <v>0.68439814814814814</v>
      </c>
      <c r="D2496" s="82" t="s">
        <v>62</v>
      </c>
      <c r="E2496" s="82" t="s">
        <v>7</v>
      </c>
      <c r="F2496" s="94">
        <v>2000</v>
      </c>
      <c r="G2496" s="46"/>
      <c r="H2496" s="46">
        <f>IFERROR(TRANSACTIONS!$F2496+TRANSACTIONS!$G2496,"")</f>
        <v>2000</v>
      </c>
      <c r="I2496" s="40" t="s">
        <v>41</v>
      </c>
    </row>
    <row r="2497" spans="1:9" x14ac:dyDescent="0.25">
      <c r="A2497" s="113">
        <v>45355.686447916669</v>
      </c>
      <c r="B2497" s="114">
        <f>IF(A2497&lt;&gt;"",DATE(YEAR(TRANSACTIONS!$A2497),MONTH(TRANSACTIONS!$A2497),DAY(TRANSACTIONS!$A2497)),"")</f>
        <v>45355</v>
      </c>
      <c r="C2497" s="115">
        <f>IF(A2497&lt;&gt;"",TIME(HOUR(TRANSACTIONS!$A2497),MINUTE(TRANSACTIONS!$A2497),SECOND(TRANSACTIONS!$A2497)),"")</f>
        <v>0.68644675925925924</v>
      </c>
      <c r="D2497" s="82" t="s">
        <v>62</v>
      </c>
      <c r="E2497" s="82" t="s">
        <v>7</v>
      </c>
      <c r="F2497" s="94">
        <v>4800</v>
      </c>
      <c r="G2497" s="117"/>
      <c r="H2497" s="117">
        <f>IFERROR(TRANSACTIONS!$F2497+TRANSACTIONS!$G2497,"")</f>
        <v>4800</v>
      </c>
      <c r="I2497" s="118" t="s">
        <v>41</v>
      </c>
    </row>
    <row r="2498" spans="1:9" x14ac:dyDescent="0.25">
      <c r="A2498" s="41">
        <v>45355.686468981483</v>
      </c>
      <c r="B2498" s="48">
        <f>IF(A2498&lt;&gt;"",DATE(YEAR(TRANSACTIONS!$A2498),MONTH(TRANSACTIONS!$A2498),DAY(TRANSACTIONS!$A2498)),"")</f>
        <v>45355</v>
      </c>
      <c r="C2498" s="49">
        <f>IF(A2498&lt;&gt;"",TIME(HOUR(TRANSACTIONS!$A2498),MINUTE(TRANSACTIONS!$A2498),SECOND(TRANSACTIONS!$A2498)),"")</f>
        <v>0.68646990740740732</v>
      </c>
      <c r="D2498" s="82" t="s">
        <v>62</v>
      </c>
      <c r="E2498" s="82" t="s">
        <v>6</v>
      </c>
      <c r="F2498" s="94">
        <v>50000</v>
      </c>
      <c r="G2498" s="46"/>
      <c r="H2498" s="46">
        <f>IFERROR(TRANSACTIONS!$F2498+TRANSACTIONS!$G2498,"")</f>
        <v>50000</v>
      </c>
      <c r="I2498" s="40" t="s">
        <v>41</v>
      </c>
    </row>
    <row r="2499" spans="1:9" x14ac:dyDescent="0.25">
      <c r="A2499" s="41">
        <v>45355.68653796296</v>
      </c>
      <c r="B2499" s="48">
        <f>IF(A2499&lt;&gt;"",DATE(YEAR(TRANSACTIONS!$A2499),MONTH(TRANSACTIONS!$A2499),DAY(TRANSACTIONS!$A2499)),"")</f>
        <v>45355</v>
      </c>
      <c r="C2499" s="49">
        <f>IF(A2499&lt;&gt;"",TIME(HOUR(TRANSACTIONS!$A2499),MINUTE(TRANSACTIONS!$A2499),SECOND(TRANSACTIONS!$A2499)),"")</f>
        <v>0.68653935185185189</v>
      </c>
      <c r="D2499" s="82" t="s">
        <v>62</v>
      </c>
      <c r="E2499" s="82" t="s">
        <v>7</v>
      </c>
      <c r="F2499" s="94">
        <v>5000</v>
      </c>
      <c r="G2499" s="46"/>
      <c r="H2499" s="46">
        <f>IFERROR(TRANSACTIONS!$F2499+TRANSACTIONS!$G2499,"")</f>
        <v>5000</v>
      </c>
      <c r="I2499" s="40" t="s">
        <v>41</v>
      </c>
    </row>
    <row r="2500" spans="1:9" x14ac:dyDescent="0.25">
      <c r="A2500" s="41">
        <v>45355.686546759258</v>
      </c>
      <c r="B2500" s="48">
        <f>IF(A2500&lt;&gt;"",DATE(YEAR(TRANSACTIONS!$A2500),MONTH(TRANSACTIONS!$A2500),DAY(TRANSACTIONS!$A2500)),"")</f>
        <v>45355</v>
      </c>
      <c r="C2500" s="49">
        <f>IF(A2500&lt;&gt;"",TIME(HOUR(TRANSACTIONS!$A2500),MINUTE(TRANSACTIONS!$A2500),SECOND(TRANSACTIONS!$A2500)),"")</f>
        <v>0.68655092592592604</v>
      </c>
      <c r="D2500" s="82" t="s">
        <v>62</v>
      </c>
      <c r="E2500" s="82" t="s">
        <v>7</v>
      </c>
      <c r="F2500" s="94">
        <v>15000</v>
      </c>
      <c r="G2500" s="46"/>
      <c r="H2500" s="46">
        <f>IFERROR(TRANSACTIONS!$F2500+TRANSACTIONS!$G2500,"")</f>
        <v>15000</v>
      </c>
      <c r="I2500" s="40" t="s">
        <v>41</v>
      </c>
    </row>
    <row r="2501" spans="1:9" x14ac:dyDescent="0.25">
      <c r="A2501" s="41">
        <v>45355.686567013887</v>
      </c>
      <c r="B2501" s="48">
        <f>IF(A2501&lt;&gt;"",DATE(YEAR(TRANSACTIONS!$A2501),MONTH(TRANSACTIONS!$A2501),DAY(TRANSACTIONS!$A2501)),"")</f>
        <v>45355</v>
      </c>
      <c r="C2501" s="49">
        <f>IF(A2501&lt;&gt;"",TIME(HOUR(TRANSACTIONS!$A2501),MINUTE(TRANSACTIONS!$A2501),SECOND(TRANSACTIONS!$A2501)),"")</f>
        <v>0.68656249999999996</v>
      </c>
      <c r="D2501" s="82" t="s">
        <v>62</v>
      </c>
      <c r="E2501" s="82" t="s">
        <v>7</v>
      </c>
      <c r="F2501" s="94">
        <v>20000</v>
      </c>
      <c r="G2501" s="46"/>
      <c r="H2501" s="46">
        <f>IFERROR(TRANSACTIONS!$F2501+TRANSACTIONS!$G2501,"")</f>
        <v>20000</v>
      </c>
      <c r="I2501" s="40" t="s">
        <v>41</v>
      </c>
    </row>
    <row r="2502" spans="1:9" x14ac:dyDescent="0.25">
      <c r="A2502" s="41">
        <v>45355.686575347223</v>
      </c>
      <c r="B2502" s="48">
        <f>IF(A2502&lt;&gt;"",DATE(YEAR(TRANSACTIONS!$A2502),MONTH(TRANSACTIONS!$A2502),DAY(TRANSACTIONS!$A2502)),"")</f>
        <v>45355</v>
      </c>
      <c r="C2502" s="49">
        <f>IF(A2502&lt;&gt;"",TIME(HOUR(TRANSACTIONS!$A2502),MINUTE(TRANSACTIONS!$A2502),SECOND(TRANSACTIONS!$A2502)),"")</f>
        <v>0.68657407407407411</v>
      </c>
      <c r="D2502" s="82" t="s">
        <v>62</v>
      </c>
      <c r="E2502" s="82" t="s">
        <v>6</v>
      </c>
      <c r="F2502" s="94">
        <v>5000</v>
      </c>
      <c r="G2502" s="46"/>
      <c r="H2502" s="46">
        <f>IFERROR(TRANSACTIONS!$F2502+TRANSACTIONS!$G2502,"")</f>
        <v>5000</v>
      </c>
      <c r="I2502" s="40" t="s">
        <v>41</v>
      </c>
    </row>
    <row r="2503" spans="1:9" x14ac:dyDescent="0.25">
      <c r="A2503" s="41">
        <v>45355.686584027775</v>
      </c>
      <c r="B2503" s="48">
        <f>IF(A2503&lt;&gt;"",DATE(YEAR(TRANSACTIONS!$A2503),MONTH(TRANSACTIONS!$A2503),DAY(TRANSACTIONS!$A2503)),"")</f>
        <v>45355</v>
      </c>
      <c r="C2503" s="49">
        <f>IF(A2503&lt;&gt;"",TIME(HOUR(TRANSACTIONS!$A2503),MINUTE(TRANSACTIONS!$A2503),SECOND(TRANSACTIONS!$A2503)),"")</f>
        <v>0.68658564814814815</v>
      </c>
      <c r="D2503" s="82" t="s">
        <v>62</v>
      </c>
      <c r="E2503" s="82" t="s">
        <v>7</v>
      </c>
      <c r="F2503" s="94">
        <v>4000</v>
      </c>
      <c r="G2503" s="46"/>
      <c r="H2503" s="46">
        <f>IFERROR(TRANSACTIONS!$F2503+TRANSACTIONS!$G2503,"")</f>
        <v>4000</v>
      </c>
      <c r="I2503" s="40" t="s">
        <v>41</v>
      </c>
    </row>
    <row r="2504" spans="1:9" x14ac:dyDescent="0.25">
      <c r="A2504" s="41">
        <v>45355.686598842593</v>
      </c>
      <c r="B2504" s="48">
        <f>IF(A2504&lt;&gt;"",DATE(YEAR(TRANSACTIONS!$A2504),MONTH(TRANSACTIONS!$A2504),DAY(TRANSACTIONS!$A2504)),"")</f>
        <v>45355</v>
      </c>
      <c r="C2504" s="49">
        <f>IF(A2504&lt;&gt;"",TIME(HOUR(TRANSACTIONS!$A2504),MINUTE(TRANSACTIONS!$A2504),SECOND(TRANSACTIONS!$A2504)),"")</f>
        <v>0.68659722222222219</v>
      </c>
      <c r="D2504" s="82" t="s">
        <v>62</v>
      </c>
      <c r="E2504" s="82" t="s">
        <v>7</v>
      </c>
      <c r="F2504" s="94">
        <v>1000</v>
      </c>
      <c r="G2504" s="46"/>
      <c r="H2504" s="46">
        <f>IFERROR(TRANSACTIONS!$F2504+TRANSACTIONS!$G2504,"")</f>
        <v>1000</v>
      </c>
      <c r="I2504" s="40" t="s">
        <v>41</v>
      </c>
    </row>
    <row r="2505" spans="1:9" x14ac:dyDescent="0.25">
      <c r="A2505" s="41">
        <v>45355.686607407406</v>
      </c>
      <c r="B2505" s="48">
        <f>IF(A2505&lt;&gt;"",DATE(YEAR(TRANSACTIONS!$A2505),MONTH(TRANSACTIONS!$A2505),DAY(TRANSACTIONS!$A2505)),"")</f>
        <v>45355</v>
      </c>
      <c r="C2505" s="49">
        <f>IF(A2505&lt;&gt;"",TIME(HOUR(TRANSACTIONS!$A2505),MINUTE(TRANSACTIONS!$A2505),SECOND(TRANSACTIONS!$A2505)),"")</f>
        <v>0.68660879629629623</v>
      </c>
      <c r="D2505" s="82" t="s">
        <v>62</v>
      </c>
      <c r="E2505" s="82" t="s">
        <v>7</v>
      </c>
      <c r="F2505" s="94">
        <v>1000</v>
      </c>
      <c r="G2505" s="46"/>
      <c r="H2505" s="46">
        <f>IFERROR(TRANSACTIONS!$F2505+TRANSACTIONS!$G2505,"")</f>
        <v>1000</v>
      </c>
      <c r="I2505" s="40" t="s">
        <v>41</v>
      </c>
    </row>
    <row r="2506" spans="1:9" x14ac:dyDescent="0.25">
      <c r="A2506" s="41">
        <v>45355.686616898151</v>
      </c>
      <c r="B2506" s="48">
        <f>IF(A2506&lt;&gt;"",DATE(YEAR(TRANSACTIONS!$A2506),MONTH(TRANSACTIONS!$A2506),DAY(TRANSACTIONS!$A2506)),"")</f>
        <v>45355</v>
      </c>
      <c r="C2506" s="49">
        <f>IF(A2506&lt;&gt;"",TIME(HOUR(TRANSACTIONS!$A2506),MINUTE(TRANSACTIONS!$A2506),SECOND(TRANSACTIONS!$A2506)),"")</f>
        <v>0.68662037037037038</v>
      </c>
      <c r="D2506" s="82" t="s">
        <v>62</v>
      </c>
      <c r="E2506" s="82" t="s">
        <v>7</v>
      </c>
      <c r="F2506" s="94">
        <v>120000</v>
      </c>
      <c r="G2506" s="46"/>
      <c r="H2506" s="46">
        <f>IFERROR(TRANSACTIONS!$F2506+TRANSACTIONS!$G2506,"")</f>
        <v>120000</v>
      </c>
      <c r="I2506" s="40" t="s">
        <v>41</v>
      </c>
    </row>
    <row r="2507" spans="1:9" x14ac:dyDescent="0.25">
      <c r="A2507" s="41">
        <v>45355.68663877315</v>
      </c>
      <c r="B2507" s="48">
        <f>IF(A2507&lt;&gt;"",DATE(YEAR(TRANSACTIONS!$A2507),MONTH(TRANSACTIONS!$A2507),DAY(TRANSACTIONS!$A2507)),"")</f>
        <v>45355</v>
      </c>
      <c r="C2507" s="49">
        <f>IF(A2507&lt;&gt;"",TIME(HOUR(TRANSACTIONS!$A2507),MINUTE(TRANSACTIONS!$A2507),SECOND(TRANSACTIONS!$A2507)),"")</f>
        <v>0.68664351851851846</v>
      </c>
      <c r="D2507" s="82" t="s">
        <v>62</v>
      </c>
      <c r="E2507" s="82" t="s">
        <v>7</v>
      </c>
      <c r="F2507" s="94">
        <v>10000</v>
      </c>
      <c r="G2507" s="46"/>
      <c r="H2507" s="46">
        <f>IFERROR(TRANSACTIONS!$F2507+TRANSACTIONS!$G2507,"")</f>
        <v>10000</v>
      </c>
      <c r="I2507" s="40" t="s">
        <v>41</v>
      </c>
    </row>
    <row r="2508" spans="1:9" x14ac:dyDescent="0.25">
      <c r="A2508" s="41">
        <v>45355.686651157404</v>
      </c>
      <c r="B2508" s="48">
        <f>IF(A2508&lt;&gt;"",DATE(YEAR(TRANSACTIONS!$A2508),MONTH(TRANSACTIONS!$A2508),DAY(TRANSACTIONS!$A2508)),"")</f>
        <v>45355</v>
      </c>
      <c r="C2508" s="49">
        <f>IF(A2508&lt;&gt;"",TIME(HOUR(TRANSACTIONS!$A2508),MINUTE(TRANSACTIONS!$A2508),SECOND(TRANSACTIONS!$A2508)),"")</f>
        <v>0.68665509259259261</v>
      </c>
      <c r="D2508" s="82" t="s">
        <v>62</v>
      </c>
      <c r="E2508" s="82" t="s">
        <v>7</v>
      </c>
      <c r="F2508" s="94">
        <v>5000</v>
      </c>
      <c r="G2508" s="46"/>
      <c r="H2508" s="46">
        <f>IFERROR(TRANSACTIONS!$F2508+TRANSACTIONS!$G2508,"")</f>
        <v>5000</v>
      </c>
      <c r="I2508" s="40" t="s">
        <v>41</v>
      </c>
    </row>
    <row r="2509" spans="1:9" x14ac:dyDescent="0.25">
      <c r="A2509" s="41">
        <v>45355.68665891204</v>
      </c>
      <c r="B2509" s="48">
        <f>IF(A2509&lt;&gt;"",DATE(YEAR(TRANSACTIONS!$A2509),MONTH(TRANSACTIONS!$A2509),DAY(TRANSACTIONS!$A2509)),"")</f>
        <v>45355</v>
      </c>
      <c r="C2509" s="49">
        <f>IF(A2509&lt;&gt;"",TIME(HOUR(TRANSACTIONS!$A2509),MINUTE(TRANSACTIONS!$A2509),SECOND(TRANSACTIONS!$A2509)),"")</f>
        <v>0.68665509259259261</v>
      </c>
      <c r="D2509" s="82" t="s">
        <v>62</v>
      </c>
      <c r="E2509" s="82" t="s">
        <v>6</v>
      </c>
      <c r="F2509" s="94">
        <v>7500</v>
      </c>
      <c r="G2509" s="46"/>
      <c r="H2509" s="46">
        <f>IFERROR(TRANSACTIONS!$F2509+TRANSACTIONS!$G2509,"")</f>
        <v>7500</v>
      </c>
      <c r="I2509" s="40" t="s">
        <v>41</v>
      </c>
    </row>
    <row r="2510" spans="1:9" x14ac:dyDescent="0.25">
      <c r="A2510" s="102">
        <v>45355.686667708331</v>
      </c>
      <c r="B2510" s="103">
        <f>IF(A2510&lt;&gt;"",DATE(YEAR(TRANSACTIONS!$A2510),MONTH(TRANSACTIONS!$A2510),DAY(TRANSACTIONS!$A2510)),"")</f>
        <v>45355</v>
      </c>
      <c r="C2510" s="104">
        <f>IF(A2510&lt;&gt;"",TIME(HOUR(TRANSACTIONS!$A2510),MINUTE(TRANSACTIONS!$A2510),SECOND(TRANSACTIONS!$A2510)),"")</f>
        <v>0.68666666666666665</v>
      </c>
      <c r="D2510" s="93" t="s">
        <v>62</v>
      </c>
      <c r="E2510" s="93" t="s">
        <v>7</v>
      </c>
      <c r="F2510" s="94">
        <v>10000</v>
      </c>
      <c r="G2510" s="46"/>
      <c r="H2510" s="46">
        <f>IFERROR(TRANSACTIONS!$F2510+TRANSACTIONS!$G2510,"")</f>
        <v>10000</v>
      </c>
      <c r="I2510" s="40" t="s">
        <v>41</v>
      </c>
    </row>
    <row r="2511" spans="1:9" x14ac:dyDescent="0.25">
      <c r="A2511" s="41">
        <v>45355.686675115743</v>
      </c>
      <c r="B2511" s="48">
        <f>IF(A2511&lt;&gt;"",DATE(YEAR(TRANSACTIONS!$A2511),MONTH(TRANSACTIONS!$A2511),DAY(TRANSACTIONS!$A2511)),"")</f>
        <v>45355</v>
      </c>
      <c r="C2511" s="49">
        <f>IF(A2511&lt;&gt;"",TIME(HOUR(TRANSACTIONS!$A2511),MINUTE(TRANSACTIONS!$A2511),SECOND(TRANSACTIONS!$A2511)),"")</f>
        <v>0.6866782407407408</v>
      </c>
      <c r="D2511" s="82" t="s">
        <v>62</v>
      </c>
      <c r="E2511" s="93" t="s">
        <v>6</v>
      </c>
      <c r="F2511" s="94">
        <v>27000</v>
      </c>
      <c r="G2511" s="46"/>
      <c r="H2511" s="46">
        <f>IFERROR(TRANSACTIONS!$F2511+TRANSACTIONS!$G2511,"")</f>
        <v>27000</v>
      </c>
      <c r="I2511" s="40" t="s">
        <v>41</v>
      </c>
    </row>
    <row r="2512" spans="1:9" x14ac:dyDescent="0.25">
      <c r="A2512" s="41">
        <v>45355.686696180557</v>
      </c>
      <c r="B2512" s="48">
        <f>IF(A2512&lt;&gt;"",DATE(YEAR(TRANSACTIONS!$A2512),MONTH(TRANSACTIONS!$A2512),DAY(TRANSACTIONS!$A2512)),"")</f>
        <v>45355</v>
      </c>
      <c r="C2512" s="49">
        <f>IF(A2512&lt;&gt;"",TIME(HOUR(TRANSACTIONS!$A2512),MINUTE(TRANSACTIONS!$A2512),SECOND(TRANSACTIONS!$A2512)),"")</f>
        <v>0.68670138888888888</v>
      </c>
      <c r="D2512" s="82" t="s">
        <v>62</v>
      </c>
      <c r="E2512" s="93" t="s">
        <v>7</v>
      </c>
      <c r="F2512" s="94">
        <v>115000</v>
      </c>
      <c r="G2512" s="46"/>
      <c r="H2512" s="46">
        <f>IFERROR(TRANSACTIONS!$F2512+TRANSACTIONS!$G2512,"")</f>
        <v>115000</v>
      </c>
      <c r="I2512" s="40" t="s">
        <v>41</v>
      </c>
    </row>
    <row r="2513" spans="1:9" x14ac:dyDescent="0.25">
      <c r="A2513" s="41">
        <v>45355.686703703701</v>
      </c>
      <c r="B2513" s="48">
        <f>IF(A2513&lt;&gt;"",DATE(YEAR(TRANSACTIONS!$A2513),MONTH(TRANSACTIONS!$A2513),DAY(TRANSACTIONS!$A2513)),"")</f>
        <v>45355</v>
      </c>
      <c r="C2513" s="49">
        <f>IF(A2513&lt;&gt;"",TIME(HOUR(TRANSACTIONS!$A2513),MINUTE(TRANSACTIONS!$A2513),SECOND(TRANSACTIONS!$A2513)),"")</f>
        <v>0.68670138888888888</v>
      </c>
      <c r="D2513" s="82" t="s">
        <v>62</v>
      </c>
      <c r="E2513" s="93" t="s">
        <v>7</v>
      </c>
      <c r="F2513" s="94">
        <v>3500</v>
      </c>
      <c r="G2513" s="46"/>
      <c r="H2513" s="46">
        <f>IFERROR(TRANSACTIONS!$F2513+TRANSACTIONS!$G2513,"")</f>
        <v>3500</v>
      </c>
      <c r="I2513" s="40" t="s">
        <v>41</v>
      </c>
    </row>
    <row r="2514" spans="1:9" x14ac:dyDescent="0.25">
      <c r="A2514" s="41">
        <v>45355.686716319447</v>
      </c>
      <c r="B2514" s="48">
        <f>IF(A2514&lt;&gt;"",DATE(YEAR(TRANSACTIONS!$A2514),MONTH(TRANSACTIONS!$A2514),DAY(TRANSACTIONS!$A2514)),"")</f>
        <v>45355</v>
      </c>
      <c r="C2514" s="49">
        <f>IF(A2514&lt;&gt;"",TIME(HOUR(TRANSACTIONS!$A2514),MINUTE(TRANSACTIONS!$A2514),SECOND(TRANSACTIONS!$A2514)),"")</f>
        <v>0.68671296296296302</v>
      </c>
      <c r="D2514" s="82" t="s">
        <v>62</v>
      </c>
      <c r="E2514" s="93" t="s">
        <v>7</v>
      </c>
      <c r="F2514" s="94">
        <v>2100</v>
      </c>
      <c r="G2514" s="46"/>
      <c r="H2514" s="46">
        <f>IFERROR(TRANSACTIONS!$F2514+TRANSACTIONS!$G2514,"")</f>
        <v>2100</v>
      </c>
      <c r="I2514" s="40" t="s">
        <v>41</v>
      </c>
    </row>
    <row r="2515" spans="1:9" x14ac:dyDescent="0.25">
      <c r="A2515" s="41">
        <v>45355.686725</v>
      </c>
      <c r="B2515" s="48">
        <f>IF(A2515&lt;&gt;"",DATE(YEAR(TRANSACTIONS!$A2515),MONTH(TRANSACTIONS!$A2515),DAY(TRANSACTIONS!$A2515)),"")</f>
        <v>45355</v>
      </c>
      <c r="C2515" s="49">
        <f>IF(A2515&lt;&gt;"",TIME(HOUR(TRANSACTIONS!$A2515),MINUTE(TRANSACTIONS!$A2515),SECOND(TRANSACTIONS!$A2515)),"")</f>
        <v>0.68672453703703706</v>
      </c>
      <c r="D2515" s="82" t="s">
        <v>62</v>
      </c>
      <c r="E2515" s="93" t="s">
        <v>6</v>
      </c>
      <c r="F2515" s="94">
        <v>5000</v>
      </c>
      <c r="G2515" s="46"/>
      <c r="H2515" s="46">
        <f>IFERROR(TRANSACTIONS!$F2515+TRANSACTIONS!$G2515,"")</f>
        <v>5000</v>
      </c>
      <c r="I2515" s="40" t="s">
        <v>41</v>
      </c>
    </row>
    <row r="2516" spans="1:9" x14ac:dyDescent="0.25">
      <c r="A2516" s="41">
        <v>45355.686732638889</v>
      </c>
      <c r="B2516" s="48">
        <f>IF(A2516&lt;&gt;"",DATE(YEAR(TRANSACTIONS!$A2516),MONTH(TRANSACTIONS!$A2516),DAY(TRANSACTIONS!$A2516)),"")</f>
        <v>45355</v>
      </c>
      <c r="C2516" s="49">
        <f>IF(A2516&lt;&gt;"",TIME(HOUR(TRANSACTIONS!$A2516),MINUTE(TRANSACTIONS!$A2516),SECOND(TRANSACTIONS!$A2516)),"")</f>
        <v>0.6867361111111111</v>
      </c>
      <c r="D2516" s="82" t="s">
        <v>62</v>
      </c>
      <c r="E2516" s="93" t="s">
        <v>6</v>
      </c>
      <c r="F2516" s="94">
        <v>15100</v>
      </c>
      <c r="G2516" s="46"/>
      <c r="H2516" s="46">
        <f>IFERROR(TRANSACTIONS!$F2516+TRANSACTIONS!$G2516,"")</f>
        <v>15100</v>
      </c>
      <c r="I2516" s="40" t="s">
        <v>41</v>
      </c>
    </row>
    <row r="2517" spans="1:9" x14ac:dyDescent="0.25">
      <c r="A2517" s="81">
        <v>45355.686740277779</v>
      </c>
      <c r="B2517" s="83">
        <f>IF(A2517&lt;&gt;"",DATE(YEAR(TRANSACTIONS!$A2517),MONTH(TRANSACTIONS!$A2517),DAY(TRANSACTIONS!$A2517)),"")</f>
        <v>45355</v>
      </c>
      <c r="C2517" s="84">
        <f>IF(A2517&lt;&gt;"",TIME(HOUR(TRANSACTIONS!$A2517),MINUTE(TRANSACTIONS!$A2517),SECOND(TRANSACTIONS!$A2517)),"")</f>
        <v>0.6867361111111111</v>
      </c>
      <c r="D2517" s="82" t="s">
        <v>62</v>
      </c>
      <c r="E2517" s="93" t="s">
        <v>7</v>
      </c>
      <c r="F2517" s="94">
        <v>2000</v>
      </c>
      <c r="G2517" s="46"/>
      <c r="H2517" s="46">
        <f>IFERROR(TRANSACTIONS!$F2517+TRANSACTIONS!$G2517,"")</f>
        <v>2000</v>
      </c>
      <c r="I2517" s="40" t="s">
        <v>41</v>
      </c>
    </row>
    <row r="2518" spans="1:9" x14ac:dyDescent="0.25">
      <c r="A2518" s="81">
        <v>45355.686749768516</v>
      </c>
      <c r="B2518" s="83">
        <f>IF(A2518&lt;&gt;"",DATE(YEAR(TRANSACTIONS!$A2518),MONTH(TRANSACTIONS!$A2518),DAY(TRANSACTIONS!$A2518)),"")</f>
        <v>45355</v>
      </c>
      <c r="C2518" s="84">
        <f>IF(A2518&lt;&gt;"",TIME(HOUR(TRANSACTIONS!$A2518),MINUTE(TRANSACTIONS!$A2518),SECOND(TRANSACTIONS!$A2518)),"")</f>
        <v>0.68674768518518514</v>
      </c>
      <c r="D2518" s="82" t="s">
        <v>62</v>
      </c>
      <c r="E2518" s="93" t="s">
        <v>7</v>
      </c>
      <c r="F2518" s="94">
        <v>5000</v>
      </c>
      <c r="G2518" s="46"/>
      <c r="H2518" s="46">
        <f>IFERROR(TRANSACTIONS!$F2518+TRANSACTIONS!$G2518,"")</f>
        <v>5000</v>
      </c>
      <c r="I2518" s="40" t="s">
        <v>41</v>
      </c>
    </row>
    <row r="2519" spans="1:9" x14ac:dyDescent="0.25">
      <c r="A2519" s="41">
        <v>45355.686789930558</v>
      </c>
      <c r="B2519" s="48">
        <f>IF(A2519&lt;&gt;"",DATE(YEAR(TRANSACTIONS!$A2519),MONTH(TRANSACTIONS!$A2519),DAY(TRANSACTIONS!$A2519)),"")</f>
        <v>45355</v>
      </c>
      <c r="C2519" s="49">
        <f>IF(A2519&lt;&gt;"",TIME(HOUR(TRANSACTIONS!$A2519),MINUTE(TRANSACTIONS!$A2519),SECOND(TRANSACTIONS!$A2519)),"")</f>
        <v>0.68679398148148152</v>
      </c>
      <c r="D2519" s="82" t="s">
        <v>62</v>
      </c>
      <c r="E2519" s="93" t="s">
        <v>7</v>
      </c>
      <c r="F2519" s="94">
        <v>7000</v>
      </c>
      <c r="G2519" s="46"/>
      <c r="H2519" s="46">
        <f>IFERROR(TRANSACTIONS!$F2519+TRANSACTIONS!$G2519,"")</f>
        <v>7000</v>
      </c>
      <c r="I2519" s="40" t="s">
        <v>41</v>
      </c>
    </row>
    <row r="2520" spans="1:9" x14ac:dyDescent="0.25">
      <c r="A2520" s="41">
        <v>45355.686802083335</v>
      </c>
      <c r="B2520" s="48">
        <f>IF(A2520&lt;&gt;"",DATE(YEAR(TRANSACTIONS!$A2520),MONTH(TRANSACTIONS!$A2520),DAY(TRANSACTIONS!$A2520)),"")</f>
        <v>45355</v>
      </c>
      <c r="C2520" s="49">
        <f>IF(A2520&lt;&gt;"",TIME(HOUR(TRANSACTIONS!$A2520),MINUTE(TRANSACTIONS!$A2520),SECOND(TRANSACTIONS!$A2520)),"")</f>
        <v>0.68680555555555556</v>
      </c>
      <c r="D2520" s="82" t="s">
        <v>62</v>
      </c>
      <c r="E2520" s="93" t="s">
        <v>7</v>
      </c>
      <c r="F2520" s="94">
        <v>5000</v>
      </c>
      <c r="G2520" s="46"/>
      <c r="H2520" s="46">
        <f>IFERROR(TRANSACTIONS!$F2520+TRANSACTIONS!$G2520,"")</f>
        <v>5000</v>
      </c>
      <c r="I2520" s="40" t="s">
        <v>41</v>
      </c>
    </row>
    <row r="2521" spans="1:9" x14ac:dyDescent="0.25">
      <c r="A2521" s="41">
        <v>45355.686810416664</v>
      </c>
      <c r="B2521" s="48">
        <f>IF(A2521&lt;&gt;"",DATE(YEAR(TRANSACTIONS!$A2521),MONTH(TRANSACTIONS!$A2521),DAY(TRANSACTIONS!$A2521)),"")</f>
        <v>45355</v>
      </c>
      <c r="C2521" s="49">
        <f>IF(A2521&lt;&gt;"",TIME(HOUR(TRANSACTIONS!$A2521),MINUTE(TRANSACTIONS!$A2521),SECOND(TRANSACTIONS!$A2521)),"")</f>
        <v>0.68680555555555556</v>
      </c>
      <c r="D2521" s="82" t="s">
        <v>62</v>
      </c>
      <c r="E2521" s="93" t="s">
        <v>7</v>
      </c>
      <c r="F2521" s="94">
        <v>500</v>
      </c>
      <c r="G2521" s="46"/>
      <c r="H2521" s="46">
        <f>IFERROR(TRANSACTIONS!$F2521+TRANSACTIONS!$G2521,"")</f>
        <v>500</v>
      </c>
      <c r="I2521" s="40" t="s">
        <v>41</v>
      </c>
    </row>
    <row r="2522" spans="1:9" x14ac:dyDescent="0.25">
      <c r="A2522" s="41">
        <v>45355.6868181713</v>
      </c>
      <c r="B2522" s="48">
        <f>IF(A2522&lt;&gt;"",DATE(YEAR(TRANSACTIONS!$A2522),MONTH(TRANSACTIONS!$A2522),DAY(TRANSACTIONS!$A2522)),"")</f>
        <v>45355</v>
      </c>
      <c r="C2522" s="49">
        <f>IF(A2522&lt;&gt;"",TIME(HOUR(TRANSACTIONS!$A2522),MINUTE(TRANSACTIONS!$A2522),SECOND(TRANSACTIONS!$A2522)),"")</f>
        <v>0.6868171296296296</v>
      </c>
      <c r="D2522" s="82" t="s">
        <v>62</v>
      </c>
      <c r="E2522" s="93" t="s">
        <v>6</v>
      </c>
      <c r="F2522" s="94">
        <v>350000</v>
      </c>
      <c r="G2522" s="46"/>
      <c r="H2522" s="46">
        <f>IFERROR(TRANSACTIONS!$F2522+TRANSACTIONS!$G2522,"")</f>
        <v>350000</v>
      </c>
      <c r="I2522" s="40" t="s">
        <v>41</v>
      </c>
    </row>
    <row r="2523" spans="1:9" x14ac:dyDescent="0.25">
      <c r="A2523" s="41">
        <v>45355.686826504629</v>
      </c>
      <c r="B2523" s="48">
        <f>IF(A2523&lt;&gt;"",DATE(YEAR(TRANSACTIONS!$A2523),MONTH(TRANSACTIONS!$A2523),DAY(TRANSACTIONS!$A2523)),"")</f>
        <v>45355</v>
      </c>
      <c r="C2523" s="49">
        <f>IF(A2523&lt;&gt;"",TIME(HOUR(TRANSACTIONS!$A2523),MINUTE(TRANSACTIONS!$A2523),SECOND(TRANSACTIONS!$A2523)),"")</f>
        <v>0.68682870370370364</v>
      </c>
      <c r="D2523" s="82" t="s">
        <v>62</v>
      </c>
      <c r="E2523" s="93" t="s">
        <v>7</v>
      </c>
      <c r="F2523" s="94">
        <v>23000</v>
      </c>
      <c r="G2523" s="46"/>
      <c r="H2523" s="46">
        <f>IFERROR(TRANSACTIONS!$F2523+TRANSACTIONS!$G2523,"")</f>
        <v>23000</v>
      </c>
      <c r="I2523" s="40" t="s">
        <v>41</v>
      </c>
    </row>
    <row r="2524" spans="1:9" x14ac:dyDescent="0.25">
      <c r="A2524" s="41">
        <v>45355.686834837965</v>
      </c>
      <c r="B2524" s="48">
        <f>IF(A2524&lt;&gt;"",DATE(YEAR(TRANSACTIONS!$A2524),MONTH(TRANSACTIONS!$A2524),DAY(TRANSACTIONS!$A2524)),"")</f>
        <v>45355</v>
      </c>
      <c r="C2524" s="49">
        <f>IF(A2524&lt;&gt;"",TIME(HOUR(TRANSACTIONS!$A2524),MINUTE(TRANSACTIONS!$A2524),SECOND(TRANSACTIONS!$A2524)),"")</f>
        <v>0.68684027777777779</v>
      </c>
      <c r="D2524" s="82" t="s">
        <v>62</v>
      </c>
      <c r="E2524" s="93" t="s">
        <v>7</v>
      </c>
      <c r="F2524" s="94">
        <v>5000</v>
      </c>
      <c r="G2524" s="46"/>
      <c r="H2524" s="46">
        <f>IFERROR(TRANSACTIONS!$F2524+TRANSACTIONS!$G2524,"")</f>
        <v>5000</v>
      </c>
      <c r="I2524" s="40" t="s">
        <v>41</v>
      </c>
    </row>
    <row r="2525" spans="1:9" x14ac:dyDescent="0.25">
      <c r="A2525" s="41">
        <v>45355.686843518517</v>
      </c>
      <c r="B2525" s="48">
        <f>IF(A2525&lt;&gt;"",DATE(YEAR(TRANSACTIONS!$A2525),MONTH(TRANSACTIONS!$A2525),DAY(TRANSACTIONS!$A2525)),"")</f>
        <v>45355</v>
      </c>
      <c r="C2525" s="49">
        <f>IF(A2525&lt;&gt;"",TIME(HOUR(TRANSACTIONS!$A2525),MINUTE(TRANSACTIONS!$A2525),SECOND(TRANSACTIONS!$A2525)),"")</f>
        <v>0.68684027777777779</v>
      </c>
      <c r="D2525" s="82" t="s">
        <v>62</v>
      </c>
      <c r="E2525" s="93"/>
      <c r="F2525" s="94" t="s">
        <v>40</v>
      </c>
      <c r="G2525" s="46"/>
      <c r="H2525" s="46" t="str">
        <f>IFERROR(TRANSACTIONS!$F2525+TRANSACTIONS!$G2525,"")</f>
        <v/>
      </c>
      <c r="I2525" s="40" t="s">
        <v>41</v>
      </c>
    </row>
    <row r="2526" spans="1:9" x14ac:dyDescent="0.25">
      <c r="A2526" s="41">
        <v>45355.686851273145</v>
      </c>
      <c r="B2526" s="48">
        <f>IF(A2526&lt;&gt;"",DATE(YEAR(TRANSACTIONS!$A2526),MONTH(TRANSACTIONS!$A2526),DAY(TRANSACTIONS!$A2526)),"")</f>
        <v>45355</v>
      </c>
      <c r="C2526" s="49">
        <f>IF(A2526&lt;&gt;"",TIME(HOUR(TRANSACTIONS!$A2526),MINUTE(TRANSACTIONS!$A2526),SECOND(TRANSACTIONS!$A2526)),"")</f>
        <v>0.68685185185185194</v>
      </c>
      <c r="D2526" s="82" t="s">
        <v>62</v>
      </c>
      <c r="E2526" s="93" t="s">
        <v>7</v>
      </c>
      <c r="F2526" s="94">
        <v>2000</v>
      </c>
      <c r="G2526" s="46"/>
      <c r="H2526" s="46">
        <f>IFERROR(TRANSACTIONS!$F2526+TRANSACTIONS!$G2526,"")</f>
        <v>2000</v>
      </c>
      <c r="I2526" s="40" t="s">
        <v>41</v>
      </c>
    </row>
    <row r="2527" spans="1:9" x14ac:dyDescent="0.25">
      <c r="A2527" s="41">
        <v>45355.68687662037</v>
      </c>
      <c r="B2527" s="48">
        <f>IF(A2527&lt;&gt;"",DATE(YEAR(TRANSACTIONS!$A2527),MONTH(TRANSACTIONS!$A2527),DAY(TRANSACTIONS!$A2527)),"")</f>
        <v>45355</v>
      </c>
      <c r="C2527" s="49">
        <f>IF(A2527&lt;&gt;"",TIME(HOUR(TRANSACTIONS!$A2527),MINUTE(TRANSACTIONS!$A2527),SECOND(TRANSACTIONS!$A2527)),"")</f>
        <v>0.68687500000000001</v>
      </c>
      <c r="D2527" s="82" t="s">
        <v>62</v>
      </c>
      <c r="E2527" s="93" t="s">
        <v>7</v>
      </c>
      <c r="F2527" s="94">
        <v>40000</v>
      </c>
      <c r="G2527" s="46"/>
      <c r="H2527" s="46">
        <f>IFERROR(TRANSACTIONS!$F2527+TRANSACTIONS!$G2527,"")</f>
        <v>40000</v>
      </c>
      <c r="I2527" s="40" t="s">
        <v>41</v>
      </c>
    </row>
    <row r="2528" spans="1:9" x14ac:dyDescent="0.25">
      <c r="A2528" s="41">
        <v>45355.686884259259</v>
      </c>
      <c r="B2528" s="48">
        <f>IF(A2528&lt;&gt;"",DATE(YEAR(TRANSACTIONS!$A2528),MONTH(TRANSACTIONS!$A2528),DAY(TRANSACTIONS!$A2528)),"")</f>
        <v>45355</v>
      </c>
      <c r="C2528" s="49">
        <f>IF(A2528&lt;&gt;"",TIME(HOUR(TRANSACTIONS!$A2528),MINUTE(TRANSACTIONS!$A2528),SECOND(TRANSACTIONS!$A2528)),"")</f>
        <v>0.68688657407407405</v>
      </c>
      <c r="D2528" s="82" t="s">
        <v>62</v>
      </c>
      <c r="E2528" s="93" t="s">
        <v>7</v>
      </c>
      <c r="F2528" s="94">
        <v>3000</v>
      </c>
      <c r="G2528" s="46"/>
      <c r="H2528" s="46">
        <f>IFERROR(TRANSACTIONS!$F2528+TRANSACTIONS!$G2528,"")</f>
        <v>3000</v>
      </c>
      <c r="I2528" s="40" t="s">
        <v>41</v>
      </c>
    </row>
    <row r="2529" spans="1:19" x14ac:dyDescent="0.25">
      <c r="A2529" s="41">
        <v>45355.764585185185</v>
      </c>
      <c r="B2529" s="48">
        <f>IF(A2529&lt;&gt;"",DATE(YEAR(TRANSACTIONS!$A2529),MONTH(TRANSACTIONS!$A2529),DAY(TRANSACTIONS!$A2529)),"")</f>
        <v>45355</v>
      </c>
      <c r="C2529" s="49">
        <f>IF(A2529&lt;&gt;"",TIME(HOUR(TRANSACTIONS!$A2529),MINUTE(TRANSACTIONS!$A2529),SECOND(TRANSACTIONS!$A2529)),"")</f>
        <v>0.76458333333333339</v>
      </c>
      <c r="D2529" s="82" t="s">
        <v>62</v>
      </c>
      <c r="E2529" s="93" t="s">
        <v>7</v>
      </c>
      <c r="F2529" s="94">
        <v>600</v>
      </c>
      <c r="G2529" s="46"/>
      <c r="H2529" s="46">
        <f>IFERROR(TRANSACTIONS!$F2529+TRANSACTIONS!$G2529,"")</f>
        <v>600</v>
      </c>
      <c r="I2529" s="40" t="s">
        <v>41</v>
      </c>
    </row>
    <row r="2530" spans="1:19" x14ac:dyDescent="0.25">
      <c r="A2530" s="41">
        <v>45355.764603703705</v>
      </c>
      <c r="B2530" s="48">
        <f>IF(A2530&lt;&gt;"",DATE(YEAR(TRANSACTIONS!$A2530),MONTH(TRANSACTIONS!$A2530),DAY(TRANSACTIONS!$A2530)),"")</f>
        <v>45355</v>
      </c>
      <c r="C2530" s="49">
        <f>IF(A2530&lt;&gt;"",TIME(HOUR(TRANSACTIONS!$A2530),MINUTE(TRANSACTIONS!$A2530),SECOND(TRANSACTIONS!$A2530)),"")</f>
        <v>0.76460648148148147</v>
      </c>
      <c r="D2530" s="82" t="s">
        <v>62</v>
      </c>
      <c r="E2530" s="93" t="s">
        <v>7</v>
      </c>
      <c r="F2530" s="94">
        <v>105000</v>
      </c>
      <c r="G2530" s="46"/>
      <c r="H2530" s="46">
        <f>IFERROR(TRANSACTIONS!$F2530+TRANSACTIONS!$G2530,"")</f>
        <v>105000</v>
      </c>
      <c r="I2530" s="40" t="s">
        <v>41</v>
      </c>
    </row>
    <row r="2531" spans="1:19" x14ac:dyDescent="0.25">
      <c r="A2531" s="41">
        <v>45355.764642476854</v>
      </c>
      <c r="B2531" s="48">
        <f>IF(A2531&lt;&gt;"",DATE(YEAR(TRANSACTIONS!$A2531),MONTH(TRANSACTIONS!$A2531),DAY(TRANSACTIONS!$A2531)),"")</f>
        <v>45355</v>
      </c>
      <c r="C2531" s="49">
        <f>IF(A2531&lt;&gt;"",TIME(HOUR(TRANSACTIONS!$A2531),MINUTE(TRANSACTIONS!$A2531),SECOND(TRANSACTIONS!$A2531)),"")</f>
        <v>0.7646412037037037</v>
      </c>
      <c r="D2531" s="82" t="s">
        <v>62</v>
      </c>
      <c r="E2531" s="93" t="s">
        <v>6</v>
      </c>
      <c r="F2531" s="94">
        <v>2000</v>
      </c>
      <c r="G2531" s="46"/>
      <c r="H2531" s="46">
        <f>IFERROR(TRANSACTIONS!$F2531+TRANSACTIONS!$G2531,"")</f>
        <v>2000</v>
      </c>
      <c r="I2531" s="40" t="s">
        <v>41</v>
      </c>
    </row>
    <row r="2532" spans="1:19" x14ac:dyDescent="0.25">
      <c r="A2532" s="41">
        <v>45355.764651157406</v>
      </c>
      <c r="B2532" s="48">
        <f>IF(A2532&lt;&gt;"",DATE(YEAR(TRANSACTIONS!$A2532),MONTH(TRANSACTIONS!$A2532),DAY(TRANSACTIONS!$A2532)),"")</f>
        <v>45355</v>
      </c>
      <c r="C2532" s="49">
        <f>IF(A2532&lt;&gt;"",TIME(HOUR(TRANSACTIONS!$A2532),MINUTE(TRANSACTIONS!$A2532),SECOND(TRANSACTIONS!$A2532)),"")</f>
        <v>0.76465277777777774</v>
      </c>
      <c r="D2532" s="82" t="s">
        <v>62</v>
      </c>
      <c r="E2532" s="93" t="s">
        <v>7</v>
      </c>
      <c r="F2532" s="94">
        <v>2000</v>
      </c>
      <c r="G2532" s="46"/>
      <c r="H2532" s="46">
        <f>IFERROR(TRANSACTIONS!$F2532+TRANSACTIONS!$G2532,"")</f>
        <v>2000</v>
      </c>
      <c r="I2532" s="40" t="s">
        <v>41</v>
      </c>
    </row>
    <row r="2533" spans="1:19" x14ac:dyDescent="0.25">
      <c r="A2533" s="41">
        <v>45355.764659143519</v>
      </c>
      <c r="B2533" s="48">
        <f>IF(A2533&lt;&gt;"",DATE(YEAR(TRANSACTIONS!$A2533),MONTH(TRANSACTIONS!$A2533),DAY(TRANSACTIONS!$A2533)),"")</f>
        <v>45355</v>
      </c>
      <c r="C2533" s="49">
        <f>IF(A2533&lt;&gt;"",TIME(HOUR(TRANSACTIONS!$A2533),MINUTE(TRANSACTIONS!$A2533),SECOND(TRANSACTIONS!$A2533)),"")</f>
        <v>0.76466435185185189</v>
      </c>
      <c r="D2533" s="82" t="s">
        <v>62</v>
      </c>
      <c r="E2533" s="93" t="s">
        <v>7</v>
      </c>
      <c r="F2533" s="94">
        <v>140000</v>
      </c>
      <c r="G2533" s="46"/>
      <c r="H2533" s="46">
        <f>IFERROR(TRANSACTIONS!$F2533+TRANSACTIONS!$G2533,"")</f>
        <v>140000</v>
      </c>
      <c r="I2533" s="40" t="s">
        <v>41</v>
      </c>
    </row>
    <row r="2534" spans="1:19" x14ac:dyDescent="0.25">
      <c r="A2534" s="41">
        <v>45355.76466666667</v>
      </c>
      <c r="B2534" s="48">
        <f>IF(A2534&lt;&gt;"",DATE(YEAR(TRANSACTIONS!$A2534),MONTH(TRANSACTIONS!$A2534),DAY(TRANSACTIONS!$A2534)),"")</f>
        <v>45355</v>
      </c>
      <c r="C2534" s="49">
        <f>IF(A2534&lt;&gt;"",TIME(HOUR(TRANSACTIONS!$A2534),MINUTE(TRANSACTIONS!$A2534),SECOND(TRANSACTIONS!$A2534)),"")</f>
        <v>0.76466435185185189</v>
      </c>
      <c r="D2534" s="82" t="s">
        <v>62</v>
      </c>
      <c r="E2534" s="93" t="s">
        <v>7</v>
      </c>
      <c r="F2534" s="94">
        <v>50000</v>
      </c>
      <c r="G2534" s="46"/>
      <c r="H2534" s="46">
        <f>IFERROR(TRANSACTIONS!$F2534+TRANSACTIONS!$G2534,"")</f>
        <v>50000</v>
      </c>
      <c r="I2534" s="40" t="s">
        <v>41</v>
      </c>
    </row>
    <row r="2535" spans="1:19" x14ac:dyDescent="0.25">
      <c r="A2535" s="41">
        <v>45355.764679398148</v>
      </c>
      <c r="B2535" s="48">
        <f>IF(A2535&lt;&gt;"",DATE(YEAR(TRANSACTIONS!$A2535),MONTH(TRANSACTIONS!$A2535),DAY(TRANSACTIONS!$A2535)),"")</f>
        <v>45355</v>
      </c>
      <c r="C2535" s="49">
        <f>IF(A2535&lt;&gt;"",TIME(HOUR(TRANSACTIONS!$A2535),MINUTE(TRANSACTIONS!$A2535),SECOND(TRANSACTIONS!$A2535)),"")</f>
        <v>0.76467592592592604</v>
      </c>
      <c r="D2535" s="82" t="s">
        <v>62</v>
      </c>
      <c r="E2535" s="93" t="s">
        <v>6</v>
      </c>
      <c r="F2535" s="94">
        <v>5000</v>
      </c>
      <c r="G2535" s="46"/>
      <c r="H2535" s="46">
        <f>IFERROR(TRANSACTIONS!$F2535+TRANSACTIONS!$G2535,"")</f>
        <v>5000</v>
      </c>
      <c r="I2535" s="40" t="s">
        <v>41</v>
      </c>
    </row>
    <row r="2536" spans="1:19" x14ac:dyDescent="0.25">
      <c r="A2536" s="41">
        <v>45355.764687499999</v>
      </c>
      <c r="B2536" s="48">
        <f>IF(A2536&lt;&gt;"",DATE(YEAR(TRANSACTIONS!$A2536),MONTH(TRANSACTIONS!$A2536),DAY(TRANSACTIONS!$A2536)),"")</f>
        <v>45355</v>
      </c>
      <c r="C2536" s="49">
        <f>IF(A2536&lt;&gt;"",TIME(HOUR(TRANSACTIONS!$A2536),MINUTE(TRANSACTIONS!$A2536),SECOND(TRANSACTIONS!$A2536)),"")</f>
        <v>0.76468749999999996</v>
      </c>
      <c r="D2536" s="82" t="s">
        <v>62</v>
      </c>
      <c r="E2536" s="93" t="s">
        <v>6</v>
      </c>
      <c r="F2536" s="94">
        <v>3000</v>
      </c>
      <c r="G2536" s="46"/>
      <c r="H2536" s="46">
        <f>IFERROR(TRANSACTIONS!$F2536+TRANSACTIONS!$G2536,"")</f>
        <v>3000</v>
      </c>
      <c r="I2536" s="40" t="s">
        <v>41</v>
      </c>
    </row>
    <row r="2537" spans="1:19" x14ac:dyDescent="0.25">
      <c r="A2537" s="41">
        <v>45355.767066550929</v>
      </c>
      <c r="B2537" s="48">
        <f>IF(A2537&lt;&gt;"",DATE(YEAR(TRANSACTIONS!$A2537),MONTH(TRANSACTIONS!$A2537),DAY(TRANSACTIONS!$A2537)),"")</f>
        <v>45355</v>
      </c>
      <c r="C2537" s="49">
        <f>IF(A2537&lt;&gt;"",TIME(HOUR(TRANSACTIONS!$A2537),MINUTE(TRANSACTIONS!$A2537),SECOND(TRANSACTIONS!$A2537)),"")</f>
        <v>0.76707175925925919</v>
      </c>
      <c r="D2537" s="82" t="s">
        <v>62</v>
      </c>
      <c r="E2537" s="93" t="s">
        <v>7</v>
      </c>
      <c r="F2537" s="94">
        <v>3500</v>
      </c>
      <c r="G2537" s="46"/>
      <c r="H2537" s="46">
        <f>IFERROR(TRANSACTIONS!$F2537+TRANSACTIONS!$G2537,"")</f>
        <v>3500</v>
      </c>
      <c r="I2537" s="40" t="s">
        <v>41</v>
      </c>
    </row>
    <row r="2538" spans="1:19" x14ac:dyDescent="0.25">
      <c r="A2538" s="41">
        <v>45355.767142129633</v>
      </c>
      <c r="B2538" s="48">
        <f>IF(A2538&lt;&gt;"",DATE(YEAR(TRANSACTIONS!$A2538),MONTH(TRANSACTIONS!$A2538),DAY(TRANSACTIONS!$A2538)),"")</f>
        <v>45355</v>
      </c>
      <c r="C2538" s="49">
        <f>IF(A2538&lt;&gt;"",TIME(HOUR(TRANSACTIONS!$A2538),MINUTE(TRANSACTIONS!$A2538),SECOND(TRANSACTIONS!$A2538)),"")</f>
        <v>0.76714120370370376</v>
      </c>
      <c r="D2538" s="82" t="s">
        <v>62</v>
      </c>
      <c r="E2538" s="93" t="s">
        <v>7</v>
      </c>
      <c r="F2538" s="94">
        <v>3000</v>
      </c>
      <c r="G2538" s="46"/>
      <c r="H2538" s="46">
        <f>IFERROR(TRANSACTIONS!$F2538+TRANSACTIONS!$G2538,"")</f>
        <v>3000</v>
      </c>
      <c r="I2538" s="40" t="s">
        <v>41</v>
      </c>
    </row>
    <row r="2539" spans="1:19" x14ac:dyDescent="0.25">
      <c r="A2539" s="41">
        <v>45355.767086921296</v>
      </c>
      <c r="B2539" s="48">
        <f>IF(A2539&lt;&gt;"",DATE(YEAR(TRANSACTIONS!$A2539),MONTH(TRANSACTIONS!$A2539),DAY(TRANSACTIONS!$A2539)),"")</f>
        <v>45355</v>
      </c>
      <c r="C2539" s="49">
        <f>IF(A2539&lt;&gt;"",TIME(HOUR(TRANSACTIONS!$A2539),MINUTE(TRANSACTIONS!$A2539),SECOND(TRANSACTIONS!$A2539)),"")</f>
        <v>0.76708333333333334</v>
      </c>
      <c r="D2539" s="82" t="s">
        <v>62</v>
      </c>
      <c r="E2539" s="93" t="s">
        <v>6</v>
      </c>
      <c r="F2539" s="94">
        <v>430000</v>
      </c>
      <c r="G2539" s="46"/>
      <c r="H2539" s="46">
        <f>IFERROR(TRANSACTIONS!$F2539+TRANSACTIONS!$G2539,"")</f>
        <v>430000</v>
      </c>
      <c r="I2539" s="40" t="s">
        <v>41</v>
      </c>
    </row>
    <row r="2540" spans="1:19" x14ac:dyDescent="0.25">
      <c r="A2540" s="41">
        <v>45355.767153009256</v>
      </c>
      <c r="B2540" s="48">
        <f>IF(A2540&lt;&gt;"",DATE(YEAR(TRANSACTIONS!$A2540),MONTH(TRANSACTIONS!$A2540),DAY(TRANSACTIONS!$A2540)),"")</f>
        <v>45355</v>
      </c>
      <c r="C2540" s="49">
        <f>IF(A2540&lt;&gt;"",TIME(HOUR(TRANSACTIONS!$A2540),MINUTE(TRANSACTIONS!$A2540),SECOND(TRANSACTIONS!$A2540)),"")</f>
        <v>0.76715277777777768</v>
      </c>
      <c r="D2540" s="82" t="s">
        <v>62</v>
      </c>
      <c r="E2540" s="93" t="s">
        <v>6</v>
      </c>
      <c r="F2540" s="94">
        <v>5000</v>
      </c>
      <c r="G2540" s="46"/>
      <c r="H2540" s="46">
        <f>IFERROR(TRANSACTIONS!$F2540+TRANSACTIONS!$G2540,"")</f>
        <v>5000</v>
      </c>
      <c r="I2540" s="40" t="s">
        <v>41</v>
      </c>
      <c r="S2540" s="40" t="s">
        <v>70</v>
      </c>
    </row>
    <row r="2541" spans="1:19" x14ac:dyDescent="0.25">
      <c r="A2541" s="113">
        <v>45355.767161805554</v>
      </c>
      <c r="B2541" s="114">
        <f>IF(A2541&lt;&gt;"",DATE(YEAR(TRANSACTIONS!$A2541),MONTH(TRANSACTIONS!$A2541),DAY(TRANSACTIONS!$A2541)),"")</f>
        <v>45355</v>
      </c>
      <c r="C2541" s="115">
        <f>IF(A2541&lt;&gt;"",TIME(HOUR(TRANSACTIONS!$A2541),MINUTE(TRANSACTIONS!$A2541),SECOND(TRANSACTIONS!$A2541)),"")</f>
        <v>0.76716435185185183</v>
      </c>
      <c r="D2541" s="82" t="s">
        <v>62</v>
      </c>
      <c r="E2541" s="93" t="s">
        <v>7</v>
      </c>
      <c r="F2541" s="94">
        <v>5000</v>
      </c>
      <c r="G2541" s="117"/>
      <c r="H2541" s="117">
        <f>IFERROR(TRANSACTIONS!$F2541+TRANSACTIONS!$G2541,"")</f>
        <v>5000</v>
      </c>
      <c r="I2541" s="118" t="s">
        <v>41</v>
      </c>
      <c r="J2541" s="118"/>
    </row>
    <row r="2542" spans="1:19" x14ac:dyDescent="0.25">
      <c r="A2542" s="41">
        <v>45355.767169444443</v>
      </c>
      <c r="B2542" s="48">
        <f>IF(A2542&lt;&gt;"",DATE(YEAR(TRANSACTIONS!$A2542),MONTH(TRANSACTIONS!$A2542),DAY(TRANSACTIONS!$A2542)),"")</f>
        <v>45355</v>
      </c>
      <c r="C2542" s="49">
        <f>IF(A2542&lt;&gt;"",TIME(HOUR(TRANSACTIONS!$A2542),MINUTE(TRANSACTIONS!$A2542),SECOND(TRANSACTIONS!$A2542)),"")</f>
        <v>0.76716435185185183</v>
      </c>
      <c r="D2542" s="82" t="s">
        <v>62</v>
      </c>
      <c r="E2542" s="93" t="s">
        <v>7</v>
      </c>
      <c r="F2542" s="94">
        <v>2000</v>
      </c>
      <c r="G2542" s="46"/>
      <c r="H2542" s="46">
        <f>IFERROR(TRANSACTIONS!$F2542+TRANSACTIONS!$G2542,"")</f>
        <v>2000</v>
      </c>
      <c r="I2542" s="40" t="s">
        <v>41</v>
      </c>
    </row>
    <row r="2543" spans="1:19" x14ac:dyDescent="0.25">
      <c r="A2543" s="41">
        <v>45355.767176504633</v>
      </c>
      <c r="B2543" s="48">
        <f>IF(A2543&lt;&gt;"",DATE(YEAR(TRANSACTIONS!$A2543),MONTH(TRANSACTIONS!$A2543),DAY(TRANSACTIONS!$A2543)),"")</f>
        <v>45355</v>
      </c>
      <c r="C2543" s="49">
        <f>IF(A2543&lt;&gt;"",TIME(HOUR(TRANSACTIONS!$A2543),MINUTE(TRANSACTIONS!$A2543),SECOND(TRANSACTIONS!$A2543)),"")</f>
        <v>0.76717592592592598</v>
      </c>
      <c r="D2543" s="82" t="s">
        <v>62</v>
      </c>
      <c r="E2543" s="93" t="s">
        <v>7</v>
      </c>
      <c r="F2543" s="94">
        <v>30000</v>
      </c>
      <c r="G2543" s="46"/>
      <c r="H2543" s="46">
        <f>IFERROR(TRANSACTIONS!$F2543+TRANSACTIONS!$G2543,"")</f>
        <v>30000</v>
      </c>
      <c r="I2543" s="40" t="s">
        <v>41</v>
      </c>
    </row>
    <row r="2544" spans="1:19" x14ac:dyDescent="0.25">
      <c r="A2544" s="41">
        <v>45355.767543287038</v>
      </c>
      <c r="B2544" s="48">
        <f>IF(A2544&lt;&gt;"",DATE(YEAR(TRANSACTIONS!$A2544),MONTH(TRANSACTIONS!$A2544),DAY(TRANSACTIONS!$A2544)),"")</f>
        <v>45355</v>
      </c>
      <c r="C2544" s="49">
        <f>IF(A2544&lt;&gt;"",TIME(HOUR(TRANSACTIONS!$A2544),MINUTE(TRANSACTIONS!$A2544),SECOND(TRANSACTIONS!$A2544)),"")</f>
        <v>0.76754629629629623</v>
      </c>
      <c r="D2544" s="82" t="s">
        <v>62</v>
      </c>
      <c r="E2544" s="93" t="s">
        <v>7</v>
      </c>
      <c r="F2544" s="94">
        <v>1000</v>
      </c>
      <c r="G2544" s="46"/>
      <c r="H2544" s="46">
        <f>IFERROR(TRANSACTIONS!$F2544+TRANSACTIONS!$G2544,"")</f>
        <v>1000</v>
      </c>
      <c r="I2544" s="40" t="s">
        <v>41</v>
      </c>
    </row>
    <row r="2545" spans="1:9" x14ac:dyDescent="0.25">
      <c r="A2545" s="41">
        <v>45355.767550231481</v>
      </c>
      <c r="B2545" s="48">
        <f>IF(A2545&lt;&gt;"",DATE(YEAR(TRANSACTIONS!$A2545),MONTH(TRANSACTIONS!$A2545),DAY(TRANSACTIONS!$A2545)),"")</f>
        <v>45355</v>
      </c>
      <c r="C2545" s="49">
        <f>IF(A2545&lt;&gt;"",TIME(HOUR(TRANSACTIONS!$A2545),MINUTE(TRANSACTIONS!$A2545),SECOND(TRANSACTIONS!$A2545)),"")</f>
        <v>0.76754629629629623</v>
      </c>
      <c r="D2545" s="82" t="s">
        <v>62</v>
      </c>
      <c r="E2545" s="93" t="s">
        <v>7</v>
      </c>
      <c r="F2545" s="94">
        <v>40500</v>
      </c>
      <c r="G2545" s="46"/>
      <c r="H2545" s="46">
        <f>IFERROR(TRANSACTIONS!$F2545+TRANSACTIONS!$G2545,"")</f>
        <v>40500</v>
      </c>
      <c r="I2545" s="40" t="s">
        <v>41</v>
      </c>
    </row>
    <row r="2546" spans="1:9" x14ac:dyDescent="0.25">
      <c r="A2546" s="41">
        <v>45355.767558449072</v>
      </c>
      <c r="B2546" s="48">
        <f>IF(A2546&lt;&gt;"",DATE(YEAR(TRANSACTIONS!$A2546),MONTH(TRANSACTIONS!$A2546),DAY(TRANSACTIONS!$A2546)),"")</f>
        <v>45355</v>
      </c>
      <c r="C2546" s="49">
        <f>IF(A2546&lt;&gt;"",TIME(HOUR(TRANSACTIONS!$A2546),MINUTE(TRANSACTIONS!$A2546),SECOND(TRANSACTIONS!$A2546)),"")</f>
        <v>0.76755787037037038</v>
      </c>
      <c r="D2546" s="82" t="s">
        <v>62</v>
      </c>
      <c r="E2546" s="93" t="s">
        <v>7</v>
      </c>
      <c r="F2546" s="94">
        <v>5000</v>
      </c>
      <c r="G2546" s="46"/>
      <c r="H2546" s="46">
        <f>IFERROR(TRANSACTIONS!$F2546+TRANSACTIONS!$G2546,"")</f>
        <v>5000</v>
      </c>
      <c r="I2546" s="40" t="s">
        <v>41</v>
      </c>
    </row>
    <row r="2547" spans="1:9" x14ac:dyDescent="0.25">
      <c r="A2547" s="41">
        <v>45355.767566782408</v>
      </c>
      <c r="B2547" s="48">
        <f>IF(A2547&lt;&gt;"",DATE(YEAR(TRANSACTIONS!$A2547),MONTH(TRANSACTIONS!$A2547),DAY(TRANSACTIONS!$A2547)),"")</f>
        <v>45355</v>
      </c>
      <c r="C2547" s="49">
        <f>IF(A2547&lt;&gt;"",TIME(HOUR(TRANSACTIONS!$A2547),MINUTE(TRANSACTIONS!$A2547),SECOND(TRANSACTIONS!$A2547)),"")</f>
        <v>0.76756944444444442</v>
      </c>
      <c r="D2547" s="82" t="s">
        <v>62</v>
      </c>
      <c r="E2547" s="93" t="s">
        <v>6</v>
      </c>
      <c r="F2547" s="94">
        <v>35000</v>
      </c>
      <c r="G2547" s="46"/>
      <c r="H2547" s="46">
        <f>IFERROR(TRANSACTIONS!$F2547+TRANSACTIONS!$G2547,"")</f>
        <v>35000</v>
      </c>
      <c r="I2547" s="40" t="s">
        <v>41</v>
      </c>
    </row>
    <row r="2548" spans="1:9" x14ac:dyDescent="0.25">
      <c r="A2548" s="41">
        <v>45355.767574884259</v>
      </c>
      <c r="B2548" s="48">
        <f>IF(A2548&lt;&gt;"",DATE(YEAR(TRANSACTIONS!$A2548),MONTH(TRANSACTIONS!$A2548),DAY(TRANSACTIONS!$A2548)),"")</f>
        <v>45355</v>
      </c>
      <c r="C2548" s="49">
        <f>IF(A2548&lt;&gt;"",TIME(HOUR(TRANSACTIONS!$A2548),MINUTE(TRANSACTIONS!$A2548),SECOND(TRANSACTIONS!$A2548)),"")</f>
        <v>0.76756944444444442</v>
      </c>
      <c r="D2548" s="82" t="s">
        <v>62</v>
      </c>
      <c r="E2548" s="93" t="s">
        <v>6</v>
      </c>
      <c r="F2548" s="94">
        <v>3000</v>
      </c>
      <c r="G2548" s="46"/>
      <c r="H2548" s="46">
        <f>IFERROR(TRANSACTIONS!$F2548+TRANSACTIONS!$G2548,"")</f>
        <v>3000</v>
      </c>
      <c r="I2548" s="40" t="s">
        <v>41</v>
      </c>
    </row>
    <row r="2549" spans="1:9" x14ac:dyDescent="0.25">
      <c r="A2549" s="41">
        <v>45355.767581944441</v>
      </c>
      <c r="B2549" s="48">
        <f>IF(A2549&lt;&gt;"",DATE(YEAR(TRANSACTIONS!$A2549),MONTH(TRANSACTIONS!$A2549),DAY(TRANSACTIONS!$A2549)),"")</f>
        <v>45355</v>
      </c>
      <c r="C2549" s="49">
        <f>IF(A2549&lt;&gt;"",TIME(HOUR(TRANSACTIONS!$A2549),MINUTE(TRANSACTIONS!$A2549),SECOND(TRANSACTIONS!$A2549)),"")</f>
        <v>0.76758101851851857</v>
      </c>
      <c r="D2549" s="82" t="s">
        <v>62</v>
      </c>
      <c r="E2549" s="93" t="s">
        <v>7</v>
      </c>
      <c r="F2549" s="94">
        <v>5000</v>
      </c>
      <c r="G2549" s="46"/>
      <c r="H2549" s="46">
        <f>IFERROR(TRANSACTIONS!$F2549+TRANSACTIONS!$G2549,"")</f>
        <v>5000</v>
      </c>
      <c r="I2549" s="40" t="s">
        <v>41</v>
      </c>
    </row>
    <row r="2550" spans="1:9" x14ac:dyDescent="0.25">
      <c r="A2550" s="41">
        <v>45355.767599768522</v>
      </c>
      <c r="B2550" s="48">
        <f>IF(A2550&lt;&gt;"",DATE(YEAR(TRANSACTIONS!$A2550),MONTH(TRANSACTIONS!$A2550),DAY(TRANSACTIONS!$A2550)),"")</f>
        <v>45355</v>
      </c>
      <c r="C2550" s="49">
        <f>IF(A2550&lt;&gt;"",TIME(HOUR(TRANSACTIONS!$A2550),MINUTE(TRANSACTIONS!$A2550),SECOND(TRANSACTIONS!$A2550)),"")</f>
        <v>0.76760416666666664</v>
      </c>
      <c r="D2550" s="82" t="s">
        <v>25</v>
      </c>
      <c r="E2550" s="93" t="s">
        <v>7</v>
      </c>
      <c r="F2550" s="94">
        <v>15000</v>
      </c>
      <c r="G2550" s="46"/>
      <c r="H2550" s="46">
        <f>IFERROR(TRANSACTIONS!$F2550+TRANSACTIONS!$G2550,"")</f>
        <v>15000</v>
      </c>
      <c r="I2550" s="40" t="s">
        <v>41</v>
      </c>
    </row>
    <row r="2551" spans="1:9" x14ac:dyDescent="0.25">
      <c r="A2551" s="41">
        <v>45355.767626967594</v>
      </c>
      <c r="B2551" s="48">
        <f>IF(A2551&lt;&gt;"",DATE(YEAR(TRANSACTIONS!$A2551),MONTH(TRANSACTIONS!$A2551),DAY(TRANSACTIONS!$A2551)),"")</f>
        <v>45355</v>
      </c>
      <c r="C2551" s="49">
        <f>IF(A2551&lt;&gt;"",TIME(HOUR(TRANSACTIONS!$A2551),MINUTE(TRANSACTIONS!$A2551),SECOND(TRANSACTIONS!$A2551)),"")</f>
        <v>0.76762731481481483</v>
      </c>
      <c r="D2551" s="82" t="s">
        <v>25</v>
      </c>
      <c r="E2551" s="93" t="s">
        <v>6</v>
      </c>
      <c r="F2551" s="94">
        <v>9000</v>
      </c>
      <c r="G2551" s="46"/>
      <c r="H2551" s="46">
        <f>IFERROR(TRANSACTIONS!$F2551+TRANSACTIONS!$G2551,"")</f>
        <v>9000</v>
      </c>
      <c r="I2551" s="40" t="s">
        <v>41</v>
      </c>
    </row>
    <row r="2552" spans="1:9" x14ac:dyDescent="0.25">
      <c r="A2552" s="41">
        <v>45355.767634953707</v>
      </c>
      <c r="B2552" s="48">
        <f>IF(A2552&lt;&gt;"",DATE(YEAR(TRANSACTIONS!$A2552),MONTH(TRANSACTIONS!$A2552),DAY(TRANSACTIONS!$A2552)),"")</f>
        <v>45355</v>
      </c>
      <c r="C2552" s="49">
        <f>IF(A2552&lt;&gt;"",TIME(HOUR(TRANSACTIONS!$A2552),MINUTE(TRANSACTIONS!$A2552),SECOND(TRANSACTIONS!$A2552)),"")</f>
        <v>0.76763888888888887</v>
      </c>
      <c r="D2552" s="82" t="s">
        <v>25</v>
      </c>
      <c r="E2552" s="93" t="s">
        <v>6</v>
      </c>
      <c r="F2552" s="94">
        <v>1000</v>
      </c>
      <c r="G2552" s="46"/>
      <c r="H2552" s="46">
        <f>IFERROR(TRANSACTIONS!$F2552+TRANSACTIONS!$G2552,"")</f>
        <v>1000</v>
      </c>
      <c r="I2552" s="40" t="s">
        <v>41</v>
      </c>
    </row>
    <row r="2553" spans="1:9" x14ac:dyDescent="0.25">
      <c r="A2553" s="81">
        <v>45355.767641550927</v>
      </c>
      <c r="B2553" s="83">
        <f>IF(A2553&lt;&gt;"",DATE(YEAR(TRANSACTIONS!$A2553),MONTH(TRANSACTIONS!$A2553),DAY(TRANSACTIONS!$A2553)),"")</f>
        <v>45355</v>
      </c>
      <c r="C2553" s="84">
        <f>IF(A2553&lt;&gt;"",TIME(HOUR(TRANSACTIONS!$A2553),MINUTE(TRANSACTIONS!$A2553),SECOND(TRANSACTIONS!$A2553)),"")</f>
        <v>0.76763888888888887</v>
      </c>
      <c r="D2553" s="82" t="s">
        <v>25</v>
      </c>
      <c r="E2553" s="93" t="s">
        <v>6</v>
      </c>
      <c r="F2553" s="94">
        <v>5000</v>
      </c>
      <c r="G2553" s="86"/>
      <c r="H2553" s="86">
        <f>IFERROR(TRANSACTIONS!$F2553+TRANSACTIONS!$G2553,"")</f>
        <v>5000</v>
      </c>
      <c r="I2553" s="88" t="s">
        <v>41</v>
      </c>
    </row>
    <row r="2554" spans="1:9" x14ac:dyDescent="0.25">
      <c r="A2554" s="81">
        <v>45355.76765277778</v>
      </c>
      <c r="B2554" s="83">
        <f>IF(A2554&lt;&gt;"",DATE(YEAR(TRANSACTIONS!$A2554),MONTH(TRANSACTIONS!$A2554),DAY(TRANSACTIONS!$A2554)),"")</f>
        <v>45355</v>
      </c>
      <c r="C2554" s="84">
        <f>IF(A2554&lt;&gt;"",TIME(HOUR(TRANSACTIONS!$A2554),MINUTE(TRANSACTIONS!$A2554),SECOND(TRANSACTIONS!$A2554)),"")</f>
        <v>0.76765046296296291</v>
      </c>
      <c r="D2554" s="82" t="s">
        <v>25</v>
      </c>
      <c r="E2554" s="93" t="s">
        <v>7</v>
      </c>
      <c r="F2554" s="94">
        <v>110000</v>
      </c>
      <c r="G2554" s="86"/>
      <c r="H2554" s="86">
        <f>IFERROR(TRANSACTIONS!$F2554+TRANSACTIONS!$G2554,"")</f>
        <v>110000</v>
      </c>
      <c r="I2554" s="88" t="s">
        <v>41</v>
      </c>
    </row>
    <row r="2555" spans="1:9" x14ac:dyDescent="0.25">
      <c r="A2555" s="41">
        <v>45355.767662384256</v>
      </c>
      <c r="B2555" s="48">
        <f>IF(A2555&lt;&gt;"",DATE(YEAR(TRANSACTIONS!$A2555),MONTH(TRANSACTIONS!$A2555),DAY(TRANSACTIONS!$A2555)),"")</f>
        <v>45355</v>
      </c>
      <c r="C2555" s="49">
        <f>IF(A2555&lt;&gt;"",TIME(HOUR(TRANSACTIONS!$A2555),MINUTE(TRANSACTIONS!$A2555),SECOND(TRANSACTIONS!$A2555)),"")</f>
        <v>0.76766203703703706</v>
      </c>
      <c r="D2555" s="82" t="s">
        <v>25</v>
      </c>
      <c r="E2555" s="93" t="s">
        <v>6</v>
      </c>
      <c r="F2555" s="94">
        <v>7000</v>
      </c>
      <c r="G2555" s="46"/>
      <c r="H2555" s="46">
        <f>IFERROR(TRANSACTIONS!$F2555+TRANSACTIONS!$G2555,"")</f>
        <v>7000</v>
      </c>
      <c r="I2555" s="40" t="s">
        <v>41</v>
      </c>
    </row>
    <row r="2556" spans="1:9" x14ac:dyDescent="0.25">
      <c r="A2556" s="41">
        <v>45355.767700115743</v>
      </c>
      <c r="B2556" s="48">
        <f>IF(A2556&lt;&gt;"",DATE(YEAR(TRANSACTIONS!$A2556),MONTH(TRANSACTIONS!$A2556),DAY(TRANSACTIONS!$A2556)),"")</f>
        <v>45355</v>
      </c>
      <c r="C2556" s="49">
        <f>IF(A2556&lt;&gt;"",TIME(HOUR(TRANSACTIONS!$A2556),MINUTE(TRANSACTIONS!$A2556),SECOND(TRANSACTIONS!$A2556)),"")</f>
        <v>0.76769675925925929</v>
      </c>
      <c r="D2556" s="82" t="s">
        <v>25</v>
      </c>
      <c r="E2556" s="93" t="s">
        <v>7</v>
      </c>
      <c r="F2556" s="94">
        <v>10000</v>
      </c>
      <c r="G2556" s="46"/>
      <c r="H2556" s="46">
        <f>IFERROR(TRANSACTIONS!$F2556+TRANSACTIONS!$G2556,"")</f>
        <v>10000</v>
      </c>
      <c r="I2556" s="40" t="s">
        <v>41</v>
      </c>
    </row>
    <row r="2557" spans="1:9" x14ac:dyDescent="0.25">
      <c r="A2557" s="41">
        <v>45355.768992708334</v>
      </c>
      <c r="B2557" s="48">
        <f>IF(A2557&lt;&gt;"",DATE(YEAR(TRANSACTIONS!$A2557),MONTH(TRANSACTIONS!$A2557),DAY(TRANSACTIONS!$A2557)),"")</f>
        <v>45355</v>
      </c>
      <c r="C2557" s="49">
        <f>IF(A2557&lt;&gt;"",TIME(HOUR(TRANSACTIONS!$A2557),MINUTE(TRANSACTIONS!$A2557),SECOND(TRANSACTIONS!$A2557)),"")</f>
        <v>0.76899305555555564</v>
      </c>
      <c r="D2557" s="82" t="s">
        <v>25</v>
      </c>
      <c r="E2557" s="93" t="s">
        <v>6</v>
      </c>
      <c r="F2557" s="94">
        <v>5000</v>
      </c>
      <c r="G2557" s="46"/>
      <c r="H2557" s="46">
        <f>IFERROR(TRANSACTIONS!$F2557+TRANSACTIONS!$G2557,"")</f>
        <v>5000</v>
      </c>
      <c r="I2557" s="40" t="s">
        <v>41</v>
      </c>
    </row>
    <row r="2558" spans="1:9" x14ac:dyDescent="0.25">
      <c r="A2558" s="41">
        <v>45355.769002314817</v>
      </c>
      <c r="B2558" s="48">
        <f>IF(A2558&lt;&gt;"",DATE(YEAR(TRANSACTIONS!$A2558),MONTH(TRANSACTIONS!$A2558),DAY(TRANSACTIONS!$A2558)),"")</f>
        <v>45355</v>
      </c>
      <c r="C2558" s="49">
        <f>IF(A2558&lt;&gt;"",TIME(HOUR(TRANSACTIONS!$A2558),MINUTE(TRANSACTIONS!$A2558),SECOND(TRANSACTIONS!$A2558)),"")</f>
        <v>0.76900462962962957</v>
      </c>
      <c r="D2558" s="82" t="s">
        <v>25</v>
      </c>
      <c r="E2558" s="93" t="s">
        <v>7</v>
      </c>
      <c r="F2558" s="94">
        <v>52000</v>
      </c>
      <c r="G2558" s="46"/>
      <c r="H2558" s="46">
        <f>IFERROR(TRANSACTIONS!$F2558+TRANSACTIONS!$G2558,"")</f>
        <v>52000</v>
      </c>
      <c r="I2558" s="40" t="s">
        <v>41</v>
      </c>
    </row>
    <row r="2559" spans="1:9" x14ac:dyDescent="0.25">
      <c r="A2559" s="41">
        <v>45355.769034027777</v>
      </c>
      <c r="B2559" s="48">
        <f>IF(A2559&lt;&gt;"",DATE(YEAR(TRANSACTIONS!$A2559),MONTH(TRANSACTIONS!$A2559),DAY(TRANSACTIONS!$A2559)),"")</f>
        <v>45355</v>
      </c>
      <c r="C2559" s="49">
        <f>IF(A2559&lt;&gt;"",TIME(HOUR(TRANSACTIONS!$A2559),MINUTE(TRANSACTIONS!$A2559),SECOND(TRANSACTIONS!$A2559)),"")</f>
        <v>0.7690393518518519</v>
      </c>
      <c r="D2559" s="82" t="s">
        <v>25</v>
      </c>
      <c r="E2559" s="93" t="s">
        <v>6</v>
      </c>
      <c r="F2559" s="94">
        <v>1000</v>
      </c>
      <c r="G2559" s="46"/>
      <c r="H2559" s="46">
        <f>IFERROR(TRANSACTIONS!$F2559+TRANSACTIONS!$G2559,"")</f>
        <v>1000</v>
      </c>
      <c r="I2559" s="40" t="s">
        <v>41</v>
      </c>
    </row>
    <row r="2560" spans="1:9" x14ac:dyDescent="0.25">
      <c r="A2560" s="41">
        <v>45355.769042361113</v>
      </c>
      <c r="B2560" s="48">
        <f>IF(A2560&lt;&gt;"",DATE(YEAR(TRANSACTIONS!$A2560),MONTH(TRANSACTIONS!$A2560),DAY(TRANSACTIONS!$A2560)),"")</f>
        <v>45355</v>
      </c>
      <c r="C2560" s="49">
        <f>IF(A2560&lt;&gt;"",TIME(HOUR(TRANSACTIONS!$A2560),MINUTE(TRANSACTIONS!$A2560),SECOND(TRANSACTIONS!$A2560)),"")</f>
        <v>0.7690393518518519</v>
      </c>
      <c r="D2560" s="82" t="s">
        <v>25</v>
      </c>
      <c r="E2560" s="93" t="s">
        <v>6</v>
      </c>
      <c r="F2560" s="94">
        <v>3000</v>
      </c>
      <c r="G2560" s="46"/>
      <c r="H2560" s="46">
        <f>IFERROR(TRANSACTIONS!$F2560+TRANSACTIONS!$G2560,"")</f>
        <v>3000</v>
      </c>
      <c r="I2560" s="40" t="s">
        <v>41</v>
      </c>
    </row>
    <row r="2561" spans="1:9" x14ac:dyDescent="0.25">
      <c r="A2561" s="41">
        <v>45355.810746296294</v>
      </c>
      <c r="B2561" s="48">
        <f>IF(A2561&lt;&gt;"",DATE(YEAR(TRANSACTIONS!$A2561),MONTH(TRANSACTIONS!$A2561),DAY(TRANSACTIONS!$A2561)),"")</f>
        <v>45355</v>
      </c>
      <c r="C2561" s="49">
        <f>IF(A2561&lt;&gt;"",TIME(HOUR(TRANSACTIONS!$A2561),MINUTE(TRANSACTIONS!$A2561),SECOND(TRANSACTIONS!$A2561)),"")</f>
        <v>0.81074074074074076</v>
      </c>
      <c r="D2561" s="82" t="s">
        <v>25</v>
      </c>
      <c r="E2561" s="93" t="s">
        <v>7</v>
      </c>
      <c r="F2561" s="94">
        <v>10000</v>
      </c>
      <c r="G2561" s="46"/>
      <c r="H2561" s="46">
        <f>IFERROR(TRANSACTIONS!$F2561+TRANSACTIONS!$G2561,"")</f>
        <v>10000</v>
      </c>
      <c r="I2561" s="40" t="s">
        <v>41</v>
      </c>
    </row>
    <row r="2562" spans="1:9" x14ac:dyDescent="0.25">
      <c r="A2562" s="41">
        <v>45355.810857407407</v>
      </c>
      <c r="B2562" s="48">
        <f>IF(A2562&lt;&gt;"",DATE(YEAR(TRANSACTIONS!$A2562),MONTH(TRANSACTIONS!$A2562),DAY(TRANSACTIONS!$A2562)),"")</f>
        <v>45355</v>
      </c>
      <c r="C2562" s="49">
        <f>IF(A2562&lt;&gt;"",TIME(HOUR(TRANSACTIONS!$A2562),MINUTE(TRANSACTIONS!$A2562),SECOND(TRANSACTIONS!$A2562)),"")</f>
        <v>0.81085648148148148</v>
      </c>
      <c r="D2562" s="82" t="s">
        <v>25</v>
      </c>
      <c r="E2562" s="93" t="s">
        <v>7</v>
      </c>
      <c r="F2562" s="94">
        <v>12000</v>
      </c>
      <c r="G2562" s="46"/>
      <c r="H2562" s="46">
        <f>IFERROR(TRANSACTIONS!$F2562+TRANSACTIONS!$G2562,"")</f>
        <v>12000</v>
      </c>
      <c r="I2562" s="40" t="s">
        <v>41</v>
      </c>
    </row>
    <row r="2563" spans="1:9" x14ac:dyDescent="0.25">
      <c r="A2563" s="41">
        <v>45355.810866435182</v>
      </c>
      <c r="B2563" s="48">
        <f>IF(A2563&lt;&gt;"",DATE(YEAR(TRANSACTIONS!$A2563),MONTH(TRANSACTIONS!$A2563),DAY(TRANSACTIONS!$A2563)),"")</f>
        <v>45355</v>
      </c>
      <c r="C2563" s="49">
        <f>IF(A2563&lt;&gt;"",TIME(HOUR(TRANSACTIONS!$A2563),MINUTE(TRANSACTIONS!$A2563),SECOND(TRANSACTIONS!$A2563)),"")</f>
        <v>0.81086805555555552</v>
      </c>
      <c r="D2563" s="82" t="s">
        <v>25</v>
      </c>
      <c r="E2563" s="93" t="s">
        <v>7</v>
      </c>
      <c r="F2563" s="94">
        <v>1000</v>
      </c>
      <c r="G2563" s="46"/>
      <c r="H2563" s="46">
        <f>IFERROR(TRANSACTIONS!$F2563+TRANSACTIONS!$G2563,"")</f>
        <v>1000</v>
      </c>
      <c r="I2563" s="40" t="s">
        <v>41</v>
      </c>
    </row>
    <row r="2564" spans="1:9" x14ac:dyDescent="0.25">
      <c r="A2564" s="41">
        <v>45355.810915624999</v>
      </c>
      <c r="B2564" s="48">
        <f>IF(A2564&lt;&gt;"",DATE(YEAR(TRANSACTIONS!$A2564),MONTH(TRANSACTIONS!$A2564),DAY(TRANSACTIONS!$A2564)),"")</f>
        <v>45355</v>
      </c>
      <c r="C2564" s="49">
        <f>IF(A2564&lt;&gt;"",TIME(HOUR(TRANSACTIONS!$A2564),MINUTE(TRANSACTIONS!$A2564),SECOND(TRANSACTIONS!$A2564)),"")</f>
        <v>0.8109143518518519</v>
      </c>
      <c r="D2564" s="82" t="s">
        <v>25</v>
      </c>
      <c r="E2564" s="93" t="s">
        <v>6</v>
      </c>
      <c r="F2564" s="94">
        <v>4000</v>
      </c>
      <c r="G2564" s="46"/>
      <c r="H2564" s="46">
        <f>IFERROR(TRANSACTIONS!$F2564+TRANSACTIONS!$G2564,"")</f>
        <v>4000</v>
      </c>
      <c r="I2564" s="40" t="s">
        <v>41</v>
      </c>
    </row>
    <row r="2565" spans="1:9" x14ac:dyDescent="0.25">
      <c r="A2565" s="41">
        <v>45355.811072685188</v>
      </c>
      <c r="B2565" s="48">
        <f>IF(A2565&lt;&gt;"",DATE(YEAR(TRANSACTIONS!$A2565),MONTH(TRANSACTIONS!$A2565),DAY(TRANSACTIONS!$A2565)),"")</f>
        <v>45355</v>
      </c>
      <c r="C2565" s="49">
        <f>IF(A2565&lt;&gt;"",TIME(HOUR(TRANSACTIONS!$A2565),MINUTE(TRANSACTIONS!$A2565),SECOND(TRANSACTIONS!$A2565)),"")</f>
        <v>0.81107638888888889</v>
      </c>
      <c r="D2565" s="82" t="s">
        <v>62</v>
      </c>
      <c r="E2565" s="93" t="s">
        <v>7</v>
      </c>
      <c r="F2565" s="94">
        <v>1000</v>
      </c>
      <c r="G2565" s="46"/>
      <c r="H2565" s="46">
        <f>IFERROR(TRANSACTIONS!$F2565+TRANSACTIONS!$G2565,"")</f>
        <v>1000</v>
      </c>
      <c r="I2565" s="40" t="s">
        <v>41</v>
      </c>
    </row>
    <row r="2566" spans="1:9" x14ac:dyDescent="0.25">
      <c r="A2566" s="41">
        <v>45355.811100694445</v>
      </c>
      <c r="B2566" s="48">
        <f>IF(A2566&lt;&gt;"",DATE(YEAR(TRANSACTIONS!$A2566),MONTH(TRANSACTIONS!$A2566),DAY(TRANSACTIONS!$A2566)),"")</f>
        <v>45355</v>
      </c>
      <c r="C2566" s="49">
        <f>IF(A2566&lt;&gt;"",TIME(HOUR(TRANSACTIONS!$A2566),MINUTE(TRANSACTIONS!$A2566),SECOND(TRANSACTIONS!$A2566)),"")</f>
        <v>0.81109953703703708</v>
      </c>
      <c r="D2566" s="82" t="s">
        <v>62</v>
      </c>
      <c r="E2566" s="93" t="s">
        <v>6</v>
      </c>
      <c r="F2566" s="94">
        <v>14000</v>
      </c>
      <c r="G2566" s="46"/>
      <c r="H2566" s="46">
        <f>IFERROR(TRANSACTIONS!$F2566+TRANSACTIONS!$G2566,"")</f>
        <v>14000</v>
      </c>
      <c r="I2566" s="40" t="s">
        <v>41</v>
      </c>
    </row>
    <row r="2567" spans="1:9" x14ac:dyDescent="0.25">
      <c r="A2567" s="41">
        <v>45355.811105671295</v>
      </c>
      <c r="B2567" s="48">
        <f>IF(A2567&lt;&gt;"",DATE(YEAR(TRANSACTIONS!$A2567),MONTH(TRANSACTIONS!$A2567),DAY(TRANSACTIONS!$A2567)),"")</f>
        <v>45355</v>
      </c>
      <c r="C2567" s="49">
        <f>IF(A2567&lt;&gt;"",TIME(HOUR(TRANSACTIONS!$A2567),MINUTE(TRANSACTIONS!$A2567),SECOND(TRANSACTIONS!$A2567)),"")</f>
        <v>0.81111111111111101</v>
      </c>
      <c r="D2567" s="82" t="s">
        <v>62</v>
      </c>
      <c r="E2567" s="93" t="s">
        <v>6</v>
      </c>
      <c r="F2567" s="94">
        <v>15000</v>
      </c>
      <c r="G2567" s="46"/>
      <c r="H2567" s="46">
        <f>IFERROR(TRANSACTIONS!$F2567+TRANSACTIONS!$G2567,"")</f>
        <v>15000</v>
      </c>
      <c r="I2567" s="40" t="s">
        <v>41</v>
      </c>
    </row>
    <row r="2568" spans="1:9" x14ac:dyDescent="0.25">
      <c r="A2568" s="41">
        <v>45355.811123495369</v>
      </c>
      <c r="B2568" s="48">
        <f>IF(A2568&lt;&gt;"",DATE(YEAR(TRANSACTIONS!$A2568),MONTH(TRANSACTIONS!$A2568),DAY(TRANSACTIONS!$A2568)),"")</f>
        <v>45355</v>
      </c>
      <c r="C2568" s="49">
        <f>IF(A2568&lt;&gt;"",TIME(HOUR(TRANSACTIONS!$A2568),MINUTE(TRANSACTIONS!$A2568),SECOND(TRANSACTIONS!$A2568)),"")</f>
        <v>0.81112268518518515</v>
      </c>
      <c r="D2568" s="82" t="s">
        <v>62</v>
      </c>
      <c r="E2568" s="93" t="s">
        <v>7</v>
      </c>
      <c r="F2568" s="94">
        <v>15000</v>
      </c>
      <c r="G2568" s="46"/>
      <c r="H2568" s="46">
        <f>IFERROR(TRANSACTIONS!$F2568+TRANSACTIONS!$G2568,"")</f>
        <v>15000</v>
      </c>
      <c r="I2568" s="40" t="s">
        <v>41</v>
      </c>
    </row>
    <row r="2569" spans="1:9" x14ac:dyDescent="0.25">
      <c r="A2569" s="41">
        <v>45355.812017013886</v>
      </c>
      <c r="B2569" s="48">
        <f>IF(A2569&lt;&gt;"",DATE(YEAR(TRANSACTIONS!$A2569),MONTH(TRANSACTIONS!$A2569),DAY(TRANSACTIONS!$A2569)),"")</f>
        <v>45355</v>
      </c>
      <c r="C2569" s="49">
        <f>IF(A2569&lt;&gt;"",TIME(HOUR(TRANSACTIONS!$A2569),MINUTE(TRANSACTIONS!$A2569),SECOND(TRANSACTIONS!$A2569)),"")</f>
        <v>0.81201388888888892</v>
      </c>
      <c r="D2569" s="82" t="s">
        <v>62</v>
      </c>
      <c r="E2569" s="93" t="s">
        <v>6</v>
      </c>
      <c r="F2569" s="94">
        <v>5000</v>
      </c>
      <c r="G2569" s="46"/>
      <c r="H2569" s="46">
        <f>IFERROR(TRANSACTIONS!$F2569+TRANSACTIONS!$G2569,"")</f>
        <v>5000</v>
      </c>
      <c r="I2569" s="40" t="s">
        <v>41</v>
      </c>
    </row>
    <row r="2570" spans="1:9" x14ac:dyDescent="0.25">
      <c r="A2570" s="41">
        <v>45355.812049884262</v>
      </c>
      <c r="B2570" s="48">
        <f>IF(A2570&lt;&gt;"",DATE(YEAR(TRANSACTIONS!$A2570),MONTH(TRANSACTIONS!$A2570),DAY(TRANSACTIONS!$A2570)),"")</f>
        <v>45355</v>
      </c>
      <c r="C2570" s="49">
        <f>IF(A2570&lt;&gt;"",TIME(HOUR(TRANSACTIONS!$A2570),MINUTE(TRANSACTIONS!$A2570),SECOND(TRANSACTIONS!$A2570)),"")</f>
        <v>0.81204861111111104</v>
      </c>
      <c r="D2570" s="82" t="s">
        <v>62</v>
      </c>
      <c r="E2570" s="93" t="s">
        <v>7</v>
      </c>
      <c r="F2570" s="94">
        <v>37000</v>
      </c>
      <c r="G2570" s="46"/>
      <c r="H2570" s="46">
        <f>IFERROR(TRANSACTIONS!$F2570+TRANSACTIONS!$G2570,"")</f>
        <v>37000</v>
      </c>
      <c r="I2570" s="40" t="s">
        <v>41</v>
      </c>
    </row>
    <row r="2571" spans="1:9" x14ac:dyDescent="0.25">
      <c r="A2571" s="113">
        <v>45355.812058564814</v>
      </c>
      <c r="B2571" s="114">
        <f>IF(A2571&lt;&gt;"",DATE(YEAR(TRANSACTIONS!$A2571),MONTH(TRANSACTIONS!$A2571),DAY(TRANSACTIONS!$A2571)),"")</f>
        <v>45355</v>
      </c>
      <c r="C2571" s="115">
        <f>IF(A2571&lt;&gt;"",TIME(HOUR(TRANSACTIONS!$A2571),MINUTE(TRANSACTIONS!$A2571),SECOND(TRANSACTIONS!$A2571)),"")</f>
        <v>0.81206018518518519</v>
      </c>
      <c r="D2571" s="82" t="s">
        <v>62</v>
      </c>
      <c r="E2571" s="93" t="s">
        <v>7</v>
      </c>
      <c r="F2571" s="94">
        <v>2500</v>
      </c>
      <c r="G2571" s="117"/>
      <c r="H2571" s="117">
        <f>IFERROR(TRANSACTIONS!$F2571+TRANSACTIONS!$G2571,"")</f>
        <v>2500</v>
      </c>
      <c r="I2571" s="118" t="s">
        <v>41</v>
      </c>
    </row>
    <row r="2572" spans="1:9" x14ac:dyDescent="0.25">
      <c r="A2572" s="41">
        <v>45355.812080902775</v>
      </c>
      <c r="B2572" s="48">
        <f>IF(A2572&lt;&gt;"",DATE(YEAR(TRANSACTIONS!$A2572),MONTH(TRANSACTIONS!$A2572),DAY(TRANSACTIONS!$A2572)),"")</f>
        <v>45355</v>
      </c>
      <c r="C2572" s="49">
        <f>IF(A2572&lt;&gt;"",TIME(HOUR(TRANSACTIONS!$A2572),MINUTE(TRANSACTIONS!$A2572),SECOND(TRANSACTIONS!$A2572)),"")</f>
        <v>0.81208333333333327</v>
      </c>
      <c r="D2572" s="82" t="s">
        <v>62</v>
      </c>
      <c r="E2572" s="93" t="s">
        <v>6</v>
      </c>
      <c r="F2572" s="94">
        <v>10000</v>
      </c>
      <c r="G2572" s="46"/>
      <c r="H2572" s="46">
        <f>IFERROR(TRANSACTIONS!$F2572+TRANSACTIONS!$G2572,"")</f>
        <v>10000</v>
      </c>
      <c r="I2572" s="40" t="s">
        <v>41</v>
      </c>
    </row>
    <row r="2573" spans="1:9" x14ac:dyDescent="0.25">
      <c r="A2573" s="41">
        <v>45355.81209039352</v>
      </c>
      <c r="B2573" s="48">
        <f>IF(A2573&lt;&gt;"",DATE(YEAR(TRANSACTIONS!$A2573),MONTH(TRANSACTIONS!$A2573),DAY(TRANSACTIONS!$A2573)),"")</f>
        <v>45355</v>
      </c>
      <c r="C2573" s="49">
        <f>IF(A2573&lt;&gt;"",TIME(HOUR(TRANSACTIONS!$A2573),MINUTE(TRANSACTIONS!$A2573),SECOND(TRANSACTIONS!$A2573)),"")</f>
        <v>0.81209490740740742</v>
      </c>
      <c r="D2573" s="82" t="s">
        <v>62</v>
      </c>
      <c r="E2573" s="93" t="s">
        <v>7</v>
      </c>
      <c r="F2573" s="94">
        <v>2000</v>
      </c>
      <c r="G2573" s="46"/>
      <c r="H2573" s="46">
        <f>IFERROR(TRANSACTIONS!$F2573+TRANSACTIONS!$G2573,"")</f>
        <v>2000</v>
      </c>
      <c r="I2573" s="40" t="s">
        <v>41</v>
      </c>
    </row>
    <row r="2574" spans="1:9" x14ac:dyDescent="0.25">
      <c r="A2574" s="41">
        <v>45355.812098958333</v>
      </c>
      <c r="B2574" s="48">
        <f>IF(A2574&lt;&gt;"",DATE(YEAR(TRANSACTIONS!$A2574),MONTH(TRANSACTIONS!$A2574),DAY(TRANSACTIONS!$A2574)),"")</f>
        <v>45355</v>
      </c>
      <c r="C2574" s="49">
        <f>IF(A2574&lt;&gt;"",TIME(HOUR(TRANSACTIONS!$A2574),MINUTE(TRANSACTIONS!$A2574),SECOND(TRANSACTIONS!$A2574)),"")</f>
        <v>0.81209490740740742</v>
      </c>
      <c r="D2574" s="82" t="s">
        <v>62</v>
      </c>
      <c r="E2574" s="93" t="s">
        <v>7</v>
      </c>
      <c r="F2574" s="94">
        <v>20000</v>
      </c>
      <c r="G2574" s="46"/>
      <c r="H2574" s="46">
        <f>IFERROR(TRANSACTIONS!$F2574+TRANSACTIONS!$G2574,"")</f>
        <v>20000</v>
      </c>
      <c r="I2574" s="40" t="s">
        <v>41</v>
      </c>
    </row>
    <row r="2575" spans="1:9" x14ac:dyDescent="0.25">
      <c r="A2575" s="41">
        <v>45355.812107754631</v>
      </c>
      <c r="B2575" s="48">
        <f>IF(A2575&lt;&gt;"",DATE(YEAR(TRANSACTIONS!$A2575),MONTH(TRANSACTIONS!$A2575),DAY(TRANSACTIONS!$A2575)),"")</f>
        <v>45355</v>
      </c>
      <c r="C2575" s="49">
        <f>IF(A2575&lt;&gt;"",TIME(HOUR(TRANSACTIONS!$A2575),MINUTE(TRANSACTIONS!$A2575),SECOND(TRANSACTIONS!$A2575)),"")</f>
        <v>0.81210648148148146</v>
      </c>
      <c r="D2575" s="82" t="s">
        <v>62</v>
      </c>
      <c r="E2575" s="93" t="s">
        <v>7</v>
      </c>
      <c r="F2575" s="94">
        <v>20000</v>
      </c>
      <c r="G2575" s="46"/>
      <c r="H2575" s="46">
        <f>IFERROR(TRANSACTIONS!$F2575+TRANSACTIONS!$G2575,"")</f>
        <v>20000</v>
      </c>
      <c r="I2575" s="40" t="s">
        <v>41</v>
      </c>
    </row>
    <row r="2576" spans="1:9" x14ac:dyDescent="0.25">
      <c r="A2576" s="41">
        <v>45355.81211608796</v>
      </c>
      <c r="B2576" s="48">
        <f>IF(A2576&lt;&gt;"",DATE(YEAR(TRANSACTIONS!$A2576),MONTH(TRANSACTIONS!$A2576),DAY(TRANSACTIONS!$A2576)),"")</f>
        <v>45355</v>
      </c>
      <c r="C2576" s="49">
        <f>IF(A2576&lt;&gt;"",TIME(HOUR(TRANSACTIONS!$A2576),MINUTE(TRANSACTIONS!$A2576),SECOND(TRANSACTIONS!$A2576)),"")</f>
        <v>0.81211805555555561</v>
      </c>
      <c r="D2576" s="82" t="s">
        <v>62</v>
      </c>
      <c r="E2576" s="93" t="s">
        <v>6</v>
      </c>
      <c r="F2576" s="94">
        <v>30000</v>
      </c>
      <c r="G2576" s="46"/>
      <c r="H2576" s="46">
        <f>IFERROR(TRANSACTIONS!$F2576+TRANSACTIONS!$G2576,"")</f>
        <v>30000</v>
      </c>
      <c r="I2576" s="40" t="s">
        <v>41</v>
      </c>
    </row>
    <row r="2577" spans="1:10" x14ac:dyDescent="0.25">
      <c r="A2577" s="41">
        <v>45355.812124652781</v>
      </c>
      <c r="B2577" s="48">
        <f>IF(A2577&lt;&gt;"",DATE(YEAR(TRANSACTIONS!$A2577),MONTH(TRANSACTIONS!$A2577),DAY(TRANSACTIONS!$A2577)),"")</f>
        <v>45355</v>
      </c>
      <c r="C2577" s="49">
        <f>IF(A2577&lt;&gt;"",TIME(HOUR(TRANSACTIONS!$A2577),MINUTE(TRANSACTIONS!$A2577),SECOND(TRANSACTIONS!$A2577)),"")</f>
        <v>0.81212962962962953</v>
      </c>
      <c r="D2577" s="82" t="s">
        <v>62</v>
      </c>
      <c r="E2577" s="93" t="s">
        <v>7</v>
      </c>
      <c r="F2577" s="94">
        <v>5000</v>
      </c>
      <c r="G2577" s="46"/>
      <c r="H2577" s="46">
        <f>IFERROR(TRANSACTIONS!$F2577+TRANSACTIONS!$G2577,"")</f>
        <v>5000</v>
      </c>
      <c r="I2577" s="40" t="s">
        <v>41</v>
      </c>
    </row>
    <row r="2578" spans="1:10" x14ac:dyDescent="0.25">
      <c r="A2578" s="41">
        <v>45355.812134143518</v>
      </c>
      <c r="B2578" s="48">
        <f>IF(A2578&lt;&gt;"",DATE(YEAR(TRANSACTIONS!$A2578),MONTH(TRANSACTIONS!$A2578),DAY(TRANSACTIONS!$A2578)),"")</f>
        <v>45355</v>
      </c>
      <c r="C2578" s="49">
        <f>IF(A2578&lt;&gt;"",TIME(HOUR(TRANSACTIONS!$A2578),MINUTE(TRANSACTIONS!$A2578),SECOND(TRANSACTIONS!$A2578)),"")</f>
        <v>0.81212962962962953</v>
      </c>
      <c r="D2578" s="82" t="s">
        <v>62</v>
      </c>
      <c r="E2578" s="93" t="s">
        <v>7</v>
      </c>
      <c r="F2578" s="94">
        <v>150000</v>
      </c>
      <c r="G2578" s="46"/>
      <c r="H2578" s="46">
        <f>IFERROR(TRANSACTIONS!$F2578+TRANSACTIONS!$G2578,"")</f>
        <v>150000</v>
      </c>
      <c r="I2578" s="40" t="s">
        <v>41</v>
      </c>
    </row>
    <row r="2579" spans="1:10" x14ac:dyDescent="0.25">
      <c r="A2579" s="41">
        <v>45355.812152314815</v>
      </c>
      <c r="B2579" s="48">
        <f>IF(A2579&lt;&gt;"",DATE(YEAR(TRANSACTIONS!$A2579),MONTH(TRANSACTIONS!$A2579),DAY(TRANSACTIONS!$A2579)),"")</f>
        <v>45355</v>
      </c>
      <c r="C2579" s="49">
        <f>IF(A2579&lt;&gt;"",TIME(HOUR(TRANSACTIONS!$A2579),MINUTE(TRANSACTIONS!$A2579),SECOND(TRANSACTIONS!$A2579)),"")</f>
        <v>0.81215277777777783</v>
      </c>
      <c r="D2579" s="82" t="s">
        <v>62</v>
      </c>
      <c r="E2579" s="93" t="s">
        <v>7</v>
      </c>
      <c r="F2579" s="94">
        <v>100000</v>
      </c>
      <c r="G2579" s="46"/>
      <c r="H2579" s="46">
        <f>IFERROR(TRANSACTIONS!$F2579+TRANSACTIONS!$G2579,"")</f>
        <v>100000</v>
      </c>
      <c r="I2579" s="40" t="s">
        <v>41</v>
      </c>
    </row>
    <row r="2580" spans="1:10" x14ac:dyDescent="0.25">
      <c r="A2580" s="41">
        <v>45355.812168055556</v>
      </c>
      <c r="B2580" s="48">
        <f>IF(A2580&lt;&gt;"",DATE(YEAR(TRANSACTIONS!$A2580),MONTH(TRANSACTIONS!$A2580),DAY(TRANSACTIONS!$A2580)),"")</f>
        <v>45355</v>
      </c>
      <c r="C2580" s="49">
        <f>IF(A2580&lt;&gt;"",TIME(HOUR(TRANSACTIONS!$A2580),MINUTE(TRANSACTIONS!$A2580),SECOND(TRANSACTIONS!$A2580)),"")</f>
        <v>0.81216435185185187</v>
      </c>
      <c r="D2580" s="82" t="s">
        <v>62</v>
      </c>
      <c r="E2580" s="93" t="s">
        <v>7</v>
      </c>
      <c r="F2580" s="94">
        <v>5000</v>
      </c>
      <c r="G2580" s="46"/>
      <c r="H2580" s="46">
        <f>IFERROR(TRANSACTIONS!$F2580+TRANSACTIONS!$G2580,"")</f>
        <v>5000</v>
      </c>
      <c r="I2580" s="40" t="s">
        <v>41</v>
      </c>
    </row>
    <row r="2581" spans="1:10" x14ac:dyDescent="0.25">
      <c r="A2581" s="41"/>
      <c r="B2581" s="48" t="str">
        <f>IF(A2581&lt;&gt;"",DATE(YEAR(TRANSACTIONS!$A2581),MONTH(TRANSACTIONS!$A2581),DAY(TRANSACTIONS!$A2581)),"")</f>
        <v/>
      </c>
      <c r="C2581" s="49" t="str">
        <f>IF(A2581&lt;&gt;"",TIME(HOUR(TRANSACTIONS!$A2581),MINUTE(TRANSACTIONS!$A2581),SECOND(TRANSACTIONS!$A2581)),"")</f>
        <v/>
      </c>
      <c r="D2581" s="82"/>
      <c r="E2581" s="93"/>
      <c r="F2581" s="94"/>
      <c r="G2581" s="46"/>
      <c r="H2581" s="46">
        <f>IFERROR(TRANSACTIONS!$F2581+TRANSACTIONS!$G2581,"")</f>
        <v>0</v>
      </c>
      <c r="I2581" s="40" t="s">
        <v>41</v>
      </c>
    </row>
    <row r="2582" spans="1:10" x14ac:dyDescent="0.25">
      <c r="A2582" s="41">
        <v>45356.439935185183</v>
      </c>
      <c r="B2582" s="48">
        <f>IF(A2582&lt;&gt;"",DATE(YEAR(TRANSACTIONS!$A2582),MONTH(TRANSACTIONS!$A2582),DAY(TRANSACTIONS!$A2582)),"")</f>
        <v>45356</v>
      </c>
      <c r="C2582" s="49">
        <f>IF(A2582&lt;&gt;"",TIME(HOUR(TRANSACTIONS!$A2582),MINUTE(TRANSACTIONS!$A2582),SECOND(TRANSACTIONS!$A2582)),"")</f>
        <v>0.43993055555555555</v>
      </c>
      <c r="D2582" s="82" t="s">
        <v>62</v>
      </c>
      <c r="E2582" s="93" t="s">
        <v>6</v>
      </c>
      <c r="F2582" s="94">
        <v>500</v>
      </c>
      <c r="G2582" s="46"/>
      <c r="H2582" s="46">
        <f>IFERROR(TRANSACTIONS!$F2582+TRANSACTIONS!$G2582,"")</f>
        <v>500</v>
      </c>
      <c r="I2582" s="40" t="s">
        <v>41</v>
      </c>
    </row>
    <row r="2583" spans="1:10" x14ac:dyDescent="0.25">
      <c r="A2583" s="41">
        <v>45356.439964814817</v>
      </c>
      <c r="B2583" s="48">
        <f>IF(A2583&lt;&gt;"",DATE(YEAR(TRANSACTIONS!$A2583),MONTH(TRANSACTIONS!$A2583),DAY(TRANSACTIONS!$A2583)),"")</f>
        <v>45356</v>
      </c>
      <c r="C2583" s="49">
        <f>IF(A2583&lt;&gt;"",TIME(HOUR(TRANSACTIONS!$A2583),MINUTE(TRANSACTIONS!$A2583),SECOND(TRANSACTIONS!$A2583)),"")</f>
        <v>0.43996527777777777</v>
      </c>
      <c r="D2583" s="82" t="s">
        <v>62</v>
      </c>
      <c r="E2583" s="93" t="s">
        <v>7</v>
      </c>
      <c r="F2583" s="94">
        <v>2000</v>
      </c>
      <c r="G2583" s="46"/>
      <c r="H2583" s="46">
        <f>IFERROR(TRANSACTIONS!$F2583+TRANSACTIONS!$G2583,"")</f>
        <v>2000</v>
      </c>
      <c r="I2583" s="40" t="s">
        <v>41</v>
      </c>
    </row>
    <row r="2584" spans="1:10" x14ac:dyDescent="0.25">
      <c r="A2584" s="41">
        <v>45356.439972916669</v>
      </c>
      <c r="B2584" s="48">
        <f>IF(A2584&lt;&gt;"",DATE(YEAR(TRANSACTIONS!$A2584),MONTH(TRANSACTIONS!$A2584),DAY(TRANSACTIONS!$A2584)),"")</f>
        <v>45356</v>
      </c>
      <c r="C2584" s="49">
        <f>IF(A2584&lt;&gt;"",TIME(HOUR(TRANSACTIONS!$A2584),MINUTE(TRANSACTIONS!$A2584),SECOND(TRANSACTIONS!$A2584)),"")</f>
        <v>0.43997685185185187</v>
      </c>
      <c r="D2584" s="82" t="s">
        <v>62</v>
      </c>
      <c r="E2584" s="93" t="s">
        <v>6</v>
      </c>
      <c r="F2584" s="94">
        <v>7750</v>
      </c>
      <c r="G2584" s="46"/>
      <c r="H2584" s="46">
        <f>IFERROR(TRANSACTIONS!$F2584+TRANSACTIONS!$G2584,"")</f>
        <v>7750</v>
      </c>
      <c r="I2584" s="40" t="s">
        <v>41</v>
      </c>
    </row>
    <row r="2585" spans="1:10" x14ac:dyDescent="0.25">
      <c r="A2585" s="41">
        <v>45356.439981249998</v>
      </c>
      <c r="B2585" s="48">
        <f>IF(A2585&lt;&gt;"",DATE(YEAR(TRANSACTIONS!$A2585),MONTH(TRANSACTIONS!$A2585),DAY(TRANSACTIONS!$A2585)),"")</f>
        <v>45356</v>
      </c>
      <c r="C2585" s="49">
        <f>IF(A2585&lt;&gt;"",TIME(HOUR(TRANSACTIONS!$A2585),MINUTE(TRANSACTIONS!$A2585),SECOND(TRANSACTIONS!$A2585)),"")</f>
        <v>0.43997685185185187</v>
      </c>
      <c r="D2585" s="82" t="s">
        <v>62</v>
      </c>
      <c r="E2585" s="93" t="s">
        <v>7</v>
      </c>
      <c r="F2585" s="94">
        <v>500</v>
      </c>
      <c r="G2585" s="46"/>
      <c r="H2585" s="46">
        <f>IFERROR(TRANSACTIONS!$F2585+TRANSACTIONS!$G2585,"")</f>
        <v>500</v>
      </c>
      <c r="I2585" s="40" t="s">
        <v>41</v>
      </c>
    </row>
    <row r="2586" spans="1:10" x14ac:dyDescent="0.25">
      <c r="A2586" s="41">
        <v>45356.439988078702</v>
      </c>
      <c r="B2586" s="48">
        <f>IF(A2586&lt;&gt;"",DATE(YEAR(TRANSACTIONS!$A2586),MONTH(TRANSACTIONS!$A2586),DAY(TRANSACTIONS!$A2586)),"")</f>
        <v>45356</v>
      </c>
      <c r="C2586" s="49">
        <f>IF(A2586&lt;&gt;"",TIME(HOUR(TRANSACTIONS!$A2586),MINUTE(TRANSACTIONS!$A2586),SECOND(TRANSACTIONS!$A2586)),"")</f>
        <v>0.43998842592592591</v>
      </c>
      <c r="D2586" s="82" t="s">
        <v>62</v>
      </c>
      <c r="E2586" s="93" t="s">
        <v>7</v>
      </c>
      <c r="F2586" s="94">
        <v>5000</v>
      </c>
      <c r="G2586" s="46"/>
      <c r="H2586" s="46">
        <f>IFERROR(TRANSACTIONS!$F2586+TRANSACTIONS!$G2586,"")</f>
        <v>5000</v>
      </c>
      <c r="I2586" s="40" t="s">
        <v>41</v>
      </c>
    </row>
    <row r="2587" spans="1:10" x14ac:dyDescent="0.25">
      <c r="A2587" s="41">
        <v>45356.439995023145</v>
      </c>
      <c r="B2587" s="48">
        <f>IF(A2587&lt;&gt;"",DATE(YEAR(TRANSACTIONS!$A2587),MONTH(TRANSACTIONS!$A2587),DAY(TRANSACTIONS!$A2587)),"")</f>
        <v>45356</v>
      </c>
      <c r="C2587" s="49">
        <f>IF(A2587&lt;&gt;"",TIME(HOUR(TRANSACTIONS!$A2587),MINUTE(TRANSACTIONS!$A2587),SECOND(TRANSACTIONS!$A2587)),"")</f>
        <v>0.44</v>
      </c>
      <c r="D2587" s="82" t="s">
        <v>62</v>
      </c>
      <c r="E2587" s="93" t="s">
        <v>7</v>
      </c>
      <c r="F2587" s="94">
        <v>5000</v>
      </c>
      <c r="G2587" s="46"/>
      <c r="H2587" s="46">
        <f>IFERROR(TRANSACTIONS!$F2587+TRANSACTIONS!$G2587,"")</f>
        <v>5000</v>
      </c>
      <c r="I2587" s="40" t="s">
        <v>41</v>
      </c>
    </row>
    <row r="2588" spans="1:10" x14ac:dyDescent="0.25">
      <c r="A2588" s="41">
        <v>45356.440044212963</v>
      </c>
      <c r="B2588" s="48">
        <f>IF(A2588&lt;&gt;"",DATE(YEAR(TRANSACTIONS!$A2588),MONTH(TRANSACTIONS!$A2588),DAY(TRANSACTIONS!$A2588)),"")</f>
        <v>45356</v>
      </c>
      <c r="C2588" s="49">
        <f>IF(A2588&lt;&gt;"",TIME(HOUR(TRANSACTIONS!$A2588),MINUTE(TRANSACTIONS!$A2588),SECOND(TRANSACTIONS!$A2588)),"")</f>
        <v>0.44004629629629632</v>
      </c>
      <c r="D2588" s="82" t="s">
        <v>62</v>
      </c>
      <c r="E2588" s="93" t="s">
        <v>7</v>
      </c>
      <c r="F2588" s="94">
        <v>145000</v>
      </c>
      <c r="G2588" s="46"/>
      <c r="H2588" s="46">
        <f>IFERROR(TRANSACTIONS!$F2588+TRANSACTIONS!$G2588,"")</f>
        <v>145000</v>
      </c>
      <c r="I2588" s="40" t="s">
        <v>41</v>
      </c>
    </row>
    <row r="2589" spans="1:10" x14ac:dyDescent="0.25">
      <c r="A2589" s="41">
        <v>45356.440067129632</v>
      </c>
      <c r="B2589" s="48">
        <f>IF(A2589&lt;&gt;"",DATE(YEAR(TRANSACTIONS!$A2589),MONTH(TRANSACTIONS!$A2589),DAY(TRANSACTIONS!$A2589)),"")</f>
        <v>45356</v>
      </c>
      <c r="C2589" s="49">
        <f>IF(A2589&lt;&gt;"",TIME(HOUR(TRANSACTIONS!$A2589),MINUTE(TRANSACTIONS!$A2589),SECOND(TRANSACTIONS!$A2589)),"")</f>
        <v>0.44006944444444446</v>
      </c>
      <c r="D2589" s="82" t="s">
        <v>62</v>
      </c>
      <c r="E2589" s="93" t="s">
        <v>6</v>
      </c>
      <c r="F2589" s="94">
        <v>8000</v>
      </c>
      <c r="G2589" s="46"/>
      <c r="H2589" s="46">
        <f>IFERROR(TRANSACTIONS!$F2589+TRANSACTIONS!$G2589,"")</f>
        <v>8000</v>
      </c>
      <c r="I2589" s="40" t="s">
        <v>41</v>
      </c>
    </row>
    <row r="2590" spans="1:10" x14ac:dyDescent="0.25">
      <c r="A2590" s="41">
        <v>45356.440085879629</v>
      </c>
      <c r="B2590" s="48">
        <f>IF(A2590&lt;&gt;"",DATE(YEAR(TRANSACTIONS!$A2590),MONTH(TRANSACTIONS!$A2590),DAY(TRANSACTIONS!$A2590)),"")</f>
        <v>45356</v>
      </c>
      <c r="C2590" s="49">
        <f>IF(A2590&lt;&gt;"",TIME(HOUR(TRANSACTIONS!$A2590),MINUTE(TRANSACTIONS!$A2590),SECOND(TRANSACTIONS!$A2590)),"")</f>
        <v>0.4400810185185185</v>
      </c>
      <c r="D2590" s="82" t="s">
        <v>62</v>
      </c>
      <c r="E2590" s="93" t="s">
        <v>7</v>
      </c>
      <c r="F2590" s="94">
        <v>60000</v>
      </c>
      <c r="G2590" s="46"/>
      <c r="H2590" s="46">
        <f>IFERROR(TRANSACTIONS!$F2590+TRANSACTIONS!$G2590,"")</f>
        <v>60000</v>
      </c>
      <c r="I2590" s="40" t="s">
        <v>41</v>
      </c>
    </row>
    <row r="2591" spans="1:10" x14ac:dyDescent="0.25">
      <c r="A2591" s="113">
        <v>45356.440095486112</v>
      </c>
      <c r="B2591" s="114">
        <f>IF(A2591&lt;&gt;"",DATE(YEAR(TRANSACTIONS!$A2591),MONTH(TRANSACTIONS!$A2591),DAY(TRANSACTIONS!$A2591)),"")</f>
        <v>45356</v>
      </c>
      <c r="C2591" s="115">
        <f>IF(A2591&lt;&gt;"",TIME(HOUR(TRANSACTIONS!$A2591),MINUTE(TRANSACTIONS!$A2591),SECOND(TRANSACTIONS!$A2591)),"")</f>
        <v>0.44009259259259265</v>
      </c>
      <c r="D2591" s="116" t="s">
        <v>62</v>
      </c>
      <c r="E2591" s="264" t="s">
        <v>7</v>
      </c>
      <c r="F2591" s="185">
        <v>2000</v>
      </c>
      <c r="G2591" s="117"/>
      <c r="H2591" s="117">
        <f>IFERROR(TRANSACTIONS!$F2591+TRANSACTIONS!$G2591,"")</f>
        <v>2000</v>
      </c>
      <c r="I2591" s="118" t="s">
        <v>41</v>
      </c>
      <c r="J2591" s="118"/>
    </row>
    <row r="2592" spans="1:10" x14ac:dyDescent="0.25">
      <c r="A2592" s="41">
        <v>45356.440102777779</v>
      </c>
      <c r="B2592" s="48">
        <f>IF(A2592&lt;&gt;"",DATE(YEAR(TRANSACTIONS!$A2592),MONTH(TRANSACTIONS!$A2592),DAY(TRANSACTIONS!$A2592)),"")</f>
        <v>45356</v>
      </c>
      <c r="C2592" s="49">
        <f>IF(A2592&lt;&gt;"",TIME(HOUR(TRANSACTIONS!$A2592),MINUTE(TRANSACTIONS!$A2592),SECOND(TRANSACTIONS!$A2592)),"")</f>
        <v>0.44010416666666669</v>
      </c>
      <c r="D2592" s="82" t="s">
        <v>62</v>
      </c>
      <c r="E2592" s="82" t="s">
        <v>7</v>
      </c>
      <c r="F2592" s="94">
        <v>100000</v>
      </c>
      <c r="G2592" s="46"/>
      <c r="H2592" s="46">
        <f>IFERROR(TRANSACTIONS!$F2592+TRANSACTIONS!$G2592,"")</f>
        <v>100000</v>
      </c>
      <c r="I2592" s="40" t="s">
        <v>41</v>
      </c>
    </row>
    <row r="2593" spans="1:9" x14ac:dyDescent="0.25">
      <c r="A2593" s="41">
        <v>45356.44010983796</v>
      </c>
      <c r="B2593" s="48">
        <f>IF(A2593&lt;&gt;"",DATE(YEAR(TRANSACTIONS!$A2593),MONTH(TRANSACTIONS!$A2593),DAY(TRANSACTIONS!$A2593)),"")</f>
        <v>45356</v>
      </c>
      <c r="C2593" s="49">
        <f>IF(A2593&lt;&gt;"",TIME(HOUR(TRANSACTIONS!$A2593),MINUTE(TRANSACTIONS!$A2593),SECOND(TRANSACTIONS!$A2593)),"")</f>
        <v>0.44010416666666669</v>
      </c>
      <c r="D2593" s="82" t="s">
        <v>62</v>
      </c>
      <c r="E2593" s="82" t="s">
        <v>7</v>
      </c>
      <c r="F2593" s="94">
        <v>5000</v>
      </c>
      <c r="G2593" s="46"/>
      <c r="H2593" s="46">
        <f>IFERROR(TRANSACTIONS!$F2593+TRANSACTIONS!$G2593,"")</f>
        <v>5000</v>
      </c>
      <c r="I2593" s="40" t="s">
        <v>41</v>
      </c>
    </row>
    <row r="2594" spans="1:9" x14ac:dyDescent="0.25">
      <c r="A2594" s="41">
        <v>45356.440117824073</v>
      </c>
      <c r="B2594" s="48">
        <f>IF(A2594&lt;&gt;"",DATE(YEAR(TRANSACTIONS!$A2594),MONTH(TRANSACTIONS!$A2594),DAY(TRANSACTIONS!$A2594)),"")</f>
        <v>45356</v>
      </c>
      <c r="C2594" s="49">
        <f>IF(A2594&lt;&gt;"",TIME(HOUR(TRANSACTIONS!$A2594),MINUTE(TRANSACTIONS!$A2594),SECOND(TRANSACTIONS!$A2594)),"")</f>
        <v>0.44011574074074072</v>
      </c>
      <c r="D2594" s="82" t="s">
        <v>62</v>
      </c>
      <c r="E2594" s="82" t="s">
        <v>7</v>
      </c>
      <c r="F2594" s="94">
        <v>1000</v>
      </c>
      <c r="G2594" s="46"/>
      <c r="H2594" s="46">
        <f>IFERROR(TRANSACTIONS!$F2594+TRANSACTIONS!$G2594,"")</f>
        <v>1000</v>
      </c>
      <c r="I2594" s="40" t="s">
        <v>41</v>
      </c>
    </row>
    <row r="2595" spans="1:9" x14ac:dyDescent="0.25">
      <c r="A2595" s="41">
        <v>45356.440125000001</v>
      </c>
      <c r="B2595" s="48">
        <f>IF(A2595&lt;&gt;"",DATE(YEAR(TRANSACTIONS!$A2595),MONTH(TRANSACTIONS!$A2595),DAY(TRANSACTIONS!$A2595)),"")</f>
        <v>45356</v>
      </c>
      <c r="C2595" s="49">
        <f>IF(A2595&lt;&gt;"",TIME(HOUR(TRANSACTIONS!$A2595),MINUTE(TRANSACTIONS!$A2595),SECOND(TRANSACTIONS!$A2595)),"")</f>
        <v>0.44012731481481482</v>
      </c>
      <c r="D2595" s="82" t="s">
        <v>62</v>
      </c>
      <c r="E2595" s="82" t="s">
        <v>7</v>
      </c>
      <c r="F2595" s="94">
        <v>5000</v>
      </c>
      <c r="G2595" s="46"/>
      <c r="H2595" s="46">
        <f>IFERROR(TRANSACTIONS!$F2595+TRANSACTIONS!$G2595,"")</f>
        <v>5000</v>
      </c>
      <c r="I2595" s="40" t="s">
        <v>41</v>
      </c>
    </row>
    <row r="2596" spans="1:9" x14ac:dyDescent="0.25">
      <c r="A2596" s="41">
        <v>45356.44013333333</v>
      </c>
      <c r="B2596" s="48">
        <f>IF(A2596&lt;&gt;"",DATE(YEAR(TRANSACTIONS!$A2596),MONTH(TRANSACTIONS!$A2596),DAY(TRANSACTIONS!$A2596)),"")</f>
        <v>45356</v>
      </c>
      <c r="C2596" s="49">
        <f>IF(A2596&lt;&gt;"",TIME(HOUR(TRANSACTIONS!$A2596),MINUTE(TRANSACTIONS!$A2596),SECOND(TRANSACTIONS!$A2596)),"")</f>
        <v>0.44013888888888886</v>
      </c>
      <c r="D2596" s="82" t="s">
        <v>62</v>
      </c>
      <c r="E2596" s="82" t="s">
        <v>7</v>
      </c>
      <c r="F2596" s="94">
        <v>31000</v>
      </c>
      <c r="G2596" s="46"/>
      <c r="H2596" s="46">
        <f>IFERROR(TRANSACTIONS!$F2596+TRANSACTIONS!$G2596,"")</f>
        <v>31000</v>
      </c>
      <c r="I2596" s="40" t="s">
        <v>41</v>
      </c>
    </row>
    <row r="2597" spans="1:9" x14ac:dyDescent="0.25">
      <c r="A2597" s="41">
        <v>45356.440173842595</v>
      </c>
      <c r="B2597" s="48">
        <f>IF(A2597&lt;&gt;"",DATE(YEAR(TRANSACTIONS!$A2597),MONTH(TRANSACTIONS!$A2597),DAY(TRANSACTIONS!$A2597)),"")</f>
        <v>45356</v>
      </c>
      <c r="C2597" s="49">
        <f>IF(A2597&lt;&gt;"",TIME(HOUR(TRANSACTIONS!$A2597),MINUTE(TRANSACTIONS!$A2597),SECOND(TRANSACTIONS!$A2597)),"")</f>
        <v>0.44017361111111114</v>
      </c>
      <c r="D2597" s="82" t="s">
        <v>62</v>
      </c>
      <c r="E2597" s="93" t="s">
        <v>7</v>
      </c>
      <c r="F2597" s="94">
        <v>20000</v>
      </c>
      <c r="G2597" s="46"/>
      <c r="H2597" s="46">
        <f>IFERROR(TRANSACTIONS!$F2597+TRANSACTIONS!$G2597,"")</f>
        <v>20000</v>
      </c>
      <c r="I2597" s="40" t="s">
        <v>41</v>
      </c>
    </row>
    <row r="2598" spans="1:9" x14ac:dyDescent="0.25">
      <c r="A2598" s="41">
        <v>45356.440181134261</v>
      </c>
      <c r="B2598" s="48">
        <f>IF(A2598&lt;&gt;"",DATE(YEAR(TRANSACTIONS!$A2598),MONTH(TRANSACTIONS!$A2598),DAY(TRANSACTIONS!$A2598)),"")</f>
        <v>45356</v>
      </c>
      <c r="C2598" s="49">
        <f>IF(A2598&lt;&gt;"",TIME(HOUR(TRANSACTIONS!$A2598),MINUTE(TRANSACTIONS!$A2598),SECOND(TRANSACTIONS!$A2598)),"")</f>
        <v>0.44018518518518518</v>
      </c>
      <c r="D2598" s="82" t="s">
        <v>62</v>
      </c>
      <c r="E2598" s="82" t="s">
        <v>7</v>
      </c>
      <c r="F2598" s="94">
        <v>20000</v>
      </c>
      <c r="G2598" s="46"/>
      <c r="H2598" s="46">
        <f>IFERROR(TRANSACTIONS!$F2598+TRANSACTIONS!$G2598,"")</f>
        <v>20000</v>
      </c>
      <c r="I2598" s="40" t="s">
        <v>41</v>
      </c>
    </row>
    <row r="2599" spans="1:9" x14ac:dyDescent="0.25">
      <c r="A2599" s="41">
        <v>45356.440209722219</v>
      </c>
      <c r="B2599" s="48">
        <f>IF(A2599&lt;&gt;"",DATE(YEAR(TRANSACTIONS!$A2599),MONTH(TRANSACTIONS!$A2599),DAY(TRANSACTIONS!$A2599)),"")</f>
        <v>45356</v>
      </c>
      <c r="C2599" s="49">
        <f>IF(A2599&lt;&gt;"",TIME(HOUR(TRANSACTIONS!$A2599),MINUTE(TRANSACTIONS!$A2599),SECOND(TRANSACTIONS!$A2599)),"")</f>
        <v>0.44020833333333331</v>
      </c>
      <c r="D2599" s="82" t="s">
        <v>25</v>
      </c>
      <c r="E2599" s="82" t="s">
        <v>6</v>
      </c>
      <c r="F2599" s="94">
        <v>10100</v>
      </c>
      <c r="G2599" s="46"/>
      <c r="H2599" s="46">
        <f>IFERROR(TRANSACTIONS!$F2599+TRANSACTIONS!$G2599,"")</f>
        <v>10100</v>
      </c>
      <c r="I2599" s="40" t="s">
        <v>41</v>
      </c>
    </row>
    <row r="2600" spans="1:9" x14ac:dyDescent="0.25">
      <c r="A2600" s="41">
        <v>45356.440217476855</v>
      </c>
      <c r="B2600" s="48">
        <f>IF(A2600&lt;&gt;"",DATE(YEAR(TRANSACTIONS!$A2600),MONTH(TRANSACTIONS!$A2600),DAY(TRANSACTIONS!$A2600)),"")</f>
        <v>45356</v>
      </c>
      <c r="C2600" s="49">
        <f>IF(A2600&lt;&gt;"",TIME(HOUR(TRANSACTIONS!$A2600),MINUTE(TRANSACTIONS!$A2600),SECOND(TRANSACTIONS!$A2600)),"")</f>
        <v>0.44021990740740741</v>
      </c>
      <c r="D2600" s="82" t="s">
        <v>25</v>
      </c>
      <c r="E2600" s="82" t="s">
        <v>7</v>
      </c>
      <c r="F2600" s="94">
        <v>15000</v>
      </c>
      <c r="G2600" s="46"/>
      <c r="H2600" s="46">
        <f>IFERROR(TRANSACTIONS!$F2600+TRANSACTIONS!$G2600,"")</f>
        <v>15000</v>
      </c>
      <c r="I2600" s="40" t="s">
        <v>41</v>
      </c>
    </row>
    <row r="2601" spans="1:9" x14ac:dyDescent="0.25">
      <c r="A2601" s="41">
        <v>45356.440253472225</v>
      </c>
      <c r="B2601" s="48">
        <f>IF(A2601&lt;&gt;"",DATE(YEAR(TRANSACTIONS!$A2601),MONTH(TRANSACTIONS!$A2601),DAY(TRANSACTIONS!$A2601)),"")</f>
        <v>45356</v>
      </c>
      <c r="C2601" s="49">
        <f>IF(A2601&lt;&gt;"",TIME(HOUR(TRANSACTIONS!$A2601),MINUTE(TRANSACTIONS!$A2601),SECOND(TRANSACTIONS!$A2601)),"")</f>
        <v>0.44025462962962963</v>
      </c>
      <c r="D2601" s="82" t="s">
        <v>25</v>
      </c>
      <c r="E2601" s="82" t="s">
        <v>6</v>
      </c>
      <c r="F2601" s="94">
        <v>10000</v>
      </c>
      <c r="G2601" s="46"/>
      <c r="H2601" s="46">
        <f>IFERROR(TRANSACTIONS!$F2601+TRANSACTIONS!$G2601,"")</f>
        <v>10000</v>
      </c>
      <c r="I2601" s="40" t="s">
        <v>41</v>
      </c>
    </row>
    <row r="2602" spans="1:9" x14ac:dyDescent="0.25">
      <c r="A2602" s="41">
        <v>45356.440262152777</v>
      </c>
      <c r="B2602" s="48">
        <f>IF(A2602&lt;&gt;"",DATE(YEAR(TRANSACTIONS!$A2602),MONTH(TRANSACTIONS!$A2602),DAY(TRANSACTIONS!$A2602)),"")</f>
        <v>45356</v>
      </c>
      <c r="C2602" s="49">
        <f>IF(A2602&lt;&gt;"",TIME(HOUR(TRANSACTIONS!$A2602),MINUTE(TRANSACTIONS!$A2602),SECOND(TRANSACTIONS!$A2602)),"")</f>
        <v>0.44026620370370373</v>
      </c>
      <c r="D2602" s="82" t="s">
        <v>25</v>
      </c>
      <c r="E2602" s="82" t="s">
        <v>6</v>
      </c>
      <c r="F2602" s="94">
        <v>4000</v>
      </c>
      <c r="G2602" s="46"/>
      <c r="H2602" s="46">
        <f>IFERROR(TRANSACTIONS!$F2602+TRANSACTIONS!$G2602,"")</f>
        <v>4000</v>
      </c>
      <c r="I2602" s="40" t="s">
        <v>41</v>
      </c>
    </row>
    <row r="2603" spans="1:9" x14ac:dyDescent="0.25">
      <c r="A2603" s="41">
        <v>45356.44026909722</v>
      </c>
      <c r="B2603" s="48">
        <f>IF(A2603&lt;&gt;"",DATE(YEAR(TRANSACTIONS!$A2603),MONTH(TRANSACTIONS!$A2603),DAY(TRANSACTIONS!$A2603)),"")</f>
        <v>45356</v>
      </c>
      <c r="C2603" s="49">
        <f>IF(A2603&lt;&gt;"",TIME(HOUR(TRANSACTIONS!$A2603),MINUTE(TRANSACTIONS!$A2603),SECOND(TRANSACTIONS!$A2603)),"")</f>
        <v>0.44026620370370373</v>
      </c>
      <c r="D2603" s="82" t="s">
        <v>25</v>
      </c>
      <c r="E2603" s="82" t="s">
        <v>7</v>
      </c>
      <c r="F2603" s="94">
        <v>65000</v>
      </c>
      <c r="G2603" s="46"/>
      <c r="H2603" s="46">
        <f>IFERROR(TRANSACTIONS!$F2603+TRANSACTIONS!$G2603,"")</f>
        <v>65000</v>
      </c>
      <c r="I2603" s="40" t="s">
        <v>41</v>
      </c>
    </row>
    <row r="2604" spans="1:9" x14ac:dyDescent="0.25">
      <c r="A2604" s="41">
        <v>45356.440276041663</v>
      </c>
      <c r="B2604" s="48">
        <f>IF(A2604&lt;&gt;"",DATE(YEAR(TRANSACTIONS!$A2604),MONTH(TRANSACTIONS!$A2604),DAY(TRANSACTIONS!$A2604)),"")</f>
        <v>45356</v>
      </c>
      <c r="C2604" s="49">
        <f>IF(A2604&lt;&gt;"",TIME(HOUR(TRANSACTIONS!$A2604),MINUTE(TRANSACTIONS!$A2604),SECOND(TRANSACTIONS!$A2604)),"")</f>
        <v>0.44027777777777777</v>
      </c>
      <c r="D2604" s="82" t="s">
        <v>25</v>
      </c>
      <c r="E2604" s="82" t="s">
        <v>7</v>
      </c>
      <c r="F2604" s="94">
        <v>5000</v>
      </c>
      <c r="G2604" s="46"/>
      <c r="H2604" s="46">
        <f>IFERROR(TRANSACTIONS!$F2604+TRANSACTIONS!$G2604,"")</f>
        <v>5000</v>
      </c>
      <c r="I2604" s="40" t="s">
        <v>41</v>
      </c>
    </row>
    <row r="2605" spans="1:9" x14ac:dyDescent="0.25">
      <c r="A2605" s="41">
        <v>45356.440283217591</v>
      </c>
      <c r="B2605" s="48">
        <f>IF(A2605&lt;&gt;"",DATE(YEAR(TRANSACTIONS!$A2605),MONTH(TRANSACTIONS!$A2605),DAY(TRANSACTIONS!$A2605)),"")</f>
        <v>45356</v>
      </c>
      <c r="C2605" s="49">
        <f>IF(A2605&lt;&gt;"",TIME(HOUR(TRANSACTIONS!$A2605),MINUTE(TRANSACTIONS!$A2605),SECOND(TRANSACTIONS!$A2605)),"")</f>
        <v>0.44027777777777777</v>
      </c>
      <c r="D2605" s="93" t="s">
        <v>25</v>
      </c>
      <c r="E2605" s="93" t="s">
        <v>6</v>
      </c>
      <c r="F2605" s="94">
        <v>1000</v>
      </c>
      <c r="G2605" s="46"/>
      <c r="H2605" s="46">
        <f>IFERROR(TRANSACTIONS!$F2605+TRANSACTIONS!$G2605,"")</f>
        <v>1000</v>
      </c>
      <c r="I2605" s="40" t="s">
        <v>41</v>
      </c>
    </row>
    <row r="2606" spans="1:9" x14ac:dyDescent="0.25">
      <c r="A2606" s="41">
        <v>45356.44029027778</v>
      </c>
      <c r="B2606" s="48">
        <f>IF(A2606&lt;&gt;"",DATE(YEAR(TRANSACTIONS!$A2606),MONTH(TRANSACTIONS!$A2606),DAY(TRANSACTIONS!$A2606)),"")</f>
        <v>45356</v>
      </c>
      <c r="C2606" s="49">
        <f>IF(A2606&lt;&gt;"",TIME(HOUR(TRANSACTIONS!$A2606),MINUTE(TRANSACTIONS!$A2606),SECOND(TRANSACTIONS!$A2606)),"")</f>
        <v>0.44028935185185186</v>
      </c>
      <c r="D2606" s="82" t="s">
        <v>25</v>
      </c>
      <c r="E2606" s="82" t="s">
        <v>6</v>
      </c>
      <c r="F2606" s="94">
        <v>500</v>
      </c>
      <c r="G2606" s="46"/>
      <c r="H2606" s="46">
        <f>IFERROR(TRANSACTIONS!$F2606+TRANSACTIONS!$G2606,"")</f>
        <v>500</v>
      </c>
      <c r="I2606" s="40" t="s">
        <v>41</v>
      </c>
    </row>
    <row r="2607" spans="1:9" x14ac:dyDescent="0.25">
      <c r="A2607" s="41">
        <v>45356.44032627315</v>
      </c>
      <c r="B2607" s="48">
        <f>IF(A2607&lt;&gt;"",DATE(YEAR(TRANSACTIONS!$A2607),MONTH(TRANSACTIONS!$A2607),DAY(TRANSACTIONS!$A2607)),"")</f>
        <v>45356</v>
      </c>
      <c r="C2607" s="49">
        <f>IF(A2607&lt;&gt;"",TIME(HOUR(TRANSACTIONS!$A2607),MINUTE(TRANSACTIONS!$A2607),SECOND(TRANSACTIONS!$A2607)),"")</f>
        <v>0.44032407407407409</v>
      </c>
      <c r="D2607" s="82" t="s">
        <v>25</v>
      </c>
      <c r="E2607" s="82" t="s">
        <v>7</v>
      </c>
      <c r="F2607" s="94">
        <v>1200</v>
      </c>
      <c r="G2607" s="46"/>
      <c r="H2607" s="46">
        <f>IFERROR(TRANSACTIONS!$F2607+TRANSACTIONS!$G2607,"")</f>
        <v>1200</v>
      </c>
      <c r="I2607" s="40" t="s">
        <v>41</v>
      </c>
    </row>
    <row r="2608" spans="1:9" x14ac:dyDescent="0.25">
      <c r="A2608" s="41">
        <v>45356.440317939814</v>
      </c>
      <c r="B2608" s="48">
        <f>IF(A2608&lt;&gt;"",DATE(YEAR(TRANSACTIONS!$A2608),MONTH(TRANSACTIONS!$A2608),DAY(TRANSACTIONS!$A2608)),"")</f>
        <v>45356</v>
      </c>
      <c r="C2608" s="49">
        <f>IF(A2608&lt;&gt;"",TIME(HOUR(TRANSACTIONS!$A2608),MINUTE(TRANSACTIONS!$A2608),SECOND(TRANSACTIONS!$A2608)),"")</f>
        <v>0.44031250000000005</v>
      </c>
      <c r="D2608" s="82" t="s">
        <v>25</v>
      </c>
      <c r="E2608" s="82" t="s">
        <v>6</v>
      </c>
      <c r="F2608" s="94">
        <v>700</v>
      </c>
      <c r="G2608" s="46"/>
      <c r="H2608" s="46">
        <f>IFERROR(TRANSACTIONS!$F2608+TRANSACTIONS!$G2608,"")</f>
        <v>700</v>
      </c>
      <c r="I2608" s="40" t="s">
        <v>41</v>
      </c>
    </row>
    <row r="2609" spans="1:10" x14ac:dyDescent="0.25">
      <c r="A2609" s="41">
        <v>45356.440351620367</v>
      </c>
      <c r="B2609" s="48">
        <f>IF(A2609&lt;&gt;"",DATE(YEAR(TRANSACTIONS!$A2609),MONTH(TRANSACTIONS!$A2609),DAY(TRANSACTIONS!$A2609)),"")</f>
        <v>45356</v>
      </c>
      <c r="C2609" s="49">
        <f>IF(A2609&lt;&gt;"",TIME(HOUR(TRANSACTIONS!$A2609),MINUTE(TRANSACTIONS!$A2609),SECOND(TRANSACTIONS!$A2609)),"")</f>
        <v>0.44034722222222222</v>
      </c>
      <c r="D2609" s="82" t="s">
        <v>62</v>
      </c>
      <c r="E2609" s="82" t="s">
        <v>7</v>
      </c>
      <c r="F2609" s="94">
        <v>5000</v>
      </c>
      <c r="G2609" s="46"/>
      <c r="H2609" s="46">
        <f>IFERROR(TRANSACTIONS!$F2609+TRANSACTIONS!$G2609,"")</f>
        <v>5000</v>
      </c>
      <c r="I2609" s="40" t="s">
        <v>41</v>
      </c>
    </row>
    <row r="2610" spans="1:10" x14ac:dyDescent="0.25">
      <c r="A2610" s="41">
        <v>45356.44036226852</v>
      </c>
      <c r="B2610" s="48">
        <f>IF(A2610&lt;&gt;"",DATE(YEAR(TRANSACTIONS!$A2610),MONTH(TRANSACTIONS!$A2610),DAY(TRANSACTIONS!$A2610)),"")</f>
        <v>45356</v>
      </c>
      <c r="C2610" s="49">
        <f>IF(A2610&lt;&gt;"",TIME(HOUR(TRANSACTIONS!$A2610),MINUTE(TRANSACTIONS!$A2610),SECOND(TRANSACTIONS!$A2610)),"")</f>
        <v>0.44035879629629626</v>
      </c>
      <c r="D2610" s="82" t="s">
        <v>62</v>
      </c>
      <c r="E2610" s="82" t="s">
        <v>6</v>
      </c>
      <c r="F2610" s="94">
        <v>8950</v>
      </c>
      <c r="G2610" s="46"/>
      <c r="H2610" s="46">
        <f>IFERROR(TRANSACTIONS!$F2610+TRANSACTIONS!$G2610,"")</f>
        <v>8950</v>
      </c>
      <c r="I2610" s="40" t="s">
        <v>41</v>
      </c>
    </row>
    <row r="2611" spans="1:10" x14ac:dyDescent="0.25">
      <c r="A2611" s="102">
        <v>45356.440369560187</v>
      </c>
      <c r="B2611" s="103">
        <f>IF(A2611&lt;&gt;"",DATE(YEAR(TRANSACTIONS!$A2611),MONTH(TRANSACTIONS!$A2611),DAY(TRANSACTIONS!$A2611)),"")</f>
        <v>45356</v>
      </c>
      <c r="C2611" s="104">
        <f>IF(A2611&lt;&gt;"",TIME(HOUR(TRANSACTIONS!$A2611),MINUTE(TRANSACTIONS!$A2611),SECOND(TRANSACTIONS!$A2611)),"")</f>
        <v>0.44037037037037036</v>
      </c>
      <c r="D2611" s="93" t="s">
        <v>62</v>
      </c>
      <c r="E2611" s="93" t="s">
        <v>7</v>
      </c>
      <c r="F2611" s="94">
        <v>5000</v>
      </c>
      <c r="G2611" s="46"/>
      <c r="H2611" s="46">
        <f>IFERROR(TRANSACTIONS!$F2611+TRANSACTIONS!$G2611,"")</f>
        <v>5000</v>
      </c>
      <c r="I2611" s="40" t="s">
        <v>41</v>
      </c>
    </row>
    <row r="2612" spans="1:10" x14ac:dyDescent="0.25">
      <c r="A2612" s="90">
        <v>45356.440490277775</v>
      </c>
      <c r="B2612" s="91">
        <f>IF(A2612&lt;&gt;"",DATE(YEAR(TRANSACTIONS!$A2612),MONTH(TRANSACTIONS!$A2612),DAY(TRANSACTIONS!$A2612)),"")</f>
        <v>45356</v>
      </c>
      <c r="C2612" s="92">
        <f>IF(A2612&lt;&gt;"",TIME(HOUR(TRANSACTIONS!$A2612),MINUTE(TRANSACTIONS!$A2612),SECOND(TRANSACTIONS!$A2612)),"")</f>
        <v>0.44048611111111113</v>
      </c>
      <c r="D2612" s="93" t="s">
        <v>62</v>
      </c>
      <c r="E2612" s="93" t="s">
        <v>7</v>
      </c>
      <c r="F2612" s="94">
        <v>1000</v>
      </c>
      <c r="G2612" s="95"/>
      <c r="H2612" s="95">
        <f>IFERROR(TRANSACTIONS!$F2612+TRANSACTIONS!$G2612,"")</f>
        <v>1000</v>
      </c>
      <c r="I2612" s="112" t="s">
        <v>41</v>
      </c>
      <c r="J2612" s="88"/>
    </row>
    <row r="2613" spans="1:10" x14ac:dyDescent="0.25">
      <c r="A2613" s="41">
        <v>45356.440498842596</v>
      </c>
      <c r="B2613" s="48">
        <f>IF(A2613&lt;&gt;"",DATE(YEAR(TRANSACTIONS!$A2613),MONTH(TRANSACTIONS!$A2613),DAY(TRANSACTIONS!$A2613)),"")</f>
        <v>45356</v>
      </c>
      <c r="C2613" s="49">
        <f>IF(A2613&lt;&gt;"",TIME(HOUR(TRANSACTIONS!$A2613),MINUTE(TRANSACTIONS!$A2613),SECOND(TRANSACTIONS!$A2613)),"")</f>
        <v>0.44049768518518517</v>
      </c>
      <c r="D2613" s="82" t="s">
        <v>62</v>
      </c>
      <c r="E2613" s="82" t="s">
        <v>6</v>
      </c>
      <c r="F2613" s="94">
        <v>1500</v>
      </c>
      <c r="G2613" s="46"/>
      <c r="H2613" s="46">
        <f>IFERROR(TRANSACTIONS!$F2613+TRANSACTIONS!$G2613,"")</f>
        <v>1500</v>
      </c>
      <c r="I2613" s="40" t="s">
        <v>41</v>
      </c>
    </row>
    <row r="2614" spans="1:10" x14ac:dyDescent="0.25">
      <c r="A2614" s="41">
        <v>45356.440508333333</v>
      </c>
      <c r="B2614" s="48">
        <f>IF(A2614&lt;&gt;"",DATE(YEAR(TRANSACTIONS!$A2614),MONTH(TRANSACTIONS!$A2614),DAY(TRANSACTIONS!$A2614)),"")</f>
        <v>45356</v>
      </c>
      <c r="C2614" s="49">
        <f>IF(A2614&lt;&gt;"",TIME(HOUR(TRANSACTIONS!$A2614),MINUTE(TRANSACTIONS!$A2614),SECOND(TRANSACTIONS!$A2614)),"")</f>
        <v>0.44050925925925927</v>
      </c>
      <c r="D2614" s="82" t="s">
        <v>62</v>
      </c>
      <c r="E2614" s="82" t="s">
        <v>7</v>
      </c>
      <c r="F2614" s="94">
        <v>30000</v>
      </c>
      <c r="G2614" s="46"/>
      <c r="H2614" s="46">
        <f>IFERROR(TRANSACTIONS!$F2614+TRANSACTIONS!$G2614,"")</f>
        <v>30000</v>
      </c>
      <c r="I2614" s="40" t="s">
        <v>41</v>
      </c>
    </row>
    <row r="2615" spans="1:10" x14ac:dyDescent="0.25">
      <c r="A2615" s="41">
        <v>45356.450458680556</v>
      </c>
      <c r="B2615" s="48">
        <f>IF(A2615&lt;&gt;"",DATE(YEAR(TRANSACTIONS!$A2615),MONTH(TRANSACTIONS!$A2615),DAY(TRANSACTIONS!$A2615)),"")</f>
        <v>45356</v>
      </c>
      <c r="C2615" s="49">
        <f>IF(A2615&lt;&gt;"",TIME(HOUR(TRANSACTIONS!$A2615),MINUTE(TRANSACTIONS!$A2615),SECOND(TRANSACTIONS!$A2615)),"")</f>
        <v>0.45046296296296301</v>
      </c>
      <c r="D2615" s="82" t="s">
        <v>25</v>
      </c>
      <c r="E2615" s="82" t="s">
        <v>6</v>
      </c>
      <c r="F2615" s="94">
        <v>3000</v>
      </c>
      <c r="G2615" s="46"/>
      <c r="H2615" s="46">
        <f>IFERROR(TRANSACTIONS!$F2615+TRANSACTIONS!$G2615,"")</f>
        <v>3000</v>
      </c>
      <c r="I2615" s="40" t="s">
        <v>41</v>
      </c>
    </row>
    <row r="2616" spans="1:10" x14ac:dyDescent="0.25">
      <c r="A2616" s="41">
        <v>45356.450516898149</v>
      </c>
      <c r="B2616" s="48">
        <f>IF(A2616&lt;&gt;"",DATE(YEAR(TRANSACTIONS!$A2616),MONTH(TRANSACTIONS!$A2616),DAY(TRANSACTIONS!$A2616)),"")</f>
        <v>45356</v>
      </c>
      <c r="C2616" s="49">
        <f>IF(A2616&lt;&gt;"",TIME(HOUR(TRANSACTIONS!$A2616),MINUTE(TRANSACTIONS!$A2616),SECOND(TRANSACTIONS!$A2616)),"")</f>
        <v>0.45052083333333331</v>
      </c>
      <c r="D2616" s="82" t="s">
        <v>25</v>
      </c>
      <c r="E2616" s="82" t="s">
        <v>6</v>
      </c>
      <c r="F2616" s="94">
        <v>26000</v>
      </c>
      <c r="G2616" s="46"/>
      <c r="H2616" s="46">
        <f>IFERROR(TRANSACTIONS!$F2616+TRANSACTIONS!$G2616,"")</f>
        <v>26000</v>
      </c>
      <c r="I2616" s="40" t="s">
        <v>41</v>
      </c>
    </row>
    <row r="2617" spans="1:10" x14ac:dyDescent="0.25">
      <c r="A2617" s="41">
        <v>45356.450525115739</v>
      </c>
      <c r="B2617" s="48">
        <f>IF(A2617&lt;&gt;"",DATE(YEAR(TRANSACTIONS!$A2617),MONTH(TRANSACTIONS!$A2617),DAY(TRANSACTIONS!$A2617)),"")</f>
        <v>45356</v>
      </c>
      <c r="C2617" s="49">
        <f>IF(A2617&lt;&gt;"",TIME(HOUR(TRANSACTIONS!$A2617),MINUTE(TRANSACTIONS!$A2617),SECOND(TRANSACTIONS!$A2617)),"")</f>
        <v>0.45052083333333331</v>
      </c>
      <c r="D2617" s="82" t="s">
        <v>25</v>
      </c>
      <c r="E2617" s="82" t="s">
        <v>6</v>
      </c>
      <c r="F2617" s="94">
        <v>1500</v>
      </c>
      <c r="G2617" s="46"/>
      <c r="H2617" s="46">
        <f>IFERROR(TRANSACTIONS!$F2617+TRANSACTIONS!$G2617,"")</f>
        <v>1500</v>
      </c>
      <c r="I2617" s="40" t="s">
        <v>41</v>
      </c>
    </row>
    <row r="2618" spans="1:10" x14ac:dyDescent="0.25">
      <c r="A2618" s="41">
        <v>45356.450533680552</v>
      </c>
      <c r="B2618" s="48">
        <f>IF(A2618&lt;&gt;"",DATE(YEAR(TRANSACTIONS!$A2618),MONTH(TRANSACTIONS!$A2618),DAY(TRANSACTIONS!$A2618)),"")</f>
        <v>45356</v>
      </c>
      <c r="C2618" s="49">
        <f>IF(A2618&lt;&gt;"",TIME(HOUR(TRANSACTIONS!$A2618),MINUTE(TRANSACTIONS!$A2618),SECOND(TRANSACTIONS!$A2618)),"")</f>
        <v>0.45053240740740735</v>
      </c>
      <c r="D2618" s="82" t="s">
        <v>25</v>
      </c>
      <c r="E2618" s="82" t="s">
        <v>6</v>
      </c>
      <c r="F2618" s="94">
        <v>2500</v>
      </c>
      <c r="G2618" s="46"/>
      <c r="H2618" s="46">
        <f>IFERROR(TRANSACTIONS!$F2618+TRANSACTIONS!$G2618,"")</f>
        <v>2500</v>
      </c>
      <c r="I2618" s="40" t="s">
        <v>41</v>
      </c>
    </row>
    <row r="2619" spans="1:10" x14ac:dyDescent="0.25">
      <c r="A2619" s="41">
        <v>45356.450541435188</v>
      </c>
      <c r="B2619" s="48">
        <f>IF(A2619&lt;&gt;"",DATE(YEAR(TRANSACTIONS!$A2619),MONTH(TRANSACTIONS!$A2619),DAY(TRANSACTIONS!$A2619)),"")</f>
        <v>45356</v>
      </c>
      <c r="C2619" s="49">
        <f>IF(A2619&lt;&gt;"",TIME(HOUR(TRANSACTIONS!$A2619),MINUTE(TRANSACTIONS!$A2619),SECOND(TRANSACTIONS!$A2619)),"")</f>
        <v>0.4505439814814815</v>
      </c>
      <c r="D2619" s="82" t="s">
        <v>25</v>
      </c>
      <c r="E2619" s="82" t="s">
        <v>6</v>
      </c>
      <c r="F2619" s="94">
        <v>15125</v>
      </c>
      <c r="G2619" s="46"/>
      <c r="H2619" s="46">
        <f>IFERROR(TRANSACTIONS!$F2619+TRANSACTIONS!$G2619,"")</f>
        <v>15125</v>
      </c>
      <c r="I2619" s="40" t="s">
        <v>41</v>
      </c>
    </row>
    <row r="2620" spans="1:10" x14ac:dyDescent="0.25">
      <c r="A2620" s="41">
        <v>45356.450549189816</v>
      </c>
      <c r="B2620" s="48">
        <f>IF(A2620&lt;&gt;"",DATE(YEAR(TRANSACTIONS!$A2620),MONTH(TRANSACTIONS!$A2620),DAY(TRANSACTIONS!$A2620)),"")</f>
        <v>45356</v>
      </c>
      <c r="C2620" s="49">
        <f>IF(A2620&lt;&gt;"",TIME(HOUR(TRANSACTIONS!$A2620),MINUTE(TRANSACTIONS!$A2620),SECOND(TRANSACTIONS!$A2620)),"")</f>
        <v>0.4505439814814815</v>
      </c>
      <c r="D2620" s="82" t="s">
        <v>25</v>
      </c>
      <c r="E2620" s="82" t="s">
        <v>7</v>
      </c>
      <c r="F2620" s="94">
        <v>500</v>
      </c>
      <c r="G2620" s="46"/>
      <c r="H2620" s="46">
        <f>IFERROR(TRANSACTIONS!$F2620+TRANSACTIONS!$G2620,"")</f>
        <v>500</v>
      </c>
      <c r="I2620" s="40" t="s">
        <v>41</v>
      </c>
    </row>
    <row r="2621" spans="1:10" x14ac:dyDescent="0.25">
      <c r="A2621" s="41">
        <v>45356.608628819442</v>
      </c>
      <c r="B2621" s="48">
        <f>IF(A2621&lt;&gt;"",DATE(YEAR(TRANSACTIONS!$A2621),MONTH(TRANSACTIONS!$A2621),DAY(TRANSACTIONS!$A2621)),"")</f>
        <v>45356</v>
      </c>
      <c r="C2621" s="49">
        <f>IF(A2621&lt;&gt;"",TIME(HOUR(TRANSACTIONS!$A2621),MINUTE(TRANSACTIONS!$A2621),SECOND(TRANSACTIONS!$A2621)),"")</f>
        <v>0.60863425925925929</v>
      </c>
      <c r="D2621" s="82" t="s">
        <v>25</v>
      </c>
      <c r="E2621" s="82" t="s">
        <v>6</v>
      </c>
      <c r="F2621" s="94">
        <v>1000</v>
      </c>
      <c r="G2621" s="46"/>
      <c r="H2621" s="46">
        <f>IFERROR(TRANSACTIONS!$F2621+TRANSACTIONS!$G2621,"")</f>
        <v>1000</v>
      </c>
      <c r="I2621" s="40" t="s">
        <v>41</v>
      </c>
    </row>
    <row r="2622" spans="1:10" x14ac:dyDescent="0.25">
      <c r="A2622" s="41">
        <v>45356.608656249999</v>
      </c>
      <c r="B2622" s="48">
        <f>IF(A2622&lt;&gt;"",DATE(YEAR(TRANSACTIONS!$A2622),MONTH(TRANSACTIONS!$A2622),DAY(TRANSACTIONS!$A2622)),"")</f>
        <v>45356</v>
      </c>
      <c r="C2622" s="49">
        <f>IF(A2622&lt;&gt;"",TIME(HOUR(TRANSACTIONS!$A2622),MINUTE(TRANSACTIONS!$A2622),SECOND(TRANSACTIONS!$A2622)),"")</f>
        <v>0.60865740740740748</v>
      </c>
      <c r="D2622" s="82" t="s">
        <v>25</v>
      </c>
      <c r="E2622" s="82" t="s">
        <v>6</v>
      </c>
      <c r="F2622" s="94">
        <v>15000</v>
      </c>
      <c r="G2622" s="46"/>
      <c r="H2622" s="46">
        <f>IFERROR(TRANSACTIONS!$F2622+TRANSACTIONS!$G2622,"")</f>
        <v>15000</v>
      </c>
      <c r="I2622" s="40" t="s">
        <v>41</v>
      </c>
    </row>
    <row r="2623" spans="1:10" x14ac:dyDescent="0.25">
      <c r="A2623" s="41">
        <v>45356.608665277781</v>
      </c>
      <c r="B2623" s="48">
        <f>IF(A2623&lt;&gt;"",DATE(YEAR(TRANSACTIONS!$A2623),MONTH(TRANSACTIONS!$A2623),DAY(TRANSACTIONS!$A2623)),"")</f>
        <v>45356</v>
      </c>
      <c r="C2623" s="49">
        <f>IF(A2623&lt;&gt;"",TIME(HOUR(TRANSACTIONS!$A2623),MINUTE(TRANSACTIONS!$A2623),SECOND(TRANSACTIONS!$A2623)),"")</f>
        <v>0.60866898148148152</v>
      </c>
      <c r="D2623" s="82" t="s">
        <v>25</v>
      </c>
      <c r="E2623" s="82" t="s">
        <v>7</v>
      </c>
      <c r="F2623" s="94">
        <v>115000</v>
      </c>
      <c r="G2623" s="46"/>
      <c r="H2623" s="46">
        <f>IFERROR(TRANSACTIONS!$F2623+TRANSACTIONS!$G2623,"")</f>
        <v>115000</v>
      </c>
      <c r="I2623" s="40" t="s">
        <v>41</v>
      </c>
    </row>
    <row r="2624" spans="1:10" x14ac:dyDescent="0.25">
      <c r="A2624" s="41">
        <v>45356.608678472221</v>
      </c>
      <c r="B2624" s="48">
        <f>IF(A2624&lt;&gt;"",DATE(YEAR(TRANSACTIONS!$A2624),MONTH(TRANSACTIONS!$A2624),DAY(TRANSACTIONS!$A2624)),"")</f>
        <v>45356</v>
      </c>
      <c r="C2624" s="49">
        <f>IF(A2624&lt;&gt;"",TIME(HOUR(TRANSACTIONS!$A2624),MINUTE(TRANSACTIONS!$A2624),SECOND(TRANSACTIONS!$A2624)),"")</f>
        <v>0.60868055555555556</v>
      </c>
      <c r="D2624" s="82" t="s">
        <v>25</v>
      </c>
      <c r="E2624" s="82" t="s">
        <v>6</v>
      </c>
      <c r="F2624" s="94">
        <v>15000</v>
      </c>
      <c r="G2624" s="46"/>
      <c r="H2624" s="46">
        <f>IFERROR(TRANSACTIONS!$F2624+TRANSACTIONS!$G2624,"")</f>
        <v>15000</v>
      </c>
      <c r="I2624" s="40" t="s">
        <v>41</v>
      </c>
    </row>
    <row r="2625" spans="1:9" x14ac:dyDescent="0.25">
      <c r="A2625" s="41">
        <v>45356.60868715278</v>
      </c>
      <c r="B2625" s="48">
        <f>IF(A2625&lt;&gt;"",DATE(YEAR(TRANSACTIONS!$A2625),MONTH(TRANSACTIONS!$A2625),DAY(TRANSACTIONS!$A2625)),"")</f>
        <v>45356</v>
      </c>
      <c r="C2625" s="49">
        <f>IF(A2625&lt;&gt;"",TIME(HOUR(TRANSACTIONS!$A2625),MINUTE(TRANSACTIONS!$A2625),SECOND(TRANSACTIONS!$A2625)),"")</f>
        <v>0.6086921296296296</v>
      </c>
      <c r="D2625" s="82" t="s">
        <v>25</v>
      </c>
      <c r="E2625" s="82" t="s">
        <v>6</v>
      </c>
      <c r="F2625" s="94">
        <v>21000</v>
      </c>
      <c r="G2625" s="46"/>
      <c r="H2625" s="46">
        <f>IFERROR(TRANSACTIONS!$F2625+TRANSACTIONS!$G2625,"")</f>
        <v>21000</v>
      </c>
      <c r="I2625" s="40" t="s">
        <v>41</v>
      </c>
    </row>
    <row r="2626" spans="1:9" x14ac:dyDescent="0.25">
      <c r="A2626" s="41">
        <v>45356.608699884258</v>
      </c>
      <c r="B2626" s="48">
        <f>IF(A2626&lt;&gt;"",DATE(YEAR(TRANSACTIONS!$A2626),MONTH(TRANSACTIONS!$A2626),DAY(TRANSACTIONS!$A2626)),"")</f>
        <v>45356</v>
      </c>
      <c r="C2626" s="49">
        <f>IF(A2626&lt;&gt;"",TIME(HOUR(TRANSACTIONS!$A2626),MINUTE(TRANSACTIONS!$A2626),SECOND(TRANSACTIONS!$A2626)),"")</f>
        <v>0.60870370370370364</v>
      </c>
      <c r="D2626" s="82" t="s">
        <v>25</v>
      </c>
      <c r="E2626" s="82" t="s">
        <v>6</v>
      </c>
      <c r="F2626" s="94">
        <v>1500</v>
      </c>
      <c r="G2626" s="46"/>
      <c r="H2626" s="46">
        <f>IFERROR(TRANSACTIONS!$F2626+TRANSACTIONS!$G2626,"")</f>
        <v>1500</v>
      </c>
      <c r="I2626" s="40" t="s">
        <v>41</v>
      </c>
    </row>
    <row r="2627" spans="1:9" x14ac:dyDescent="0.25">
      <c r="A2627" s="41">
        <v>45356.608708680556</v>
      </c>
      <c r="B2627" s="48">
        <f>IF(A2627&lt;&gt;"",DATE(YEAR(TRANSACTIONS!$A2627),MONTH(TRANSACTIONS!$A2627),DAY(TRANSACTIONS!$A2627)),"")</f>
        <v>45356</v>
      </c>
      <c r="C2627" s="49">
        <f>IF(A2627&lt;&gt;"",TIME(HOUR(TRANSACTIONS!$A2627),MINUTE(TRANSACTIONS!$A2627),SECOND(TRANSACTIONS!$A2627)),"")</f>
        <v>0.60870370370370364</v>
      </c>
      <c r="D2627" s="82" t="s">
        <v>62</v>
      </c>
      <c r="E2627" s="82" t="s">
        <v>7</v>
      </c>
      <c r="F2627" s="94">
        <v>5000</v>
      </c>
      <c r="G2627" s="46"/>
      <c r="H2627" s="46">
        <f>IFERROR(TRANSACTIONS!$F2627+TRANSACTIONS!$G2627,"")</f>
        <v>5000</v>
      </c>
      <c r="I2627" s="40" t="s">
        <v>41</v>
      </c>
    </row>
    <row r="2628" spans="1:9" x14ac:dyDescent="0.25">
      <c r="A2628" s="41">
        <v>45356.608716319446</v>
      </c>
      <c r="B2628" s="48">
        <f>IF(A2628&lt;&gt;"",DATE(YEAR(TRANSACTIONS!$A2628),MONTH(TRANSACTIONS!$A2628),DAY(TRANSACTIONS!$A2628)),"")</f>
        <v>45356</v>
      </c>
      <c r="C2628" s="49">
        <f>IF(A2628&lt;&gt;"",TIME(HOUR(TRANSACTIONS!$A2628),MINUTE(TRANSACTIONS!$A2628),SECOND(TRANSACTIONS!$A2628)),"")</f>
        <v>0.60871527777777779</v>
      </c>
      <c r="D2628" s="82" t="s">
        <v>62</v>
      </c>
      <c r="E2628" s="82" t="s">
        <v>6</v>
      </c>
      <c r="F2628" s="94">
        <v>83000</v>
      </c>
      <c r="G2628" s="46"/>
      <c r="H2628" s="46">
        <f>IFERROR(TRANSACTIONS!$F2628+TRANSACTIONS!$G2628,"")</f>
        <v>83000</v>
      </c>
      <c r="I2628" s="40" t="s">
        <v>41</v>
      </c>
    </row>
    <row r="2629" spans="1:9" x14ac:dyDescent="0.25">
      <c r="A2629" s="41">
        <v>45356.608732407411</v>
      </c>
      <c r="B2629" s="48">
        <f>IF(A2629&lt;&gt;"",DATE(YEAR(TRANSACTIONS!$A2629),MONTH(TRANSACTIONS!$A2629),DAY(TRANSACTIONS!$A2629)),"")</f>
        <v>45356</v>
      </c>
      <c r="C2629" s="49">
        <f>IF(A2629&lt;&gt;"",TIME(HOUR(TRANSACTIONS!$A2629),MINUTE(TRANSACTIONS!$A2629),SECOND(TRANSACTIONS!$A2629)),"")</f>
        <v>0.60872685185185182</v>
      </c>
      <c r="D2629" s="82" t="s">
        <v>62</v>
      </c>
      <c r="E2629" s="82" t="s">
        <v>6</v>
      </c>
      <c r="F2629" s="94">
        <v>9350</v>
      </c>
      <c r="G2629" s="46"/>
      <c r="H2629" s="46">
        <f>IFERROR(TRANSACTIONS!$F2629+TRANSACTIONS!$G2629,"")</f>
        <v>9350</v>
      </c>
      <c r="I2629" s="40" t="s">
        <v>50</v>
      </c>
    </row>
    <row r="2630" spans="1:9" x14ac:dyDescent="0.25">
      <c r="A2630" s="41">
        <v>45356.608740162039</v>
      </c>
      <c r="B2630" s="48">
        <f>IF(A2630&lt;&gt;"",DATE(YEAR(TRANSACTIONS!$A2630),MONTH(TRANSACTIONS!$A2630),DAY(TRANSACTIONS!$A2630)),"")</f>
        <v>45356</v>
      </c>
      <c r="C2630" s="49">
        <f>IF(A2630&lt;&gt;"",TIME(HOUR(TRANSACTIONS!$A2630),MINUTE(TRANSACTIONS!$A2630),SECOND(TRANSACTIONS!$A2630)),"")</f>
        <v>0.60873842592592597</v>
      </c>
      <c r="D2630" s="82" t="s">
        <v>62</v>
      </c>
      <c r="E2630" s="82" t="s">
        <v>7</v>
      </c>
      <c r="F2630" s="94">
        <v>50000</v>
      </c>
      <c r="G2630" s="46"/>
      <c r="H2630" s="46">
        <f>IFERROR(TRANSACTIONS!$F2630+TRANSACTIONS!$G2630,"")</f>
        <v>50000</v>
      </c>
      <c r="I2630" s="40" t="s">
        <v>41</v>
      </c>
    </row>
    <row r="2631" spans="1:9" x14ac:dyDescent="0.25">
      <c r="A2631" s="41">
        <v>45356.608748495368</v>
      </c>
      <c r="B2631" s="48">
        <f>IF(A2631&lt;&gt;"",DATE(YEAR(TRANSACTIONS!$A2631),MONTH(TRANSACTIONS!$A2631),DAY(TRANSACTIONS!$A2631)),"")</f>
        <v>45356</v>
      </c>
      <c r="C2631" s="49">
        <f>IF(A2631&lt;&gt;"",TIME(HOUR(TRANSACTIONS!$A2631),MINUTE(TRANSACTIONS!$A2631),SECOND(TRANSACTIONS!$A2631)),"")</f>
        <v>0.60875000000000001</v>
      </c>
      <c r="D2631" s="82" t="s">
        <v>62</v>
      </c>
      <c r="E2631" s="82" t="s">
        <v>6</v>
      </c>
      <c r="F2631" s="94">
        <v>10000</v>
      </c>
      <c r="G2631" s="46"/>
      <c r="H2631" s="46">
        <f>IFERROR(TRANSACTIONS!$F2631+TRANSACTIONS!$G2631,"")</f>
        <v>10000</v>
      </c>
      <c r="I2631" s="40" t="s">
        <v>41</v>
      </c>
    </row>
    <row r="2632" spans="1:9" x14ac:dyDescent="0.25">
      <c r="A2632" s="41">
        <v>45356.611645023149</v>
      </c>
      <c r="B2632" s="48">
        <f>IF(A2632&lt;&gt;"",DATE(YEAR(TRANSACTIONS!$A2632),MONTH(TRANSACTIONS!$A2632),DAY(TRANSACTIONS!$A2632)),"")</f>
        <v>45356</v>
      </c>
      <c r="C2632" s="49">
        <f>IF(A2632&lt;&gt;"",TIME(HOUR(TRANSACTIONS!$A2632),MINUTE(TRANSACTIONS!$A2632),SECOND(TRANSACTIONS!$A2632)),"")</f>
        <v>0.6116435185185185</v>
      </c>
      <c r="D2632" s="82" t="s">
        <v>62</v>
      </c>
      <c r="E2632" s="82" t="s">
        <v>6</v>
      </c>
      <c r="F2632" s="94">
        <v>30000</v>
      </c>
      <c r="G2632" s="46"/>
      <c r="H2632" s="46">
        <f>IFERROR(TRANSACTIONS!$F2632+TRANSACTIONS!$G2632,"")</f>
        <v>30000</v>
      </c>
      <c r="I2632" s="40" t="s">
        <v>41</v>
      </c>
    </row>
    <row r="2633" spans="1:9" x14ac:dyDescent="0.25">
      <c r="A2633" s="41">
        <v>45356.611648032405</v>
      </c>
      <c r="B2633" s="48">
        <f>IF(A2633&lt;&gt;"",DATE(YEAR(TRANSACTIONS!$A2633),MONTH(TRANSACTIONS!$A2633),DAY(TRANSACTIONS!$A2633)),"")</f>
        <v>45356</v>
      </c>
      <c r="C2633" s="49">
        <f>IF(A2633&lt;&gt;"",TIME(HOUR(TRANSACTIONS!$A2633),MINUTE(TRANSACTIONS!$A2633),SECOND(TRANSACTIONS!$A2633)),"")</f>
        <v>0.6116435185185185</v>
      </c>
      <c r="D2633" s="82" t="s">
        <v>62</v>
      </c>
      <c r="E2633" s="82" t="s">
        <v>6</v>
      </c>
      <c r="F2633" s="94">
        <v>2000</v>
      </c>
      <c r="G2633" s="46"/>
      <c r="H2633" s="46">
        <f>IFERROR(TRANSACTIONS!$F2633+TRANSACTIONS!$G2633,"")</f>
        <v>2000</v>
      </c>
      <c r="I2633" s="40" t="s">
        <v>41</v>
      </c>
    </row>
    <row r="2634" spans="1:9" x14ac:dyDescent="0.25">
      <c r="A2634" s="41">
        <v>45356.611690162033</v>
      </c>
      <c r="B2634" s="48">
        <f>IF(A2634&lt;&gt;"",DATE(YEAR(TRANSACTIONS!$A2634),MONTH(TRANSACTIONS!$A2634),DAY(TRANSACTIONS!$A2634)),"")</f>
        <v>45356</v>
      </c>
      <c r="C2634" s="49">
        <f>IF(A2634&lt;&gt;"",TIME(HOUR(TRANSACTIONS!$A2634),MINUTE(TRANSACTIONS!$A2634),SECOND(TRANSACTIONS!$A2634)),"")</f>
        <v>0.61168981481481477</v>
      </c>
      <c r="D2634" s="82" t="s">
        <v>62</v>
      </c>
      <c r="E2634" s="82" t="s">
        <v>7</v>
      </c>
      <c r="F2634" s="94">
        <v>10000</v>
      </c>
      <c r="G2634" s="46"/>
      <c r="H2634" s="46">
        <f>IFERROR(TRANSACTIONS!$F2634+TRANSACTIONS!$G2634,"")</f>
        <v>10000</v>
      </c>
      <c r="I2634" s="40" t="s">
        <v>41</v>
      </c>
    </row>
    <row r="2635" spans="1:9" x14ac:dyDescent="0.25">
      <c r="A2635" s="41">
        <v>45356.611698032408</v>
      </c>
      <c r="B2635" s="48">
        <f>IF(A2635&lt;&gt;"",DATE(YEAR(TRANSACTIONS!$A2635),MONTH(TRANSACTIONS!$A2635),DAY(TRANSACTIONS!$A2635)),"")</f>
        <v>45356</v>
      </c>
      <c r="C2635" s="49">
        <f>IF(A2635&lt;&gt;"",TIME(HOUR(TRANSACTIONS!$A2635),MINUTE(TRANSACTIONS!$A2635),SECOND(TRANSACTIONS!$A2635)),"")</f>
        <v>0.61170138888888892</v>
      </c>
      <c r="D2635" s="82" t="s">
        <v>62</v>
      </c>
      <c r="E2635" s="82" t="s">
        <v>7</v>
      </c>
      <c r="F2635" s="94">
        <v>25000</v>
      </c>
      <c r="G2635" s="46"/>
      <c r="H2635" s="46">
        <f>IFERROR(TRANSACTIONS!$F2635+TRANSACTIONS!$G2635,"")</f>
        <v>25000</v>
      </c>
      <c r="I2635" s="40" t="s">
        <v>41</v>
      </c>
    </row>
    <row r="2636" spans="1:9" x14ac:dyDescent="0.25">
      <c r="A2636" s="41">
        <v>45356.611707523145</v>
      </c>
      <c r="B2636" s="48">
        <f>IF(A2636&lt;&gt;"",DATE(YEAR(TRANSACTIONS!$A2636),MONTH(TRANSACTIONS!$A2636),DAY(TRANSACTIONS!$A2636)),"")</f>
        <v>45356</v>
      </c>
      <c r="C2636" s="49">
        <f>IF(A2636&lt;&gt;"",TIME(HOUR(TRANSACTIONS!$A2636),MINUTE(TRANSACTIONS!$A2636),SECOND(TRANSACTIONS!$A2636)),"")</f>
        <v>0.61171296296296296</v>
      </c>
      <c r="D2636" s="82" t="s">
        <v>62</v>
      </c>
      <c r="E2636" s="82" t="s">
        <v>7</v>
      </c>
      <c r="F2636" s="94">
        <v>5000</v>
      </c>
      <c r="G2636" s="46"/>
      <c r="H2636" s="46">
        <f>IFERROR(TRANSACTIONS!$F2636+TRANSACTIONS!$G2636,"")</f>
        <v>5000</v>
      </c>
      <c r="I2636" s="40" t="s">
        <v>41</v>
      </c>
    </row>
    <row r="2637" spans="1:9" x14ac:dyDescent="0.25">
      <c r="A2637" s="113">
        <v>45356.61171597222</v>
      </c>
      <c r="B2637" s="114">
        <f>IF(A2637&lt;&gt;"",DATE(YEAR(TRANSACTIONS!$A2637),MONTH(TRANSACTIONS!$A2637),DAY(TRANSACTIONS!$A2637)),"")</f>
        <v>45356</v>
      </c>
      <c r="C2637" s="115">
        <f>IF(A2637&lt;&gt;"",TIME(HOUR(TRANSACTIONS!$A2637),MINUTE(TRANSACTIONS!$A2637),SECOND(TRANSACTIONS!$A2637)),"")</f>
        <v>0.61171296296296296</v>
      </c>
      <c r="D2637" s="93" t="s">
        <v>62</v>
      </c>
      <c r="E2637" s="82" t="s">
        <v>7</v>
      </c>
      <c r="F2637" s="94">
        <v>2000</v>
      </c>
      <c r="G2637" s="117"/>
      <c r="H2637" s="117">
        <f>IFERROR(TRANSACTIONS!$F2637+TRANSACTIONS!$G2637,"")</f>
        <v>2000</v>
      </c>
      <c r="I2637" s="118" t="s">
        <v>41</v>
      </c>
    </row>
    <row r="2638" spans="1:9" x14ac:dyDescent="0.25">
      <c r="A2638" s="41">
        <v>45356.61172789352</v>
      </c>
      <c r="B2638" s="48">
        <f>IF(A2638&lt;&gt;"",DATE(YEAR(TRANSACTIONS!$A2638),MONTH(TRANSACTIONS!$A2638),DAY(TRANSACTIONS!$A2638)),"")</f>
        <v>45356</v>
      </c>
      <c r="C2638" s="49">
        <f>IF(A2638&lt;&gt;"",TIME(HOUR(TRANSACTIONS!$A2638),MINUTE(TRANSACTIONS!$A2638),SECOND(TRANSACTIONS!$A2638)),"")</f>
        <v>0.61172453703703711</v>
      </c>
      <c r="D2638" s="82" t="s">
        <v>62</v>
      </c>
      <c r="E2638" s="82"/>
      <c r="F2638" s="94">
        <v>3000</v>
      </c>
      <c r="G2638" s="46"/>
      <c r="H2638" s="46">
        <f>IFERROR(TRANSACTIONS!$F2638+TRANSACTIONS!$G2638,"")</f>
        <v>3000</v>
      </c>
      <c r="I2638" s="40" t="s">
        <v>41</v>
      </c>
    </row>
    <row r="2639" spans="1:9" x14ac:dyDescent="0.25">
      <c r="A2639" s="41">
        <v>45356.611736805557</v>
      </c>
      <c r="B2639" s="48">
        <f>IF(A2639&lt;&gt;"",DATE(YEAR(TRANSACTIONS!$A2639),MONTH(TRANSACTIONS!$A2639),DAY(TRANSACTIONS!$A2639)),"")</f>
        <v>45356</v>
      </c>
      <c r="C2639" s="49">
        <f>IF(A2639&lt;&gt;"",TIME(HOUR(TRANSACTIONS!$A2639),MINUTE(TRANSACTIONS!$A2639),SECOND(TRANSACTIONS!$A2639)),"")</f>
        <v>0.61173611111111115</v>
      </c>
      <c r="D2639" s="82" t="s">
        <v>62</v>
      </c>
      <c r="E2639" s="82" t="s">
        <v>7</v>
      </c>
      <c r="F2639" s="94">
        <v>5000</v>
      </c>
      <c r="G2639" s="46"/>
      <c r="H2639" s="46">
        <f>IFERROR(TRANSACTIONS!$F2639+TRANSACTIONS!$G2639,"")</f>
        <v>5000</v>
      </c>
      <c r="I2639" s="40" t="s">
        <v>41</v>
      </c>
    </row>
    <row r="2640" spans="1:9" x14ac:dyDescent="0.25">
      <c r="A2640" s="41">
        <v>45356.611745254631</v>
      </c>
      <c r="B2640" s="48">
        <f>IF(A2640&lt;&gt;"",DATE(YEAR(TRANSACTIONS!$A2640),MONTH(TRANSACTIONS!$A2640),DAY(TRANSACTIONS!$A2640)),"")</f>
        <v>45356</v>
      </c>
      <c r="C2640" s="49">
        <f>IF(A2640&lt;&gt;"",TIME(HOUR(TRANSACTIONS!$A2640),MINUTE(TRANSACTIONS!$A2640),SECOND(TRANSACTIONS!$A2640)),"")</f>
        <v>0.61174768518518519</v>
      </c>
      <c r="D2640" s="82" t="s">
        <v>62</v>
      </c>
      <c r="E2640" s="82" t="s">
        <v>7</v>
      </c>
      <c r="F2640" s="94">
        <v>20000</v>
      </c>
      <c r="G2640" s="46"/>
      <c r="H2640" s="46">
        <f>IFERROR(TRANSACTIONS!$F2640+TRANSACTIONS!$G2640,"")</f>
        <v>20000</v>
      </c>
      <c r="I2640" s="40" t="s">
        <v>41</v>
      </c>
    </row>
    <row r="2641" spans="1:9" x14ac:dyDescent="0.25">
      <c r="A2641" s="81">
        <v>45356.611753819445</v>
      </c>
      <c r="B2641" s="83">
        <f>IF(A2641&lt;&gt;"",DATE(YEAR(TRANSACTIONS!$A2641),MONTH(TRANSACTIONS!$A2641),DAY(TRANSACTIONS!$A2641)),"")</f>
        <v>45356</v>
      </c>
      <c r="C2641" s="84">
        <f>IF(A2641&lt;&gt;"",TIME(HOUR(TRANSACTIONS!$A2641),MINUTE(TRANSACTIONS!$A2641),SECOND(TRANSACTIONS!$A2641)),"")</f>
        <v>0.61175925925925922</v>
      </c>
      <c r="D2641" s="82" t="s">
        <v>62</v>
      </c>
      <c r="E2641" s="82" t="s">
        <v>6</v>
      </c>
      <c r="F2641" s="94">
        <v>1000</v>
      </c>
      <c r="G2641" s="46"/>
      <c r="H2641" s="46">
        <f>IFERROR(TRANSACTIONS!$F2641+TRANSACTIONS!$G2641,"")</f>
        <v>1000</v>
      </c>
      <c r="I2641" s="40" t="s">
        <v>50</v>
      </c>
    </row>
    <row r="2642" spans="1:9" x14ac:dyDescent="0.25">
      <c r="A2642" s="41">
        <v>45356.611765162037</v>
      </c>
      <c r="B2642" s="48">
        <f>IF(A2642&lt;&gt;"",DATE(YEAR(TRANSACTIONS!$A2642),MONTH(TRANSACTIONS!$A2642),DAY(TRANSACTIONS!$A2642)),"")</f>
        <v>45356</v>
      </c>
      <c r="C2642" s="49">
        <f>IF(A2642&lt;&gt;"",TIME(HOUR(TRANSACTIONS!$A2642),MINUTE(TRANSACTIONS!$A2642),SECOND(TRANSACTIONS!$A2642)),"")</f>
        <v>0.61177083333333326</v>
      </c>
      <c r="D2642" s="82" t="s">
        <v>62</v>
      </c>
      <c r="E2642" s="82" t="s">
        <v>7</v>
      </c>
      <c r="F2642" s="94">
        <v>10000</v>
      </c>
      <c r="G2642" s="46"/>
      <c r="H2642" s="46">
        <f>IFERROR(TRANSACTIONS!$F2642+TRANSACTIONS!$G2642,"")</f>
        <v>10000</v>
      </c>
      <c r="I2642" s="40" t="s">
        <v>41</v>
      </c>
    </row>
    <row r="2643" spans="1:9" x14ac:dyDescent="0.25">
      <c r="A2643" s="41">
        <v>45356.611783101849</v>
      </c>
      <c r="B2643" s="48">
        <f>IF(A2643&lt;&gt;"",DATE(YEAR(TRANSACTIONS!$A2643),MONTH(TRANSACTIONS!$A2643),DAY(TRANSACTIONS!$A2643)),"")</f>
        <v>45356</v>
      </c>
      <c r="C2643" s="49">
        <f>IF(A2643&lt;&gt;"",TIME(HOUR(TRANSACTIONS!$A2643),MINUTE(TRANSACTIONS!$A2643),SECOND(TRANSACTIONS!$A2643)),"")</f>
        <v>0.61178240740740741</v>
      </c>
      <c r="D2643" s="82" t="s">
        <v>62</v>
      </c>
      <c r="E2643" s="82" t="s">
        <v>7</v>
      </c>
      <c r="F2643" s="94">
        <v>25000</v>
      </c>
      <c r="G2643" s="46"/>
      <c r="H2643" s="46">
        <f>IFERROR(TRANSACTIONS!$F2643+TRANSACTIONS!$G2643,"")</f>
        <v>25000</v>
      </c>
      <c r="I2643" s="40" t="s">
        <v>41</v>
      </c>
    </row>
    <row r="2644" spans="1:9" x14ac:dyDescent="0.25">
      <c r="A2644" s="41">
        <v>45356.611789351853</v>
      </c>
      <c r="B2644" s="48">
        <f>IF(A2644&lt;&gt;"",DATE(YEAR(TRANSACTIONS!$A2644),MONTH(TRANSACTIONS!$A2644),DAY(TRANSACTIONS!$A2644)),"")</f>
        <v>45356</v>
      </c>
      <c r="C2644" s="49">
        <f>IF(A2644&lt;&gt;"",TIME(HOUR(TRANSACTIONS!$A2644),MINUTE(TRANSACTIONS!$A2644),SECOND(TRANSACTIONS!$A2644)),"")</f>
        <v>0.61179398148148145</v>
      </c>
      <c r="D2644" s="82" t="s">
        <v>62</v>
      </c>
      <c r="E2644" s="82" t="s">
        <v>7</v>
      </c>
      <c r="F2644" s="94">
        <v>5000</v>
      </c>
      <c r="G2644" s="46"/>
      <c r="H2644" s="46">
        <f>IFERROR(TRANSACTIONS!$F2644+TRANSACTIONS!$G2644,"")</f>
        <v>5000</v>
      </c>
      <c r="I2644" s="40" t="s">
        <v>41</v>
      </c>
    </row>
    <row r="2645" spans="1:9" x14ac:dyDescent="0.25">
      <c r="A2645" s="41">
        <v>45356.611809837967</v>
      </c>
      <c r="B2645" s="48">
        <f>IF(A2645&lt;&gt;"",DATE(YEAR(TRANSACTIONS!$A2645),MONTH(TRANSACTIONS!$A2645),DAY(TRANSACTIONS!$A2645)),"")</f>
        <v>45356</v>
      </c>
      <c r="C2645" s="49">
        <f>IF(A2645&lt;&gt;"",TIME(HOUR(TRANSACTIONS!$A2645),MINUTE(TRANSACTIONS!$A2645),SECOND(TRANSACTIONS!$A2645)),"")</f>
        <v>0.6118055555555556</v>
      </c>
      <c r="D2645" s="82" t="s">
        <v>62</v>
      </c>
      <c r="E2645" s="82" t="s">
        <v>6</v>
      </c>
      <c r="F2645" s="94">
        <v>151500</v>
      </c>
      <c r="G2645" s="46"/>
      <c r="H2645" s="46">
        <f>IFERROR(TRANSACTIONS!$F2645+TRANSACTIONS!$G2645,"")</f>
        <v>151500</v>
      </c>
      <c r="I2645" s="40" t="s">
        <v>41</v>
      </c>
    </row>
    <row r="2646" spans="1:9" x14ac:dyDescent="0.25">
      <c r="A2646" s="41">
        <v>45356.611856597221</v>
      </c>
      <c r="B2646" s="48">
        <f>IF(A2646&lt;&gt;"",DATE(YEAR(TRANSACTIONS!$A2646),MONTH(TRANSACTIONS!$A2646),DAY(TRANSACTIONS!$A2646)),"")</f>
        <v>45356</v>
      </c>
      <c r="C2646" s="49">
        <f>IF(A2646&lt;&gt;"",TIME(HOUR(TRANSACTIONS!$A2646),MINUTE(TRANSACTIONS!$A2646),SECOND(TRANSACTIONS!$A2646)),"")</f>
        <v>0.61185185185185187</v>
      </c>
      <c r="D2646" s="82" t="s">
        <v>62</v>
      </c>
      <c r="E2646" s="82" t="s">
        <v>7</v>
      </c>
      <c r="F2646" s="94">
        <v>10000</v>
      </c>
      <c r="G2646" s="46"/>
      <c r="H2646" s="46">
        <f>IFERROR(TRANSACTIONS!$F2646+TRANSACTIONS!$G2646,"")</f>
        <v>10000</v>
      </c>
      <c r="I2646" s="40" t="s">
        <v>41</v>
      </c>
    </row>
    <row r="2647" spans="1:9" x14ac:dyDescent="0.25">
      <c r="A2647" s="41">
        <v>45356.611865624996</v>
      </c>
      <c r="B2647" s="48">
        <f>IF(A2647&lt;&gt;"",DATE(YEAR(TRANSACTIONS!$A2647),MONTH(TRANSACTIONS!$A2647),DAY(TRANSACTIONS!$A2647)),"")</f>
        <v>45356</v>
      </c>
      <c r="C2647" s="49">
        <f>IF(A2647&lt;&gt;"",TIME(HOUR(TRANSACTIONS!$A2647),MINUTE(TRANSACTIONS!$A2647),SECOND(TRANSACTIONS!$A2647)),"")</f>
        <v>0.61186342592592591</v>
      </c>
      <c r="D2647" s="82" t="s">
        <v>62</v>
      </c>
      <c r="E2647" s="82" t="s">
        <v>7</v>
      </c>
      <c r="F2647" s="94">
        <v>1000</v>
      </c>
      <c r="G2647" s="46"/>
      <c r="H2647" s="46">
        <f>IFERROR(TRANSACTIONS!$F2647+TRANSACTIONS!$G2647,"")</f>
        <v>1000</v>
      </c>
      <c r="I2647" s="40" t="s">
        <v>41</v>
      </c>
    </row>
    <row r="2648" spans="1:9" x14ac:dyDescent="0.25">
      <c r="A2648" s="41">
        <v>45356.611873379632</v>
      </c>
      <c r="B2648" s="48">
        <f>IF(A2648&lt;&gt;"",DATE(YEAR(TRANSACTIONS!$A2648),MONTH(TRANSACTIONS!$A2648),DAY(TRANSACTIONS!$A2648)),"")</f>
        <v>45356</v>
      </c>
      <c r="C2648" s="49">
        <f>IF(A2648&lt;&gt;"",TIME(HOUR(TRANSACTIONS!$A2648),MINUTE(TRANSACTIONS!$A2648),SECOND(TRANSACTIONS!$A2648)),"")</f>
        <v>0.61187500000000006</v>
      </c>
      <c r="D2648" s="82" t="s">
        <v>62</v>
      </c>
      <c r="E2648" s="82" t="s">
        <v>7</v>
      </c>
      <c r="F2648" s="94">
        <v>2500</v>
      </c>
      <c r="G2648" s="46"/>
      <c r="H2648" s="46">
        <f>IFERROR(TRANSACTIONS!$F2648+TRANSACTIONS!$G2648,"")</f>
        <v>2500</v>
      </c>
      <c r="I2648" s="40" t="s">
        <v>41</v>
      </c>
    </row>
    <row r="2649" spans="1:9" x14ac:dyDescent="0.25">
      <c r="A2649" s="41">
        <v>45356.611882060184</v>
      </c>
      <c r="B2649" s="48">
        <f>IF(A2649&lt;&gt;"",DATE(YEAR(TRANSACTIONS!$A2649),MONTH(TRANSACTIONS!$A2649),DAY(TRANSACTIONS!$A2649)),"")</f>
        <v>45356</v>
      </c>
      <c r="C2649" s="49">
        <f>IF(A2649&lt;&gt;"",TIME(HOUR(TRANSACTIONS!$A2649),MINUTE(TRANSACTIONS!$A2649),SECOND(TRANSACTIONS!$A2649)),"")</f>
        <v>0.6118865740740741</v>
      </c>
      <c r="D2649" s="82" t="s">
        <v>62</v>
      </c>
      <c r="E2649" s="82" t="s">
        <v>6</v>
      </c>
      <c r="F2649" s="94">
        <v>15000</v>
      </c>
      <c r="G2649" s="46"/>
      <c r="H2649" s="46">
        <f>IFERROR(TRANSACTIONS!$F2649+TRANSACTIONS!$G2649,"")</f>
        <v>15000</v>
      </c>
      <c r="I2649" s="40" t="s">
        <v>41</v>
      </c>
    </row>
    <row r="2650" spans="1:9" x14ac:dyDescent="0.25">
      <c r="A2650" s="113">
        <v>45356.611890740744</v>
      </c>
      <c r="B2650" s="114">
        <f>IF(A2650&lt;&gt;"",DATE(YEAR(TRANSACTIONS!$A2650),MONTH(TRANSACTIONS!$A2650),DAY(TRANSACTIONS!$A2650)),"")</f>
        <v>45356</v>
      </c>
      <c r="C2650" s="115">
        <f>IF(A2650&lt;&gt;"",TIME(HOUR(TRANSACTIONS!$A2650),MINUTE(TRANSACTIONS!$A2650),SECOND(TRANSACTIONS!$A2650)),"")</f>
        <v>0.6118865740740741</v>
      </c>
      <c r="D2650" s="82" t="s">
        <v>62</v>
      </c>
      <c r="E2650" s="82" t="s">
        <v>7</v>
      </c>
      <c r="F2650" s="94">
        <v>1500</v>
      </c>
      <c r="G2650" s="117"/>
      <c r="H2650" s="117">
        <f>IFERROR(TRANSACTIONS!$F2650+TRANSACTIONS!$G2650,"")</f>
        <v>1500</v>
      </c>
      <c r="I2650" s="118" t="s">
        <v>41</v>
      </c>
    </row>
    <row r="2651" spans="1:9" x14ac:dyDescent="0.25">
      <c r="A2651" s="81">
        <v>45356.611903240744</v>
      </c>
      <c r="B2651" s="83">
        <f>IF(A2651&lt;&gt;"",DATE(YEAR(TRANSACTIONS!$A2651),MONTH(TRANSACTIONS!$A2651),DAY(TRANSACTIONS!$A2651)),"")</f>
        <v>45356</v>
      </c>
      <c r="C2651" s="84">
        <f>IF(A2651&lt;&gt;"",TIME(HOUR(TRANSACTIONS!$A2651),MINUTE(TRANSACTIONS!$A2651),SECOND(TRANSACTIONS!$A2651)),"")</f>
        <v>0.61189814814814814</v>
      </c>
      <c r="D2651" s="82" t="s">
        <v>62</v>
      </c>
      <c r="E2651" s="82" t="s">
        <v>7</v>
      </c>
      <c r="F2651" s="94">
        <v>1000</v>
      </c>
      <c r="G2651" s="86"/>
      <c r="H2651" s="86">
        <f>IFERROR(TRANSACTIONS!$F2651+TRANSACTIONS!$G2651,"")</f>
        <v>1000</v>
      </c>
      <c r="I2651" s="88" t="s">
        <v>41</v>
      </c>
    </row>
    <row r="2652" spans="1:9" x14ac:dyDescent="0.25">
      <c r="A2652" s="41">
        <v>45356.61191712963</v>
      </c>
      <c r="B2652" s="48">
        <f>IF(A2652&lt;&gt;"",DATE(YEAR(TRANSACTIONS!$A2652),MONTH(TRANSACTIONS!$A2652),DAY(TRANSACTIONS!$A2652)),"")</f>
        <v>45356</v>
      </c>
      <c r="C2652" s="49">
        <f>IF(A2652&lt;&gt;"",TIME(HOUR(TRANSACTIONS!$A2652),MINUTE(TRANSACTIONS!$A2652),SECOND(TRANSACTIONS!$A2652)),"")</f>
        <v>0.61192129629629632</v>
      </c>
      <c r="D2652" s="82" t="s">
        <v>62</v>
      </c>
      <c r="E2652" s="82" t="s">
        <v>7</v>
      </c>
      <c r="F2652" s="94">
        <v>500</v>
      </c>
      <c r="G2652" s="46"/>
      <c r="H2652" s="46">
        <f>IFERROR(TRANSACTIONS!$F2652+TRANSACTIONS!$G2652,"")</f>
        <v>500</v>
      </c>
      <c r="I2652" s="40" t="s">
        <v>41</v>
      </c>
    </row>
    <row r="2653" spans="1:9" x14ac:dyDescent="0.25">
      <c r="A2653" s="41">
        <v>45356.611924652774</v>
      </c>
      <c r="B2653" s="48">
        <f>IF(A2653&lt;&gt;"",DATE(YEAR(TRANSACTIONS!$A2653),MONTH(TRANSACTIONS!$A2653),DAY(TRANSACTIONS!$A2653)),"")</f>
        <v>45356</v>
      </c>
      <c r="C2653" s="49">
        <f>IF(A2653&lt;&gt;"",TIME(HOUR(TRANSACTIONS!$A2653),MINUTE(TRANSACTIONS!$A2653),SECOND(TRANSACTIONS!$A2653)),"")</f>
        <v>0.61192129629629632</v>
      </c>
      <c r="D2653" s="82" t="s">
        <v>62</v>
      </c>
      <c r="E2653" s="82" t="s">
        <v>7</v>
      </c>
      <c r="F2653" s="94">
        <v>5000</v>
      </c>
      <c r="G2653" s="46"/>
      <c r="H2653" s="46">
        <f>IFERROR(TRANSACTIONS!$F2653+TRANSACTIONS!$G2653,"")</f>
        <v>5000</v>
      </c>
      <c r="I2653" s="40" t="s">
        <v>41</v>
      </c>
    </row>
    <row r="2654" spans="1:9" x14ac:dyDescent="0.25">
      <c r="A2654" s="41">
        <v>45356.611932870372</v>
      </c>
      <c r="B2654" s="48">
        <f>IF(A2654&lt;&gt;"",DATE(YEAR(TRANSACTIONS!$A2654),MONTH(TRANSACTIONS!$A2654),DAY(TRANSACTIONS!$A2654)),"")</f>
        <v>45356</v>
      </c>
      <c r="C2654" s="49">
        <f>IF(A2654&lt;&gt;"",TIME(HOUR(TRANSACTIONS!$A2654),MINUTE(TRANSACTIONS!$A2654),SECOND(TRANSACTIONS!$A2654)),"")</f>
        <v>0.61193287037037036</v>
      </c>
      <c r="D2654" s="82" t="s">
        <v>62</v>
      </c>
      <c r="E2654" s="82" t="s">
        <v>6</v>
      </c>
      <c r="F2654" s="94">
        <v>7000</v>
      </c>
      <c r="G2654" s="46"/>
      <c r="H2654" s="46">
        <f>IFERROR(TRANSACTIONS!$F2654+TRANSACTIONS!$G2654,"")</f>
        <v>7000</v>
      </c>
      <c r="I2654" s="40" t="s">
        <v>41</v>
      </c>
    </row>
    <row r="2655" spans="1:9" x14ac:dyDescent="0.25">
      <c r="A2655" s="41">
        <v>45356.611940046299</v>
      </c>
      <c r="B2655" s="48">
        <f>IF(A2655&lt;&gt;"",DATE(YEAR(TRANSACTIONS!$A2655),MONTH(TRANSACTIONS!$A2655),DAY(TRANSACTIONS!$A2655)),"")</f>
        <v>45356</v>
      </c>
      <c r="C2655" s="49">
        <f>IF(A2655&lt;&gt;"",TIME(HOUR(TRANSACTIONS!$A2655),MINUTE(TRANSACTIONS!$A2655),SECOND(TRANSACTIONS!$A2655)),"")</f>
        <v>0.61194444444444451</v>
      </c>
      <c r="D2655" s="82" t="s">
        <v>25</v>
      </c>
      <c r="E2655" s="82" t="s">
        <v>6</v>
      </c>
      <c r="F2655" s="94">
        <v>600</v>
      </c>
      <c r="G2655" s="46"/>
      <c r="H2655" s="46">
        <f>IFERROR(TRANSACTIONS!$F2655+TRANSACTIONS!$G2655,"")</f>
        <v>600</v>
      </c>
      <c r="I2655" s="40" t="s">
        <v>41</v>
      </c>
    </row>
    <row r="2656" spans="1:9" x14ac:dyDescent="0.25">
      <c r="A2656" s="41">
        <v>45356.611983333336</v>
      </c>
      <c r="B2656" s="48">
        <f>IF(A2656&lt;&gt;"",DATE(YEAR(TRANSACTIONS!$A2656),MONTH(TRANSACTIONS!$A2656),DAY(TRANSACTIONS!$A2656)),"")</f>
        <v>45356</v>
      </c>
      <c r="C2656" s="49">
        <f>IF(A2656&lt;&gt;"",TIME(HOUR(TRANSACTIONS!$A2656),MINUTE(TRANSACTIONS!$A2656),SECOND(TRANSACTIONS!$A2656)),"")</f>
        <v>0.61197916666666663</v>
      </c>
      <c r="D2656" s="82" t="s">
        <v>25</v>
      </c>
      <c r="E2656" s="82" t="s">
        <v>7</v>
      </c>
      <c r="F2656" s="94">
        <v>15000</v>
      </c>
      <c r="G2656" s="46"/>
      <c r="H2656" s="46">
        <f>IFERROR(TRANSACTIONS!$F2656+TRANSACTIONS!$G2656,"")</f>
        <v>15000</v>
      </c>
      <c r="I2656" s="40" t="s">
        <v>41</v>
      </c>
    </row>
    <row r="2657" spans="1:9" x14ac:dyDescent="0.25">
      <c r="A2657" s="71">
        <v>45357.475018171295</v>
      </c>
      <c r="B2657" s="73">
        <f>IF(A2657&lt;&gt;"",DATE(YEAR(TRANSACTIONS!$A2657),MONTH(TRANSACTIONS!$A2657),DAY(TRANSACTIONS!$A2657)),"")</f>
        <v>45357</v>
      </c>
      <c r="C2657" s="74">
        <f>IF(A2657&lt;&gt;"",TIME(HOUR(TRANSACTIONS!$A2657),MINUTE(TRANSACTIONS!$A2657),SECOND(TRANSACTIONS!$A2657)),"")</f>
        <v>0.47502314814814817</v>
      </c>
      <c r="D2657" s="72" t="s">
        <v>62</v>
      </c>
      <c r="E2657" s="72" t="s">
        <v>6</v>
      </c>
      <c r="F2657" s="180">
        <v>1500</v>
      </c>
      <c r="G2657" s="75"/>
      <c r="H2657" s="75">
        <f>IFERROR(TRANSACTIONS!$F2657+TRANSACTIONS!$G2657,"")</f>
        <v>1500</v>
      </c>
      <c r="I2657" s="76" t="s">
        <v>41</v>
      </c>
    </row>
    <row r="2658" spans="1:9" x14ac:dyDescent="0.25">
      <c r="A2658" s="41">
        <v>45357.439284490742</v>
      </c>
      <c r="B2658" s="48">
        <f>IF(A2658&lt;&gt;"",DATE(YEAR(TRANSACTIONS!$A2658),MONTH(TRANSACTIONS!$A2658),DAY(TRANSACTIONS!$A2658)),"")</f>
        <v>45357</v>
      </c>
      <c r="C2658" s="49">
        <f>IF(A2658&lt;&gt;"",TIME(HOUR(TRANSACTIONS!$A2658),MINUTE(TRANSACTIONS!$A2658),SECOND(TRANSACTIONS!$A2658)),"")</f>
        <v>0.43928240740740737</v>
      </c>
      <c r="D2658" s="82" t="s">
        <v>62</v>
      </c>
      <c r="E2658" s="82" t="s">
        <v>7</v>
      </c>
      <c r="F2658" s="94">
        <v>1000</v>
      </c>
      <c r="G2658" s="46"/>
      <c r="H2658" s="46">
        <f>IFERROR(TRANSACTIONS!$F2658+TRANSACTIONS!$G2658,"")</f>
        <v>1000</v>
      </c>
      <c r="I2658" s="40" t="s">
        <v>41</v>
      </c>
    </row>
    <row r="2659" spans="1:9" x14ac:dyDescent="0.25">
      <c r="A2659" s="41">
        <v>45357.439306250002</v>
      </c>
      <c r="B2659" s="48">
        <f>IF(A2659&lt;&gt;"",DATE(YEAR(TRANSACTIONS!$A2659),MONTH(TRANSACTIONS!$A2659),DAY(TRANSACTIONS!$A2659)),"")</f>
        <v>45357</v>
      </c>
      <c r="C2659" s="49">
        <f>IF(A2659&lt;&gt;"",TIME(HOUR(TRANSACTIONS!$A2659),MINUTE(TRANSACTIONS!$A2659),SECOND(TRANSACTIONS!$A2659)),"")</f>
        <v>0.43930555555555556</v>
      </c>
      <c r="D2659" s="82" t="s">
        <v>62</v>
      </c>
      <c r="E2659" s="82" t="s">
        <v>6</v>
      </c>
      <c r="F2659" s="94">
        <v>40000</v>
      </c>
      <c r="G2659" s="46"/>
      <c r="H2659" s="46">
        <f>IFERROR(TRANSACTIONS!$F2659+TRANSACTIONS!$G2659,"")</f>
        <v>40000</v>
      </c>
      <c r="I2659" s="40" t="s">
        <v>41</v>
      </c>
    </row>
    <row r="2660" spans="1:9" x14ac:dyDescent="0.25">
      <c r="A2660" s="41">
        <v>45357.439314583331</v>
      </c>
      <c r="B2660" s="48">
        <f>IF(A2660&lt;&gt;"",DATE(YEAR(TRANSACTIONS!$A2660),MONTH(TRANSACTIONS!$A2660),DAY(TRANSACTIONS!$A2660)),"")</f>
        <v>45357</v>
      </c>
      <c r="C2660" s="49">
        <f>IF(A2660&lt;&gt;"",TIME(HOUR(TRANSACTIONS!$A2660),MINUTE(TRANSACTIONS!$A2660),SECOND(TRANSACTIONS!$A2660)),"")</f>
        <v>0.43931712962962965</v>
      </c>
      <c r="D2660" s="82" t="s">
        <v>62</v>
      </c>
      <c r="E2660" s="82" t="s">
        <v>7</v>
      </c>
      <c r="F2660" s="94">
        <v>12000</v>
      </c>
      <c r="G2660" s="46"/>
      <c r="H2660" s="46">
        <f>IFERROR(TRANSACTIONS!$F2660+TRANSACTIONS!$G2660,"")</f>
        <v>12000</v>
      </c>
      <c r="I2660" s="40" t="s">
        <v>41</v>
      </c>
    </row>
    <row r="2661" spans="1:9" x14ac:dyDescent="0.25">
      <c r="A2661" s="41">
        <v>45357.439326504631</v>
      </c>
      <c r="B2661" s="48">
        <f>IF(A2661&lt;&gt;"",DATE(YEAR(TRANSACTIONS!$A2661),MONTH(TRANSACTIONS!$A2661),DAY(TRANSACTIONS!$A2661)),"")</f>
        <v>45357</v>
      </c>
      <c r="C2661" s="49">
        <f>IF(A2661&lt;&gt;"",TIME(HOUR(TRANSACTIONS!$A2661),MINUTE(TRANSACTIONS!$A2661),SECOND(TRANSACTIONS!$A2661)),"")</f>
        <v>0.43932870370370369</v>
      </c>
      <c r="D2661" s="82" t="s">
        <v>62</v>
      </c>
      <c r="E2661" s="82" t="s">
        <v>7</v>
      </c>
      <c r="F2661" s="94">
        <v>5000</v>
      </c>
      <c r="G2661" s="46"/>
      <c r="H2661" s="46">
        <f>IFERROR(TRANSACTIONS!$F2661+TRANSACTIONS!$G2661,"")</f>
        <v>5000</v>
      </c>
      <c r="I2661" s="40" t="s">
        <v>41</v>
      </c>
    </row>
    <row r="2662" spans="1:9" x14ac:dyDescent="0.25">
      <c r="A2662" s="41">
        <v>45357.43933483796</v>
      </c>
      <c r="B2662" s="48">
        <f>IF(A2662&lt;&gt;"",DATE(YEAR(TRANSACTIONS!$A2662),MONTH(TRANSACTIONS!$A2662),DAY(TRANSACTIONS!$A2662)),"")</f>
        <v>45357</v>
      </c>
      <c r="C2662" s="49">
        <f>IF(A2662&lt;&gt;"",TIME(HOUR(TRANSACTIONS!$A2662),MINUTE(TRANSACTIONS!$A2662),SECOND(TRANSACTIONS!$A2662)),"")</f>
        <v>0.43934027777777779</v>
      </c>
      <c r="D2662" s="82" t="s">
        <v>62</v>
      </c>
      <c r="E2662" s="82" t="s">
        <v>6</v>
      </c>
      <c r="F2662" s="94">
        <v>5050</v>
      </c>
      <c r="G2662" s="46"/>
      <c r="H2662" s="46">
        <f>IFERROR(TRANSACTIONS!$F2662+TRANSACTIONS!$G2662,"")</f>
        <v>5050</v>
      </c>
      <c r="I2662" s="40" t="s">
        <v>41</v>
      </c>
    </row>
    <row r="2663" spans="1:9" x14ac:dyDescent="0.25">
      <c r="A2663" s="41">
        <v>45357.439342708334</v>
      </c>
      <c r="B2663" s="48">
        <f>IF(A2663&lt;&gt;"",DATE(YEAR(TRANSACTIONS!$A2663),MONTH(TRANSACTIONS!$A2663),DAY(TRANSACTIONS!$A2663)),"")</f>
        <v>45357</v>
      </c>
      <c r="C2663" s="49">
        <f>IF(A2663&lt;&gt;"",TIME(HOUR(TRANSACTIONS!$A2663),MINUTE(TRANSACTIONS!$A2663),SECOND(TRANSACTIONS!$A2663)),"")</f>
        <v>0.43934027777777779</v>
      </c>
      <c r="D2663" s="82" t="s">
        <v>62</v>
      </c>
      <c r="E2663" s="82" t="s">
        <v>6</v>
      </c>
      <c r="F2663" s="94">
        <v>22600</v>
      </c>
      <c r="G2663" s="46"/>
      <c r="H2663" s="46">
        <f>IFERROR(TRANSACTIONS!$F2663+TRANSACTIONS!$G2663,"")</f>
        <v>22600</v>
      </c>
      <c r="I2663" s="40" t="s">
        <v>41</v>
      </c>
    </row>
    <row r="2664" spans="1:9" x14ac:dyDescent="0.25">
      <c r="A2664" s="41">
        <v>45357.439349768516</v>
      </c>
      <c r="B2664" s="48">
        <f>IF(A2664&lt;&gt;"",DATE(YEAR(TRANSACTIONS!$A2664),MONTH(TRANSACTIONS!$A2664),DAY(TRANSACTIONS!$A2664)),"")</f>
        <v>45357</v>
      </c>
      <c r="C2664" s="49">
        <f>IF(A2664&lt;&gt;"",TIME(HOUR(TRANSACTIONS!$A2664),MINUTE(TRANSACTIONS!$A2664),SECOND(TRANSACTIONS!$A2664)),"")</f>
        <v>0.43935185185185183</v>
      </c>
      <c r="D2664" s="82" t="s">
        <v>62</v>
      </c>
      <c r="E2664" s="82" t="s">
        <v>6</v>
      </c>
      <c r="F2664" s="94">
        <v>7000</v>
      </c>
      <c r="G2664" s="46"/>
      <c r="H2664" s="46">
        <f>IFERROR(TRANSACTIONS!$F2664+TRANSACTIONS!$G2664,"")</f>
        <v>7000</v>
      </c>
      <c r="I2664" s="40" t="s">
        <v>41</v>
      </c>
    </row>
    <row r="2665" spans="1:9" x14ac:dyDescent="0.25">
      <c r="A2665" s="41">
        <v>45357.439359722222</v>
      </c>
      <c r="B2665" s="48">
        <f>IF(A2665&lt;&gt;"",DATE(YEAR(TRANSACTIONS!$A2665),MONTH(TRANSACTIONS!$A2665),DAY(TRANSACTIONS!$A2665)),"")</f>
        <v>45357</v>
      </c>
      <c r="C2665" s="49">
        <f>IF(A2665&lt;&gt;"",TIME(HOUR(TRANSACTIONS!$A2665),MINUTE(TRANSACTIONS!$A2665),SECOND(TRANSACTIONS!$A2665)),"")</f>
        <v>0.43936342592592598</v>
      </c>
      <c r="D2665" s="82" t="s">
        <v>62</v>
      </c>
      <c r="E2665" s="82" t="s">
        <v>6</v>
      </c>
      <c r="F2665" s="94">
        <v>1000</v>
      </c>
      <c r="G2665" s="46"/>
      <c r="H2665" s="46">
        <f>IFERROR(TRANSACTIONS!$F2665+TRANSACTIONS!$G2665,"")</f>
        <v>1000</v>
      </c>
      <c r="I2665" s="40" t="s">
        <v>41</v>
      </c>
    </row>
    <row r="2666" spans="1:9" x14ac:dyDescent="0.25">
      <c r="A2666" s="41">
        <v>45357.439368055559</v>
      </c>
      <c r="B2666" s="48">
        <f>IF(A2666&lt;&gt;"",DATE(YEAR(TRANSACTIONS!$A2666),MONTH(TRANSACTIONS!$A2666),DAY(TRANSACTIONS!$A2666)),"")</f>
        <v>45357</v>
      </c>
      <c r="C2666" s="49">
        <f>IF(A2666&lt;&gt;"",TIME(HOUR(TRANSACTIONS!$A2666),MINUTE(TRANSACTIONS!$A2666),SECOND(TRANSACTIONS!$A2666)),"")</f>
        <v>0.43936342592592598</v>
      </c>
      <c r="D2666" s="82" t="s">
        <v>62</v>
      </c>
      <c r="E2666" s="82" t="s">
        <v>7</v>
      </c>
      <c r="F2666" s="94">
        <v>1000</v>
      </c>
      <c r="G2666" s="46"/>
      <c r="H2666" s="46">
        <f>IFERROR(TRANSACTIONS!$F2666+TRANSACTIONS!$G2666,"")</f>
        <v>1000</v>
      </c>
      <c r="I2666" s="40" t="s">
        <v>41</v>
      </c>
    </row>
    <row r="2667" spans="1:9" x14ac:dyDescent="0.25">
      <c r="A2667" s="81">
        <v>45357.439389236111</v>
      </c>
      <c r="B2667" s="83">
        <f>IF(A2667&lt;&gt;"",DATE(YEAR(TRANSACTIONS!$A2667),MONTH(TRANSACTIONS!$A2667),DAY(TRANSACTIONS!$A2667)),"")</f>
        <v>45357</v>
      </c>
      <c r="C2667" s="84">
        <f>IF(A2667&lt;&gt;"",TIME(HOUR(TRANSACTIONS!$A2667),MINUTE(TRANSACTIONS!$A2667),SECOND(TRANSACTIONS!$A2667)),"")</f>
        <v>0.43938657407407411</v>
      </c>
      <c r="D2667" s="82" t="s">
        <v>62</v>
      </c>
      <c r="E2667" s="82" t="s">
        <v>7</v>
      </c>
      <c r="F2667" s="94">
        <v>5000</v>
      </c>
      <c r="G2667" s="86"/>
      <c r="H2667" s="86">
        <f>IFERROR(TRANSACTIONS!$F2667+TRANSACTIONS!$G2667,"")</f>
        <v>5000</v>
      </c>
      <c r="I2667" s="88" t="s">
        <v>41</v>
      </c>
    </row>
    <row r="2668" spans="1:9" x14ac:dyDescent="0.25">
      <c r="A2668" s="41">
        <v>45357.43939699074</v>
      </c>
      <c r="B2668" s="48">
        <f>IF(A2668&lt;&gt;"",DATE(YEAR(TRANSACTIONS!$A2668),MONTH(TRANSACTIONS!$A2668),DAY(TRANSACTIONS!$A2668)),"")</f>
        <v>45357</v>
      </c>
      <c r="C2668" s="49">
        <f>IF(A2668&lt;&gt;"",TIME(HOUR(TRANSACTIONS!$A2668),MINUTE(TRANSACTIONS!$A2668),SECOND(TRANSACTIONS!$A2668)),"")</f>
        <v>0.43939814814814815</v>
      </c>
      <c r="D2668" s="82" t="s">
        <v>62</v>
      </c>
      <c r="E2668" s="82" t="s">
        <v>7</v>
      </c>
      <c r="F2668" s="94">
        <v>30000</v>
      </c>
      <c r="G2668" s="46"/>
      <c r="H2668" s="46">
        <f>IFERROR(TRANSACTIONS!$F2668+TRANSACTIONS!$G2668,"")</f>
        <v>30000</v>
      </c>
      <c r="I2668" s="40" t="s">
        <v>41</v>
      </c>
    </row>
    <row r="2669" spans="1:9" x14ac:dyDescent="0.25">
      <c r="A2669" s="41">
        <v>45357.439404629629</v>
      </c>
      <c r="B2669" s="48">
        <f>IF(A2669&lt;&gt;"",DATE(YEAR(TRANSACTIONS!$A2669),MONTH(TRANSACTIONS!$A2669),DAY(TRANSACTIONS!$A2669)),"")</f>
        <v>45357</v>
      </c>
      <c r="C2669" s="49">
        <f>IF(A2669&lt;&gt;"",TIME(HOUR(TRANSACTIONS!$A2669),MINUTE(TRANSACTIONS!$A2669),SECOND(TRANSACTIONS!$A2669)),"")</f>
        <v>0.43940972222222219</v>
      </c>
      <c r="D2669" s="82" t="s">
        <v>64</v>
      </c>
      <c r="E2669" s="82" t="s">
        <v>6</v>
      </c>
      <c r="F2669" s="94">
        <v>100000</v>
      </c>
      <c r="G2669" s="46"/>
      <c r="H2669" s="46">
        <f>IFERROR(TRANSACTIONS!$F2669+TRANSACTIONS!$G2669,"")</f>
        <v>100000</v>
      </c>
      <c r="I2669" s="40" t="s">
        <v>41</v>
      </c>
    </row>
    <row r="2670" spans="1:9" x14ac:dyDescent="0.25">
      <c r="A2670" s="41">
        <v>45357.439412037034</v>
      </c>
      <c r="B2670" s="48">
        <f>IF(A2670&lt;&gt;"",DATE(YEAR(TRANSACTIONS!$A2670),MONTH(TRANSACTIONS!$A2670),DAY(TRANSACTIONS!$A2670)),"")</f>
        <v>45357</v>
      </c>
      <c r="C2670" s="49">
        <f>IF(A2670&lt;&gt;"",TIME(HOUR(TRANSACTIONS!$A2670),MINUTE(TRANSACTIONS!$A2670),SECOND(TRANSACTIONS!$A2670)),"")</f>
        <v>0.43940972222222219</v>
      </c>
      <c r="D2670" s="82" t="s">
        <v>64</v>
      </c>
      <c r="E2670" s="82" t="s">
        <v>6</v>
      </c>
      <c r="F2670" s="94">
        <v>150000</v>
      </c>
      <c r="G2670" s="46"/>
      <c r="H2670" s="46">
        <f>IFERROR(TRANSACTIONS!$F2670+TRANSACTIONS!$G2670,"")</f>
        <v>150000</v>
      </c>
      <c r="I2670" s="40" t="s">
        <v>41</v>
      </c>
    </row>
    <row r="2671" spans="1:9" x14ac:dyDescent="0.25">
      <c r="A2671" s="41">
        <v>45357.439419212962</v>
      </c>
      <c r="B2671" s="48">
        <f>IF(A2671&lt;&gt;"",DATE(YEAR(TRANSACTIONS!$A2671),MONTH(TRANSACTIONS!$A2671),DAY(TRANSACTIONS!$A2671)),"")</f>
        <v>45357</v>
      </c>
      <c r="C2671" s="49">
        <f>IF(A2671&lt;&gt;"",TIME(HOUR(TRANSACTIONS!$A2671),MINUTE(TRANSACTIONS!$A2671),SECOND(TRANSACTIONS!$A2671)),"")</f>
        <v>0.43942129629629628</v>
      </c>
      <c r="D2671" s="82" t="s">
        <v>64</v>
      </c>
      <c r="E2671" s="82" t="s">
        <v>6</v>
      </c>
      <c r="F2671" s="94">
        <v>150000</v>
      </c>
      <c r="G2671" s="46"/>
      <c r="H2671" s="46">
        <f>IFERROR(TRANSACTIONS!$F2671+TRANSACTIONS!$G2671,"")</f>
        <v>150000</v>
      </c>
      <c r="I2671" s="40" t="s">
        <v>41</v>
      </c>
    </row>
    <row r="2672" spans="1:9" x14ac:dyDescent="0.25">
      <c r="A2672" s="41">
        <v>45357.439426504628</v>
      </c>
      <c r="B2672" s="48">
        <f>IF(A2672&lt;&gt;"",DATE(YEAR(TRANSACTIONS!$A2672),MONTH(TRANSACTIONS!$A2672),DAY(TRANSACTIONS!$A2672)),"")</f>
        <v>45357</v>
      </c>
      <c r="C2672" s="49">
        <f>IF(A2672&lt;&gt;"",TIME(HOUR(TRANSACTIONS!$A2672),MINUTE(TRANSACTIONS!$A2672),SECOND(TRANSACTIONS!$A2672)),"")</f>
        <v>0.43942129629629628</v>
      </c>
      <c r="D2672" s="82" t="s">
        <v>62</v>
      </c>
      <c r="E2672" s="82" t="s">
        <v>7</v>
      </c>
      <c r="F2672" s="94">
        <v>2000</v>
      </c>
      <c r="G2672" s="46"/>
      <c r="H2672" s="46">
        <f>IFERROR(TRANSACTIONS!$F2672+TRANSACTIONS!$G2672,"")</f>
        <v>2000</v>
      </c>
      <c r="I2672" s="40" t="s">
        <v>41</v>
      </c>
    </row>
    <row r="2673" spans="1:11" x14ac:dyDescent="0.25">
      <c r="A2673" s="41">
        <v>45357.439490625002</v>
      </c>
      <c r="B2673" s="48">
        <f>IF(A2673&lt;&gt;"",DATE(YEAR(TRANSACTIONS!$A2673),MONTH(TRANSACTIONS!$A2673),DAY(TRANSACTIONS!$A2673)),"")</f>
        <v>45357</v>
      </c>
      <c r="C2673" s="49">
        <f>IF(A2673&lt;&gt;"",TIME(HOUR(TRANSACTIONS!$A2673),MINUTE(TRANSACTIONS!$A2673),SECOND(TRANSACTIONS!$A2673)),"")</f>
        <v>0.43949074074074074</v>
      </c>
      <c r="D2673" s="82" t="s">
        <v>62</v>
      </c>
      <c r="E2673" s="82" t="s">
        <v>7</v>
      </c>
      <c r="F2673" s="94">
        <v>5000</v>
      </c>
      <c r="G2673" s="46"/>
      <c r="H2673" s="46">
        <f>IFERROR(TRANSACTIONS!$F2673+TRANSACTIONS!$G2673,"")</f>
        <v>5000</v>
      </c>
      <c r="I2673" s="40" t="s">
        <v>41</v>
      </c>
    </row>
    <row r="2674" spans="1:11" x14ac:dyDescent="0.25">
      <c r="A2674" s="41">
        <v>45357.439515972219</v>
      </c>
      <c r="B2674" s="48">
        <f>IF(A2674&lt;&gt;"",DATE(YEAR(TRANSACTIONS!$A2674),MONTH(TRANSACTIONS!$A2674),DAY(TRANSACTIONS!$A2674)),"")</f>
        <v>45357</v>
      </c>
      <c r="C2674" s="49">
        <f>IF(A2674&lt;&gt;"",TIME(HOUR(TRANSACTIONS!$A2674),MINUTE(TRANSACTIONS!$A2674),SECOND(TRANSACTIONS!$A2674)),"")</f>
        <v>0.43951388888888893</v>
      </c>
      <c r="D2674" s="82" t="s">
        <v>62</v>
      </c>
      <c r="E2674" s="82" t="s">
        <v>6</v>
      </c>
      <c r="F2674" s="94">
        <v>1000</v>
      </c>
      <c r="G2674" s="46"/>
      <c r="H2674" s="46">
        <f>IFERROR(TRANSACTIONS!$F2674+TRANSACTIONS!$G2674,"")</f>
        <v>1000</v>
      </c>
      <c r="I2674" s="40" t="s">
        <v>41</v>
      </c>
    </row>
    <row r="2675" spans="1:11" x14ac:dyDescent="0.25">
      <c r="A2675" s="41">
        <v>45357.475599999998</v>
      </c>
      <c r="B2675" s="48">
        <f>IF(A2675&lt;&gt;"",DATE(YEAR(TRANSACTIONS!$A2675),MONTH(TRANSACTIONS!$A2675),DAY(TRANSACTIONS!$A2675)),"")</f>
        <v>45357</v>
      </c>
      <c r="C2675" s="49">
        <f>IF(A2675&lt;&gt;"",TIME(HOUR(TRANSACTIONS!$A2675),MINUTE(TRANSACTIONS!$A2675),SECOND(TRANSACTIONS!$A2675)),"")</f>
        <v>0.47560185185185189</v>
      </c>
      <c r="D2675" s="82" t="s">
        <v>62</v>
      </c>
      <c r="E2675" s="82" t="s">
        <v>7</v>
      </c>
      <c r="F2675" s="94">
        <v>15000</v>
      </c>
      <c r="G2675" s="46"/>
      <c r="H2675" s="46">
        <f>IFERROR(TRANSACTIONS!$F2675+TRANSACTIONS!$G2675,"")</f>
        <v>15000</v>
      </c>
      <c r="I2675" s="40" t="s">
        <v>41</v>
      </c>
    </row>
    <row r="2676" spans="1:11" x14ac:dyDescent="0.25">
      <c r="A2676" s="41">
        <v>45357.475715509259</v>
      </c>
      <c r="B2676" s="48">
        <f>IF(A2676&lt;&gt;"",DATE(YEAR(TRANSACTIONS!$A2676),MONTH(TRANSACTIONS!$A2676),DAY(TRANSACTIONS!$A2676)),"")</f>
        <v>45357</v>
      </c>
      <c r="C2676" s="49">
        <f>IF(A2676&lt;&gt;"",TIME(HOUR(TRANSACTIONS!$A2676),MINUTE(TRANSACTIONS!$A2676),SECOND(TRANSACTIONS!$A2676)),"")</f>
        <v>0.47571759259259255</v>
      </c>
      <c r="D2676" s="82" t="s">
        <v>62</v>
      </c>
      <c r="E2676" s="82" t="s">
        <v>7</v>
      </c>
      <c r="F2676" s="94">
        <v>900</v>
      </c>
      <c r="G2676" s="46"/>
      <c r="H2676" s="46">
        <f>IFERROR(TRANSACTIONS!$F2676+TRANSACTIONS!$G2676,"")</f>
        <v>900</v>
      </c>
      <c r="I2676" s="40" t="s">
        <v>41</v>
      </c>
    </row>
    <row r="2677" spans="1:11" x14ac:dyDescent="0.25">
      <c r="A2677" s="41">
        <v>45357.475739467591</v>
      </c>
      <c r="B2677" s="48">
        <f>IF(A2677&lt;&gt;"",DATE(YEAR(TRANSACTIONS!$A2677),MONTH(TRANSACTIONS!$A2677),DAY(TRANSACTIONS!$A2677)),"")</f>
        <v>45357</v>
      </c>
      <c r="C2677" s="49">
        <f>IF(A2677&lt;&gt;"",TIME(HOUR(TRANSACTIONS!$A2677),MINUTE(TRANSACTIONS!$A2677),SECOND(TRANSACTIONS!$A2677)),"")</f>
        <v>0.47574074074074074</v>
      </c>
      <c r="D2677" s="82" t="s">
        <v>62</v>
      </c>
      <c r="E2677" s="82" t="s">
        <v>7</v>
      </c>
      <c r="F2677" s="94">
        <v>20000</v>
      </c>
      <c r="G2677" s="46"/>
      <c r="H2677" s="46">
        <f>IFERROR(TRANSACTIONS!$F2677+TRANSACTIONS!$G2677,"")</f>
        <v>20000</v>
      </c>
      <c r="I2677" s="40" t="s">
        <v>41</v>
      </c>
    </row>
    <row r="2678" spans="1:11" x14ac:dyDescent="0.25">
      <c r="A2678" s="41">
        <v>45357.475753472223</v>
      </c>
      <c r="B2678" s="48">
        <f>IF(A2678&lt;&gt;"",DATE(YEAR(TRANSACTIONS!$A2678),MONTH(TRANSACTIONS!$A2678),DAY(TRANSACTIONS!$A2678)),"")</f>
        <v>45357</v>
      </c>
      <c r="C2678" s="49">
        <f>IF(A2678&lt;&gt;"",TIME(HOUR(TRANSACTIONS!$A2678),MINUTE(TRANSACTIONS!$A2678),SECOND(TRANSACTIONS!$A2678)),"")</f>
        <v>0.47575231481481484</v>
      </c>
      <c r="D2678" s="82" t="s">
        <v>62</v>
      </c>
      <c r="E2678" s="82" t="s">
        <v>7</v>
      </c>
      <c r="F2678" s="94">
        <v>15000</v>
      </c>
      <c r="G2678" s="46"/>
      <c r="H2678" s="46">
        <f>IFERROR(TRANSACTIONS!$F2678+TRANSACTIONS!$G2678,"")</f>
        <v>15000</v>
      </c>
      <c r="I2678" s="40" t="s">
        <v>41</v>
      </c>
    </row>
    <row r="2679" spans="1:11" x14ac:dyDescent="0.25">
      <c r="A2679" s="41">
        <v>45357.475761458336</v>
      </c>
      <c r="B2679" s="48">
        <f>IF(A2679&lt;&gt;"",DATE(YEAR(TRANSACTIONS!$A2679),MONTH(TRANSACTIONS!$A2679),DAY(TRANSACTIONS!$A2679)),"")</f>
        <v>45357</v>
      </c>
      <c r="C2679" s="49">
        <f>IF(A2679&lt;&gt;"",TIME(HOUR(TRANSACTIONS!$A2679),MINUTE(TRANSACTIONS!$A2679),SECOND(TRANSACTIONS!$A2679)),"")</f>
        <v>0.47576388888888888</v>
      </c>
      <c r="D2679" s="82" t="s">
        <v>62</v>
      </c>
      <c r="E2679" s="82" t="s">
        <v>6</v>
      </c>
      <c r="F2679" s="94">
        <v>20000</v>
      </c>
      <c r="G2679" s="46"/>
      <c r="H2679" s="46">
        <f>IFERROR(TRANSACTIONS!$F2679+TRANSACTIONS!$G2679,"")</f>
        <v>20000</v>
      </c>
      <c r="I2679" s="40" t="s">
        <v>50</v>
      </c>
    </row>
    <row r="2680" spans="1:11" x14ac:dyDescent="0.25">
      <c r="A2680" s="41">
        <v>45357.475769444442</v>
      </c>
      <c r="B2680" s="48">
        <f>IF(A2680&lt;&gt;"",DATE(YEAR(TRANSACTIONS!$A2680),MONTH(TRANSACTIONS!$A2680),DAY(TRANSACTIONS!$A2680)),"")</f>
        <v>45357</v>
      </c>
      <c r="C2680" s="49">
        <f>IF(A2680&lt;&gt;"",TIME(HOUR(TRANSACTIONS!$A2680),MINUTE(TRANSACTIONS!$A2680),SECOND(TRANSACTIONS!$A2680)),"")</f>
        <v>0.47576388888888888</v>
      </c>
      <c r="D2680" s="82" t="s">
        <v>62</v>
      </c>
      <c r="E2680" s="82" t="s">
        <v>6</v>
      </c>
      <c r="F2680" s="94">
        <v>63000</v>
      </c>
      <c r="G2680" s="46"/>
      <c r="H2680" s="46">
        <f>IFERROR(TRANSACTIONS!$F2680+TRANSACTIONS!$G2680,"")</f>
        <v>63000</v>
      </c>
      <c r="I2680" s="40" t="s">
        <v>41</v>
      </c>
    </row>
    <row r="2681" spans="1:11" x14ac:dyDescent="0.25">
      <c r="A2681" s="41">
        <v>45357.475776967593</v>
      </c>
      <c r="B2681" s="48">
        <f>IF(A2681&lt;&gt;"",DATE(YEAR(TRANSACTIONS!$A2681),MONTH(TRANSACTIONS!$A2681),DAY(TRANSACTIONS!$A2681)),"")</f>
        <v>45357</v>
      </c>
      <c r="C2681" s="49">
        <f>IF(A2681&lt;&gt;"",TIME(HOUR(TRANSACTIONS!$A2681),MINUTE(TRANSACTIONS!$A2681),SECOND(TRANSACTIONS!$A2681)),"")</f>
        <v>0.47577546296296297</v>
      </c>
      <c r="D2681" s="82" t="s">
        <v>62</v>
      </c>
      <c r="E2681" s="82" t="s">
        <v>7</v>
      </c>
      <c r="F2681" s="94">
        <v>1500</v>
      </c>
      <c r="G2681" s="46"/>
      <c r="H2681" s="46">
        <f>IFERROR(TRANSACTIONS!$F2681+TRANSACTIONS!$G2681,"")</f>
        <v>1500</v>
      </c>
      <c r="I2681" s="40" t="s">
        <v>41</v>
      </c>
    </row>
    <row r="2682" spans="1:11" x14ac:dyDescent="0.25">
      <c r="A2682" s="41">
        <v>45357.4757880787</v>
      </c>
      <c r="B2682" s="48">
        <f>IF(A2682&lt;&gt;"",DATE(YEAR(TRANSACTIONS!$A2682),MONTH(TRANSACTIONS!$A2682),DAY(TRANSACTIONS!$A2682)),"")</f>
        <v>45357</v>
      </c>
      <c r="C2682" s="49">
        <f>IF(A2682&lt;&gt;"",TIME(HOUR(TRANSACTIONS!$A2682),MINUTE(TRANSACTIONS!$A2682),SECOND(TRANSACTIONS!$A2682)),"")</f>
        <v>0.47578703703703701</v>
      </c>
      <c r="D2682" s="82" t="s">
        <v>62</v>
      </c>
      <c r="E2682" s="82" t="s">
        <v>6</v>
      </c>
      <c r="F2682" s="94">
        <v>2000</v>
      </c>
      <c r="G2682" s="46"/>
      <c r="H2682" s="46">
        <f>IFERROR(TRANSACTIONS!$F2682+TRANSACTIONS!$G2682,"")</f>
        <v>2000</v>
      </c>
      <c r="I2682" s="40" t="s">
        <v>41</v>
      </c>
    </row>
    <row r="2683" spans="1:11" x14ac:dyDescent="0.25">
      <c r="A2683" s="41">
        <v>45357.475803240741</v>
      </c>
      <c r="B2683" s="48">
        <f>IF(A2683&lt;&gt;"",DATE(YEAR(TRANSACTIONS!$A2683),MONTH(TRANSACTIONS!$A2683),DAY(TRANSACTIONS!$A2683)),"")</f>
        <v>45357</v>
      </c>
      <c r="C2683" s="49">
        <f>IF(A2683&lt;&gt;"",TIME(HOUR(TRANSACTIONS!$A2683),MINUTE(TRANSACTIONS!$A2683),SECOND(TRANSACTIONS!$A2683)),"")</f>
        <v>0.47579861111111116</v>
      </c>
      <c r="D2683" s="82" t="s">
        <v>62</v>
      </c>
      <c r="E2683" s="82" t="s">
        <v>7</v>
      </c>
      <c r="F2683" s="94">
        <v>1000</v>
      </c>
      <c r="G2683" s="46"/>
      <c r="H2683" s="46">
        <f>IFERROR(TRANSACTIONS!$F2683+TRANSACTIONS!$G2683,"")</f>
        <v>1000</v>
      </c>
      <c r="I2683" s="40" t="s">
        <v>41</v>
      </c>
    </row>
    <row r="2684" spans="1:11" x14ac:dyDescent="0.25">
      <c r="A2684" s="41">
        <v>45357.475818402774</v>
      </c>
      <c r="B2684" s="48">
        <f>IF(A2684&lt;&gt;"",DATE(YEAR(TRANSACTIONS!$A2684),MONTH(TRANSACTIONS!$A2684),DAY(TRANSACTIONS!$A2684)),"")</f>
        <v>45357</v>
      </c>
      <c r="C2684" s="49">
        <f>IF(A2684&lt;&gt;"",TIME(HOUR(TRANSACTIONS!$A2684),MINUTE(TRANSACTIONS!$A2684),SECOND(TRANSACTIONS!$A2684)),"")</f>
        <v>0.47582175925925929</v>
      </c>
      <c r="D2684" s="82" t="s">
        <v>62</v>
      </c>
      <c r="E2684" s="82" t="s">
        <v>6</v>
      </c>
      <c r="F2684" s="94">
        <v>2000</v>
      </c>
      <c r="G2684" s="46"/>
      <c r="H2684" s="46">
        <f>IFERROR(TRANSACTIONS!$F2684+TRANSACTIONS!$G2684,"")</f>
        <v>2000</v>
      </c>
      <c r="I2684" s="40" t="s">
        <v>41</v>
      </c>
    </row>
    <row r="2685" spans="1:11" x14ac:dyDescent="0.25">
      <c r="A2685" s="41">
        <v>45357.475831828706</v>
      </c>
      <c r="B2685" s="48">
        <f>IF(A2685&lt;&gt;"",DATE(YEAR(TRANSACTIONS!$A2685),MONTH(TRANSACTIONS!$A2685),DAY(TRANSACTIONS!$A2685)),"")</f>
        <v>45357</v>
      </c>
      <c r="C2685" s="49">
        <f>IF(A2685&lt;&gt;"",TIME(HOUR(TRANSACTIONS!$A2685),MINUTE(TRANSACTIONS!$A2685),SECOND(TRANSACTIONS!$A2685)),"")</f>
        <v>0.47583333333333333</v>
      </c>
      <c r="D2685" s="82" t="s">
        <v>62</v>
      </c>
      <c r="E2685" s="82" t="s">
        <v>6</v>
      </c>
      <c r="F2685" s="94">
        <v>3000</v>
      </c>
      <c r="G2685" s="46"/>
      <c r="H2685" s="46">
        <f>IFERROR(TRANSACTIONS!$F2685+TRANSACTIONS!$G2685,"")</f>
        <v>3000</v>
      </c>
      <c r="I2685" s="40" t="s">
        <v>41</v>
      </c>
    </row>
    <row r="2686" spans="1:11" ht="15" customHeight="1" x14ac:dyDescent="0.25">
      <c r="A2686" s="41">
        <v>45357.475841203704</v>
      </c>
      <c r="B2686" s="48">
        <f>IF(A2686&lt;&gt;"",DATE(YEAR(TRANSACTIONS!$A2686),MONTH(TRANSACTIONS!$A2686),DAY(TRANSACTIONS!$A2686)),"")</f>
        <v>45357</v>
      </c>
      <c r="C2686" s="49">
        <f>IF(A2686&lt;&gt;"",TIME(HOUR(TRANSACTIONS!$A2686),MINUTE(TRANSACTIONS!$A2686),SECOND(TRANSACTIONS!$A2686)),"")</f>
        <v>0.47584490740740737</v>
      </c>
      <c r="D2686" s="82" t="s">
        <v>62</v>
      </c>
      <c r="E2686" s="82" t="s">
        <v>6</v>
      </c>
      <c r="F2686" s="94">
        <v>50000</v>
      </c>
      <c r="G2686" s="46"/>
      <c r="H2686" s="46">
        <f>IFERROR(TRANSACTIONS!$F2686+TRANSACTIONS!$G2686,"")</f>
        <v>50000</v>
      </c>
      <c r="I2686" s="40" t="s">
        <v>41</v>
      </c>
    </row>
    <row r="2687" spans="1:11" x14ac:dyDescent="0.25">
      <c r="A2687" s="41">
        <v>45357.475857291669</v>
      </c>
      <c r="B2687" s="48">
        <f>IF(A2687&lt;&gt;"",DATE(YEAR(TRANSACTIONS!$A2687),MONTH(TRANSACTIONS!$A2687),DAY(TRANSACTIONS!$A2687)),"")</f>
        <v>45357</v>
      </c>
      <c r="C2687" s="49">
        <f>IF(A2687&lt;&gt;"",TIME(HOUR(TRANSACTIONS!$A2687),MINUTE(TRANSACTIONS!$A2687),SECOND(TRANSACTIONS!$A2687)),"")</f>
        <v>0.47585648148148146</v>
      </c>
      <c r="D2687" s="82" t="s">
        <v>62</v>
      </c>
      <c r="E2687" s="82" t="s">
        <v>6</v>
      </c>
      <c r="F2687" s="94">
        <v>30000</v>
      </c>
      <c r="G2687" s="46"/>
      <c r="H2687" s="46">
        <f>IFERROR(TRANSACTIONS!$F2687+TRANSACTIONS!$G2687,"")</f>
        <v>30000</v>
      </c>
      <c r="I2687" s="40" t="s">
        <v>41</v>
      </c>
    </row>
    <row r="2688" spans="1:11" x14ac:dyDescent="0.25">
      <c r="A2688" s="81">
        <v>45357.475865740744</v>
      </c>
      <c r="B2688" s="83">
        <f>IF(A2688&lt;&gt;"",DATE(YEAR(TRANSACTIONS!$A2688),MONTH(TRANSACTIONS!$A2688),DAY(TRANSACTIONS!$A2688)),"")</f>
        <v>45357</v>
      </c>
      <c r="C2688" s="84">
        <f>IF(A2688&lt;&gt;"",TIME(HOUR(TRANSACTIONS!$A2688),MINUTE(TRANSACTIONS!$A2688),SECOND(TRANSACTIONS!$A2688)),"")</f>
        <v>0.4758680555555555</v>
      </c>
      <c r="D2688" s="82" t="s">
        <v>25</v>
      </c>
      <c r="E2688" s="82" t="s">
        <v>6</v>
      </c>
      <c r="F2688" s="94">
        <v>2000</v>
      </c>
      <c r="G2688" s="86"/>
      <c r="H2688" s="86">
        <f>IFERROR(TRANSACTIONS!$F2688+TRANSACTIONS!$G2688,"")</f>
        <v>2000</v>
      </c>
      <c r="I2688" s="88" t="s">
        <v>41</v>
      </c>
      <c r="J2688" s="88"/>
      <c r="K2688" s="88"/>
    </row>
    <row r="2689" spans="1:9" x14ac:dyDescent="0.25">
      <c r="A2689" s="41">
        <v>45357.475874074073</v>
      </c>
      <c r="B2689" s="48">
        <f>IF(A2689&lt;&gt;"",DATE(YEAR(TRANSACTIONS!$A2689),MONTH(TRANSACTIONS!$A2689),DAY(TRANSACTIONS!$A2689)),"")</f>
        <v>45357</v>
      </c>
      <c r="C2689" s="49">
        <f>IF(A2689&lt;&gt;"",TIME(HOUR(TRANSACTIONS!$A2689),MINUTE(TRANSACTIONS!$A2689),SECOND(TRANSACTIONS!$A2689)),"")</f>
        <v>0.47587962962962965</v>
      </c>
      <c r="D2689" s="82" t="s">
        <v>25</v>
      </c>
      <c r="E2689" s="82" t="s">
        <v>6</v>
      </c>
      <c r="F2689" s="94">
        <v>1000</v>
      </c>
      <c r="G2689" s="46"/>
      <c r="H2689" s="46">
        <f>IFERROR(TRANSACTIONS!$F2689+TRANSACTIONS!$G2689,"")</f>
        <v>1000</v>
      </c>
      <c r="I2689" s="40" t="s">
        <v>41</v>
      </c>
    </row>
    <row r="2690" spans="1:9" x14ac:dyDescent="0.25">
      <c r="A2690" s="41">
        <v>45357.47588726852</v>
      </c>
      <c r="B2690" s="48">
        <f>IF(A2690&lt;&gt;"",DATE(YEAR(TRANSACTIONS!$A2690),MONTH(TRANSACTIONS!$A2690),DAY(TRANSACTIONS!$A2690)),"")</f>
        <v>45357</v>
      </c>
      <c r="C2690" s="49">
        <f>IF(A2690&lt;&gt;"",TIME(HOUR(TRANSACTIONS!$A2690),MINUTE(TRANSACTIONS!$A2690),SECOND(TRANSACTIONS!$A2690)),"")</f>
        <v>0.47589120370370369</v>
      </c>
      <c r="D2690" s="82" t="s">
        <v>25</v>
      </c>
      <c r="E2690" s="82" t="s">
        <v>7</v>
      </c>
      <c r="F2690" s="94">
        <v>41000</v>
      </c>
      <c r="G2690" s="46"/>
      <c r="H2690" s="46">
        <f>IFERROR(TRANSACTIONS!$F2690+TRANSACTIONS!$G2690,"")</f>
        <v>41000</v>
      </c>
      <c r="I2690" s="40" t="s">
        <v>41</v>
      </c>
    </row>
    <row r="2691" spans="1:9" x14ac:dyDescent="0.25">
      <c r="A2691" s="81">
        <v>45357.475895949072</v>
      </c>
      <c r="B2691" s="83">
        <f>IF(A2691&lt;&gt;"",DATE(YEAR(TRANSACTIONS!$A2691),MONTH(TRANSACTIONS!$A2691),DAY(TRANSACTIONS!$A2691)),"")</f>
        <v>45357</v>
      </c>
      <c r="C2691" s="84">
        <f>IF(A2691&lt;&gt;"",TIME(HOUR(TRANSACTIONS!$A2691),MINUTE(TRANSACTIONS!$A2691),SECOND(TRANSACTIONS!$A2691)),"")</f>
        <v>0.47589120370370369</v>
      </c>
      <c r="D2691" s="82" t="s">
        <v>25</v>
      </c>
      <c r="E2691" s="82" t="s">
        <v>6</v>
      </c>
      <c r="F2691" s="94">
        <v>2000</v>
      </c>
      <c r="G2691" s="86"/>
      <c r="H2691" s="86">
        <f>IFERROR(TRANSACTIONS!$F2691+TRANSACTIONS!$G2691,"")</f>
        <v>2000</v>
      </c>
      <c r="I2691" s="88" t="s">
        <v>50</v>
      </c>
    </row>
    <row r="2692" spans="1:9" x14ac:dyDescent="0.25">
      <c r="A2692" s="41">
        <v>45357.475910648151</v>
      </c>
      <c r="B2692" s="48">
        <f>IF(A2692&lt;&gt;"",DATE(YEAR(TRANSACTIONS!$A2692),MONTH(TRANSACTIONS!$A2692),DAY(TRANSACTIONS!$A2692)),"")</f>
        <v>45357</v>
      </c>
      <c r="C2692" s="49">
        <f>IF(A2692&lt;&gt;"",TIME(HOUR(TRANSACTIONS!$A2692),MINUTE(TRANSACTIONS!$A2692),SECOND(TRANSACTIONS!$A2692)),"")</f>
        <v>0.47591435185185182</v>
      </c>
      <c r="D2692" s="82" t="s">
        <v>25</v>
      </c>
      <c r="E2692" s="82" t="s">
        <v>6</v>
      </c>
      <c r="F2692" s="94">
        <v>2000</v>
      </c>
      <c r="G2692" s="46"/>
      <c r="H2692" s="46">
        <f>IFERROR(TRANSACTIONS!$F2692+TRANSACTIONS!$G2692,"")</f>
        <v>2000</v>
      </c>
      <c r="I2692" s="40" t="s">
        <v>41</v>
      </c>
    </row>
    <row r="2693" spans="1:9" x14ac:dyDescent="0.25">
      <c r="A2693" s="41">
        <v>45357.47592164352</v>
      </c>
      <c r="B2693" s="48">
        <f>IF(A2693&lt;&gt;"",DATE(YEAR(TRANSACTIONS!$A2693),MONTH(TRANSACTIONS!$A2693),DAY(TRANSACTIONS!$A2693)),"")</f>
        <v>45357</v>
      </c>
      <c r="C2693" s="49">
        <f>IF(A2693&lt;&gt;"",TIME(HOUR(TRANSACTIONS!$A2693),MINUTE(TRANSACTIONS!$A2693),SECOND(TRANSACTIONS!$A2693)),"")</f>
        <v>0.47592592592592592</v>
      </c>
      <c r="D2693" s="82" t="s">
        <v>25</v>
      </c>
      <c r="E2693" s="82" t="s">
        <v>7</v>
      </c>
      <c r="F2693" s="94">
        <v>50000</v>
      </c>
      <c r="G2693" s="46"/>
      <c r="H2693" s="46">
        <f>IFERROR(TRANSACTIONS!$F2693+TRANSACTIONS!$G2693,"")</f>
        <v>50000</v>
      </c>
      <c r="I2693" s="40" t="s">
        <v>41</v>
      </c>
    </row>
    <row r="2694" spans="1:9" x14ac:dyDescent="0.25">
      <c r="A2694" s="113">
        <v>45357.476454282405</v>
      </c>
      <c r="B2694" s="114">
        <f>IF(A2694&lt;&gt;"",DATE(YEAR(TRANSACTIONS!$A2694),MONTH(TRANSACTIONS!$A2694),DAY(TRANSACTIONS!$A2694)),"")</f>
        <v>45357</v>
      </c>
      <c r="C2694" s="115">
        <f>IF(A2694&lt;&gt;"",TIME(HOUR(TRANSACTIONS!$A2694),MINUTE(TRANSACTIONS!$A2694),SECOND(TRANSACTIONS!$A2694)),"")</f>
        <v>0.47645833333333337</v>
      </c>
      <c r="D2694" s="82" t="s">
        <v>25</v>
      </c>
      <c r="E2694" s="82" t="s">
        <v>6</v>
      </c>
      <c r="F2694" s="94">
        <v>1000</v>
      </c>
      <c r="G2694" s="117"/>
      <c r="H2694" s="117">
        <f>IFERROR(TRANSACTIONS!$F2694+TRANSACTIONS!$G2694,"")</f>
        <v>1000</v>
      </c>
      <c r="I2694" s="118" t="s">
        <v>41</v>
      </c>
    </row>
    <row r="2695" spans="1:9" x14ac:dyDescent="0.25">
      <c r="A2695" s="41">
        <v>45357.476480902777</v>
      </c>
      <c r="B2695" s="48">
        <f>IF(A2695&lt;&gt;"",DATE(YEAR(TRANSACTIONS!$A2695),MONTH(TRANSACTIONS!$A2695),DAY(TRANSACTIONS!$A2695)),"")</f>
        <v>45357</v>
      </c>
      <c r="C2695" s="49">
        <f>IF(A2695&lt;&gt;"",TIME(HOUR(TRANSACTIONS!$A2695),MINUTE(TRANSACTIONS!$A2695),SECOND(TRANSACTIONS!$A2695)),"")</f>
        <v>0.47648148148148151</v>
      </c>
      <c r="D2695" s="82" t="s">
        <v>25</v>
      </c>
      <c r="E2695" s="82" t="s">
        <v>7</v>
      </c>
      <c r="F2695" s="94">
        <v>40000</v>
      </c>
      <c r="G2695" s="46"/>
      <c r="H2695" s="46">
        <f>IFERROR(TRANSACTIONS!$F2695+TRANSACTIONS!$G2695,"")</f>
        <v>40000</v>
      </c>
      <c r="I2695" s="40" t="s">
        <v>41</v>
      </c>
    </row>
    <row r="2696" spans="1:9" x14ac:dyDescent="0.25">
      <c r="A2696" s="41">
        <v>45357.476489930559</v>
      </c>
      <c r="B2696" s="48">
        <f>IF(A2696&lt;&gt;"",DATE(YEAR(TRANSACTIONS!$A2696),MONTH(TRANSACTIONS!$A2696),DAY(TRANSACTIONS!$A2696)),"")</f>
        <v>45357</v>
      </c>
      <c r="C2696" s="49">
        <f>IF(A2696&lt;&gt;"",TIME(HOUR(TRANSACTIONS!$A2696),MINUTE(TRANSACTIONS!$A2696),SECOND(TRANSACTIONS!$A2696)),"")</f>
        <v>0.47649305555555554</v>
      </c>
      <c r="D2696" s="82" t="s">
        <v>25</v>
      </c>
      <c r="E2696" s="82" t="s">
        <v>6</v>
      </c>
      <c r="F2696" s="94">
        <v>1000</v>
      </c>
      <c r="G2696" s="46"/>
      <c r="H2696" s="46">
        <f>IFERROR(TRANSACTIONS!$F2696+TRANSACTIONS!$G2696,"")</f>
        <v>1000</v>
      </c>
      <c r="I2696" s="40" t="s">
        <v>41</v>
      </c>
    </row>
    <row r="2697" spans="1:9" x14ac:dyDescent="0.25">
      <c r="A2697" s="41">
        <v>45357.476536226852</v>
      </c>
      <c r="B2697" s="48">
        <f>IF(A2697&lt;&gt;"",DATE(YEAR(TRANSACTIONS!$A2697),MONTH(TRANSACTIONS!$A2697),DAY(TRANSACTIONS!$A2697)),"")</f>
        <v>45357</v>
      </c>
      <c r="C2697" s="49">
        <f>IF(A2697&lt;&gt;"",TIME(HOUR(TRANSACTIONS!$A2697),MINUTE(TRANSACTIONS!$A2697),SECOND(TRANSACTIONS!$A2697)),"")</f>
        <v>0.47653935185185187</v>
      </c>
      <c r="D2697" s="82" t="s">
        <v>25</v>
      </c>
      <c r="E2697" s="82" t="s">
        <v>6</v>
      </c>
      <c r="F2697" s="94">
        <v>1500</v>
      </c>
      <c r="G2697" s="46"/>
      <c r="H2697" s="46">
        <f>IFERROR(TRANSACTIONS!$F2697+TRANSACTIONS!$G2697,"")</f>
        <v>1500</v>
      </c>
      <c r="I2697" s="40" t="s">
        <v>41</v>
      </c>
    </row>
    <row r="2698" spans="1:9" x14ac:dyDescent="0.25">
      <c r="A2698" s="41">
        <v>45357.595490624997</v>
      </c>
      <c r="B2698" s="48">
        <f>IF(A2698&lt;&gt;"",DATE(YEAR(TRANSACTIONS!$A2698),MONTH(TRANSACTIONS!$A2698),DAY(TRANSACTIONS!$A2698)),"")</f>
        <v>45357</v>
      </c>
      <c r="C2698" s="49">
        <f>IF(A2698&lt;&gt;"",TIME(HOUR(TRANSACTIONS!$A2698),MINUTE(TRANSACTIONS!$A2698),SECOND(TRANSACTIONS!$A2698)),"")</f>
        <v>0.59548611111111105</v>
      </c>
      <c r="D2698" s="82" t="s">
        <v>25</v>
      </c>
      <c r="E2698" s="82" t="s">
        <v>6</v>
      </c>
      <c r="F2698" s="94">
        <v>100000</v>
      </c>
      <c r="G2698" s="46"/>
      <c r="H2698" s="46">
        <f>IFERROR(TRANSACTIONS!$F2698+TRANSACTIONS!$G2698,"")</f>
        <v>100000</v>
      </c>
      <c r="I2698" s="40" t="s">
        <v>41</v>
      </c>
    </row>
    <row r="2699" spans="1:9" x14ac:dyDescent="0.25">
      <c r="A2699" s="41">
        <v>45357.595494212961</v>
      </c>
      <c r="B2699" s="48">
        <f>IF(A2699&lt;&gt;"",DATE(YEAR(TRANSACTIONS!$A2699),MONTH(TRANSACTIONS!$A2699),DAY(TRANSACTIONS!$A2699)),"")</f>
        <v>45357</v>
      </c>
      <c r="C2699" s="49">
        <f>IF(A2699&lt;&gt;"",TIME(HOUR(TRANSACTIONS!$A2699),MINUTE(TRANSACTIONS!$A2699),SECOND(TRANSACTIONS!$A2699)),"")</f>
        <v>0.5954976851851852</v>
      </c>
      <c r="D2699" s="82" t="s">
        <v>25</v>
      </c>
      <c r="E2699" s="82" t="s">
        <v>6</v>
      </c>
      <c r="F2699" s="94">
        <v>2200</v>
      </c>
      <c r="G2699" s="46"/>
      <c r="H2699" s="46">
        <f>IFERROR(TRANSACTIONS!$F2699+TRANSACTIONS!$G2699,"")</f>
        <v>2200</v>
      </c>
      <c r="I2699" s="40" t="s">
        <v>41</v>
      </c>
    </row>
    <row r="2700" spans="1:9" x14ac:dyDescent="0.25">
      <c r="A2700" s="41">
        <v>45357.595531828701</v>
      </c>
      <c r="B2700" s="48">
        <f>IF(A2700&lt;&gt;"",DATE(YEAR(TRANSACTIONS!$A2700),MONTH(TRANSACTIONS!$A2700),DAY(TRANSACTIONS!$A2700)),"")</f>
        <v>45357</v>
      </c>
      <c r="C2700" s="49">
        <f>IF(A2700&lt;&gt;"",TIME(HOUR(TRANSACTIONS!$A2700),MINUTE(TRANSACTIONS!$A2700),SECOND(TRANSACTIONS!$A2700)),"")</f>
        <v>0.59553240740740743</v>
      </c>
      <c r="D2700" s="82" t="s">
        <v>25</v>
      </c>
      <c r="E2700" s="82" t="s">
        <v>6</v>
      </c>
      <c r="F2700" s="94">
        <v>700</v>
      </c>
      <c r="G2700" s="46"/>
      <c r="H2700" s="46">
        <f>IFERROR(TRANSACTIONS!$F2700+TRANSACTIONS!$G2700,"")</f>
        <v>700</v>
      </c>
      <c r="I2700" s="40" t="s">
        <v>41</v>
      </c>
    </row>
    <row r="2701" spans="1:9" x14ac:dyDescent="0.25">
      <c r="A2701" s="41">
        <v>45357.595539699076</v>
      </c>
      <c r="B2701" s="48">
        <f>IF(A2701&lt;&gt;"",DATE(YEAR(TRANSACTIONS!$A2701),MONTH(TRANSACTIONS!$A2701),DAY(TRANSACTIONS!$A2701)),"")</f>
        <v>45357</v>
      </c>
      <c r="C2701" s="49">
        <f>IF(A2701&lt;&gt;"",TIME(HOUR(TRANSACTIONS!$A2701),MINUTE(TRANSACTIONS!$A2701),SECOND(TRANSACTIONS!$A2701)),"")</f>
        <v>0.59554398148148147</v>
      </c>
      <c r="D2701" s="82" t="s">
        <v>62</v>
      </c>
      <c r="E2701" s="82" t="s">
        <v>7</v>
      </c>
      <c r="F2701" s="94">
        <v>350000</v>
      </c>
      <c r="G2701" s="46"/>
      <c r="H2701" s="46">
        <f>IFERROR(TRANSACTIONS!$F2701+TRANSACTIONS!$G2701,"")</f>
        <v>350000</v>
      </c>
      <c r="I2701" s="40" t="s">
        <v>41</v>
      </c>
    </row>
    <row r="2702" spans="1:9" x14ac:dyDescent="0.25">
      <c r="A2702" s="41">
        <v>45357.595560879628</v>
      </c>
      <c r="B2702" s="48">
        <f>IF(A2702&lt;&gt;"",DATE(YEAR(TRANSACTIONS!$A2702),MONTH(TRANSACTIONS!$A2702),DAY(TRANSACTIONS!$A2702)),"")</f>
        <v>45357</v>
      </c>
      <c r="C2702" s="49">
        <f>IF(A2702&lt;&gt;"",TIME(HOUR(TRANSACTIONS!$A2702),MINUTE(TRANSACTIONS!$A2702),SECOND(TRANSACTIONS!$A2702)),"")</f>
        <v>0.5955555555555555</v>
      </c>
      <c r="D2702" s="82" t="s">
        <v>62</v>
      </c>
      <c r="E2702" s="82" t="s">
        <v>6</v>
      </c>
      <c r="F2702" s="94">
        <v>5000</v>
      </c>
      <c r="G2702" s="46"/>
      <c r="H2702" s="46">
        <f>IFERROR(TRANSACTIONS!$F2702+TRANSACTIONS!$G2702,"")</f>
        <v>5000</v>
      </c>
      <c r="I2702" s="40" t="s">
        <v>41</v>
      </c>
    </row>
    <row r="2703" spans="1:9" x14ac:dyDescent="0.25">
      <c r="A2703" s="41">
        <v>45357.595570370373</v>
      </c>
      <c r="B2703" s="48">
        <f>IF(A2703&lt;&gt;"",DATE(YEAR(TRANSACTIONS!$A2703),MONTH(TRANSACTIONS!$A2703),DAY(TRANSACTIONS!$A2703)),"")</f>
        <v>45357</v>
      </c>
      <c r="C2703" s="49">
        <f>IF(A2703&lt;&gt;"",TIME(HOUR(TRANSACTIONS!$A2703),MINUTE(TRANSACTIONS!$A2703),SECOND(TRANSACTIONS!$A2703)),"")</f>
        <v>0.59556712962962965</v>
      </c>
      <c r="D2703" s="82" t="s">
        <v>62</v>
      </c>
      <c r="E2703" s="82" t="s">
        <v>7</v>
      </c>
      <c r="F2703" s="94">
        <v>1500</v>
      </c>
      <c r="G2703" s="46"/>
      <c r="H2703" s="46">
        <f>IFERROR(TRANSACTIONS!$F2703+TRANSACTIONS!$G2703,"")</f>
        <v>1500</v>
      </c>
      <c r="I2703" s="40" t="s">
        <v>41</v>
      </c>
    </row>
    <row r="2704" spans="1:9" x14ac:dyDescent="0.25">
      <c r="A2704" s="41">
        <v>45357.595578009263</v>
      </c>
      <c r="B2704" s="48">
        <f>IF(A2704&lt;&gt;"",DATE(YEAR(TRANSACTIONS!$A2704),MONTH(TRANSACTIONS!$A2704),DAY(TRANSACTIONS!$A2704)),"")</f>
        <v>45357</v>
      </c>
      <c r="C2704" s="49">
        <f>IF(A2704&lt;&gt;"",TIME(HOUR(TRANSACTIONS!$A2704),MINUTE(TRANSACTIONS!$A2704),SECOND(TRANSACTIONS!$A2704)),"")</f>
        <v>0.59557870370370369</v>
      </c>
      <c r="D2704" s="82" t="s">
        <v>62</v>
      </c>
      <c r="E2704" s="82" t="s">
        <v>6</v>
      </c>
      <c r="F2704" s="94">
        <v>10000</v>
      </c>
      <c r="G2704" s="46"/>
      <c r="H2704" s="46">
        <f>IFERROR(TRANSACTIONS!$F2704+TRANSACTIONS!$G2704,"")</f>
        <v>10000</v>
      </c>
      <c r="I2704" s="40" t="s">
        <v>41</v>
      </c>
    </row>
    <row r="2705" spans="1:9" x14ac:dyDescent="0.25">
      <c r="A2705" s="41">
        <v>45357.595585763891</v>
      </c>
      <c r="B2705" s="48">
        <f>IF(A2705&lt;&gt;"",DATE(YEAR(TRANSACTIONS!$A2705),MONTH(TRANSACTIONS!$A2705),DAY(TRANSACTIONS!$A2705)),"")</f>
        <v>45357</v>
      </c>
      <c r="C2705" s="49">
        <f>IF(A2705&lt;&gt;"",TIME(HOUR(TRANSACTIONS!$A2705),MINUTE(TRANSACTIONS!$A2705),SECOND(TRANSACTIONS!$A2705)),"")</f>
        <v>0.59559027777777784</v>
      </c>
      <c r="D2705" s="82" t="s">
        <v>62</v>
      </c>
      <c r="E2705" s="82" t="s">
        <v>6</v>
      </c>
      <c r="F2705" s="94">
        <v>5000</v>
      </c>
      <c r="G2705" s="46"/>
      <c r="H2705" s="46">
        <f>IFERROR(TRANSACTIONS!$F2705+TRANSACTIONS!$G2705,"")</f>
        <v>5000</v>
      </c>
      <c r="I2705" s="40" t="s">
        <v>41</v>
      </c>
    </row>
    <row r="2706" spans="1:9" x14ac:dyDescent="0.25">
      <c r="A2706" s="41">
        <v>45357.597708796297</v>
      </c>
      <c r="B2706" s="48">
        <f>IF(A2706&lt;&gt;"",DATE(YEAR(TRANSACTIONS!$A2706),MONTH(TRANSACTIONS!$A2706),DAY(TRANSACTIONS!$A2706)),"")</f>
        <v>45357</v>
      </c>
      <c r="C2706" s="49">
        <f>IF(A2706&lt;&gt;"",TIME(HOUR(TRANSACTIONS!$A2706),MINUTE(TRANSACTIONS!$A2706),SECOND(TRANSACTIONS!$A2706)),"")</f>
        <v>0.5977083333333334</v>
      </c>
      <c r="D2706" s="82" t="s">
        <v>62</v>
      </c>
      <c r="E2706" s="82" t="s">
        <v>7</v>
      </c>
      <c r="F2706" s="94">
        <v>26000</v>
      </c>
      <c r="G2706" s="46"/>
      <c r="H2706" s="46">
        <f>IFERROR(TRANSACTIONS!$F2706+TRANSACTIONS!$G2706,"")</f>
        <v>26000</v>
      </c>
      <c r="I2706" s="40" t="s">
        <v>41</v>
      </c>
    </row>
    <row r="2707" spans="1:9" x14ac:dyDescent="0.25">
      <c r="A2707" s="41">
        <v>45357.597712615738</v>
      </c>
      <c r="B2707" s="48">
        <f>IF(A2707&lt;&gt;"",DATE(YEAR(TRANSACTIONS!$A2707),MONTH(TRANSACTIONS!$A2707),DAY(TRANSACTIONS!$A2707)),"")</f>
        <v>45357</v>
      </c>
      <c r="C2707" s="49">
        <f>IF(A2707&lt;&gt;"",TIME(HOUR(TRANSACTIONS!$A2707),MINUTE(TRANSACTIONS!$A2707),SECOND(TRANSACTIONS!$A2707)),"")</f>
        <v>0.5977083333333334</v>
      </c>
      <c r="D2707" s="82" t="s">
        <v>62</v>
      </c>
      <c r="E2707" s="82" t="s">
        <v>6</v>
      </c>
      <c r="F2707" s="94">
        <v>5500</v>
      </c>
      <c r="G2707" s="46"/>
      <c r="H2707" s="46">
        <f>IFERROR(TRANSACTIONS!$F2707+TRANSACTIONS!$G2707,"")</f>
        <v>5500</v>
      </c>
      <c r="I2707" s="40" t="s">
        <v>41</v>
      </c>
    </row>
    <row r="2708" spans="1:9" x14ac:dyDescent="0.25">
      <c r="A2708" s="41">
        <v>45357.597752199072</v>
      </c>
      <c r="B2708" s="48">
        <f>IF(A2708&lt;&gt;"",DATE(YEAR(TRANSACTIONS!$A2708),MONTH(TRANSACTIONS!$A2708),DAY(TRANSACTIONS!$A2708)),"")</f>
        <v>45357</v>
      </c>
      <c r="C2708" s="49">
        <f>IF(A2708&lt;&gt;"",TIME(HOUR(TRANSACTIONS!$A2708),MINUTE(TRANSACTIONS!$A2708),SECOND(TRANSACTIONS!$A2708)),"")</f>
        <v>0.59775462962962966</v>
      </c>
      <c r="D2708" s="82" t="s">
        <v>62</v>
      </c>
      <c r="E2708" s="82" t="s">
        <v>7</v>
      </c>
      <c r="F2708" s="94">
        <v>1200</v>
      </c>
      <c r="G2708" s="46"/>
      <c r="H2708" s="46">
        <f>IFERROR(TRANSACTIONS!$F2708+TRANSACTIONS!$G2708,"")</f>
        <v>1200</v>
      </c>
      <c r="I2708" s="40" t="s">
        <v>41</v>
      </c>
    </row>
    <row r="2709" spans="1:9" x14ac:dyDescent="0.25">
      <c r="A2709" s="41">
        <v>45357.597761226854</v>
      </c>
      <c r="B2709" s="48">
        <f>IF(A2709&lt;&gt;"",DATE(YEAR(TRANSACTIONS!$A2709),MONTH(TRANSACTIONS!$A2709),DAY(TRANSACTIONS!$A2709)),"")</f>
        <v>45357</v>
      </c>
      <c r="C2709" s="49">
        <f>IF(A2709&lt;&gt;"",TIME(HOUR(TRANSACTIONS!$A2709),MINUTE(TRANSACTIONS!$A2709),SECOND(TRANSACTIONS!$A2709)),"")</f>
        <v>0.5977662037037037</v>
      </c>
      <c r="D2709" s="82" t="s">
        <v>62</v>
      </c>
      <c r="E2709" s="82" t="s">
        <v>7</v>
      </c>
      <c r="F2709" s="94">
        <v>500</v>
      </c>
      <c r="G2709" s="46"/>
      <c r="H2709" s="46">
        <f>IFERROR(TRANSACTIONS!$F2709+TRANSACTIONS!$G2709,"")</f>
        <v>500</v>
      </c>
      <c r="I2709" s="40" t="s">
        <v>75</v>
      </c>
    </row>
    <row r="2710" spans="1:9" x14ac:dyDescent="0.25">
      <c r="A2710" s="41">
        <v>45357.597769097221</v>
      </c>
      <c r="B2710" s="48">
        <f>IF(A2710&lt;&gt;"",DATE(YEAR(TRANSACTIONS!$A2710),MONTH(TRANSACTIONS!$A2710),DAY(TRANSACTIONS!$A2710)),"")</f>
        <v>45357</v>
      </c>
      <c r="C2710" s="49">
        <f>IF(A2710&lt;&gt;"",TIME(HOUR(TRANSACTIONS!$A2710),MINUTE(TRANSACTIONS!$A2710),SECOND(TRANSACTIONS!$A2710)),"")</f>
        <v>0.5977662037037037</v>
      </c>
      <c r="D2710" s="82" t="s">
        <v>62</v>
      </c>
      <c r="E2710" s="82" t="s">
        <v>7</v>
      </c>
      <c r="F2710" s="94">
        <v>5000</v>
      </c>
      <c r="G2710" s="46"/>
      <c r="H2710" s="46">
        <f>IFERROR(TRANSACTIONS!$F2710+TRANSACTIONS!$G2710,"")</f>
        <v>5000</v>
      </c>
      <c r="I2710" s="40" t="s">
        <v>41</v>
      </c>
    </row>
    <row r="2711" spans="1:9" x14ac:dyDescent="0.25">
      <c r="A2711" s="41">
        <v>45357.597778240743</v>
      </c>
      <c r="B2711" s="48">
        <f>IF(A2711&lt;&gt;"",DATE(YEAR(TRANSACTIONS!$A2711),MONTH(TRANSACTIONS!$A2711),DAY(TRANSACTIONS!$A2711)),"")</f>
        <v>45357</v>
      </c>
      <c r="C2711" s="49">
        <f>IF(A2711&lt;&gt;"",TIME(HOUR(TRANSACTIONS!$A2711),MINUTE(TRANSACTIONS!$A2711),SECOND(TRANSACTIONS!$A2711)),"")</f>
        <v>0.59777777777777785</v>
      </c>
      <c r="D2711" s="82" t="s">
        <v>62</v>
      </c>
      <c r="E2711" s="82" t="s">
        <v>6</v>
      </c>
      <c r="F2711" s="94">
        <v>10000</v>
      </c>
      <c r="G2711" s="46"/>
      <c r="H2711" s="46">
        <f>IFERROR(TRANSACTIONS!$F2711+TRANSACTIONS!$G2711,"")</f>
        <v>10000</v>
      </c>
      <c r="I2711" s="40" t="s">
        <v>41</v>
      </c>
    </row>
    <row r="2712" spans="1:9" x14ac:dyDescent="0.25">
      <c r="A2712" s="41">
        <v>45357.597786921295</v>
      </c>
      <c r="B2712" s="48">
        <f>IF(A2712&lt;&gt;"",DATE(YEAR(TRANSACTIONS!$A2712),MONTH(TRANSACTIONS!$A2712),DAY(TRANSACTIONS!$A2712)),"")</f>
        <v>45357</v>
      </c>
      <c r="C2712" s="49">
        <f>IF(A2712&lt;&gt;"",TIME(HOUR(TRANSACTIONS!$A2712),MINUTE(TRANSACTIONS!$A2712),SECOND(TRANSACTIONS!$A2712)),"")</f>
        <v>0.59778935185185189</v>
      </c>
      <c r="D2712" s="82" t="s">
        <v>62</v>
      </c>
      <c r="E2712" s="82" t="s">
        <v>7</v>
      </c>
      <c r="F2712" s="94">
        <v>5000</v>
      </c>
      <c r="G2712" s="46"/>
      <c r="H2712" s="46">
        <f>IFERROR(TRANSACTIONS!$F2712+TRANSACTIONS!$G2712,"")</f>
        <v>5000</v>
      </c>
      <c r="I2712" s="40" t="s">
        <v>41</v>
      </c>
    </row>
    <row r="2713" spans="1:9" x14ac:dyDescent="0.25">
      <c r="A2713" s="41">
        <v>45357.597794560184</v>
      </c>
      <c r="B2713" s="48">
        <f>IF(A2713&lt;&gt;"",DATE(YEAR(TRANSACTIONS!$A2713),MONTH(TRANSACTIONS!$A2713),DAY(TRANSACTIONS!$A2713)),"")</f>
        <v>45357</v>
      </c>
      <c r="C2713" s="49">
        <f>IF(A2713&lt;&gt;"",TIME(HOUR(TRANSACTIONS!$A2713),MINUTE(TRANSACTIONS!$A2713),SECOND(TRANSACTIONS!$A2713)),"")</f>
        <v>0.59778935185185189</v>
      </c>
      <c r="D2713" s="82" t="s">
        <v>62</v>
      </c>
      <c r="E2713" s="82" t="s">
        <v>7</v>
      </c>
      <c r="F2713" s="94">
        <v>10000</v>
      </c>
      <c r="G2713" s="46"/>
      <c r="H2713" s="46">
        <f>IFERROR(TRANSACTIONS!$F2713+TRANSACTIONS!$G2713,"")</f>
        <v>10000</v>
      </c>
      <c r="I2713" s="40" t="s">
        <v>41</v>
      </c>
    </row>
    <row r="2714" spans="1:9" x14ac:dyDescent="0.25">
      <c r="A2714" s="41">
        <v>45357.597802199074</v>
      </c>
      <c r="B2714" s="48">
        <f>IF(A2714&lt;&gt;"",DATE(YEAR(TRANSACTIONS!$A2714),MONTH(TRANSACTIONS!$A2714),DAY(TRANSACTIONS!$A2714)),"")</f>
        <v>45357</v>
      </c>
      <c r="C2714" s="49">
        <f>IF(A2714&lt;&gt;"",TIME(HOUR(TRANSACTIONS!$A2714),MINUTE(TRANSACTIONS!$A2714),SECOND(TRANSACTIONS!$A2714)),"")</f>
        <v>0.59780092592592593</v>
      </c>
      <c r="D2714" s="82" t="s">
        <v>62</v>
      </c>
      <c r="E2714" s="82" t="s">
        <v>7</v>
      </c>
      <c r="F2714" s="94">
        <v>1000</v>
      </c>
      <c r="G2714" s="46"/>
      <c r="H2714" s="46">
        <f>IFERROR(TRANSACTIONS!$F2714+TRANSACTIONS!$G2714,"")</f>
        <v>1000</v>
      </c>
      <c r="I2714" s="40" t="s">
        <v>41</v>
      </c>
    </row>
    <row r="2715" spans="1:9" x14ac:dyDescent="0.25">
      <c r="A2715" s="113">
        <v>45357.597809953702</v>
      </c>
      <c r="B2715" s="114">
        <f>IF(A2715&lt;&gt;"",DATE(YEAR(TRANSACTIONS!$A2715),MONTH(TRANSACTIONS!$A2715),DAY(TRANSACTIONS!$A2715)),"")</f>
        <v>45357</v>
      </c>
      <c r="C2715" s="115">
        <f>IF(A2715&lt;&gt;"",TIME(HOUR(TRANSACTIONS!$A2715),MINUTE(TRANSACTIONS!$A2715),SECOND(TRANSACTIONS!$A2715)),"")</f>
        <v>0.59781249999999997</v>
      </c>
      <c r="D2715" s="82" t="s">
        <v>62</v>
      </c>
      <c r="E2715" s="82" t="s">
        <v>7</v>
      </c>
      <c r="F2715" s="94">
        <v>500</v>
      </c>
      <c r="G2715" s="117"/>
      <c r="H2715" s="117">
        <f>IFERROR(TRANSACTIONS!$F2715+TRANSACTIONS!$G2715,"")</f>
        <v>500</v>
      </c>
      <c r="I2715" s="118" t="s">
        <v>41</v>
      </c>
    </row>
    <row r="2716" spans="1:9" x14ac:dyDescent="0.25">
      <c r="A2716" s="41">
        <v>45357.597817708331</v>
      </c>
      <c r="B2716" s="48">
        <f>IF(A2716&lt;&gt;"",DATE(YEAR(TRANSACTIONS!$A2716),MONTH(TRANSACTIONS!$A2716),DAY(TRANSACTIONS!$A2716)),"")</f>
        <v>45357</v>
      </c>
      <c r="C2716" s="49">
        <f>IF(A2716&lt;&gt;"",TIME(HOUR(TRANSACTIONS!$A2716),MINUTE(TRANSACTIONS!$A2716),SECOND(TRANSACTIONS!$A2716)),"")</f>
        <v>0.59781249999999997</v>
      </c>
      <c r="D2716" s="82" t="s">
        <v>62</v>
      </c>
      <c r="E2716" s="82" t="s">
        <v>6</v>
      </c>
      <c r="F2716" s="94">
        <v>12000</v>
      </c>
      <c r="G2716" s="46"/>
      <c r="H2716" s="46">
        <f>IFERROR(TRANSACTIONS!$F2716+TRANSACTIONS!$G2716,"")</f>
        <v>12000</v>
      </c>
      <c r="I2716" s="40" t="s">
        <v>41</v>
      </c>
    </row>
    <row r="2717" spans="1:9" x14ac:dyDescent="0.25">
      <c r="A2717" s="41">
        <v>45357.597825115743</v>
      </c>
      <c r="B2717" s="48">
        <f>IF(A2717&lt;&gt;"",DATE(YEAR(TRANSACTIONS!$A2717),MONTH(TRANSACTIONS!$A2717),DAY(TRANSACTIONS!$A2717)),"")</f>
        <v>45357</v>
      </c>
      <c r="C2717" s="49">
        <f>IF(A2717&lt;&gt;"",TIME(HOUR(TRANSACTIONS!$A2717),MINUTE(TRANSACTIONS!$A2717),SECOND(TRANSACTIONS!$A2717)),"")</f>
        <v>0.59782407407407401</v>
      </c>
      <c r="D2717" s="82" t="s">
        <v>62</v>
      </c>
      <c r="E2717" s="82" t="s">
        <v>6</v>
      </c>
      <c r="F2717" s="94">
        <v>5000</v>
      </c>
      <c r="G2717" s="46"/>
      <c r="H2717" s="46">
        <f>IFERROR(TRANSACTIONS!$F2717+TRANSACTIONS!$G2717,"")</f>
        <v>5000</v>
      </c>
      <c r="I2717" s="40" t="s">
        <v>41</v>
      </c>
    </row>
    <row r="2718" spans="1:9" x14ac:dyDescent="0.25">
      <c r="A2718" s="41">
        <v>45357.597842939816</v>
      </c>
      <c r="B2718" s="48">
        <f>IF(A2718&lt;&gt;"",DATE(YEAR(TRANSACTIONS!$A2718),MONTH(TRANSACTIONS!$A2718),DAY(TRANSACTIONS!$A2718)),"")</f>
        <v>45357</v>
      </c>
      <c r="C2718" s="49">
        <f>IF(A2718&lt;&gt;"",TIME(HOUR(TRANSACTIONS!$A2718),MINUTE(TRANSACTIONS!$A2718),SECOND(TRANSACTIONS!$A2718)),"")</f>
        <v>0.5978472222222222</v>
      </c>
      <c r="D2718" s="82" t="s">
        <v>62</v>
      </c>
      <c r="E2718" s="82" t="s">
        <v>7</v>
      </c>
      <c r="F2718" s="94">
        <v>10000</v>
      </c>
      <c r="G2718" s="46"/>
      <c r="H2718" s="46">
        <f>IFERROR(TRANSACTIONS!$F2718+TRANSACTIONS!$G2718,"")</f>
        <v>10000</v>
      </c>
      <c r="I2718" s="40" t="s">
        <v>41</v>
      </c>
    </row>
    <row r="2719" spans="1:9" x14ac:dyDescent="0.25">
      <c r="A2719" s="41">
        <v>45357.599048611111</v>
      </c>
      <c r="B2719" s="48">
        <f>IF(A2719&lt;&gt;"",DATE(YEAR(TRANSACTIONS!$A2719),MONTH(TRANSACTIONS!$A2719),DAY(TRANSACTIONS!$A2719)),"")</f>
        <v>45357</v>
      </c>
      <c r="C2719" s="49">
        <f>IF(A2719&lt;&gt;"",TIME(HOUR(TRANSACTIONS!$A2719),MINUTE(TRANSACTIONS!$A2719),SECOND(TRANSACTIONS!$A2719)),"")</f>
        <v>0.5990509259259259</v>
      </c>
      <c r="D2719" s="82" t="s">
        <v>62</v>
      </c>
      <c r="E2719" s="82" t="s">
        <v>7</v>
      </c>
      <c r="F2719" s="94">
        <v>1500</v>
      </c>
      <c r="G2719" s="46"/>
      <c r="H2719" s="46">
        <f>IFERROR(TRANSACTIONS!$F2719+TRANSACTIONS!$G2719,"")</f>
        <v>1500</v>
      </c>
      <c r="I2719" s="40" t="s">
        <v>41</v>
      </c>
    </row>
    <row r="2720" spans="1:9" x14ac:dyDescent="0.25">
      <c r="A2720" s="41">
        <v>45357.599066435185</v>
      </c>
      <c r="B2720" s="48">
        <f>IF(A2720&lt;&gt;"",DATE(YEAR(TRANSACTIONS!$A2720),MONTH(TRANSACTIONS!$A2720),DAY(TRANSACTIONS!$A2720)),"")</f>
        <v>45357</v>
      </c>
      <c r="C2720" s="49">
        <f>IF(A2720&lt;&gt;"",TIME(HOUR(TRANSACTIONS!$A2720),MINUTE(TRANSACTIONS!$A2720),SECOND(TRANSACTIONS!$A2720)),"")</f>
        <v>0.59906249999999994</v>
      </c>
      <c r="D2720" s="82" t="s">
        <v>62</v>
      </c>
      <c r="E2720" s="82" t="s">
        <v>6</v>
      </c>
      <c r="F2720" s="94">
        <v>4000</v>
      </c>
      <c r="G2720" s="46"/>
      <c r="H2720" s="46">
        <f>IFERROR(TRANSACTIONS!$F2720+TRANSACTIONS!$G2720,"")</f>
        <v>4000</v>
      </c>
      <c r="I2720" s="40" t="s">
        <v>41</v>
      </c>
    </row>
    <row r="2721" spans="1:10" x14ac:dyDescent="0.25">
      <c r="A2721" s="41">
        <v>45357.599076157407</v>
      </c>
      <c r="B2721" s="48">
        <f>IF(A2721&lt;&gt;"",DATE(YEAR(TRANSACTIONS!$A2721),MONTH(TRANSACTIONS!$A2721),DAY(TRANSACTIONS!$A2721)),"")</f>
        <v>45357</v>
      </c>
      <c r="C2721" s="49">
        <f>IF(A2721&lt;&gt;"",TIME(HOUR(TRANSACTIONS!$A2721),MINUTE(TRANSACTIONS!$A2721),SECOND(TRANSACTIONS!$A2721)),"")</f>
        <v>0.59907407407407409</v>
      </c>
      <c r="D2721" s="82" t="s">
        <v>62</v>
      </c>
      <c r="E2721" s="82" t="s">
        <v>7</v>
      </c>
      <c r="F2721" s="94">
        <v>2000</v>
      </c>
      <c r="G2721" s="46"/>
      <c r="H2721" s="46">
        <f>IFERROR(TRANSACTIONS!$F2721+TRANSACTIONS!$G2721,"")</f>
        <v>2000</v>
      </c>
      <c r="I2721" s="40" t="s">
        <v>41</v>
      </c>
    </row>
    <row r="2722" spans="1:10" x14ac:dyDescent="0.25">
      <c r="A2722" s="41">
        <v>45357.599110648145</v>
      </c>
      <c r="B2722" s="48">
        <f>IF(A2722&lt;&gt;"",DATE(YEAR(TRANSACTIONS!$A2722),MONTH(TRANSACTIONS!$A2722),DAY(TRANSACTIONS!$A2722)),"")</f>
        <v>45357</v>
      </c>
      <c r="C2722" s="49">
        <f>IF(A2722&lt;&gt;"",TIME(HOUR(TRANSACTIONS!$A2722),MINUTE(TRANSACTIONS!$A2722),SECOND(TRANSACTIONS!$A2722)),"")</f>
        <v>0.59910879629629632</v>
      </c>
      <c r="D2722" s="82" t="s">
        <v>62</v>
      </c>
      <c r="E2722" s="82" t="s">
        <v>7</v>
      </c>
      <c r="F2722" s="94">
        <v>1000</v>
      </c>
      <c r="G2722" s="46"/>
      <c r="H2722" s="46">
        <f>IFERROR(TRANSACTIONS!$F2722+TRANSACTIONS!$G2722,"")</f>
        <v>1000</v>
      </c>
      <c r="I2722" s="40" t="s">
        <v>41</v>
      </c>
    </row>
    <row r="2723" spans="1:10" x14ac:dyDescent="0.25">
      <c r="A2723" s="113">
        <v>45357.607032523149</v>
      </c>
      <c r="B2723" s="114">
        <f>IF(A2723&lt;&gt;"",DATE(YEAR(TRANSACTIONS!$A2723),MONTH(TRANSACTIONS!$A2723),DAY(TRANSACTIONS!$A2723)),"")</f>
        <v>45357</v>
      </c>
      <c r="C2723" s="115">
        <f>IF(A2723&lt;&gt;"",TIME(HOUR(TRANSACTIONS!$A2723),MINUTE(TRANSACTIONS!$A2723),SECOND(TRANSACTIONS!$A2723)),"")</f>
        <v>0.60703703703703704</v>
      </c>
      <c r="D2723" s="116" t="s">
        <v>62</v>
      </c>
      <c r="E2723" s="116" t="s">
        <v>7</v>
      </c>
      <c r="F2723" s="185">
        <v>3000</v>
      </c>
      <c r="G2723" s="117"/>
      <c r="H2723" s="117">
        <f>IFERROR(TRANSACTIONS!$F2723+TRANSACTIONS!$G2723,"")</f>
        <v>3000</v>
      </c>
      <c r="I2723" s="118" t="s">
        <v>41</v>
      </c>
      <c r="J2723" s="118"/>
    </row>
    <row r="2724" spans="1:10" x14ac:dyDescent="0.25">
      <c r="A2724" s="41">
        <v>45357.817956481478</v>
      </c>
      <c r="B2724" s="48">
        <f>IF(A2724&lt;&gt;"",DATE(YEAR(TRANSACTIONS!$A2724),MONTH(TRANSACTIONS!$A2724),DAY(TRANSACTIONS!$A2724)),"")</f>
        <v>45357</v>
      </c>
      <c r="C2724" s="49">
        <f>IF(A2724&lt;&gt;"",TIME(HOUR(TRANSACTIONS!$A2724),MINUTE(TRANSACTIONS!$A2724),SECOND(TRANSACTIONS!$A2724)),"")</f>
        <v>0.81795138888888896</v>
      </c>
      <c r="D2724" s="82" t="s">
        <v>62</v>
      </c>
      <c r="E2724" s="82" t="s">
        <v>6</v>
      </c>
      <c r="F2724" s="94">
        <v>5000</v>
      </c>
      <c r="G2724" s="46"/>
      <c r="H2724" s="46">
        <f>IFERROR(TRANSACTIONS!$F2724+TRANSACTIONS!$G2724,"")</f>
        <v>5000</v>
      </c>
      <c r="I2724" s="40" t="s">
        <v>41</v>
      </c>
    </row>
    <row r="2725" spans="1:10" x14ac:dyDescent="0.25">
      <c r="A2725" s="41">
        <v>45357.817970601849</v>
      </c>
      <c r="B2725" s="48">
        <f>IF(A2725&lt;&gt;"",DATE(YEAR(TRANSACTIONS!$A2725),MONTH(TRANSACTIONS!$A2725),DAY(TRANSACTIONS!$A2725)),"")</f>
        <v>45357</v>
      </c>
      <c r="C2725" s="49">
        <f>IF(A2725&lt;&gt;"",TIME(HOUR(TRANSACTIONS!$A2725),MINUTE(TRANSACTIONS!$A2725),SECOND(TRANSACTIONS!$A2725)),"")</f>
        <v>0.81797453703703704</v>
      </c>
      <c r="D2725" s="82" t="s">
        <v>62</v>
      </c>
      <c r="E2725" s="82" t="s">
        <v>6</v>
      </c>
      <c r="F2725" s="94">
        <v>1500</v>
      </c>
      <c r="G2725" s="46"/>
      <c r="H2725" s="46">
        <f>IFERROR(TRANSACTIONS!$F2725+TRANSACTIONS!$G2725,"")</f>
        <v>1500</v>
      </c>
      <c r="I2725" s="40" t="s">
        <v>41</v>
      </c>
    </row>
    <row r="2726" spans="1:10" x14ac:dyDescent="0.25">
      <c r="A2726" s="41">
        <v>45357.817981018517</v>
      </c>
      <c r="B2726" s="48">
        <f>IF(A2726&lt;&gt;"",DATE(YEAR(TRANSACTIONS!$A2726),MONTH(TRANSACTIONS!$A2726),DAY(TRANSACTIONS!$A2726)),"")</f>
        <v>45357</v>
      </c>
      <c r="C2726" s="49">
        <f>IF(A2726&lt;&gt;"",TIME(HOUR(TRANSACTIONS!$A2726),MINUTE(TRANSACTIONS!$A2726),SECOND(TRANSACTIONS!$A2726)),"")</f>
        <v>0.81798611111111119</v>
      </c>
      <c r="D2726" s="82" t="s">
        <v>62</v>
      </c>
      <c r="E2726" s="82" t="s">
        <v>7</v>
      </c>
      <c r="F2726" s="94">
        <v>2000</v>
      </c>
      <c r="G2726" s="46"/>
      <c r="H2726" s="46">
        <f>IFERROR(TRANSACTIONS!$F2726+TRANSACTIONS!$G2726,"")</f>
        <v>2000</v>
      </c>
      <c r="I2726" s="40" t="s">
        <v>41</v>
      </c>
    </row>
    <row r="2727" spans="1:10" x14ac:dyDescent="0.25">
      <c r="A2727" s="41">
        <v>45357.817989236108</v>
      </c>
      <c r="B2727" s="48">
        <f>IF(A2727&lt;&gt;"",DATE(YEAR(TRANSACTIONS!$A2727),MONTH(TRANSACTIONS!$A2727),DAY(TRANSACTIONS!$A2727)),"")</f>
        <v>45357</v>
      </c>
      <c r="C2727" s="49">
        <f>IF(A2727&lt;&gt;"",TIME(HOUR(TRANSACTIONS!$A2727),MINUTE(TRANSACTIONS!$A2727),SECOND(TRANSACTIONS!$A2727)),"")</f>
        <v>0.81798611111111119</v>
      </c>
      <c r="D2727" s="82" t="s">
        <v>62</v>
      </c>
      <c r="E2727" s="82" t="s">
        <v>7</v>
      </c>
      <c r="F2727" s="94">
        <v>10000</v>
      </c>
      <c r="G2727" s="46"/>
      <c r="H2727" s="46">
        <f>IFERROR(TRANSACTIONS!$F2727+TRANSACTIONS!$G2727,"")</f>
        <v>10000</v>
      </c>
      <c r="I2727" s="40" t="s">
        <v>41</v>
      </c>
    </row>
    <row r="2728" spans="1:10" x14ac:dyDescent="0.25">
      <c r="A2728" s="41">
        <v>45357.817997453705</v>
      </c>
      <c r="B2728" s="48">
        <f>IF(A2728&lt;&gt;"",DATE(YEAR(TRANSACTIONS!$A2728),MONTH(TRANSACTIONS!$A2728),DAY(TRANSACTIONS!$A2728)),"")</f>
        <v>45357</v>
      </c>
      <c r="C2728" s="49">
        <f>IF(A2728&lt;&gt;"",TIME(HOUR(TRANSACTIONS!$A2728),MINUTE(TRANSACTIONS!$A2728),SECOND(TRANSACTIONS!$A2728)),"")</f>
        <v>0.81799768518518512</v>
      </c>
      <c r="D2728" s="82" t="s">
        <v>62</v>
      </c>
      <c r="E2728" s="82" t="s">
        <v>6</v>
      </c>
      <c r="F2728" s="94">
        <v>2000</v>
      </c>
      <c r="G2728" s="46"/>
      <c r="H2728" s="46">
        <f>IFERROR(TRANSACTIONS!$F2728+TRANSACTIONS!$G2728,"")</f>
        <v>2000</v>
      </c>
      <c r="I2728" s="40" t="s">
        <v>41</v>
      </c>
    </row>
    <row r="2729" spans="1:10" x14ac:dyDescent="0.25">
      <c r="A2729" s="41">
        <v>45357.824887847222</v>
      </c>
      <c r="B2729" s="48">
        <f>IF(A2729&lt;&gt;"",DATE(YEAR(TRANSACTIONS!$A2729),MONTH(TRANSACTIONS!$A2729),DAY(TRANSACTIONS!$A2729)),"")</f>
        <v>45357</v>
      </c>
      <c r="C2729" s="49">
        <f>IF(A2729&lt;&gt;"",TIME(HOUR(TRANSACTIONS!$A2729),MINUTE(TRANSACTIONS!$A2729),SECOND(TRANSACTIONS!$A2729)),"")</f>
        <v>0.82488425925925923</v>
      </c>
      <c r="D2729" s="82" t="s">
        <v>62</v>
      </c>
      <c r="E2729" s="82" t="s">
        <v>6</v>
      </c>
      <c r="F2729" s="94">
        <v>20000</v>
      </c>
      <c r="G2729" s="46"/>
      <c r="H2729" s="46">
        <f>IFERROR(TRANSACTIONS!$F2729+TRANSACTIONS!$G2729,"")</f>
        <v>20000</v>
      </c>
      <c r="I2729" s="40" t="s">
        <v>50</v>
      </c>
    </row>
    <row r="2730" spans="1:10" x14ac:dyDescent="0.25">
      <c r="A2730" s="113">
        <v>45357.82494849537</v>
      </c>
      <c r="B2730" s="114">
        <f>IF(A2730&lt;&gt;"",DATE(YEAR(TRANSACTIONS!$A2730),MONTH(TRANSACTIONS!$A2730),DAY(TRANSACTIONS!$A2730)),"")</f>
        <v>45357</v>
      </c>
      <c r="C2730" s="115">
        <f>IF(A2730&lt;&gt;"",TIME(HOUR(TRANSACTIONS!$A2730),MINUTE(TRANSACTIONS!$A2730),SECOND(TRANSACTIONS!$A2730)),"")</f>
        <v>0.82495370370370369</v>
      </c>
      <c r="D2730" s="82" t="s">
        <v>62</v>
      </c>
      <c r="E2730" s="82" t="s">
        <v>7</v>
      </c>
      <c r="F2730" s="94">
        <v>3000</v>
      </c>
      <c r="G2730" s="117"/>
      <c r="H2730" s="117">
        <f>IFERROR(TRANSACTIONS!$F2730+TRANSACTIONS!$G2730,"")</f>
        <v>3000</v>
      </c>
      <c r="I2730" s="118" t="s">
        <v>41</v>
      </c>
    </row>
    <row r="2731" spans="1:10" x14ac:dyDescent="0.25">
      <c r="A2731" s="41">
        <v>45357.824955208336</v>
      </c>
      <c r="B2731" s="48">
        <f>IF(A2731&lt;&gt;"",DATE(YEAR(TRANSACTIONS!$A2731),MONTH(TRANSACTIONS!$A2731),DAY(TRANSACTIONS!$A2731)),"")</f>
        <v>45357</v>
      </c>
      <c r="C2731" s="49">
        <f>IF(A2731&lt;&gt;"",TIME(HOUR(TRANSACTIONS!$A2731),MINUTE(TRANSACTIONS!$A2731),SECOND(TRANSACTIONS!$A2731)),"")</f>
        <v>0.82495370370370369</v>
      </c>
      <c r="D2731" s="82" t="s">
        <v>62</v>
      </c>
      <c r="E2731" s="82" t="s">
        <v>7</v>
      </c>
      <c r="F2731" s="94">
        <v>2000</v>
      </c>
      <c r="G2731" s="46"/>
      <c r="H2731" s="46">
        <f>IFERROR(TRANSACTIONS!$F2731+TRANSACTIONS!$G2731,"")</f>
        <v>2000</v>
      </c>
      <c r="I2731" s="40" t="s">
        <v>41</v>
      </c>
    </row>
    <row r="2732" spans="1:10" x14ac:dyDescent="0.25">
      <c r="A2732" s="41">
        <v>45357.824963310188</v>
      </c>
      <c r="B2732" s="48">
        <f>IF(A2732&lt;&gt;"",DATE(YEAR(TRANSACTIONS!$A2732),MONTH(TRANSACTIONS!$A2732),DAY(TRANSACTIONS!$A2732)),"")</f>
        <v>45357</v>
      </c>
      <c r="C2732" s="49">
        <f>IF(A2732&lt;&gt;"",TIME(HOUR(TRANSACTIONS!$A2732),MINUTE(TRANSACTIONS!$A2732),SECOND(TRANSACTIONS!$A2732)),"")</f>
        <v>0.82496527777777784</v>
      </c>
      <c r="D2732" s="82" t="s">
        <v>62</v>
      </c>
      <c r="E2732" s="82" t="s">
        <v>7</v>
      </c>
      <c r="F2732" s="94">
        <v>20000</v>
      </c>
      <c r="G2732" s="46"/>
      <c r="H2732" s="46">
        <f>IFERROR(TRANSACTIONS!$F2732+TRANSACTIONS!$G2732,"")</f>
        <v>20000</v>
      </c>
      <c r="I2732" s="40" t="s">
        <v>41</v>
      </c>
    </row>
    <row r="2733" spans="1:10" x14ac:dyDescent="0.25">
      <c r="A2733" s="41">
        <v>45357.824971527778</v>
      </c>
      <c r="B2733" s="48">
        <f>IF(A2733&lt;&gt;"",DATE(YEAR(TRANSACTIONS!$A2733),MONTH(TRANSACTIONS!$A2733),DAY(TRANSACTIONS!$A2733)),"")</f>
        <v>45357</v>
      </c>
      <c r="C2733" s="49">
        <f>IF(A2733&lt;&gt;"",TIME(HOUR(TRANSACTIONS!$A2733),MINUTE(TRANSACTIONS!$A2733),SECOND(TRANSACTIONS!$A2733)),"")</f>
        <v>0.82497685185185177</v>
      </c>
      <c r="D2733" s="82" t="s">
        <v>62</v>
      </c>
      <c r="E2733" s="82" t="s">
        <v>7</v>
      </c>
      <c r="F2733" s="94">
        <v>5000</v>
      </c>
      <c r="G2733" s="46"/>
      <c r="H2733" s="46">
        <f>IFERROR(TRANSACTIONS!$F2733+TRANSACTIONS!$G2733,"")</f>
        <v>5000</v>
      </c>
      <c r="I2733" s="40" t="s">
        <v>41</v>
      </c>
    </row>
    <row r="2734" spans="1:10" x14ac:dyDescent="0.25">
      <c r="A2734" s="81">
        <v>45357.824990972222</v>
      </c>
      <c r="B2734" s="83">
        <f>IF(A2734&lt;&gt;"",DATE(YEAR(TRANSACTIONS!$A2734),MONTH(TRANSACTIONS!$A2734),DAY(TRANSACTIONS!$A2734)),"")</f>
        <v>45357</v>
      </c>
      <c r="C2734" s="84">
        <f>IF(A2734&lt;&gt;"",TIME(HOUR(TRANSACTIONS!$A2734),MINUTE(TRANSACTIONS!$A2734),SECOND(TRANSACTIONS!$A2734)),"")</f>
        <v>0.82498842592592592</v>
      </c>
      <c r="D2734" s="82" t="s">
        <v>62</v>
      </c>
      <c r="E2734" s="82" t="s">
        <v>7</v>
      </c>
      <c r="F2734" s="94">
        <v>50000</v>
      </c>
      <c r="G2734" s="86"/>
      <c r="H2734" s="86">
        <f>IFERROR(TRANSACTIONS!$F2734+TRANSACTIONS!$G2734,"")</f>
        <v>50000</v>
      </c>
      <c r="I2734" s="88" t="s">
        <v>41</v>
      </c>
      <c r="J2734" s="88"/>
    </row>
    <row r="2735" spans="1:10" x14ac:dyDescent="0.25">
      <c r="A2735" s="41">
        <v>45357.824999189812</v>
      </c>
      <c r="B2735" s="48">
        <f>IF(A2735&lt;&gt;"",DATE(YEAR(TRANSACTIONS!$A2735),MONTH(TRANSACTIONS!$A2735),DAY(TRANSACTIONS!$A2735)),"")</f>
        <v>45357</v>
      </c>
      <c r="C2735" s="49">
        <f>IF(A2735&lt;&gt;"",TIME(HOUR(TRANSACTIONS!$A2735),MINUTE(TRANSACTIONS!$A2735),SECOND(TRANSACTIONS!$A2735)),"")</f>
        <v>0.82500000000000007</v>
      </c>
      <c r="D2735" s="82" t="s">
        <v>62</v>
      </c>
      <c r="E2735" s="82" t="s">
        <v>6</v>
      </c>
      <c r="F2735" s="94">
        <v>10100</v>
      </c>
      <c r="G2735" s="46"/>
      <c r="H2735" s="46">
        <f>IFERROR(TRANSACTIONS!$F2735+TRANSACTIONS!$G2735,"")</f>
        <v>10100</v>
      </c>
      <c r="I2735" s="40" t="s">
        <v>41</v>
      </c>
    </row>
    <row r="2736" spans="1:10" x14ac:dyDescent="0.25">
      <c r="A2736" s="41">
        <v>45357.825007060186</v>
      </c>
      <c r="B2736" s="48">
        <f>IF(A2736&lt;&gt;"",DATE(YEAR(TRANSACTIONS!$A2736),MONTH(TRANSACTIONS!$A2736),DAY(TRANSACTIONS!$A2736)),"")</f>
        <v>45357</v>
      </c>
      <c r="C2736" s="49">
        <f>IF(A2736&lt;&gt;"",TIME(HOUR(TRANSACTIONS!$A2736),MINUTE(TRANSACTIONS!$A2736),SECOND(TRANSACTIONS!$A2736)),"")</f>
        <v>0.82501157407407411</v>
      </c>
      <c r="D2736" s="82" t="s">
        <v>62</v>
      </c>
      <c r="E2736" s="82" t="s">
        <v>6</v>
      </c>
      <c r="F2736" s="94">
        <v>5000</v>
      </c>
      <c r="G2736" s="46"/>
      <c r="H2736" s="46">
        <f>IFERROR(TRANSACTIONS!$F2736+TRANSACTIONS!$G2736,"")</f>
        <v>5000</v>
      </c>
      <c r="I2736" s="40" t="s">
        <v>41</v>
      </c>
    </row>
    <row r="2737" spans="1:10" x14ac:dyDescent="0.25">
      <c r="A2737" s="41">
        <v>45357.825021412034</v>
      </c>
      <c r="B2737" s="48">
        <f>IF(A2737&lt;&gt;"",DATE(YEAR(TRANSACTIONS!$A2737),MONTH(TRANSACTIONS!$A2737),DAY(TRANSACTIONS!$A2737)),"")</f>
        <v>45357</v>
      </c>
      <c r="C2737" s="49">
        <f>IF(A2737&lt;&gt;"",TIME(HOUR(TRANSACTIONS!$A2737),MINUTE(TRANSACTIONS!$A2737),SECOND(TRANSACTIONS!$A2737)),"")</f>
        <v>0.82502314814814814</v>
      </c>
      <c r="D2737" s="82" t="s">
        <v>62</v>
      </c>
      <c r="E2737" s="82" t="s">
        <v>7</v>
      </c>
      <c r="F2737" s="94">
        <v>2000</v>
      </c>
      <c r="G2737" s="46"/>
      <c r="H2737" s="46">
        <f>IFERROR(TRANSACTIONS!$F2737+TRANSACTIONS!$G2737,"")</f>
        <v>2000</v>
      </c>
      <c r="I2737" s="40" t="s">
        <v>41</v>
      </c>
    </row>
    <row r="2738" spans="1:10" x14ac:dyDescent="0.25">
      <c r="A2738" s="41">
        <v>45357.825031134256</v>
      </c>
      <c r="B2738" s="48">
        <f>IF(A2738&lt;&gt;"",DATE(YEAR(TRANSACTIONS!$A2738),MONTH(TRANSACTIONS!$A2738),DAY(TRANSACTIONS!$A2738)),"")</f>
        <v>45357</v>
      </c>
      <c r="C2738" s="49">
        <f>IF(A2738&lt;&gt;"",TIME(HOUR(TRANSACTIONS!$A2738),MINUTE(TRANSACTIONS!$A2738),SECOND(TRANSACTIONS!$A2738)),"")</f>
        <v>0.82503472222222218</v>
      </c>
      <c r="D2738" s="82" t="s">
        <v>62</v>
      </c>
      <c r="E2738" s="82" t="s">
        <v>7</v>
      </c>
      <c r="F2738" s="94">
        <v>1000</v>
      </c>
      <c r="G2738" s="46"/>
      <c r="H2738" s="46">
        <f>IFERROR(TRANSACTIONS!$F2738+TRANSACTIONS!$G2738,"")</f>
        <v>1000</v>
      </c>
      <c r="I2738" s="40" t="s">
        <v>41</v>
      </c>
    </row>
    <row r="2739" spans="1:10" x14ac:dyDescent="0.25">
      <c r="A2739" s="41">
        <v>45357.825039120369</v>
      </c>
      <c r="B2739" s="48">
        <f>IF(A2739&lt;&gt;"",DATE(YEAR(TRANSACTIONS!$A2739),MONTH(TRANSACTIONS!$A2739),DAY(TRANSACTIONS!$A2739)),"")</f>
        <v>45357</v>
      </c>
      <c r="C2739" s="49">
        <f>IF(A2739&lt;&gt;"",TIME(HOUR(TRANSACTIONS!$A2739),MINUTE(TRANSACTIONS!$A2739),SECOND(TRANSACTIONS!$A2739)),"")</f>
        <v>0.82503472222222218</v>
      </c>
      <c r="D2739" s="82" t="s">
        <v>62</v>
      </c>
      <c r="E2739" s="82" t="s">
        <v>7</v>
      </c>
      <c r="F2739" s="94">
        <v>3000</v>
      </c>
      <c r="G2739" s="46"/>
      <c r="H2739" s="46">
        <f>IFERROR(TRANSACTIONS!$F2739+TRANSACTIONS!$G2739,"")</f>
        <v>3000</v>
      </c>
      <c r="I2739" s="40" t="s">
        <v>41</v>
      </c>
    </row>
    <row r="2740" spans="1:10" x14ac:dyDescent="0.25">
      <c r="A2740" s="41">
        <v>45357.825048495368</v>
      </c>
      <c r="B2740" s="48">
        <f>IF(A2740&lt;&gt;"",DATE(YEAR(TRANSACTIONS!$A2740),MONTH(TRANSACTIONS!$A2740),DAY(TRANSACTIONS!$A2740)),"")</f>
        <v>45357</v>
      </c>
      <c r="C2740" s="49">
        <f>IF(A2740&lt;&gt;"",TIME(HOUR(TRANSACTIONS!$A2740),MINUTE(TRANSACTIONS!$A2740),SECOND(TRANSACTIONS!$A2740)),"")</f>
        <v>0.82504629629629633</v>
      </c>
      <c r="D2740" s="82" t="s">
        <v>62</v>
      </c>
      <c r="E2740" s="82" t="s">
        <v>6</v>
      </c>
      <c r="F2740" s="94">
        <v>40000</v>
      </c>
      <c r="G2740" s="46"/>
      <c r="H2740" s="46">
        <f>IFERROR(TRANSACTIONS!$F2740+TRANSACTIONS!$G2740,"")</f>
        <v>40000</v>
      </c>
      <c r="I2740" s="40" t="s">
        <v>41</v>
      </c>
    </row>
    <row r="2741" spans="1:10" x14ac:dyDescent="0.25">
      <c r="A2741" s="41">
        <v>45357.825057060189</v>
      </c>
      <c r="B2741" s="48">
        <f>IF(A2741&lt;&gt;"",DATE(YEAR(TRANSACTIONS!$A2741),MONTH(TRANSACTIONS!$A2741),DAY(TRANSACTIONS!$A2741)),"")</f>
        <v>45357</v>
      </c>
      <c r="C2741" s="49">
        <f>IF(A2741&lt;&gt;"",TIME(HOUR(TRANSACTIONS!$A2741),MINUTE(TRANSACTIONS!$A2741),SECOND(TRANSACTIONS!$A2741)),"")</f>
        <v>0.82505787037037026</v>
      </c>
      <c r="D2741" s="82" t="s">
        <v>62</v>
      </c>
      <c r="E2741" s="82" t="s">
        <v>7</v>
      </c>
      <c r="F2741" s="94">
        <v>3500</v>
      </c>
      <c r="G2741" s="46"/>
      <c r="H2741" s="46">
        <f>IFERROR(TRANSACTIONS!$F2741+TRANSACTIONS!$G2741,"")</f>
        <v>3500</v>
      </c>
      <c r="I2741" s="40" t="s">
        <v>50</v>
      </c>
    </row>
    <row r="2742" spans="1:10" x14ac:dyDescent="0.25">
      <c r="A2742" s="41">
        <v>45357.825065277779</v>
      </c>
      <c r="B2742" s="48">
        <f>IF(A2742&lt;&gt;"",DATE(YEAR(TRANSACTIONS!$A2742),MONTH(TRANSACTIONS!$A2742),DAY(TRANSACTIONS!$A2742)),"")</f>
        <v>45357</v>
      </c>
      <c r="C2742" s="49">
        <f>IF(A2742&lt;&gt;"",TIME(HOUR(TRANSACTIONS!$A2742),MINUTE(TRANSACTIONS!$A2742),SECOND(TRANSACTIONS!$A2742)),"")</f>
        <v>0.82506944444444441</v>
      </c>
      <c r="D2742" s="82" t="s">
        <v>62</v>
      </c>
      <c r="E2742" s="82" t="s">
        <v>6</v>
      </c>
      <c r="F2742" s="94">
        <v>15000</v>
      </c>
      <c r="G2742" s="46"/>
      <c r="H2742" s="46">
        <f>IFERROR(TRANSACTIONS!$F2742+TRANSACTIONS!$G2742,"")</f>
        <v>15000</v>
      </c>
      <c r="I2742" s="40" t="s">
        <v>41</v>
      </c>
    </row>
    <row r="2743" spans="1:10" x14ac:dyDescent="0.25">
      <c r="A2743" s="41">
        <v>45357.825075231478</v>
      </c>
      <c r="B2743" s="48">
        <f>IF(A2743&lt;&gt;"",DATE(YEAR(TRANSACTIONS!$A2743),MONTH(TRANSACTIONS!$A2743),DAY(TRANSACTIONS!$A2743)),"")</f>
        <v>45357</v>
      </c>
      <c r="C2743" s="49">
        <f>IF(A2743&lt;&gt;"",TIME(HOUR(TRANSACTIONS!$A2743),MINUTE(TRANSACTIONS!$A2743),SECOND(TRANSACTIONS!$A2743)),"")</f>
        <v>0.82506944444444441</v>
      </c>
      <c r="D2743" s="82" t="s">
        <v>62</v>
      </c>
      <c r="E2743" s="82" t="s">
        <v>6</v>
      </c>
      <c r="F2743" s="94">
        <v>70000</v>
      </c>
      <c r="G2743" s="46"/>
      <c r="H2743" s="46">
        <f>IFERROR(TRANSACTIONS!$F2743+TRANSACTIONS!$G2743,"")</f>
        <v>70000</v>
      </c>
      <c r="I2743" s="40" t="s">
        <v>41</v>
      </c>
    </row>
    <row r="2744" spans="1:10" x14ac:dyDescent="0.25">
      <c r="A2744" s="41">
        <v>45357.825109953701</v>
      </c>
      <c r="B2744" s="48">
        <f>IF(A2744&lt;&gt;"",DATE(YEAR(TRANSACTIONS!$A2744),MONTH(TRANSACTIONS!$A2744),DAY(TRANSACTIONS!$A2744)),"")</f>
        <v>45357</v>
      </c>
      <c r="C2744" s="49">
        <f>IF(A2744&lt;&gt;"",TIME(HOUR(TRANSACTIONS!$A2744),MINUTE(TRANSACTIONS!$A2744),SECOND(TRANSACTIONS!$A2744)),"")</f>
        <v>0.82510416666666664</v>
      </c>
      <c r="D2744" s="82" t="s">
        <v>62</v>
      </c>
      <c r="E2744" s="82" t="s">
        <v>6</v>
      </c>
      <c r="F2744" s="94">
        <v>5000</v>
      </c>
      <c r="G2744" s="46"/>
      <c r="H2744" s="46">
        <f>IFERROR(TRANSACTIONS!$F2744+TRANSACTIONS!$G2744,"")</f>
        <v>5000</v>
      </c>
      <c r="I2744" s="40" t="s">
        <v>41</v>
      </c>
    </row>
    <row r="2745" spans="1:10" x14ac:dyDescent="0.25">
      <c r="A2745" s="41">
        <v>45357.825119791669</v>
      </c>
      <c r="B2745" s="48">
        <f>IF(A2745&lt;&gt;"",DATE(YEAR(TRANSACTIONS!$A2745),MONTH(TRANSACTIONS!$A2745),DAY(TRANSACTIONS!$A2745)),"")</f>
        <v>45357</v>
      </c>
      <c r="C2745" s="49">
        <f>IF(A2745&lt;&gt;"",TIME(HOUR(TRANSACTIONS!$A2745),MINUTE(TRANSACTIONS!$A2745),SECOND(TRANSACTIONS!$A2745)),"")</f>
        <v>0.82511574074074068</v>
      </c>
      <c r="D2745" s="82" t="s">
        <v>62</v>
      </c>
      <c r="E2745" s="82" t="s">
        <v>7</v>
      </c>
      <c r="F2745" s="94">
        <v>2000</v>
      </c>
      <c r="G2745" s="46"/>
      <c r="H2745" s="46">
        <f>IFERROR(TRANSACTIONS!$F2745+TRANSACTIONS!$G2745,"")</f>
        <v>2000</v>
      </c>
      <c r="I2745" s="40" t="s">
        <v>41</v>
      </c>
    </row>
    <row r="2746" spans="1:10" x14ac:dyDescent="0.25">
      <c r="A2746" s="41">
        <v>45357.82513020833</v>
      </c>
      <c r="B2746" s="48">
        <f>IF(A2746&lt;&gt;"",DATE(YEAR(TRANSACTIONS!$A2746),MONTH(TRANSACTIONS!$A2746),DAY(TRANSACTIONS!$A2746)),"")</f>
        <v>45357</v>
      </c>
      <c r="C2746" s="49">
        <f>IF(A2746&lt;&gt;"",TIME(HOUR(TRANSACTIONS!$A2746),MINUTE(TRANSACTIONS!$A2746),SECOND(TRANSACTIONS!$A2746)),"")</f>
        <v>0.82512731481481483</v>
      </c>
      <c r="D2746" s="82" t="s">
        <v>62</v>
      </c>
      <c r="E2746" s="82" t="s">
        <v>7</v>
      </c>
      <c r="F2746" s="94">
        <v>33000</v>
      </c>
      <c r="G2746" s="46"/>
      <c r="H2746" s="46">
        <f>IFERROR(TRANSACTIONS!$F2746+TRANSACTIONS!$G2746,"")</f>
        <v>33000</v>
      </c>
      <c r="I2746" s="40" t="s">
        <v>41</v>
      </c>
    </row>
    <row r="2747" spans="1:10" x14ac:dyDescent="0.25">
      <c r="A2747" s="81">
        <v>45357.825139583336</v>
      </c>
      <c r="B2747" s="83">
        <f>IF(A2747&lt;&gt;"",DATE(YEAR(TRANSACTIONS!$A2747),MONTH(TRANSACTIONS!$A2747),DAY(TRANSACTIONS!$A2747)),"")</f>
        <v>45357</v>
      </c>
      <c r="C2747" s="84">
        <f>IF(A2747&lt;&gt;"",TIME(HOUR(TRANSACTIONS!$A2747),MINUTE(TRANSACTIONS!$A2747),SECOND(TRANSACTIONS!$A2747)),"")</f>
        <v>0.82513888888888898</v>
      </c>
      <c r="D2747" s="82" t="s">
        <v>62</v>
      </c>
      <c r="E2747" s="82" t="s">
        <v>7</v>
      </c>
      <c r="F2747" s="94">
        <v>2000</v>
      </c>
      <c r="G2747" s="86"/>
      <c r="H2747" s="86">
        <f>IFERROR(TRANSACTIONS!$F2747+TRANSACTIONS!$G2747,"")</f>
        <v>2000</v>
      </c>
      <c r="I2747" s="88" t="s">
        <v>41</v>
      </c>
      <c r="J2747" s="88"/>
    </row>
    <row r="2748" spans="1:10" x14ac:dyDescent="0.25">
      <c r="A2748" s="41">
        <v>45357.825147916665</v>
      </c>
      <c r="B2748" s="48">
        <f>IF(A2748&lt;&gt;"",DATE(YEAR(TRANSACTIONS!$A2748),MONTH(TRANSACTIONS!$A2748),DAY(TRANSACTIONS!$A2748)),"")</f>
        <v>45357</v>
      </c>
      <c r="C2748" s="49">
        <f>IF(A2748&lt;&gt;"",TIME(HOUR(TRANSACTIONS!$A2748),MINUTE(TRANSACTIONS!$A2748),SECOND(TRANSACTIONS!$A2748)),"")</f>
        <v>0.82515046296296291</v>
      </c>
      <c r="D2748" s="82" t="s">
        <v>62</v>
      </c>
      <c r="E2748" s="82" t="s">
        <v>7</v>
      </c>
      <c r="F2748" s="94">
        <v>5000</v>
      </c>
      <c r="G2748" s="46"/>
      <c r="H2748" s="46">
        <f>IFERROR(TRANSACTIONS!$F2748+TRANSACTIONS!$G2748,"")</f>
        <v>5000</v>
      </c>
      <c r="I2748" s="40" t="s">
        <v>41</v>
      </c>
    </row>
    <row r="2749" spans="1:10" x14ac:dyDescent="0.25">
      <c r="A2749" s="41">
        <v>45357.825162037036</v>
      </c>
      <c r="B2749" s="48">
        <f>IF(A2749&lt;&gt;"",DATE(YEAR(TRANSACTIONS!$A2749),MONTH(TRANSACTIONS!$A2749),DAY(TRANSACTIONS!$A2749)),"")</f>
        <v>45357</v>
      </c>
      <c r="C2749" s="49">
        <f>IF(A2749&lt;&gt;"",TIME(HOUR(TRANSACTIONS!$A2749),MINUTE(TRANSACTIONS!$A2749),SECOND(TRANSACTIONS!$A2749)),"")</f>
        <v>0.82516203703703705</v>
      </c>
      <c r="D2749" s="82" t="s">
        <v>62</v>
      </c>
      <c r="E2749" s="82" t="s">
        <v>6</v>
      </c>
      <c r="F2749" s="94">
        <v>25000</v>
      </c>
      <c r="G2749" s="46"/>
      <c r="H2749" s="46">
        <f>IFERROR(TRANSACTIONS!$F2749+TRANSACTIONS!$G2749,"")</f>
        <v>25000</v>
      </c>
      <c r="I2749" s="40" t="s">
        <v>41</v>
      </c>
    </row>
    <row r="2750" spans="1:10" x14ac:dyDescent="0.25">
      <c r="A2750" s="41">
        <v>45357.825171643519</v>
      </c>
      <c r="B2750" s="48">
        <f>IF(A2750&lt;&gt;"",DATE(YEAR(TRANSACTIONS!$A2750),MONTH(TRANSACTIONS!$A2750),DAY(TRANSACTIONS!$A2750)),"")</f>
        <v>45357</v>
      </c>
      <c r="C2750" s="49">
        <f>IF(A2750&lt;&gt;"",TIME(HOUR(TRANSACTIONS!$A2750),MINUTE(TRANSACTIONS!$A2750),SECOND(TRANSACTIONS!$A2750)),"")</f>
        <v>0.82517361111111109</v>
      </c>
      <c r="D2750" s="82" t="s">
        <v>62</v>
      </c>
      <c r="E2750" s="82" t="s">
        <v>6</v>
      </c>
      <c r="F2750" s="94">
        <v>2500</v>
      </c>
      <c r="G2750" s="46"/>
      <c r="H2750" s="46">
        <f>IFERROR(TRANSACTIONS!$F2750+TRANSACTIONS!$G2750,"")</f>
        <v>2500</v>
      </c>
      <c r="I2750" s="40" t="s">
        <v>41</v>
      </c>
    </row>
    <row r="2751" spans="1:10" x14ac:dyDescent="0.25">
      <c r="A2751" s="41">
        <v>45357.825181597225</v>
      </c>
      <c r="B2751" s="48">
        <f>IF(A2751&lt;&gt;"",DATE(YEAR(TRANSACTIONS!$A2751),MONTH(TRANSACTIONS!$A2751),DAY(TRANSACTIONS!$A2751)),"")</f>
        <v>45357</v>
      </c>
      <c r="C2751" s="49">
        <f>IF(A2751&lt;&gt;"",TIME(HOUR(TRANSACTIONS!$A2751),MINUTE(TRANSACTIONS!$A2751),SECOND(TRANSACTIONS!$A2751)),"")</f>
        <v>0.82518518518518524</v>
      </c>
      <c r="D2751" s="82" t="s">
        <v>62</v>
      </c>
      <c r="E2751" s="82" t="s">
        <v>7</v>
      </c>
      <c r="F2751" s="94">
        <v>10000</v>
      </c>
      <c r="G2751" s="46"/>
      <c r="H2751" s="46">
        <f>IFERROR(TRANSACTIONS!$F2751+TRANSACTIONS!$G2751,"")</f>
        <v>10000</v>
      </c>
      <c r="I2751" s="40" t="s">
        <v>41</v>
      </c>
    </row>
    <row r="2752" spans="1:10" x14ac:dyDescent="0.25">
      <c r="A2752" s="81">
        <v>45357.825190046293</v>
      </c>
      <c r="B2752" s="83">
        <f>IF(A2752&lt;&gt;"",DATE(YEAR(TRANSACTIONS!$A2752),MONTH(TRANSACTIONS!$A2752),DAY(TRANSACTIONS!$A2752)),"")</f>
        <v>45357</v>
      </c>
      <c r="C2752" s="84">
        <f>IF(A2752&lt;&gt;"",TIME(HOUR(TRANSACTIONS!$A2752),MINUTE(TRANSACTIONS!$A2752),SECOND(TRANSACTIONS!$A2752)),"")</f>
        <v>0.82518518518518524</v>
      </c>
      <c r="D2752" s="82" t="s">
        <v>62</v>
      </c>
      <c r="E2752" s="82" t="s">
        <v>6</v>
      </c>
      <c r="F2752" s="94">
        <v>1500</v>
      </c>
      <c r="G2752" s="86"/>
      <c r="H2752" s="86">
        <f>IFERROR(TRANSACTIONS!$F2752+TRANSACTIONS!$G2752,"")</f>
        <v>1500</v>
      </c>
      <c r="I2752" s="88" t="s">
        <v>41</v>
      </c>
    </row>
    <row r="2753" spans="1:9" x14ac:dyDescent="0.25">
      <c r="A2753" s="41">
        <v>45357.825209259259</v>
      </c>
      <c r="B2753" s="48">
        <f>IF(A2753&lt;&gt;"",DATE(YEAR(TRANSACTIONS!$A2753),MONTH(TRANSACTIONS!$A2753),DAY(TRANSACTIONS!$A2753)),"")</f>
        <v>45357</v>
      </c>
      <c r="C2753" s="49">
        <f>IF(A2753&lt;&gt;"",TIME(HOUR(TRANSACTIONS!$A2753),MINUTE(TRANSACTIONS!$A2753),SECOND(TRANSACTIONS!$A2753)),"")</f>
        <v>0.82520833333333332</v>
      </c>
      <c r="D2753" s="82" t="s">
        <v>62</v>
      </c>
      <c r="E2753" s="82" t="s">
        <v>7</v>
      </c>
      <c r="F2753" s="94">
        <v>30000</v>
      </c>
      <c r="G2753" s="46"/>
      <c r="H2753" s="46">
        <f>IFERROR(TRANSACTIONS!$F2753+TRANSACTIONS!$G2753,"")</f>
        <v>30000</v>
      </c>
      <c r="I2753" s="40" t="s">
        <v>41</v>
      </c>
    </row>
    <row r="2754" spans="1:9" x14ac:dyDescent="0.25">
      <c r="A2754" s="41">
        <v>45357.825216898149</v>
      </c>
      <c r="B2754" s="48">
        <f>IF(A2754&lt;&gt;"",DATE(YEAR(TRANSACTIONS!$A2754),MONTH(TRANSACTIONS!$A2754),DAY(TRANSACTIONS!$A2754)),"")</f>
        <v>45357</v>
      </c>
      <c r="C2754" s="49">
        <f>IF(A2754&lt;&gt;"",TIME(HOUR(TRANSACTIONS!$A2754),MINUTE(TRANSACTIONS!$A2754),SECOND(TRANSACTIONS!$A2754)),"")</f>
        <v>0.82521990740740747</v>
      </c>
      <c r="D2754" s="82" t="s">
        <v>62</v>
      </c>
      <c r="E2754" s="82" t="s">
        <v>7</v>
      </c>
      <c r="F2754" s="94">
        <v>25000</v>
      </c>
      <c r="G2754" s="46"/>
      <c r="H2754" s="46">
        <f>IFERROR(TRANSACTIONS!$F2754+TRANSACTIONS!$G2754,"")</f>
        <v>25000</v>
      </c>
      <c r="I2754" s="40" t="s">
        <v>41</v>
      </c>
    </row>
    <row r="2755" spans="1:9" x14ac:dyDescent="0.25">
      <c r="A2755" s="41">
        <v>45357.825225000001</v>
      </c>
      <c r="B2755" s="48">
        <f>IF(A2755&lt;&gt;"",DATE(YEAR(TRANSACTIONS!$A2755),MONTH(TRANSACTIONS!$A2755),DAY(TRANSACTIONS!$A2755)),"")</f>
        <v>45357</v>
      </c>
      <c r="C2755" s="49">
        <f>IF(A2755&lt;&gt;"",TIME(HOUR(TRANSACTIONS!$A2755),MINUTE(TRANSACTIONS!$A2755),SECOND(TRANSACTIONS!$A2755)),"")</f>
        <v>0.82521990740740747</v>
      </c>
      <c r="D2755" s="82" t="s">
        <v>62</v>
      </c>
      <c r="E2755" s="82" t="s">
        <v>6</v>
      </c>
      <c r="F2755" s="94">
        <v>60000</v>
      </c>
      <c r="G2755" s="46"/>
      <c r="H2755" s="46">
        <f>IFERROR(TRANSACTIONS!$F2755+TRANSACTIONS!$G2755,"")</f>
        <v>60000</v>
      </c>
      <c r="I2755" s="40" t="s">
        <v>41</v>
      </c>
    </row>
    <row r="2756" spans="1:9" x14ac:dyDescent="0.25">
      <c r="A2756" s="41">
        <v>45357.825232407406</v>
      </c>
      <c r="B2756" s="48">
        <f>IF(A2756&lt;&gt;"",DATE(YEAR(TRANSACTIONS!$A2756),MONTH(TRANSACTIONS!$A2756),DAY(TRANSACTIONS!$A2756)),"")</f>
        <v>45357</v>
      </c>
      <c r="C2756" s="49">
        <f>IF(A2756&lt;&gt;"",TIME(HOUR(TRANSACTIONS!$A2756),MINUTE(TRANSACTIONS!$A2756),SECOND(TRANSACTIONS!$A2756)),"")</f>
        <v>0.82523148148148151</v>
      </c>
      <c r="D2756" s="82" t="s">
        <v>62</v>
      </c>
      <c r="E2756" s="82" t="s">
        <v>7</v>
      </c>
      <c r="F2756" s="94">
        <v>1500</v>
      </c>
      <c r="G2756" s="46"/>
      <c r="H2756" s="46">
        <f>IFERROR(TRANSACTIONS!$F2756+TRANSACTIONS!$G2756,"")</f>
        <v>1500</v>
      </c>
      <c r="I2756" s="40" t="s">
        <v>41</v>
      </c>
    </row>
    <row r="2757" spans="1:9" ht="15.75" customHeight="1" x14ac:dyDescent="0.25">
      <c r="A2757" s="41">
        <v>45357.825256944445</v>
      </c>
      <c r="B2757" s="48">
        <f>IF(A2757&lt;&gt;"",DATE(YEAR(TRANSACTIONS!$A2757),MONTH(TRANSACTIONS!$A2757),DAY(TRANSACTIONS!$A2757)),"")</f>
        <v>45357</v>
      </c>
      <c r="C2757" s="49">
        <f>IF(A2757&lt;&gt;"",TIME(HOUR(TRANSACTIONS!$A2757),MINUTE(TRANSACTIONS!$A2757),SECOND(TRANSACTIONS!$A2757)),"")</f>
        <v>0.82525462962962959</v>
      </c>
      <c r="D2757" s="82" t="s">
        <v>62</v>
      </c>
      <c r="E2757" s="82" t="s">
        <v>7</v>
      </c>
      <c r="F2757" s="94">
        <v>50000</v>
      </c>
      <c r="G2757" s="46"/>
      <c r="H2757" s="46">
        <f>IFERROR(TRANSACTIONS!$F2757+TRANSACTIONS!$G2757,"")</f>
        <v>50000</v>
      </c>
      <c r="I2757" s="40" t="s">
        <v>41</v>
      </c>
    </row>
    <row r="2758" spans="1:9" ht="13.5" customHeight="1" x14ac:dyDescent="0.25">
      <c r="A2758" s="41">
        <v>45357.825265162035</v>
      </c>
      <c r="B2758" s="48">
        <f>IF(A2758&lt;&gt;"",DATE(YEAR(TRANSACTIONS!$A2758),MONTH(TRANSACTIONS!$A2758),DAY(TRANSACTIONS!$A2758)),"")</f>
        <v>45357</v>
      </c>
      <c r="C2758" s="49">
        <f>IF(A2758&lt;&gt;"",TIME(HOUR(TRANSACTIONS!$A2758),MINUTE(TRANSACTIONS!$A2758),SECOND(TRANSACTIONS!$A2758)),"")</f>
        <v>0.82526620370370374</v>
      </c>
      <c r="D2758" s="82" t="s">
        <v>62</v>
      </c>
      <c r="E2758" s="82" t="s">
        <v>7</v>
      </c>
      <c r="F2758" s="94">
        <v>6000</v>
      </c>
      <c r="G2758" s="46"/>
      <c r="H2758" s="46">
        <f>IFERROR(TRANSACTIONS!$F2758+TRANSACTIONS!$G2758,"")</f>
        <v>6000</v>
      </c>
      <c r="I2758" s="40" t="s">
        <v>41</v>
      </c>
    </row>
    <row r="2759" spans="1:9" x14ac:dyDescent="0.25">
      <c r="A2759" s="41">
        <v>45357.82527361111</v>
      </c>
      <c r="B2759" s="48">
        <f>IF(A2759&lt;&gt;"",DATE(YEAR(TRANSACTIONS!$A2759),MONTH(TRANSACTIONS!$A2759),DAY(TRANSACTIONS!$A2759)),"")</f>
        <v>45357</v>
      </c>
      <c r="C2759" s="49">
        <f>IF(A2759&lt;&gt;"",TIME(HOUR(TRANSACTIONS!$A2759),MINUTE(TRANSACTIONS!$A2759),SECOND(TRANSACTIONS!$A2759)),"")</f>
        <v>0.82527777777777767</v>
      </c>
      <c r="D2759" s="82" t="s">
        <v>62</v>
      </c>
      <c r="E2759" s="82" t="s">
        <v>7</v>
      </c>
      <c r="F2759" s="94">
        <v>9000</v>
      </c>
      <c r="G2759" s="46"/>
      <c r="H2759" s="46">
        <f>IFERROR(TRANSACTIONS!$F2759+TRANSACTIONS!$G2759,"")</f>
        <v>9000</v>
      </c>
      <c r="I2759" s="40" t="s">
        <v>41</v>
      </c>
    </row>
    <row r="2760" spans="1:9" x14ac:dyDescent="0.25">
      <c r="A2760" s="41">
        <v>45357.825300694443</v>
      </c>
      <c r="B2760" s="48">
        <f>IF(A2760&lt;&gt;"",DATE(YEAR(TRANSACTIONS!$A2760),MONTH(TRANSACTIONS!$A2760),DAY(TRANSACTIONS!$A2760)),"")</f>
        <v>45357</v>
      </c>
      <c r="C2760" s="49">
        <f>IF(A2760&lt;&gt;"",TIME(HOUR(TRANSACTIONS!$A2760),MINUTE(TRANSACTIONS!$A2760),SECOND(TRANSACTIONS!$A2760)),"")</f>
        <v>0.82530092592592597</v>
      </c>
      <c r="D2760" s="82" t="s">
        <v>62</v>
      </c>
      <c r="E2760" s="82" t="s">
        <v>6</v>
      </c>
      <c r="F2760" s="94">
        <v>50000</v>
      </c>
      <c r="G2760" s="46"/>
      <c r="H2760" s="46">
        <f>IFERROR(TRANSACTIONS!$F2760+TRANSACTIONS!$G2760,"")</f>
        <v>50000</v>
      </c>
      <c r="I2760" s="40" t="s">
        <v>41</v>
      </c>
    </row>
    <row r="2761" spans="1:9" x14ac:dyDescent="0.25">
      <c r="A2761" s="41">
        <v>45357.82530960648</v>
      </c>
      <c r="B2761" s="48">
        <f>IF(A2761&lt;&gt;"",DATE(YEAR(TRANSACTIONS!$A2761),MONTH(TRANSACTIONS!$A2761),DAY(TRANSACTIONS!$A2761)),"")</f>
        <v>45357</v>
      </c>
      <c r="C2761" s="49">
        <f>IF(A2761&lt;&gt;"",TIME(HOUR(TRANSACTIONS!$A2761),MINUTE(TRANSACTIONS!$A2761),SECOND(TRANSACTIONS!$A2761)),"")</f>
        <v>0.8253125</v>
      </c>
      <c r="D2761" s="82" t="s">
        <v>62</v>
      </c>
      <c r="E2761" s="82" t="s">
        <v>7</v>
      </c>
      <c r="F2761" s="94">
        <v>7000</v>
      </c>
      <c r="G2761" s="46"/>
      <c r="H2761" s="46">
        <f>IFERROR(TRANSACTIONS!$F2761+TRANSACTIONS!$G2761,"")</f>
        <v>7000</v>
      </c>
      <c r="I2761" s="40" t="s">
        <v>41</v>
      </c>
    </row>
    <row r="2762" spans="1:9" x14ac:dyDescent="0.25">
      <c r="A2762" s="41">
        <v>45357.825318402778</v>
      </c>
      <c r="B2762" s="48">
        <f>IF(A2762&lt;&gt;"",DATE(YEAR(TRANSACTIONS!$A2762),MONTH(TRANSACTIONS!$A2762),DAY(TRANSACTIONS!$A2762)),"")</f>
        <v>45357</v>
      </c>
      <c r="C2762" s="49">
        <f>IF(A2762&lt;&gt;"",TIME(HOUR(TRANSACTIONS!$A2762),MINUTE(TRANSACTIONS!$A2762),SECOND(TRANSACTIONS!$A2762)),"")</f>
        <v>0.82532407407407404</v>
      </c>
      <c r="D2762" s="82" t="s">
        <v>62</v>
      </c>
      <c r="E2762" s="82" t="s">
        <v>6</v>
      </c>
      <c r="F2762" s="94">
        <v>9000</v>
      </c>
      <c r="G2762" s="46"/>
      <c r="H2762" s="46">
        <f>IFERROR(TRANSACTIONS!$F2762+TRANSACTIONS!$G2762,"")</f>
        <v>9000</v>
      </c>
      <c r="I2762" s="40" t="s">
        <v>41</v>
      </c>
    </row>
    <row r="2763" spans="1:9" x14ac:dyDescent="0.25">
      <c r="A2763" s="41">
        <v>45357.825326967592</v>
      </c>
      <c r="B2763" s="48">
        <f>IF(A2763&lt;&gt;"",DATE(YEAR(TRANSACTIONS!$A2763),MONTH(TRANSACTIONS!$A2763),DAY(TRANSACTIONS!$A2763)),"")</f>
        <v>45357</v>
      </c>
      <c r="C2763" s="49">
        <f>IF(A2763&lt;&gt;"",TIME(HOUR(TRANSACTIONS!$A2763),MINUTE(TRANSACTIONS!$A2763),SECOND(TRANSACTIONS!$A2763)),"")</f>
        <v>0.82532407407407404</v>
      </c>
      <c r="D2763" s="82" t="s">
        <v>62</v>
      </c>
      <c r="E2763" s="82" t="s">
        <v>6</v>
      </c>
      <c r="F2763" s="94">
        <v>5100</v>
      </c>
      <c r="G2763" s="46"/>
      <c r="H2763" s="46">
        <f>IFERROR(TRANSACTIONS!$F2763+TRANSACTIONS!$G2763,"")</f>
        <v>5100</v>
      </c>
      <c r="I2763" s="40" t="s">
        <v>41</v>
      </c>
    </row>
    <row r="2764" spans="1:9" x14ac:dyDescent="0.25">
      <c r="A2764" s="41">
        <v>45357.825335416666</v>
      </c>
      <c r="B2764" s="48">
        <f>IF(A2764&lt;&gt;"",DATE(YEAR(TRANSACTIONS!$A2764),MONTH(TRANSACTIONS!$A2764),DAY(TRANSACTIONS!$A2764)),"")</f>
        <v>45357</v>
      </c>
      <c r="C2764" s="49">
        <f>IF(A2764&lt;&gt;"",TIME(HOUR(TRANSACTIONS!$A2764),MINUTE(TRANSACTIONS!$A2764),SECOND(TRANSACTIONS!$A2764)),"")</f>
        <v>0.82533564814814808</v>
      </c>
      <c r="D2764" s="82" t="s">
        <v>62</v>
      </c>
      <c r="E2764" s="82" t="s">
        <v>6</v>
      </c>
      <c r="F2764" s="94">
        <v>200000</v>
      </c>
      <c r="G2764" s="46"/>
      <c r="H2764" s="46">
        <f>IFERROR(TRANSACTIONS!$F2764+TRANSACTIONS!$G2764,"")</f>
        <v>200000</v>
      </c>
      <c r="I2764" s="40" t="s">
        <v>41</v>
      </c>
    </row>
    <row r="2765" spans="1:9" x14ac:dyDescent="0.25">
      <c r="A2765" s="41">
        <v>45357.825343402779</v>
      </c>
      <c r="B2765" s="48">
        <f>IF(A2765&lt;&gt;"",DATE(YEAR(TRANSACTIONS!$A2765),MONTH(TRANSACTIONS!$A2765),DAY(TRANSACTIONS!$A2765)),"")</f>
        <v>45357</v>
      </c>
      <c r="C2765" s="49">
        <f>IF(A2765&lt;&gt;"",TIME(HOUR(TRANSACTIONS!$A2765),MINUTE(TRANSACTIONS!$A2765),SECOND(TRANSACTIONS!$A2765)),"")</f>
        <v>0.82534722222222223</v>
      </c>
      <c r="D2765" s="82" t="s">
        <v>62</v>
      </c>
      <c r="E2765" s="82" t="s">
        <v>6</v>
      </c>
      <c r="F2765" s="94">
        <v>2000</v>
      </c>
      <c r="G2765" s="46"/>
      <c r="H2765" s="46">
        <f>IFERROR(TRANSACTIONS!$F2765+TRANSACTIONS!$G2765,"")</f>
        <v>2000</v>
      </c>
      <c r="I2765" s="40" t="s">
        <v>41</v>
      </c>
    </row>
    <row r="2766" spans="1:9" x14ac:dyDescent="0.25">
      <c r="A2766" s="41">
        <v>45357.825351851854</v>
      </c>
      <c r="B2766" s="48">
        <f>IF(A2766&lt;&gt;"",DATE(YEAR(TRANSACTIONS!$A2766),MONTH(TRANSACTIONS!$A2766),DAY(TRANSACTIONS!$A2766)),"")</f>
        <v>45357</v>
      </c>
      <c r="C2766" s="49">
        <f>IF(A2766&lt;&gt;"",TIME(HOUR(TRANSACTIONS!$A2766),MINUTE(TRANSACTIONS!$A2766),SECOND(TRANSACTIONS!$A2766)),"")</f>
        <v>0.82534722222222223</v>
      </c>
      <c r="D2766" s="82" t="s">
        <v>62</v>
      </c>
      <c r="E2766" s="82" t="s">
        <v>7</v>
      </c>
      <c r="F2766" s="94">
        <v>5000</v>
      </c>
      <c r="G2766" s="46"/>
      <c r="H2766" s="46">
        <f>IFERROR(TRANSACTIONS!$F2766+TRANSACTIONS!$G2766,"")</f>
        <v>5000</v>
      </c>
      <c r="I2766" s="40" t="s">
        <v>41</v>
      </c>
    </row>
    <row r="2767" spans="1:9" x14ac:dyDescent="0.25">
      <c r="A2767" s="41">
        <v>45357.825361805553</v>
      </c>
      <c r="B2767" s="48">
        <f>IF(A2767&lt;&gt;"",DATE(YEAR(TRANSACTIONS!$A2767),MONTH(TRANSACTIONS!$A2767),DAY(TRANSACTIONS!$A2767)),"")</f>
        <v>45357</v>
      </c>
      <c r="C2767" s="49">
        <f>IF(A2767&lt;&gt;"",TIME(HOUR(TRANSACTIONS!$A2767),MINUTE(TRANSACTIONS!$A2767),SECOND(TRANSACTIONS!$A2767)),"")</f>
        <v>0.82535879629629638</v>
      </c>
      <c r="D2767" s="82" t="s">
        <v>62</v>
      </c>
      <c r="E2767" s="82" t="s">
        <v>7</v>
      </c>
      <c r="F2767" s="94">
        <v>2000</v>
      </c>
      <c r="G2767" s="46"/>
      <c r="H2767" s="46">
        <f>IFERROR(TRANSACTIONS!$F2767+TRANSACTIONS!$G2767,"")</f>
        <v>2000</v>
      </c>
      <c r="I2767" s="40" t="s">
        <v>41</v>
      </c>
    </row>
    <row r="2768" spans="1:9" x14ac:dyDescent="0.25">
      <c r="A2768" s="41">
        <v>45357.825401273149</v>
      </c>
      <c r="B2768" s="48">
        <f>IF(A2768&lt;&gt;"",DATE(YEAR(TRANSACTIONS!$A2768),MONTH(TRANSACTIONS!$A2768),DAY(TRANSACTIONS!$A2768)),"")</f>
        <v>45357</v>
      </c>
      <c r="C2768" s="49">
        <f>IF(A2768&lt;&gt;"",TIME(HOUR(TRANSACTIONS!$A2768),MINUTE(TRANSACTIONS!$A2768),SECOND(TRANSACTIONS!$A2768)),"")</f>
        <v>0.82540509259259265</v>
      </c>
      <c r="D2768" s="82" t="s">
        <v>62</v>
      </c>
      <c r="E2768" s="82" t="s">
        <v>7</v>
      </c>
      <c r="F2768" s="94">
        <v>1000</v>
      </c>
      <c r="G2768" s="46"/>
      <c r="H2768" s="46">
        <f>IFERROR(TRANSACTIONS!$F2768+TRANSACTIONS!$G2768,"")</f>
        <v>1000</v>
      </c>
      <c r="I2768" s="40" t="s">
        <v>41</v>
      </c>
    </row>
    <row r="2769" spans="1:13" x14ac:dyDescent="0.25">
      <c r="A2769" s="41">
        <v>45357.825410300924</v>
      </c>
      <c r="B2769" s="48">
        <f>IF(A2769&lt;&gt;"",DATE(YEAR(TRANSACTIONS!$A2769),MONTH(TRANSACTIONS!$A2769),DAY(TRANSACTIONS!$A2769)),"")</f>
        <v>45357</v>
      </c>
      <c r="C2769" s="49">
        <f>IF(A2769&lt;&gt;"",TIME(HOUR(TRANSACTIONS!$A2769),MINUTE(TRANSACTIONS!$A2769),SECOND(TRANSACTIONS!$A2769)),"")</f>
        <v>0.82540509259259265</v>
      </c>
      <c r="D2769" s="82" t="s">
        <v>62</v>
      </c>
      <c r="E2769" s="82" t="s">
        <v>6</v>
      </c>
      <c r="F2769" s="94">
        <v>500000</v>
      </c>
      <c r="G2769" s="46"/>
      <c r="H2769" s="46">
        <f>IFERROR(TRANSACTIONS!$F2769+TRANSACTIONS!$G2769,"")</f>
        <v>500000</v>
      </c>
      <c r="I2769" s="40" t="s">
        <v>41</v>
      </c>
    </row>
    <row r="2770" spans="1:13" x14ac:dyDescent="0.25">
      <c r="A2770" s="41">
        <v>45357.825419907407</v>
      </c>
      <c r="B2770" s="48">
        <f>IF(A2770&lt;&gt;"",DATE(YEAR(TRANSACTIONS!$A2770),MONTH(TRANSACTIONS!$A2770),DAY(TRANSACTIONS!$A2770)),"")</f>
        <v>45357</v>
      </c>
      <c r="C2770" s="49">
        <f>IF(A2770&lt;&gt;"",TIME(HOUR(TRANSACTIONS!$A2770),MINUTE(TRANSACTIONS!$A2770),SECOND(TRANSACTIONS!$A2770)),"")</f>
        <v>0.82541666666666658</v>
      </c>
      <c r="D2770" s="82" t="s">
        <v>62</v>
      </c>
      <c r="E2770" s="82" t="s">
        <v>6</v>
      </c>
      <c r="F2770" s="94">
        <v>6500</v>
      </c>
      <c r="G2770" s="46"/>
      <c r="H2770" s="46">
        <f>IFERROR(TRANSACTIONS!$F2770+TRANSACTIONS!$G2770,"")</f>
        <v>6500</v>
      </c>
      <c r="I2770" s="40" t="s">
        <v>41</v>
      </c>
    </row>
    <row r="2771" spans="1:13" x14ac:dyDescent="0.25">
      <c r="A2771" s="41">
        <v>45357.825429976852</v>
      </c>
      <c r="B2771" s="48">
        <f>IF(A2771&lt;&gt;"",DATE(YEAR(TRANSACTIONS!$A2771),MONTH(TRANSACTIONS!$A2771),DAY(TRANSACTIONS!$A2771)),"")</f>
        <v>45357</v>
      </c>
      <c r="C2771" s="49">
        <f>IF(A2771&lt;&gt;"",TIME(HOUR(TRANSACTIONS!$A2771),MINUTE(TRANSACTIONS!$A2771),SECOND(TRANSACTIONS!$A2771)),"")</f>
        <v>0.82542824074074073</v>
      </c>
      <c r="D2771" s="82" t="s">
        <v>62</v>
      </c>
      <c r="E2771" s="82" t="s">
        <v>7</v>
      </c>
      <c r="F2771" s="94">
        <v>1000</v>
      </c>
      <c r="G2771" s="46"/>
      <c r="H2771" s="46">
        <f>IFERROR(TRANSACTIONS!$F2771+TRANSACTIONS!$G2771,"")</f>
        <v>1000</v>
      </c>
      <c r="I2771" s="40" t="s">
        <v>41</v>
      </c>
    </row>
    <row r="2772" spans="1:13" x14ac:dyDescent="0.25">
      <c r="A2772" s="41">
        <v>45357.825438541666</v>
      </c>
      <c r="B2772" s="48">
        <f>IF(A2772&lt;&gt;"",DATE(YEAR(TRANSACTIONS!$A2772),MONTH(TRANSACTIONS!$A2772),DAY(TRANSACTIONS!$A2772)),"")</f>
        <v>45357</v>
      </c>
      <c r="C2772" s="49">
        <f>IF(A2772&lt;&gt;"",TIME(HOUR(TRANSACTIONS!$A2772),MINUTE(TRANSACTIONS!$A2772),SECOND(TRANSACTIONS!$A2772)),"")</f>
        <v>0.82543981481481488</v>
      </c>
      <c r="D2772" s="82" t="s">
        <v>62</v>
      </c>
      <c r="E2772" s="82" t="s">
        <v>7</v>
      </c>
      <c r="F2772" s="94">
        <v>30000</v>
      </c>
      <c r="G2772" s="46"/>
      <c r="H2772" s="46">
        <f>IFERROR(TRANSACTIONS!$F2772+TRANSACTIONS!$G2772,"")</f>
        <v>30000</v>
      </c>
      <c r="I2772" s="40" t="s">
        <v>41</v>
      </c>
    </row>
    <row r="2773" spans="1:13" x14ac:dyDescent="0.25">
      <c r="A2773" s="41">
        <v>45357.825447222225</v>
      </c>
      <c r="B2773" s="48">
        <f>IF(A2773&lt;&gt;"",DATE(YEAR(TRANSACTIONS!$A2773),MONTH(TRANSACTIONS!$A2773),DAY(TRANSACTIONS!$A2773)),"")</f>
        <v>45357</v>
      </c>
      <c r="C2773" s="49">
        <f>IF(A2773&lt;&gt;"",TIME(HOUR(TRANSACTIONS!$A2773),MINUTE(TRANSACTIONS!$A2773),SECOND(TRANSACTIONS!$A2773)),"")</f>
        <v>0.82545138888888892</v>
      </c>
      <c r="D2773" s="82" t="s">
        <v>62</v>
      </c>
      <c r="E2773" s="82" t="s">
        <v>7</v>
      </c>
      <c r="F2773" s="94">
        <v>3000</v>
      </c>
      <c r="G2773" s="46"/>
      <c r="H2773" s="46">
        <f>IFERROR(TRANSACTIONS!$F2773+TRANSACTIONS!$G2773,"")</f>
        <v>3000</v>
      </c>
      <c r="I2773" s="40" t="s">
        <v>41</v>
      </c>
    </row>
    <row r="2774" spans="1:13" x14ac:dyDescent="0.25">
      <c r="A2774" s="41">
        <v>45357.825455902777</v>
      </c>
      <c r="B2774" s="48">
        <f>IF(A2774&lt;&gt;"",DATE(YEAR(TRANSACTIONS!$A2774),MONTH(TRANSACTIONS!$A2774),DAY(TRANSACTIONS!$A2774)),"")</f>
        <v>45357</v>
      </c>
      <c r="C2774" s="49">
        <f>IF(A2774&lt;&gt;"",TIME(HOUR(TRANSACTIONS!$A2774),MINUTE(TRANSACTIONS!$A2774),SECOND(TRANSACTIONS!$A2774)),"")</f>
        <v>0.82545138888888892</v>
      </c>
      <c r="D2774" s="82" t="s">
        <v>62</v>
      </c>
      <c r="E2774" s="82" t="s">
        <v>6</v>
      </c>
      <c r="F2774" s="94">
        <v>80000</v>
      </c>
      <c r="G2774" s="46"/>
      <c r="H2774" s="46">
        <f>IFERROR(TRANSACTIONS!$F2774+TRANSACTIONS!$G2774,"")</f>
        <v>80000</v>
      </c>
      <c r="I2774" s="40" t="s">
        <v>41</v>
      </c>
    </row>
    <row r="2775" spans="1:13" x14ac:dyDescent="0.25">
      <c r="A2775" s="41">
        <v>45357.825485648151</v>
      </c>
      <c r="B2775" s="48">
        <f>IF(A2775&lt;&gt;"",DATE(YEAR(TRANSACTIONS!$A2775),MONTH(TRANSACTIONS!$A2775),DAY(TRANSACTIONS!$A2775)),"")</f>
        <v>45357</v>
      </c>
      <c r="C2775" s="49">
        <f>IF(A2775&lt;&gt;"",TIME(HOUR(TRANSACTIONS!$A2775),MINUTE(TRANSACTIONS!$A2775),SECOND(TRANSACTIONS!$A2775)),"")</f>
        <v>0.82548611111111114</v>
      </c>
      <c r="D2775" s="82" t="s">
        <v>62</v>
      </c>
      <c r="E2775" s="82" t="s">
        <v>6</v>
      </c>
      <c r="F2775" s="94">
        <v>2500</v>
      </c>
      <c r="G2775" s="46"/>
      <c r="H2775" s="46">
        <f>IFERROR(TRANSACTIONS!$F2775+TRANSACTIONS!$G2775,"")</f>
        <v>2500</v>
      </c>
      <c r="I2775" s="40" t="s">
        <v>41</v>
      </c>
    </row>
    <row r="2776" spans="1:13" x14ac:dyDescent="0.25">
      <c r="A2776" s="113">
        <v>45357.825493865741</v>
      </c>
      <c r="B2776" s="114">
        <f>IF(A2776&lt;&gt;"",DATE(YEAR(TRANSACTIONS!$A2776),MONTH(TRANSACTIONS!$A2776),DAY(TRANSACTIONS!$A2776)),"")</f>
        <v>45357</v>
      </c>
      <c r="C2776" s="115">
        <f>IF(A2776&lt;&gt;"",TIME(HOUR(TRANSACTIONS!$A2776),MINUTE(TRANSACTIONS!$A2776),SECOND(TRANSACTIONS!$A2776)),"")</f>
        <v>0.82549768518518529</v>
      </c>
      <c r="D2776" s="82" t="s">
        <v>62</v>
      </c>
      <c r="E2776" s="82" t="s">
        <v>7</v>
      </c>
      <c r="F2776" s="94">
        <v>45000</v>
      </c>
      <c r="G2776" s="117"/>
      <c r="H2776" s="117">
        <f>IFERROR(TRANSACTIONS!$F2776+TRANSACTIONS!$G2776,"")</f>
        <v>45000</v>
      </c>
      <c r="I2776" s="118" t="s">
        <v>41</v>
      </c>
      <c r="J2776" s="118"/>
    </row>
    <row r="2777" spans="1:13" x14ac:dyDescent="0.25">
      <c r="A2777" s="41">
        <v>45357.825501620369</v>
      </c>
      <c r="B2777" s="48">
        <f>IF(A2777&lt;&gt;"",DATE(YEAR(TRANSACTIONS!$A2777),MONTH(TRANSACTIONS!$A2777),DAY(TRANSACTIONS!$A2777)),"")</f>
        <v>45357</v>
      </c>
      <c r="C2777" s="49">
        <f>IF(A2777&lt;&gt;"",TIME(HOUR(TRANSACTIONS!$A2777),MINUTE(TRANSACTIONS!$A2777),SECOND(TRANSACTIONS!$A2777)),"")</f>
        <v>0.82549768518518529</v>
      </c>
      <c r="D2777" s="82" t="s">
        <v>62</v>
      </c>
      <c r="E2777" s="82" t="s">
        <v>6</v>
      </c>
      <c r="F2777" s="94">
        <v>20000</v>
      </c>
      <c r="G2777" s="46"/>
      <c r="H2777" s="46">
        <f>IFERROR(TRANSACTIONS!$F2777+TRANSACTIONS!$G2777,"")</f>
        <v>20000</v>
      </c>
      <c r="I2777" s="40" t="s">
        <v>41</v>
      </c>
    </row>
    <row r="2778" spans="1:13" x14ac:dyDescent="0.25">
      <c r="A2778" s="41">
        <v>45357.825512615738</v>
      </c>
      <c r="B2778" s="48">
        <f>IF(A2778&lt;&gt;"",DATE(YEAR(TRANSACTIONS!$A2778),MONTH(TRANSACTIONS!$A2778),DAY(TRANSACTIONS!$A2778)),"")</f>
        <v>45357</v>
      </c>
      <c r="C2778" s="49">
        <f>IF(A2778&lt;&gt;"",TIME(HOUR(TRANSACTIONS!$A2778),MINUTE(TRANSACTIONS!$A2778),SECOND(TRANSACTIONS!$A2778)),"")</f>
        <v>0.82550925925925922</v>
      </c>
      <c r="D2778" s="82" t="s">
        <v>62</v>
      </c>
      <c r="E2778" s="82" t="s">
        <v>7</v>
      </c>
      <c r="F2778" s="94">
        <v>72000</v>
      </c>
      <c r="G2778" s="46"/>
      <c r="H2778" s="46">
        <f>IFERROR(TRANSACTIONS!$F2778+TRANSACTIONS!$G2778,"")</f>
        <v>72000</v>
      </c>
      <c r="I2778" s="40" t="s">
        <v>41</v>
      </c>
    </row>
    <row r="2779" spans="1:13" x14ac:dyDescent="0.25">
      <c r="A2779" s="41">
        <v>45357.825526620371</v>
      </c>
      <c r="B2779" s="48">
        <f>IF(A2779&lt;&gt;"",DATE(YEAR(TRANSACTIONS!$A2779),MONTH(TRANSACTIONS!$A2779),DAY(TRANSACTIONS!$A2779)),"")</f>
        <v>45357</v>
      </c>
      <c r="C2779" s="49">
        <f>IF(A2779&lt;&gt;"",TIME(HOUR(TRANSACTIONS!$A2779),MINUTE(TRANSACTIONS!$A2779),SECOND(TRANSACTIONS!$A2779)),"")</f>
        <v>0.82552083333333337</v>
      </c>
      <c r="D2779" s="82" t="s">
        <v>62</v>
      </c>
      <c r="E2779" s="82" t="s">
        <v>7</v>
      </c>
      <c r="F2779" s="94">
        <v>15000</v>
      </c>
      <c r="G2779" s="46"/>
      <c r="H2779" s="46">
        <f>IFERROR(TRANSACTIONS!$F2779+TRANSACTIONS!$G2779,"")</f>
        <v>15000</v>
      </c>
      <c r="I2779" s="40" t="s">
        <v>50</v>
      </c>
    </row>
    <row r="2780" spans="1:13" x14ac:dyDescent="0.25">
      <c r="A2780" s="41">
        <v>45357.825535185184</v>
      </c>
      <c r="B2780" s="48">
        <f>IF(A2780&lt;&gt;"",DATE(YEAR(TRANSACTIONS!$A2780),MONTH(TRANSACTIONS!$A2780),DAY(TRANSACTIONS!$A2780)),"")</f>
        <v>45357</v>
      </c>
      <c r="C2780" s="49">
        <f>IF(A2780&lt;&gt;"",TIME(HOUR(TRANSACTIONS!$A2780),MINUTE(TRANSACTIONS!$A2780),SECOND(TRANSACTIONS!$A2780)),"")</f>
        <v>0.82553240740740741</v>
      </c>
      <c r="D2780" s="82" t="s">
        <v>62</v>
      </c>
      <c r="E2780" s="82" t="s">
        <v>6</v>
      </c>
      <c r="F2780" s="94">
        <v>5000</v>
      </c>
      <c r="G2780" s="46"/>
      <c r="H2780" s="46">
        <f>IFERROR(TRANSACTIONS!$F2780+TRANSACTIONS!$G2780,"")</f>
        <v>5000</v>
      </c>
      <c r="I2780" s="40" t="s">
        <v>41</v>
      </c>
    </row>
    <row r="2781" spans="1:13" x14ac:dyDescent="0.25">
      <c r="A2781" s="41">
        <v>45357.825543171297</v>
      </c>
      <c r="B2781" s="48">
        <f>IF(A2781&lt;&gt;"",DATE(YEAR(TRANSACTIONS!$A2781),MONTH(TRANSACTIONS!$A2781),DAY(TRANSACTIONS!$A2781)),"")</f>
        <v>45357</v>
      </c>
      <c r="C2781" s="49">
        <f>IF(A2781&lt;&gt;"",TIME(HOUR(TRANSACTIONS!$A2781),MINUTE(TRANSACTIONS!$A2781),SECOND(TRANSACTIONS!$A2781)),"")</f>
        <v>0.82554398148148145</v>
      </c>
      <c r="D2781" s="82" t="s">
        <v>62</v>
      </c>
      <c r="E2781" s="82" t="s">
        <v>6</v>
      </c>
      <c r="F2781" s="94">
        <v>5000</v>
      </c>
      <c r="G2781" s="46"/>
      <c r="H2781" s="46">
        <f>IFERROR(TRANSACTIONS!$F2781+TRANSACTIONS!$G2781,"")</f>
        <v>5000</v>
      </c>
      <c r="I2781" s="40" t="s">
        <v>41</v>
      </c>
    </row>
    <row r="2782" spans="1:13" x14ac:dyDescent="0.25">
      <c r="A2782" s="41">
        <v>45357.825551851849</v>
      </c>
      <c r="B2782" s="48">
        <f>IF(A2782&lt;&gt;"",DATE(YEAR(TRANSACTIONS!$A2782),MONTH(TRANSACTIONS!$A2782),DAY(TRANSACTIONS!$A2782)),"")</f>
        <v>45357</v>
      </c>
      <c r="C2782" s="49">
        <f>IF(A2782&lt;&gt;"",TIME(HOUR(TRANSACTIONS!$A2782),MINUTE(TRANSACTIONS!$A2782),SECOND(TRANSACTIONS!$A2782)),"")</f>
        <v>0.82555555555555549</v>
      </c>
      <c r="D2782" s="82" t="s">
        <v>62</v>
      </c>
      <c r="E2782" s="82" t="s">
        <v>7</v>
      </c>
      <c r="F2782" s="94">
        <v>1500</v>
      </c>
      <c r="G2782" s="46"/>
      <c r="H2782" s="46">
        <f>IFERROR(TRANSACTIONS!$F2782+TRANSACTIONS!$G2782,"")</f>
        <v>1500</v>
      </c>
      <c r="I2782" s="40" t="s">
        <v>41</v>
      </c>
    </row>
    <row r="2783" spans="1:13" x14ac:dyDescent="0.25">
      <c r="A2783" s="81">
        <v>45357.825570486108</v>
      </c>
      <c r="B2783" s="83">
        <f>IF(A2783&lt;&gt;"",DATE(YEAR(TRANSACTIONS!$A2783),MONTH(TRANSACTIONS!$A2783),DAY(TRANSACTIONS!$A2783)),"")</f>
        <v>45357</v>
      </c>
      <c r="C2783" s="84">
        <f>IF(A2783&lt;&gt;"",TIME(HOUR(TRANSACTIONS!$A2783),MINUTE(TRANSACTIONS!$A2783),SECOND(TRANSACTIONS!$A2783)),"")</f>
        <v>0.82556712962962964</v>
      </c>
      <c r="D2783" s="82" t="s">
        <v>62</v>
      </c>
      <c r="E2783" s="82" t="s">
        <v>6</v>
      </c>
      <c r="F2783" s="94">
        <v>2000</v>
      </c>
      <c r="G2783" s="86"/>
      <c r="H2783" s="86">
        <f>IFERROR(TRANSACTIONS!$F2783+TRANSACTIONS!$G2783,"")</f>
        <v>2000</v>
      </c>
      <c r="I2783" s="88" t="s">
        <v>41</v>
      </c>
      <c r="J2783" s="88"/>
      <c r="K2783" s="88"/>
      <c r="L2783" s="88"/>
      <c r="M2783" s="88"/>
    </row>
    <row r="2784" spans="1:13" x14ac:dyDescent="0.25">
      <c r="A2784" s="81">
        <v>45357.825584027778</v>
      </c>
      <c r="B2784" s="83">
        <f>IF(A2784&lt;&gt;"",DATE(YEAR(TRANSACTIONS!$A2784),MONTH(TRANSACTIONS!$A2784),DAY(TRANSACTIONS!$A2784)),"")</f>
        <v>45357</v>
      </c>
      <c r="C2784" s="84">
        <f>IF(A2784&lt;&gt;"",TIME(HOUR(TRANSACTIONS!$A2784),MINUTE(TRANSACTIONS!$A2784),SECOND(TRANSACTIONS!$A2784)),"")</f>
        <v>0.82557870370370379</v>
      </c>
      <c r="D2784" s="82" t="s">
        <v>62</v>
      </c>
      <c r="E2784" s="82" t="s">
        <v>6</v>
      </c>
      <c r="F2784" s="94">
        <v>40000</v>
      </c>
      <c r="G2784" s="86"/>
      <c r="H2784" s="86">
        <f>IFERROR(TRANSACTIONS!$F2784+TRANSACTIONS!$G2784,"")</f>
        <v>40000</v>
      </c>
      <c r="I2784" s="88" t="s">
        <v>41</v>
      </c>
      <c r="J2784" s="88"/>
      <c r="K2784" s="88"/>
      <c r="L2784" s="88"/>
      <c r="M2784" s="88"/>
    </row>
    <row r="2785" spans="1:9" x14ac:dyDescent="0.25">
      <c r="A2785" s="41">
        <v>45357.825592592591</v>
      </c>
      <c r="B2785" s="48">
        <f>IF(A2785&lt;&gt;"",DATE(YEAR(TRANSACTIONS!$A2785),MONTH(TRANSACTIONS!$A2785),DAY(TRANSACTIONS!$A2785)),"")</f>
        <v>45357</v>
      </c>
      <c r="C2785" s="49">
        <f>IF(A2785&lt;&gt;"",TIME(HOUR(TRANSACTIONS!$A2785),MINUTE(TRANSACTIONS!$A2785),SECOND(TRANSACTIONS!$A2785)),"")</f>
        <v>0.82559027777777771</v>
      </c>
      <c r="D2785" s="82" t="s">
        <v>62</v>
      </c>
      <c r="E2785" s="82" t="s">
        <v>7</v>
      </c>
      <c r="F2785" s="94">
        <v>5000</v>
      </c>
      <c r="G2785" s="46"/>
      <c r="H2785" s="46">
        <f>IFERROR(TRANSACTIONS!$F2785+TRANSACTIONS!$G2785,"")</f>
        <v>5000</v>
      </c>
      <c r="I2785" s="40" t="s">
        <v>41</v>
      </c>
    </row>
    <row r="2786" spans="1:9" x14ac:dyDescent="0.25">
      <c r="A2786" s="41">
        <v>45357.825702662034</v>
      </c>
      <c r="B2786" s="48">
        <f>IF(A2786&lt;&gt;"",DATE(YEAR(TRANSACTIONS!$A2786),MONTH(TRANSACTIONS!$A2786),DAY(TRANSACTIONS!$A2786)),"")</f>
        <v>45357</v>
      </c>
      <c r="C2786" s="49">
        <f>IF(A2786&lt;&gt;"",TIME(HOUR(TRANSACTIONS!$A2786),MINUTE(TRANSACTIONS!$A2786),SECOND(TRANSACTIONS!$A2786)),"")</f>
        <v>0.82570601851851855</v>
      </c>
      <c r="D2786" s="82" t="s">
        <v>62</v>
      </c>
      <c r="E2786" s="82" t="s">
        <v>6</v>
      </c>
      <c r="F2786" s="94">
        <v>20500</v>
      </c>
      <c r="G2786" s="46"/>
      <c r="H2786" s="46">
        <f>IFERROR(TRANSACTIONS!$F2786+TRANSACTIONS!$G2786,"")</f>
        <v>20500</v>
      </c>
      <c r="I2786" s="40" t="s">
        <v>41</v>
      </c>
    </row>
    <row r="2787" spans="1:9" x14ac:dyDescent="0.25">
      <c r="A2787" s="41">
        <v>45357.825721064815</v>
      </c>
      <c r="B2787" s="48">
        <f>IF(A2787&lt;&gt;"",DATE(YEAR(TRANSACTIONS!$A2787),MONTH(TRANSACTIONS!$A2787),DAY(TRANSACTIONS!$A2787)),"")</f>
        <v>45357</v>
      </c>
      <c r="C2787" s="49">
        <f>IF(A2787&lt;&gt;"",TIME(HOUR(TRANSACTIONS!$A2787),MINUTE(TRANSACTIONS!$A2787),SECOND(TRANSACTIONS!$A2787)),"")</f>
        <v>0.8257175925925927</v>
      </c>
      <c r="D2787" s="82" t="s">
        <v>62</v>
      </c>
      <c r="E2787" s="82" t="s">
        <v>7</v>
      </c>
      <c r="F2787" s="94">
        <v>1000</v>
      </c>
      <c r="G2787" s="46"/>
      <c r="H2787" s="46">
        <f>IFERROR(TRANSACTIONS!$F2787+TRANSACTIONS!$G2787,"")</f>
        <v>1000</v>
      </c>
      <c r="I2787" s="40" t="s">
        <v>41</v>
      </c>
    </row>
    <row r="2788" spans="1:9" x14ac:dyDescent="0.25">
      <c r="A2788" s="41">
        <v>45357.825747685187</v>
      </c>
      <c r="B2788" s="48">
        <f>IF(A2788&lt;&gt;"",DATE(YEAR(TRANSACTIONS!$A2788),MONTH(TRANSACTIONS!$A2788),DAY(TRANSACTIONS!$A2788)),"")</f>
        <v>45357</v>
      </c>
      <c r="C2788" s="49">
        <f>IF(A2788&lt;&gt;"",TIME(HOUR(TRANSACTIONS!$A2788),MINUTE(TRANSACTIONS!$A2788),SECOND(TRANSACTIONS!$A2788)),"")</f>
        <v>0.82575231481481481</v>
      </c>
      <c r="D2788" s="82" t="s">
        <v>62</v>
      </c>
      <c r="E2788" s="82" t="s">
        <v>6</v>
      </c>
      <c r="F2788" s="94">
        <v>20000</v>
      </c>
      <c r="G2788" s="46"/>
      <c r="H2788" s="46">
        <f>IFERROR(TRANSACTIONS!$F2788+TRANSACTIONS!$G2788,"")</f>
        <v>20000</v>
      </c>
      <c r="I2788" s="40" t="s">
        <v>41</v>
      </c>
    </row>
    <row r="2789" spans="1:9" x14ac:dyDescent="0.25">
      <c r="A2789" s="41">
        <v>45357.825728935182</v>
      </c>
      <c r="B2789" s="48">
        <f>IF(A2789&lt;&gt;"",DATE(YEAR(TRANSACTIONS!$A2789),MONTH(TRANSACTIONS!$A2789),DAY(TRANSACTIONS!$A2789)),"")</f>
        <v>45357</v>
      </c>
      <c r="C2789" s="49">
        <f>IF(A2789&lt;&gt;"",TIME(HOUR(TRANSACTIONS!$A2789),MINUTE(TRANSACTIONS!$A2789),SECOND(TRANSACTIONS!$A2789)),"")</f>
        <v>0.82572916666666663</v>
      </c>
      <c r="D2789" s="82" t="s">
        <v>62</v>
      </c>
      <c r="E2789" s="82" t="s">
        <v>6</v>
      </c>
      <c r="F2789" s="94">
        <v>4000</v>
      </c>
      <c r="G2789" s="46"/>
      <c r="H2789" s="46">
        <f>IFERROR(TRANSACTIONS!$F2789+TRANSACTIONS!$G2789,"")</f>
        <v>4000</v>
      </c>
      <c r="I2789" s="40" t="s">
        <v>41</v>
      </c>
    </row>
    <row r="2790" spans="1:9" x14ac:dyDescent="0.25">
      <c r="A2790" s="41">
        <v>45357.825756944447</v>
      </c>
      <c r="B2790" s="48">
        <f>IF(A2790&lt;&gt;"",DATE(YEAR(TRANSACTIONS!$A2790),MONTH(TRANSACTIONS!$A2790),DAY(TRANSACTIONS!$A2790)),"")</f>
        <v>45357</v>
      </c>
      <c r="C2790" s="49">
        <f>IF(A2790&lt;&gt;"",TIME(HOUR(TRANSACTIONS!$A2790),MINUTE(TRANSACTIONS!$A2790),SECOND(TRANSACTIONS!$A2790)),"")</f>
        <v>0.82575231481481481</v>
      </c>
      <c r="D2790" s="82" t="s">
        <v>62</v>
      </c>
      <c r="E2790" s="82" t="s">
        <v>7</v>
      </c>
      <c r="F2790" s="94">
        <v>2000</v>
      </c>
      <c r="G2790" s="46"/>
      <c r="H2790" s="46">
        <f>IFERROR(TRANSACTIONS!$F2790+TRANSACTIONS!$G2790,"")</f>
        <v>2000</v>
      </c>
      <c r="I2790" s="40" t="s">
        <v>41</v>
      </c>
    </row>
    <row r="2791" spans="1:9" x14ac:dyDescent="0.25">
      <c r="A2791" s="41">
        <v>45357.825769212963</v>
      </c>
      <c r="B2791" s="48">
        <f>IF(A2791&lt;&gt;"",DATE(YEAR(TRANSACTIONS!$A2791),MONTH(TRANSACTIONS!$A2791),DAY(TRANSACTIONS!$A2791)),"")</f>
        <v>45357</v>
      </c>
      <c r="C2791" s="49">
        <f>IF(A2791&lt;&gt;"",TIME(HOUR(TRANSACTIONS!$A2791),MINUTE(TRANSACTIONS!$A2791),SECOND(TRANSACTIONS!$A2791)),"")</f>
        <v>0.82576388888888896</v>
      </c>
      <c r="D2791" s="82" t="s">
        <v>62</v>
      </c>
      <c r="E2791" s="82" t="s">
        <v>7</v>
      </c>
      <c r="F2791" s="94">
        <v>2200</v>
      </c>
      <c r="G2791" s="46"/>
      <c r="H2791" s="46">
        <f>IFERROR(TRANSACTIONS!$F2791+TRANSACTIONS!$G2791,"")</f>
        <v>2200</v>
      </c>
      <c r="I2791" s="40" t="s">
        <v>50</v>
      </c>
    </row>
    <row r="2792" spans="1:9" x14ac:dyDescent="0.25">
      <c r="A2792" s="41">
        <v>45357.825776967591</v>
      </c>
      <c r="B2792" s="48">
        <f>IF(A2792&lt;&gt;"",DATE(YEAR(TRANSACTIONS!$A2792),MONTH(TRANSACTIONS!$A2792),DAY(TRANSACTIONS!$A2792)),"")</f>
        <v>45357</v>
      </c>
      <c r="C2792" s="49">
        <f>IF(A2792&lt;&gt;"",TIME(HOUR(TRANSACTIONS!$A2792),MINUTE(TRANSACTIONS!$A2792),SECOND(TRANSACTIONS!$A2792)),"")</f>
        <v>0.82577546296296289</v>
      </c>
      <c r="D2792" s="82" t="s">
        <v>62</v>
      </c>
      <c r="E2792" s="82" t="s">
        <v>7</v>
      </c>
      <c r="F2792" s="94">
        <v>50000</v>
      </c>
      <c r="G2792" s="46"/>
      <c r="H2792" s="46">
        <f>IFERROR(TRANSACTIONS!$F2792+TRANSACTIONS!$G2792,"")</f>
        <v>50000</v>
      </c>
      <c r="I2792" s="40" t="s">
        <v>41</v>
      </c>
    </row>
    <row r="2793" spans="1:9" x14ac:dyDescent="0.25">
      <c r="A2793" s="81">
        <v>45357.825784722219</v>
      </c>
      <c r="B2793" s="83">
        <f>IF(A2793&lt;&gt;"",DATE(YEAR(TRANSACTIONS!$A2793),MONTH(TRANSACTIONS!$A2793),DAY(TRANSACTIONS!$A2793)),"")</f>
        <v>45357</v>
      </c>
      <c r="C2793" s="84">
        <f>IF(A2793&lt;&gt;"",TIME(HOUR(TRANSACTIONS!$A2793),MINUTE(TRANSACTIONS!$A2793),SECOND(TRANSACTIONS!$A2793)),"")</f>
        <v>0.82578703703703704</v>
      </c>
      <c r="D2793" s="82" t="s">
        <v>62</v>
      </c>
      <c r="E2793" s="82" t="s">
        <v>7</v>
      </c>
      <c r="F2793" s="94">
        <v>25000</v>
      </c>
      <c r="G2793" s="86"/>
      <c r="H2793" s="86">
        <f>IFERROR(TRANSACTIONS!$F2793+TRANSACTIONS!$G2793,"")</f>
        <v>25000</v>
      </c>
      <c r="I2793" s="88" t="s">
        <v>41</v>
      </c>
    </row>
    <row r="2794" spans="1:9" x14ac:dyDescent="0.25">
      <c r="A2794" s="41">
        <v>45357.825792939817</v>
      </c>
      <c r="B2794" s="48">
        <f>IF(A2794&lt;&gt;"",DATE(YEAR(TRANSACTIONS!$A2794),MONTH(TRANSACTIONS!$A2794),DAY(TRANSACTIONS!$A2794)),"")</f>
        <v>45357</v>
      </c>
      <c r="C2794" s="49">
        <f>IF(A2794&lt;&gt;"",TIME(HOUR(TRANSACTIONS!$A2794),MINUTE(TRANSACTIONS!$A2794),SECOND(TRANSACTIONS!$A2794)),"")</f>
        <v>0.82579861111111119</v>
      </c>
      <c r="D2794" s="82" t="s">
        <v>62</v>
      </c>
      <c r="E2794" s="82" t="s">
        <v>6</v>
      </c>
      <c r="F2794" s="94">
        <v>5000</v>
      </c>
      <c r="G2794" s="46"/>
      <c r="H2794" s="46">
        <f>IFERROR(TRANSACTIONS!$F2794+TRANSACTIONS!$G2794,"")</f>
        <v>5000</v>
      </c>
      <c r="I2794" s="40" t="s">
        <v>41</v>
      </c>
    </row>
    <row r="2795" spans="1:9" x14ac:dyDescent="0.25">
      <c r="A2795" s="41">
        <v>45357.825802083331</v>
      </c>
      <c r="B2795" s="48">
        <f>IF(A2795&lt;&gt;"",DATE(YEAR(TRANSACTIONS!$A2795),MONTH(TRANSACTIONS!$A2795),DAY(TRANSACTIONS!$A2795)),"")</f>
        <v>45357</v>
      </c>
      <c r="C2795" s="49">
        <f>IF(A2795&lt;&gt;"",TIME(HOUR(TRANSACTIONS!$A2795),MINUTE(TRANSACTIONS!$A2795),SECOND(TRANSACTIONS!$A2795)),"")</f>
        <v>0.82579861111111119</v>
      </c>
      <c r="D2795" s="82" t="s">
        <v>62</v>
      </c>
      <c r="E2795" s="82" t="s">
        <v>6</v>
      </c>
      <c r="F2795" s="94">
        <v>16000</v>
      </c>
      <c r="G2795" s="46"/>
      <c r="H2795" s="46">
        <f>IFERROR(TRANSACTIONS!$F2795+TRANSACTIONS!$G2795,"")</f>
        <v>16000</v>
      </c>
      <c r="I2795" s="40" t="s">
        <v>41</v>
      </c>
    </row>
    <row r="2796" spans="1:9" x14ac:dyDescent="0.25">
      <c r="A2796" s="41">
        <v>45357.825810416667</v>
      </c>
      <c r="B2796" s="48">
        <f>IF(A2796&lt;&gt;"",DATE(YEAR(TRANSACTIONS!$A2796),MONTH(TRANSACTIONS!$A2796),DAY(TRANSACTIONS!$A2796)),"")</f>
        <v>45357</v>
      </c>
      <c r="C2796" s="49">
        <f>IF(A2796&lt;&gt;"",TIME(HOUR(TRANSACTIONS!$A2796),MINUTE(TRANSACTIONS!$A2796),SECOND(TRANSACTIONS!$A2796)),"")</f>
        <v>0.82581018518518512</v>
      </c>
      <c r="D2796" s="82" t="s">
        <v>62</v>
      </c>
      <c r="E2796" s="82" t="s">
        <v>7</v>
      </c>
      <c r="F2796" s="94">
        <v>20000</v>
      </c>
      <c r="G2796" s="46"/>
      <c r="H2796" s="46">
        <f>IFERROR(TRANSACTIONS!$F2796+TRANSACTIONS!$G2796,"")</f>
        <v>20000</v>
      </c>
      <c r="I2796" s="40" t="s">
        <v>41</v>
      </c>
    </row>
    <row r="2797" spans="1:9" x14ac:dyDescent="0.25">
      <c r="A2797" s="41">
        <v>45357.825835069445</v>
      </c>
      <c r="B2797" s="48">
        <f>IF(A2797&lt;&gt;"",DATE(YEAR(TRANSACTIONS!$A2797),MONTH(TRANSACTIONS!$A2797),DAY(TRANSACTIONS!$A2797)),"")</f>
        <v>45357</v>
      </c>
      <c r="C2797" s="49">
        <f>IF(A2797&lt;&gt;"",TIME(HOUR(TRANSACTIONS!$A2797),MINUTE(TRANSACTIONS!$A2797),SECOND(TRANSACTIONS!$A2797)),"")</f>
        <v>0.82583333333333331</v>
      </c>
      <c r="D2797" s="82" t="s">
        <v>62</v>
      </c>
      <c r="E2797" s="82" t="s">
        <v>7</v>
      </c>
      <c r="F2797" s="94">
        <v>9200</v>
      </c>
      <c r="G2797" s="46"/>
      <c r="H2797" s="46">
        <f>IFERROR(TRANSACTIONS!$F2797+TRANSACTIONS!$G2797,"")</f>
        <v>9200</v>
      </c>
      <c r="I2797" s="40" t="s">
        <v>41</v>
      </c>
    </row>
    <row r="2798" spans="1:9" x14ac:dyDescent="0.25">
      <c r="A2798" s="41">
        <v>45357.825843171297</v>
      </c>
      <c r="B2798" s="48">
        <f>IF(A2798&lt;&gt;"",DATE(YEAR(TRANSACTIONS!$A2798),MONTH(TRANSACTIONS!$A2798),DAY(TRANSACTIONS!$A2798)),"")</f>
        <v>45357</v>
      </c>
      <c r="C2798" s="49">
        <f>IF(A2798&lt;&gt;"",TIME(HOUR(TRANSACTIONS!$A2798),MINUTE(TRANSACTIONS!$A2798),SECOND(TRANSACTIONS!$A2798)),"")</f>
        <v>0.82584490740740746</v>
      </c>
      <c r="D2798" s="82" t="s">
        <v>62</v>
      </c>
      <c r="E2798" s="82" t="s">
        <v>7</v>
      </c>
      <c r="F2798" s="94">
        <v>5000</v>
      </c>
      <c r="G2798" s="46"/>
      <c r="H2798" s="46">
        <f>IFERROR(TRANSACTIONS!$F2798+TRANSACTIONS!$G2798,"")</f>
        <v>5000</v>
      </c>
      <c r="I2798" s="40" t="s">
        <v>41</v>
      </c>
    </row>
    <row r="2799" spans="1:9" x14ac:dyDescent="0.25">
      <c r="A2799" s="41">
        <v>45357.825859027776</v>
      </c>
      <c r="B2799" s="48">
        <f>IF(A2799&lt;&gt;"",DATE(YEAR(TRANSACTIONS!$A2799),MONTH(TRANSACTIONS!$A2799),DAY(TRANSACTIONS!$A2799)),"")</f>
        <v>45357</v>
      </c>
      <c r="C2799" s="49">
        <f>IF(A2799&lt;&gt;"",TIME(HOUR(TRANSACTIONS!$A2799),MINUTE(TRANSACTIONS!$A2799),SECOND(TRANSACTIONS!$A2799)),"")</f>
        <v>0.82585648148148139</v>
      </c>
      <c r="D2799" s="82" t="s">
        <v>62</v>
      </c>
      <c r="E2799" s="82" t="s">
        <v>7</v>
      </c>
      <c r="F2799" s="94">
        <v>25800</v>
      </c>
      <c r="G2799" s="46"/>
      <c r="H2799" s="46">
        <f>IFERROR(TRANSACTIONS!$F2799+TRANSACTIONS!$G2799,"")</f>
        <v>25800</v>
      </c>
      <c r="I2799" s="40" t="s">
        <v>41</v>
      </c>
    </row>
    <row r="2800" spans="1:9" x14ac:dyDescent="0.25">
      <c r="A2800" s="41">
        <v>45357.825867939813</v>
      </c>
      <c r="B2800" s="48">
        <f>IF(A2800&lt;&gt;"",DATE(YEAR(TRANSACTIONS!$A2800),MONTH(TRANSACTIONS!$A2800),DAY(TRANSACTIONS!$A2800)),"")</f>
        <v>45357</v>
      </c>
      <c r="C2800" s="49">
        <f>IF(A2800&lt;&gt;"",TIME(HOUR(TRANSACTIONS!$A2800),MINUTE(TRANSACTIONS!$A2800),SECOND(TRANSACTIONS!$A2800)),"")</f>
        <v>0.82586805555555554</v>
      </c>
      <c r="D2800" s="82" t="s">
        <v>62</v>
      </c>
      <c r="E2800" s="82" t="s">
        <v>7</v>
      </c>
      <c r="F2800" s="94">
        <v>4000</v>
      </c>
      <c r="G2800" s="46"/>
      <c r="H2800" s="46">
        <f>IFERROR(TRANSACTIONS!$F2800+TRANSACTIONS!$G2800,"")</f>
        <v>4000</v>
      </c>
      <c r="I2800" s="40" t="s">
        <v>41</v>
      </c>
    </row>
    <row r="2801" spans="1:9" x14ac:dyDescent="0.25">
      <c r="A2801" s="41">
        <v>45357.825875347226</v>
      </c>
      <c r="B2801" s="48">
        <f>IF(A2801&lt;&gt;"",DATE(YEAR(TRANSACTIONS!$A2801),MONTH(TRANSACTIONS!$A2801),DAY(TRANSACTIONS!$A2801)),"")</f>
        <v>45357</v>
      </c>
      <c r="C2801" s="49">
        <f>IF(A2801&lt;&gt;"",TIME(HOUR(TRANSACTIONS!$A2801),MINUTE(TRANSACTIONS!$A2801),SECOND(TRANSACTIONS!$A2801)),"")</f>
        <v>0.82587962962962969</v>
      </c>
      <c r="D2801" s="82" t="s">
        <v>62</v>
      </c>
      <c r="E2801" s="82" t="s">
        <v>7</v>
      </c>
      <c r="F2801" s="94">
        <v>1000</v>
      </c>
      <c r="G2801" s="46"/>
      <c r="H2801" s="46">
        <f>IFERROR(TRANSACTIONS!$F2801+TRANSACTIONS!$G2801,"")</f>
        <v>1000</v>
      </c>
      <c r="I2801" s="40" t="s">
        <v>41</v>
      </c>
    </row>
    <row r="2802" spans="1:9" x14ac:dyDescent="0.25">
      <c r="A2802" s="41">
        <v>45357.825885648148</v>
      </c>
      <c r="B2802" s="48">
        <f>IF(A2802&lt;&gt;"",DATE(YEAR(TRANSACTIONS!$A2802),MONTH(TRANSACTIONS!$A2802),DAY(TRANSACTIONS!$A2802)),"")</f>
        <v>45357</v>
      </c>
      <c r="C2802" s="49">
        <f>IF(A2802&lt;&gt;"",TIME(HOUR(TRANSACTIONS!$A2802),MINUTE(TRANSACTIONS!$A2802),SECOND(TRANSACTIONS!$A2802)),"")</f>
        <v>0.82589120370370372</v>
      </c>
      <c r="D2802" s="82" t="s">
        <v>62</v>
      </c>
      <c r="E2802" s="82" t="s">
        <v>6</v>
      </c>
      <c r="F2802" s="94">
        <v>40000</v>
      </c>
      <c r="G2802" s="46"/>
      <c r="H2802" s="46">
        <f>IFERROR(TRANSACTIONS!$F2802+TRANSACTIONS!$G2802,"")</f>
        <v>40000</v>
      </c>
      <c r="I2802" s="40" t="s">
        <v>41</v>
      </c>
    </row>
    <row r="2803" spans="1:9" x14ac:dyDescent="0.25">
      <c r="A2803" s="113">
        <v>45357.825897569448</v>
      </c>
      <c r="B2803" s="114">
        <f>IF(A2803&lt;&gt;"",DATE(YEAR(TRANSACTIONS!$A2803),MONTH(TRANSACTIONS!$A2803),DAY(TRANSACTIONS!$A2803)),"")</f>
        <v>45357</v>
      </c>
      <c r="C2803" s="115">
        <f>IF(A2803&lt;&gt;"",TIME(HOUR(TRANSACTIONS!$A2803),MINUTE(TRANSACTIONS!$A2803),SECOND(TRANSACTIONS!$A2803)),"")</f>
        <v>0.82590277777777776</v>
      </c>
      <c r="D2803" s="82" t="s">
        <v>62</v>
      </c>
      <c r="E2803" s="82" t="s">
        <v>7</v>
      </c>
      <c r="F2803" s="94">
        <v>1000</v>
      </c>
      <c r="G2803" s="117"/>
      <c r="H2803" s="117">
        <f>IFERROR(TRANSACTIONS!$F2803+TRANSACTIONS!$G2803,"")</f>
        <v>1000</v>
      </c>
      <c r="I2803" s="118" t="s">
        <v>41</v>
      </c>
    </row>
    <row r="2804" spans="1:9" x14ac:dyDescent="0.25">
      <c r="A2804" s="41">
        <v>45357.825906018516</v>
      </c>
      <c r="B2804" s="48">
        <f>IF(A2804&lt;&gt;"",DATE(YEAR(TRANSACTIONS!$A2804),MONTH(TRANSACTIONS!$A2804),DAY(TRANSACTIONS!$A2804)),"")</f>
        <v>45357</v>
      </c>
      <c r="C2804" s="49">
        <f>IF(A2804&lt;&gt;"",TIME(HOUR(TRANSACTIONS!$A2804),MINUTE(TRANSACTIONS!$A2804),SECOND(TRANSACTIONS!$A2804)),"")</f>
        <v>0.82590277777777776</v>
      </c>
      <c r="D2804" s="82" t="s">
        <v>62</v>
      </c>
      <c r="E2804" s="82" t="s">
        <v>6</v>
      </c>
      <c r="F2804" s="94">
        <v>30000</v>
      </c>
      <c r="G2804" s="46"/>
      <c r="H2804" s="46">
        <f>IFERROR(TRANSACTIONS!$F2804+TRANSACTIONS!$G2804,"")</f>
        <v>30000</v>
      </c>
      <c r="I2804" s="40" t="s">
        <v>41</v>
      </c>
    </row>
    <row r="2805" spans="1:9" x14ac:dyDescent="0.25">
      <c r="A2805" s="41">
        <v>45357.825924189812</v>
      </c>
      <c r="B2805" s="48">
        <f>IF(A2805&lt;&gt;"",DATE(YEAR(TRANSACTIONS!$A2805),MONTH(TRANSACTIONS!$A2805),DAY(TRANSACTIONS!$A2805)),"")</f>
        <v>45357</v>
      </c>
      <c r="C2805" s="49">
        <f>IF(A2805&lt;&gt;"",TIME(HOUR(TRANSACTIONS!$A2805),MINUTE(TRANSACTIONS!$A2805),SECOND(TRANSACTIONS!$A2805)),"")</f>
        <v>0.82592592592592595</v>
      </c>
      <c r="D2805" s="82" t="s">
        <v>62</v>
      </c>
      <c r="E2805" s="82" t="s">
        <v>7</v>
      </c>
      <c r="F2805" s="94">
        <v>50000</v>
      </c>
      <c r="G2805" s="46"/>
      <c r="H2805" s="46">
        <f>IFERROR(TRANSACTIONS!$F2805+TRANSACTIONS!$G2805,"")</f>
        <v>50000</v>
      </c>
      <c r="I2805" s="40" t="s">
        <v>41</v>
      </c>
    </row>
    <row r="2806" spans="1:9" x14ac:dyDescent="0.25">
      <c r="A2806" s="41">
        <v>45357.825950347222</v>
      </c>
      <c r="B2806" s="48">
        <f>IF(A2806&lt;&gt;"",DATE(YEAR(TRANSACTIONS!$A2806),MONTH(TRANSACTIONS!$A2806),DAY(TRANSACTIONS!$A2806)),"")</f>
        <v>45357</v>
      </c>
      <c r="C2806" s="49">
        <f>IF(A2806&lt;&gt;"",TIME(HOUR(TRANSACTIONS!$A2806),MINUTE(TRANSACTIONS!$A2806),SECOND(TRANSACTIONS!$A2806)),"")</f>
        <v>0.82594907407407403</v>
      </c>
      <c r="D2806" s="82" t="s">
        <v>62</v>
      </c>
      <c r="E2806" s="82" t="s">
        <v>6</v>
      </c>
      <c r="F2806" s="94">
        <v>400000</v>
      </c>
      <c r="G2806" s="46"/>
      <c r="H2806" s="46">
        <f>IFERROR(TRANSACTIONS!$F2806+TRANSACTIONS!$G2806,"")</f>
        <v>400000</v>
      </c>
      <c r="I2806" s="40" t="s">
        <v>41</v>
      </c>
    </row>
    <row r="2807" spans="1:9" x14ac:dyDescent="0.25">
      <c r="A2807" s="41">
        <v>45357.825964120369</v>
      </c>
      <c r="B2807" s="48">
        <f>IF(A2807&lt;&gt;"",DATE(YEAR(TRANSACTIONS!$A2807),MONTH(TRANSACTIONS!$A2807),DAY(TRANSACTIONS!$A2807)),"")</f>
        <v>45357</v>
      </c>
      <c r="C2807" s="49">
        <f>IF(A2807&lt;&gt;"",TIME(HOUR(TRANSACTIONS!$A2807),MINUTE(TRANSACTIONS!$A2807),SECOND(TRANSACTIONS!$A2807)),"")</f>
        <v>0.82596064814814818</v>
      </c>
      <c r="D2807" s="82" t="s">
        <v>62</v>
      </c>
      <c r="E2807" s="82" t="s">
        <v>6</v>
      </c>
      <c r="F2807" s="94">
        <v>20000</v>
      </c>
      <c r="G2807" s="46"/>
      <c r="H2807" s="46">
        <f>IFERROR(TRANSACTIONS!$F2807+TRANSACTIONS!$G2807,"")</f>
        <v>20000</v>
      </c>
      <c r="I2807" s="40" t="s">
        <v>41</v>
      </c>
    </row>
    <row r="2808" spans="1:9" x14ac:dyDescent="0.25">
      <c r="A2808" s="41">
        <v>45357.825979629626</v>
      </c>
      <c r="B2808" s="48">
        <f>IF(A2808&lt;&gt;"",DATE(YEAR(TRANSACTIONS!$A2808),MONTH(TRANSACTIONS!$A2808),DAY(TRANSACTIONS!$A2808)),"")</f>
        <v>45357</v>
      </c>
      <c r="C2808" s="49">
        <f>IF(A2808&lt;&gt;"",TIME(HOUR(TRANSACTIONS!$A2808),MINUTE(TRANSACTIONS!$A2808),SECOND(TRANSACTIONS!$A2808)),"")</f>
        <v>0.82598379629629637</v>
      </c>
      <c r="D2808" s="82" t="s">
        <v>62</v>
      </c>
      <c r="E2808" s="82" t="s">
        <v>7</v>
      </c>
      <c r="F2808" s="94">
        <v>1000</v>
      </c>
      <c r="G2808" s="46"/>
      <c r="H2808" s="46">
        <f>IFERROR(TRANSACTIONS!$F2808+TRANSACTIONS!$G2808,"")</f>
        <v>1000</v>
      </c>
      <c r="I2808" s="40" t="s">
        <v>41</v>
      </c>
    </row>
    <row r="2809" spans="1:9" x14ac:dyDescent="0.25">
      <c r="A2809" s="41">
        <v>45357.825989236109</v>
      </c>
      <c r="B2809" s="48">
        <f>IF(A2809&lt;&gt;"",DATE(YEAR(TRANSACTIONS!$A2809),MONTH(TRANSACTIONS!$A2809),DAY(TRANSACTIONS!$A2809)),"")</f>
        <v>45357</v>
      </c>
      <c r="C2809" s="49">
        <f>IF(A2809&lt;&gt;"",TIME(HOUR(TRANSACTIONS!$A2809),MINUTE(TRANSACTIONS!$A2809),SECOND(TRANSACTIONS!$A2809)),"")</f>
        <v>0.82598379629629637</v>
      </c>
      <c r="D2809" s="82" t="s">
        <v>25</v>
      </c>
      <c r="E2809" s="82" t="s">
        <v>6</v>
      </c>
      <c r="F2809" s="94">
        <v>1000</v>
      </c>
      <c r="G2809" s="46"/>
      <c r="H2809" s="46">
        <f>IFERROR(TRANSACTIONS!$F2809+TRANSACTIONS!$G2809,"")</f>
        <v>1000</v>
      </c>
      <c r="I2809" s="40" t="s">
        <v>41</v>
      </c>
    </row>
    <row r="2810" spans="1:9" x14ac:dyDescent="0.25">
      <c r="A2810" s="41">
        <v>45357.825997337961</v>
      </c>
      <c r="B2810" s="48">
        <f>IF(A2810&lt;&gt;"",DATE(YEAR(TRANSACTIONS!$A2810),MONTH(TRANSACTIONS!$A2810),DAY(TRANSACTIONS!$A2810)),"")</f>
        <v>45357</v>
      </c>
      <c r="C2810" s="49">
        <f>IF(A2810&lt;&gt;"",TIME(HOUR(TRANSACTIONS!$A2810),MINUTE(TRANSACTIONS!$A2810),SECOND(TRANSACTIONS!$A2810)),"")</f>
        <v>0.8259953703703703</v>
      </c>
      <c r="D2810" s="82" t="s">
        <v>25</v>
      </c>
      <c r="E2810" s="82" t="s">
        <v>6</v>
      </c>
      <c r="F2810" s="94">
        <v>1000</v>
      </c>
      <c r="G2810" s="46"/>
      <c r="H2810" s="46">
        <f>IFERROR(TRANSACTIONS!$F2810+TRANSACTIONS!$G2810,"")</f>
        <v>1000</v>
      </c>
      <c r="I2810" s="40" t="s">
        <v>41</v>
      </c>
    </row>
    <row r="2811" spans="1:9" x14ac:dyDescent="0.25">
      <c r="A2811" s="41">
        <v>45357.826005324074</v>
      </c>
      <c r="B2811" s="48">
        <f>IF(A2811&lt;&gt;"",DATE(YEAR(TRANSACTIONS!$A2811),MONTH(TRANSACTIONS!$A2811),DAY(TRANSACTIONS!$A2811)),"")</f>
        <v>45357</v>
      </c>
      <c r="C2811" s="49">
        <f>IF(A2811&lt;&gt;"",TIME(HOUR(TRANSACTIONS!$A2811),MINUTE(TRANSACTIONS!$A2811),SECOND(TRANSACTIONS!$A2811)),"")</f>
        <v>0.82600694444444445</v>
      </c>
      <c r="D2811" s="82" t="s">
        <v>25</v>
      </c>
      <c r="E2811" s="82" t="s">
        <v>6</v>
      </c>
      <c r="F2811" s="94">
        <v>3000</v>
      </c>
      <c r="G2811" s="46"/>
      <c r="H2811" s="46">
        <f>IFERROR(TRANSACTIONS!$F2811+TRANSACTIONS!$G2811,"")</f>
        <v>3000</v>
      </c>
      <c r="I2811" s="40" t="s">
        <v>41</v>
      </c>
    </row>
    <row r="2812" spans="1:9" x14ac:dyDescent="0.25">
      <c r="A2812" s="41">
        <v>45357.826039120373</v>
      </c>
      <c r="B2812" s="48">
        <f>IF(A2812&lt;&gt;"",DATE(YEAR(TRANSACTIONS!$A2812),MONTH(TRANSACTIONS!$A2812),DAY(TRANSACTIONS!$A2812)),"")</f>
        <v>45357</v>
      </c>
      <c r="C2812" s="49">
        <f>IF(A2812&lt;&gt;"",TIME(HOUR(TRANSACTIONS!$A2812),MINUTE(TRANSACTIONS!$A2812),SECOND(TRANSACTIONS!$A2812)),"")</f>
        <v>0.82604166666666667</v>
      </c>
      <c r="D2812" s="82" t="s">
        <v>25</v>
      </c>
      <c r="E2812" s="82" t="s">
        <v>6</v>
      </c>
      <c r="F2812" s="94">
        <v>5000</v>
      </c>
      <c r="G2812" s="46"/>
      <c r="H2812" s="46">
        <f>IFERROR(TRANSACTIONS!$F2812+TRANSACTIONS!$G2812,"")</f>
        <v>5000</v>
      </c>
      <c r="I2812" s="40" t="s">
        <v>41</v>
      </c>
    </row>
    <row r="2813" spans="1:9" x14ac:dyDescent="0.25">
      <c r="A2813" s="41">
        <v>45357.82604965278</v>
      </c>
      <c r="B2813" s="48">
        <f>IF(A2813&lt;&gt;"",DATE(YEAR(TRANSACTIONS!$A2813),MONTH(TRANSACTIONS!$A2813),DAY(TRANSACTIONS!$A2813)),"")</f>
        <v>45357</v>
      </c>
      <c r="C2813" s="49">
        <f>IF(A2813&lt;&gt;"",TIME(HOUR(TRANSACTIONS!$A2813),MINUTE(TRANSACTIONS!$A2813),SECOND(TRANSACTIONS!$A2813)),"")</f>
        <v>0.82605324074074071</v>
      </c>
      <c r="D2813" s="82" t="s">
        <v>25</v>
      </c>
      <c r="E2813" s="82" t="s">
        <v>6</v>
      </c>
      <c r="F2813" s="94">
        <v>2000</v>
      </c>
      <c r="G2813" s="46"/>
      <c r="H2813" s="46">
        <f>IFERROR(TRANSACTIONS!$F2813+TRANSACTIONS!$G2813,"")</f>
        <v>2000</v>
      </c>
      <c r="I2813" s="40" t="s">
        <v>41</v>
      </c>
    </row>
    <row r="2814" spans="1:9" x14ac:dyDescent="0.25">
      <c r="A2814" s="41">
        <v>45357.826057986109</v>
      </c>
      <c r="B2814" s="48">
        <f>IF(A2814&lt;&gt;"",DATE(YEAR(TRANSACTIONS!$A2814),MONTH(TRANSACTIONS!$A2814),DAY(TRANSACTIONS!$A2814)),"")</f>
        <v>45357</v>
      </c>
      <c r="C2814" s="49">
        <f>IF(A2814&lt;&gt;"",TIME(HOUR(TRANSACTIONS!$A2814),MINUTE(TRANSACTIONS!$A2814),SECOND(TRANSACTIONS!$A2814)),"")</f>
        <v>0.82605324074074071</v>
      </c>
      <c r="D2814" s="82" t="s">
        <v>25</v>
      </c>
      <c r="E2814" s="82" t="s">
        <v>6</v>
      </c>
      <c r="F2814" s="94">
        <v>5000</v>
      </c>
      <c r="G2814" s="46"/>
      <c r="H2814" s="46">
        <f>IFERROR(TRANSACTIONS!$F2814+TRANSACTIONS!$G2814,"")</f>
        <v>5000</v>
      </c>
      <c r="I2814" s="40" t="s">
        <v>41</v>
      </c>
    </row>
    <row r="2815" spans="1:9" x14ac:dyDescent="0.25">
      <c r="A2815" s="41">
        <v>45357.826066782407</v>
      </c>
      <c r="B2815" s="48">
        <f>IF(A2815&lt;&gt;"",DATE(YEAR(TRANSACTIONS!$A2815),MONTH(TRANSACTIONS!$A2815),DAY(TRANSACTIONS!$A2815)),"")</f>
        <v>45357</v>
      </c>
      <c r="C2815" s="49">
        <f>IF(A2815&lt;&gt;"",TIME(HOUR(TRANSACTIONS!$A2815),MINUTE(TRANSACTIONS!$A2815),SECOND(TRANSACTIONS!$A2815)),"")</f>
        <v>0.82606481481481486</v>
      </c>
      <c r="D2815" s="82" t="s">
        <v>25</v>
      </c>
      <c r="E2815" s="82" t="s">
        <v>7</v>
      </c>
      <c r="F2815" s="94">
        <v>50000</v>
      </c>
      <c r="G2815" s="46"/>
      <c r="H2815" s="46">
        <f>IFERROR(TRANSACTIONS!$F2815+TRANSACTIONS!$G2815,"")</f>
        <v>50000</v>
      </c>
      <c r="I2815" s="40" t="s">
        <v>41</v>
      </c>
    </row>
    <row r="2816" spans="1:9" x14ac:dyDescent="0.25">
      <c r="A2816" s="41">
        <v>45357.826074421297</v>
      </c>
      <c r="B2816" s="48">
        <f>IF(A2816&lt;&gt;"",DATE(YEAR(TRANSACTIONS!$A2816),MONTH(TRANSACTIONS!$A2816),DAY(TRANSACTIONS!$A2816)),"")</f>
        <v>45357</v>
      </c>
      <c r="C2816" s="49">
        <f>IF(A2816&lt;&gt;"",TIME(HOUR(TRANSACTIONS!$A2816),MINUTE(TRANSACTIONS!$A2816),SECOND(TRANSACTIONS!$A2816)),"")</f>
        <v>0.82607638888888879</v>
      </c>
      <c r="D2816" s="82" t="s">
        <v>25</v>
      </c>
      <c r="E2816" s="82" t="s">
        <v>6</v>
      </c>
      <c r="F2816" s="94">
        <v>2500</v>
      </c>
      <c r="G2816" s="46"/>
      <c r="H2816" s="46">
        <f>IFERROR(TRANSACTIONS!$F2816+TRANSACTIONS!$G2816,"")</f>
        <v>2500</v>
      </c>
      <c r="I2816" s="40" t="s">
        <v>41</v>
      </c>
    </row>
    <row r="2817" spans="1:10" x14ac:dyDescent="0.25">
      <c r="A2817" s="41">
        <v>45357.82608240741</v>
      </c>
      <c r="B2817" s="48">
        <f>IF(A2817&lt;&gt;"",DATE(YEAR(TRANSACTIONS!$A2817),MONTH(TRANSACTIONS!$A2817),DAY(TRANSACTIONS!$A2817)),"")</f>
        <v>45357</v>
      </c>
      <c r="C2817" s="49">
        <f>IF(A2817&lt;&gt;"",TIME(HOUR(TRANSACTIONS!$A2817),MINUTE(TRANSACTIONS!$A2817),SECOND(TRANSACTIONS!$A2817)),"")</f>
        <v>0.82608796296296294</v>
      </c>
      <c r="D2817" s="82" t="s">
        <v>25</v>
      </c>
      <c r="E2817" s="82" t="s">
        <v>6</v>
      </c>
      <c r="F2817" s="94">
        <v>20000</v>
      </c>
      <c r="G2817" s="46"/>
      <c r="H2817" s="46">
        <f>IFERROR(TRANSACTIONS!$F2817+TRANSACTIONS!$G2817,"")</f>
        <v>20000</v>
      </c>
      <c r="I2817" s="40" t="s">
        <v>41</v>
      </c>
    </row>
    <row r="2818" spans="1:10" x14ac:dyDescent="0.25">
      <c r="A2818" s="41">
        <v>45357.826092129631</v>
      </c>
      <c r="B2818" s="48">
        <f>IF(A2818&lt;&gt;"",DATE(YEAR(TRANSACTIONS!$A2818),MONTH(TRANSACTIONS!$A2818),DAY(TRANSACTIONS!$A2818)),"")</f>
        <v>45357</v>
      </c>
      <c r="C2818" s="49">
        <f>IF(A2818&lt;&gt;"",TIME(HOUR(TRANSACTIONS!$A2818),MINUTE(TRANSACTIONS!$A2818),SECOND(TRANSACTIONS!$A2818)),"")</f>
        <v>0.82608796296296294</v>
      </c>
      <c r="D2818" s="82" t="s">
        <v>25</v>
      </c>
      <c r="E2818" s="82" t="s">
        <v>6</v>
      </c>
      <c r="F2818" s="94">
        <v>1500</v>
      </c>
      <c r="G2818" s="46"/>
      <c r="H2818" s="46">
        <f>IFERROR(TRANSACTIONS!$F2818+TRANSACTIONS!$G2818,"")</f>
        <v>1500</v>
      </c>
      <c r="I2818" s="40" t="s">
        <v>41</v>
      </c>
    </row>
    <row r="2819" spans="1:10" x14ac:dyDescent="0.25">
      <c r="A2819" s="41">
        <v>45357.826114930554</v>
      </c>
      <c r="B2819" s="48">
        <f>IF(A2819&lt;&gt;"",DATE(YEAR(TRANSACTIONS!$A2819),MONTH(TRANSACTIONS!$A2819),DAY(TRANSACTIONS!$A2819)),"")</f>
        <v>45357</v>
      </c>
      <c r="C2819" s="49">
        <f>IF(A2819&lt;&gt;"",TIME(HOUR(TRANSACTIONS!$A2819),MINUTE(TRANSACTIONS!$A2819),SECOND(TRANSACTIONS!$A2819)),"")</f>
        <v>0.82611111111111113</v>
      </c>
      <c r="D2819" s="82" t="s">
        <v>25</v>
      </c>
      <c r="E2819" s="82" t="s">
        <v>6</v>
      </c>
      <c r="F2819" s="94">
        <v>22000</v>
      </c>
      <c r="G2819" s="46"/>
      <c r="H2819" s="46">
        <f>IFERROR(TRANSACTIONS!$F2819+TRANSACTIONS!$G2819,"")</f>
        <v>22000</v>
      </c>
      <c r="I2819" s="40" t="s">
        <v>41</v>
      </c>
    </row>
    <row r="2820" spans="1:10" x14ac:dyDescent="0.25">
      <c r="A2820" s="41">
        <v>45357.826131712965</v>
      </c>
      <c r="B2820" s="48">
        <f>IF(A2820&lt;&gt;"",DATE(YEAR(TRANSACTIONS!$A2820),MONTH(TRANSACTIONS!$A2820),DAY(TRANSACTIONS!$A2820)),"")</f>
        <v>45357</v>
      </c>
      <c r="C2820" s="49">
        <f>IF(A2820&lt;&gt;"",TIME(HOUR(TRANSACTIONS!$A2820),MINUTE(TRANSACTIONS!$A2820),SECOND(TRANSACTIONS!$A2820)),"")</f>
        <v>0.82613425925925921</v>
      </c>
      <c r="D2820" s="82" t="s">
        <v>25</v>
      </c>
      <c r="E2820" s="82" t="s">
        <v>6</v>
      </c>
      <c r="F2820" s="94">
        <v>5000</v>
      </c>
      <c r="G2820" s="46"/>
      <c r="H2820" s="46">
        <f>IFERROR(TRANSACTIONS!$F2820+TRANSACTIONS!$G2820,"")</f>
        <v>5000</v>
      </c>
      <c r="I2820" s="40" t="s">
        <v>41</v>
      </c>
    </row>
    <row r="2821" spans="1:10" x14ac:dyDescent="0.25">
      <c r="A2821" s="41">
        <v>45357.826157523152</v>
      </c>
      <c r="B2821" s="48">
        <f>IF(A2821&lt;&gt;"",DATE(YEAR(TRANSACTIONS!$A2821),MONTH(TRANSACTIONS!$A2821),DAY(TRANSACTIONS!$A2821)),"")</f>
        <v>45357</v>
      </c>
      <c r="C2821" s="49">
        <f>IF(A2821&lt;&gt;"",TIME(HOUR(TRANSACTIONS!$A2821),MINUTE(TRANSACTIONS!$A2821),SECOND(TRANSACTIONS!$A2821)),"")</f>
        <v>0.82615740740740751</v>
      </c>
      <c r="D2821" s="82" t="s">
        <v>25</v>
      </c>
      <c r="E2821" s="82" t="s">
        <v>6</v>
      </c>
      <c r="F2821" s="94">
        <v>60000</v>
      </c>
      <c r="G2821" s="46"/>
      <c r="H2821" s="46">
        <f>IFERROR(TRANSACTIONS!$F2821+TRANSACTIONS!$G2821,"")</f>
        <v>60000</v>
      </c>
      <c r="I2821" s="40" t="s">
        <v>41</v>
      </c>
    </row>
    <row r="2822" spans="1:10" x14ac:dyDescent="0.25">
      <c r="A2822" s="41">
        <v>45357.82616261574</v>
      </c>
      <c r="B2822" s="48">
        <f>IF(A2822&lt;&gt;"",DATE(YEAR(TRANSACTIONS!$A2822),MONTH(TRANSACTIONS!$A2822),DAY(TRANSACTIONS!$A2822)),"")</f>
        <v>45357</v>
      </c>
      <c r="C2822" s="49">
        <f>IF(A2822&lt;&gt;"",TIME(HOUR(TRANSACTIONS!$A2822),MINUTE(TRANSACTIONS!$A2822),SECOND(TRANSACTIONS!$A2822)),"")</f>
        <v>0.82615740740740751</v>
      </c>
      <c r="D2822" s="82" t="s">
        <v>25</v>
      </c>
      <c r="E2822" s="82" t="s">
        <v>6</v>
      </c>
      <c r="F2822" s="94">
        <v>1000</v>
      </c>
      <c r="G2822" s="46"/>
      <c r="H2822" s="46">
        <f>IFERROR(TRANSACTIONS!$F2822+TRANSACTIONS!$G2822,"")</f>
        <v>1000</v>
      </c>
      <c r="I2822" s="40" t="s">
        <v>41</v>
      </c>
    </row>
    <row r="2823" spans="1:10" x14ac:dyDescent="0.25">
      <c r="A2823" s="41">
        <v>45357.828604745373</v>
      </c>
      <c r="B2823" s="48">
        <f>IF(A2823&lt;&gt;"",DATE(YEAR(TRANSACTIONS!$A2823),MONTH(TRANSACTIONS!$A2823),DAY(TRANSACTIONS!$A2823)),"")</f>
        <v>45357</v>
      </c>
      <c r="C2823" s="49">
        <f>IF(A2823&lt;&gt;"",TIME(HOUR(TRANSACTIONS!$A2823),MINUTE(TRANSACTIONS!$A2823),SECOND(TRANSACTIONS!$A2823)),"")</f>
        <v>0.82859953703703704</v>
      </c>
      <c r="D2823" s="82" t="s">
        <v>25</v>
      </c>
      <c r="E2823" s="82" t="s">
        <v>7</v>
      </c>
      <c r="F2823" s="94">
        <v>6000</v>
      </c>
      <c r="G2823" s="46"/>
      <c r="H2823" s="46">
        <f>IFERROR(TRANSACTIONS!$F2823+TRANSACTIONS!$G2823,"")</f>
        <v>6000</v>
      </c>
      <c r="I2823" s="40" t="s">
        <v>41</v>
      </c>
    </row>
    <row r="2824" spans="1:10" x14ac:dyDescent="0.25">
      <c r="A2824" s="41">
        <v>45357.828608912037</v>
      </c>
      <c r="B2824" s="48">
        <f>IF(A2824&lt;&gt;"",DATE(YEAR(TRANSACTIONS!$A2824),MONTH(TRANSACTIONS!$A2824),DAY(TRANSACTIONS!$A2824)),"")</f>
        <v>45357</v>
      </c>
      <c r="C2824" s="49">
        <f>IF(A2824&lt;&gt;"",TIME(HOUR(TRANSACTIONS!$A2824),MINUTE(TRANSACTIONS!$A2824),SECOND(TRANSACTIONS!$A2824)),"")</f>
        <v>0.82861111111111108</v>
      </c>
      <c r="D2824" s="82" t="s">
        <v>25</v>
      </c>
      <c r="E2824" s="82" t="s">
        <v>6</v>
      </c>
      <c r="F2824" s="94">
        <v>550</v>
      </c>
      <c r="G2824" s="46"/>
      <c r="H2824" s="46">
        <f>IFERROR(TRANSACTIONS!$F2824+TRANSACTIONS!$G2824,"")</f>
        <v>550</v>
      </c>
      <c r="I2824" s="40" t="s">
        <v>41</v>
      </c>
    </row>
    <row r="2825" spans="1:10" x14ac:dyDescent="0.25">
      <c r="A2825" s="41">
        <v>45357.828647685186</v>
      </c>
      <c r="B2825" s="48">
        <f>IF(A2825&lt;&gt;"",DATE(YEAR(TRANSACTIONS!$A2825),MONTH(TRANSACTIONS!$A2825),DAY(TRANSACTIONS!$A2825)),"")</f>
        <v>45357</v>
      </c>
      <c r="C2825" s="49">
        <f>IF(A2825&lt;&gt;"",TIME(HOUR(TRANSACTIONS!$A2825),MINUTE(TRANSACTIONS!$A2825),SECOND(TRANSACTIONS!$A2825)),"")</f>
        <v>0.8286458333333333</v>
      </c>
      <c r="D2825" s="82" t="s">
        <v>25</v>
      </c>
      <c r="E2825" s="82" t="s">
        <v>6</v>
      </c>
      <c r="F2825" s="94">
        <v>2000</v>
      </c>
      <c r="G2825" s="46"/>
      <c r="H2825" s="46">
        <f>IFERROR(TRANSACTIONS!$F2825+TRANSACTIONS!$G2825,"")</f>
        <v>2000</v>
      </c>
      <c r="I2825" s="40" t="s">
        <v>41</v>
      </c>
    </row>
    <row r="2826" spans="1:10" x14ac:dyDescent="0.25">
      <c r="A2826" s="81">
        <v>45357.828656365738</v>
      </c>
      <c r="B2826" s="83">
        <f>IF(A2826&lt;&gt;"",DATE(YEAR(TRANSACTIONS!$A2826),MONTH(TRANSACTIONS!$A2826),DAY(TRANSACTIONS!$A2826)),"")</f>
        <v>45357</v>
      </c>
      <c r="C2826" s="84">
        <f>IF(A2826&lt;&gt;"",TIME(HOUR(TRANSACTIONS!$A2826),MINUTE(TRANSACTIONS!$A2826),SECOND(TRANSACTIONS!$A2826)),"")</f>
        <v>0.82865740740740745</v>
      </c>
      <c r="D2826" s="82" t="s">
        <v>25</v>
      </c>
      <c r="E2826" s="82" t="s">
        <v>6</v>
      </c>
      <c r="F2826" s="94">
        <v>10000</v>
      </c>
      <c r="G2826" s="86"/>
      <c r="H2826" s="86">
        <f>IFERROR(TRANSACTIONS!$F2826+TRANSACTIONS!$G2826,"")</f>
        <v>10000</v>
      </c>
      <c r="I2826" s="88" t="s">
        <v>41</v>
      </c>
    </row>
    <row r="2827" spans="1:10" x14ac:dyDescent="0.25">
      <c r="A2827" s="71">
        <v>45357.828664699075</v>
      </c>
      <c r="B2827" s="73">
        <f>IF(A2827&lt;&gt;"",DATE(YEAR(TRANSACTIONS!$A2827),MONTH(TRANSACTIONS!$A2827),DAY(TRANSACTIONS!$A2827)),"")</f>
        <v>45357</v>
      </c>
      <c r="C2827" s="74">
        <f>IF(A2827&lt;&gt;"",TIME(HOUR(TRANSACTIONS!$A2827),MINUTE(TRANSACTIONS!$A2827),SECOND(TRANSACTIONS!$A2827)),"")</f>
        <v>0.82866898148148149</v>
      </c>
      <c r="D2827" s="72" t="s">
        <v>25</v>
      </c>
      <c r="E2827" s="72" t="s">
        <v>7</v>
      </c>
      <c r="F2827" s="180">
        <v>5000</v>
      </c>
      <c r="G2827" s="75"/>
      <c r="H2827" s="75">
        <f>IFERROR(TRANSACTIONS!$F2827+TRANSACTIONS!$G2827,"")</f>
        <v>5000</v>
      </c>
      <c r="I2827" s="76" t="s">
        <v>41</v>
      </c>
      <c r="J2827" s="118"/>
    </row>
    <row r="2828" spans="1:10" ht="15.75" customHeight="1" x14ac:dyDescent="0.25">
      <c r="A2828" s="113"/>
      <c r="B2828" s="114" t="str">
        <f>IF(A2828&lt;&gt;"",DATE(YEAR(TRANSACTIONS!$A2828),MONTH(TRANSACTIONS!$A2828),DAY(TRANSACTIONS!$A2828)),"")</f>
        <v/>
      </c>
      <c r="C2828" s="115" t="str">
        <f>IF(A2828&lt;&gt;"",TIME(HOUR(TRANSACTIONS!$A2828),MINUTE(TRANSACTIONS!$A2828),SECOND(TRANSACTIONS!$A2828)),"")</f>
        <v/>
      </c>
      <c r="D2828" s="82"/>
      <c r="E2828" s="82"/>
      <c r="F2828" s="94"/>
      <c r="G2828" s="117"/>
      <c r="H2828" s="117">
        <f>IFERROR(TRANSACTIONS!$F2828+TRANSACTIONS!$G2828,"")</f>
        <v>0</v>
      </c>
      <c r="I2828" s="118" t="s">
        <v>41</v>
      </c>
      <c r="J2828" s="118"/>
    </row>
    <row r="2829" spans="1:10" x14ac:dyDescent="0.25">
      <c r="A2829" s="113">
        <v>45358.432737615738</v>
      </c>
      <c r="B2829" s="114">
        <f>IF(A2829&lt;&gt;"",DATE(YEAR(TRANSACTIONS!$A2829),MONTH(TRANSACTIONS!$A2829),DAY(TRANSACTIONS!$A2829)),"")</f>
        <v>45358</v>
      </c>
      <c r="C2829" s="115">
        <f>IF(A2829&lt;&gt;"",TIME(HOUR(TRANSACTIONS!$A2829),MINUTE(TRANSACTIONS!$A2829),SECOND(TRANSACTIONS!$A2829)),"")</f>
        <v>0.43274305555555559</v>
      </c>
      <c r="D2829" s="82" t="s">
        <v>62</v>
      </c>
      <c r="E2829" s="82" t="s">
        <v>7</v>
      </c>
      <c r="F2829" s="94">
        <v>5050</v>
      </c>
      <c r="G2829" s="117"/>
      <c r="H2829" s="117">
        <f>IFERROR(TRANSACTIONS!$F2829+TRANSACTIONS!$G2829,"")</f>
        <v>5050</v>
      </c>
      <c r="I2829" s="118" t="s">
        <v>41</v>
      </c>
      <c r="J2829" s="118"/>
    </row>
    <row r="2830" spans="1:10" x14ac:dyDescent="0.25">
      <c r="A2830" s="41">
        <v>45358.433148379627</v>
      </c>
      <c r="B2830" s="48">
        <f>IF(A2830&lt;&gt;"",DATE(YEAR(TRANSACTIONS!$A2830),MONTH(TRANSACTIONS!$A2830),DAY(TRANSACTIONS!$A2830)),"")</f>
        <v>45358</v>
      </c>
      <c r="C2830" s="49">
        <f>IF(A2830&lt;&gt;"",TIME(HOUR(TRANSACTIONS!$A2830),MINUTE(TRANSACTIONS!$A2830),SECOND(TRANSACTIONS!$A2830)),"")</f>
        <v>0.43314814814814812</v>
      </c>
      <c r="D2830" s="82" t="s">
        <v>62</v>
      </c>
      <c r="E2830" s="82" t="s">
        <v>6</v>
      </c>
      <c r="F2830" s="94">
        <v>5050</v>
      </c>
      <c r="G2830" s="46"/>
      <c r="H2830" s="46">
        <f>IFERROR(TRANSACTIONS!$F2830+TRANSACTIONS!$G2830,"")</f>
        <v>5050</v>
      </c>
      <c r="I2830" s="40" t="s">
        <v>41</v>
      </c>
    </row>
    <row r="2831" spans="1:10" x14ac:dyDescent="0.25">
      <c r="A2831" s="41">
        <v>45358.433198842591</v>
      </c>
      <c r="B2831" s="48">
        <f>IF(A2831&lt;&gt;"",DATE(YEAR(TRANSACTIONS!$A2831),MONTH(TRANSACTIONS!$A2831),DAY(TRANSACTIONS!$A2831)),"")</f>
        <v>45358</v>
      </c>
      <c r="C2831" s="49">
        <f>IF(A2831&lt;&gt;"",TIME(HOUR(TRANSACTIONS!$A2831),MINUTE(TRANSACTIONS!$A2831),SECOND(TRANSACTIONS!$A2831)),"")</f>
        <v>0.43319444444444444</v>
      </c>
      <c r="D2831" s="82" t="s">
        <v>25</v>
      </c>
      <c r="E2831" s="82" t="s">
        <v>6</v>
      </c>
      <c r="F2831" s="94">
        <v>6550</v>
      </c>
      <c r="G2831" s="46"/>
      <c r="H2831" s="46">
        <f>IFERROR(TRANSACTIONS!$F2831+TRANSACTIONS!$G2831,"")</f>
        <v>6550</v>
      </c>
      <c r="I2831" s="40" t="s">
        <v>41</v>
      </c>
    </row>
    <row r="2832" spans="1:10" x14ac:dyDescent="0.25">
      <c r="A2832" s="41">
        <v>45358.433429513891</v>
      </c>
      <c r="B2832" s="48">
        <f>IF(A2832&lt;&gt;"",DATE(YEAR(TRANSACTIONS!$A2832),MONTH(TRANSACTIONS!$A2832),DAY(TRANSACTIONS!$A2832)),"")</f>
        <v>45358</v>
      </c>
      <c r="C2832" s="49">
        <f>IF(A2832&lt;&gt;"",TIME(HOUR(TRANSACTIONS!$A2832),MINUTE(TRANSACTIONS!$A2832),SECOND(TRANSACTIONS!$A2832)),"")</f>
        <v>0.43342592592592594</v>
      </c>
      <c r="D2832" s="82" t="s">
        <v>25</v>
      </c>
      <c r="E2832" s="82" t="s">
        <v>6</v>
      </c>
      <c r="F2832" s="94">
        <v>500</v>
      </c>
      <c r="G2832" s="46"/>
      <c r="H2832" s="46">
        <f>IFERROR(TRANSACTIONS!$F2832+TRANSACTIONS!$G2832,"")</f>
        <v>500</v>
      </c>
      <c r="I2832" s="40" t="s">
        <v>41</v>
      </c>
    </row>
    <row r="2833" spans="1:9" x14ac:dyDescent="0.25">
      <c r="A2833" s="41">
        <v>45358.433438541666</v>
      </c>
      <c r="B2833" s="48">
        <f>IF(A2833&lt;&gt;"",DATE(YEAR(TRANSACTIONS!$A2833),MONTH(TRANSACTIONS!$A2833),DAY(TRANSACTIONS!$A2833)),"")</f>
        <v>45358</v>
      </c>
      <c r="C2833" s="49">
        <f>IF(A2833&lt;&gt;"",TIME(HOUR(TRANSACTIONS!$A2833),MINUTE(TRANSACTIONS!$A2833),SECOND(TRANSACTIONS!$A2833)),"")</f>
        <v>0.43343749999999998</v>
      </c>
      <c r="D2833" s="82" t="s">
        <v>62</v>
      </c>
      <c r="E2833" s="82" t="s">
        <v>7</v>
      </c>
      <c r="F2833" s="94">
        <v>25000</v>
      </c>
      <c r="G2833" s="46"/>
      <c r="H2833" s="46">
        <f>IFERROR(TRANSACTIONS!$F2833+TRANSACTIONS!$G2833,"")</f>
        <v>25000</v>
      </c>
      <c r="I2833" s="40" t="s">
        <v>41</v>
      </c>
    </row>
    <row r="2834" spans="1:9" x14ac:dyDescent="0.25">
      <c r="A2834" s="41">
        <v>45358.438328703705</v>
      </c>
      <c r="B2834" s="48">
        <f>IF(A2834&lt;&gt;"",DATE(YEAR(TRANSACTIONS!$A2834),MONTH(TRANSACTIONS!$A2834),DAY(TRANSACTIONS!$A2834)),"")</f>
        <v>45358</v>
      </c>
      <c r="C2834" s="49">
        <f>IF(A2834&lt;&gt;"",TIME(HOUR(TRANSACTIONS!$A2834),MINUTE(TRANSACTIONS!$A2834),SECOND(TRANSACTIONS!$A2834)),"")</f>
        <v>0.4383333333333333</v>
      </c>
      <c r="D2834" s="82" t="s">
        <v>62</v>
      </c>
      <c r="E2834" s="82" t="s">
        <v>7</v>
      </c>
      <c r="F2834" s="94">
        <v>1000</v>
      </c>
      <c r="G2834" s="46"/>
      <c r="H2834" s="46">
        <f>IFERROR(TRANSACTIONS!$F2834+TRANSACTIONS!$G2834,"")</f>
        <v>1000</v>
      </c>
      <c r="I2834" s="40" t="s">
        <v>41</v>
      </c>
    </row>
    <row r="2835" spans="1:9" x14ac:dyDescent="0.25">
      <c r="A2835" s="41">
        <v>45358.441255787038</v>
      </c>
      <c r="B2835" s="48">
        <f>IF(A2835&lt;&gt;"",DATE(YEAR(TRANSACTIONS!$A2835),MONTH(TRANSACTIONS!$A2835),DAY(TRANSACTIONS!$A2835)),"")</f>
        <v>45358</v>
      </c>
      <c r="C2835" s="49">
        <f>IF(A2835&lt;&gt;"",TIME(HOUR(TRANSACTIONS!$A2835),MINUTE(TRANSACTIONS!$A2835),SECOND(TRANSACTIONS!$A2835)),"")</f>
        <v>0.44124999999999998</v>
      </c>
      <c r="D2835" s="82" t="s">
        <v>62</v>
      </c>
      <c r="E2835" s="82" t="s">
        <v>7</v>
      </c>
      <c r="F2835" s="94">
        <v>2500</v>
      </c>
      <c r="G2835" s="46"/>
      <c r="H2835" s="46">
        <f>IFERROR(TRANSACTIONS!$F2835+TRANSACTIONS!$G2835,"")</f>
        <v>2500</v>
      </c>
      <c r="I2835" s="40" t="s">
        <v>41</v>
      </c>
    </row>
    <row r="2836" spans="1:9" x14ac:dyDescent="0.25">
      <c r="A2836" s="41">
        <v>45358.444580208336</v>
      </c>
      <c r="B2836" s="48">
        <f>IF(A2836&lt;&gt;"",DATE(YEAR(TRANSACTIONS!$A2836),MONTH(TRANSACTIONS!$A2836),DAY(TRANSACTIONS!$A2836)),"")</f>
        <v>45358</v>
      </c>
      <c r="C2836" s="49">
        <f>IF(A2836&lt;&gt;"",TIME(HOUR(TRANSACTIONS!$A2836),MINUTE(TRANSACTIONS!$A2836),SECOND(TRANSACTIONS!$A2836)),"")</f>
        <v>0.44458333333333333</v>
      </c>
      <c r="D2836" s="82" t="s">
        <v>62</v>
      </c>
      <c r="E2836" s="82" t="s">
        <v>6</v>
      </c>
      <c r="F2836" s="94">
        <v>8500</v>
      </c>
      <c r="G2836" s="46"/>
      <c r="H2836" s="46">
        <f>IFERROR(TRANSACTIONS!$F2836+TRANSACTIONS!$G2836,"")</f>
        <v>8500</v>
      </c>
      <c r="I2836" s="40" t="s">
        <v>41</v>
      </c>
    </row>
    <row r="2837" spans="1:9" x14ac:dyDescent="0.25">
      <c r="A2837" s="41">
        <v>45358.445001388885</v>
      </c>
      <c r="B2837" s="48">
        <f>IF(A2837&lt;&gt;"",DATE(YEAR(TRANSACTIONS!$A2837),MONTH(TRANSACTIONS!$A2837),DAY(TRANSACTIONS!$A2837)),"")</f>
        <v>45358</v>
      </c>
      <c r="C2837" s="49">
        <f>IF(A2837&lt;&gt;"",TIME(HOUR(TRANSACTIONS!$A2837),MINUTE(TRANSACTIONS!$A2837),SECOND(TRANSACTIONS!$A2837)),"")</f>
        <v>0.44500000000000001</v>
      </c>
      <c r="D2837" s="82" t="s">
        <v>62</v>
      </c>
      <c r="E2837" s="82" t="s">
        <v>7</v>
      </c>
      <c r="F2837" s="94">
        <v>10000</v>
      </c>
      <c r="G2837" s="46"/>
      <c r="H2837" s="46">
        <f>IFERROR(TRANSACTIONS!$F2837+TRANSACTIONS!$G2837,"")</f>
        <v>10000</v>
      </c>
      <c r="I2837" s="40" t="s">
        <v>41</v>
      </c>
    </row>
    <row r="2838" spans="1:9" x14ac:dyDescent="0.25">
      <c r="A2838" s="41">
        <v>45358.445018634258</v>
      </c>
      <c r="B2838" s="48">
        <f>IF(A2838&lt;&gt;"",DATE(YEAR(TRANSACTIONS!$A2838),MONTH(TRANSACTIONS!$A2838),DAY(TRANSACTIONS!$A2838)),"")</f>
        <v>45358</v>
      </c>
      <c r="C2838" s="49">
        <f>IF(A2838&lt;&gt;"",TIME(HOUR(TRANSACTIONS!$A2838),MINUTE(TRANSACTIONS!$A2838),SECOND(TRANSACTIONS!$A2838)),"")</f>
        <v>0.44502314814814814</v>
      </c>
      <c r="D2838" s="82" t="s">
        <v>62</v>
      </c>
      <c r="E2838" s="82" t="s">
        <v>7</v>
      </c>
      <c r="F2838" s="94">
        <v>3000</v>
      </c>
      <c r="G2838" s="46"/>
      <c r="H2838" s="46">
        <f>IFERROR(TRANSACTIONS!$F2838+TRANSACTIONS!$G2838,"")</f>
        <v>3000</v>
      </c>
      <c r="I2838" s="40" t="s">
        <v>41</v>
      </c>
    </row>
    <row r="2839" spans="1:9" x14ac:dyDescent="0.25">
      <c r="A2839" s="41">
        <v>45358.446133101854</v>
      </c>
      <c r="B2839" s="48">
        <f>IF(A2839&lt;&gt;"",DATE(YEAR(TRANSACTIONS!$A2839),MONTH(TRANSACTIONS!$A2839),DAY(TRANSACTIONS!$A2839)),"")</f>
        <v>45358</v>
      </c>
      <c r="C2839" s="49">
        <f>IF(A2839&lt;&gt;"",TIME(HOUR(TRANSACTIONS!$A2839),MINUTE(TRANSACTIONS!$A2839),SECOND(TRANSACTIONS!$A2839)),"")</f>
        <v>0.44613425925925926</v>
      </c>
      <c r="D2839" s="82" t="s">
        <v>25</v>
      </c>
      <c r="E2839" s="82" t="s">
        <v>7</v>
      </c>
      <c r="F2839" s="94">
        <v>2000</v>
      </c>
      <c r="G2839" s="46"/>
      <c r="H2839" s="46">
        <f>IFERROR(TRANSACTIONS!$F2839+TRANSACTIONS!$G2839,"")</f>
        <v>2000</v>
      </c>
      <c r="I2839" s="40" t="s">
        <v>41</v>
      </c>
    </row>
    <row r="2840" spans="1:9" x14ac:dyDescent="0.25">
      <c r="A2840" s="41">
        <v>45358.448226736109</v>
      </c>
      <c r="B2840" s="48">
        <f>IF(A2840&lt;&gt;"",DATE(YEAR(TRANSACTIONS!$A2840),MONTH(TRANSACTIONS!$A2840),DAY(TRANSACTIONS!$A2840)),"")</f>
        <v>45358</v>
      </c>
      <c r="C2840" s="49">
        <f>IF(A2840&lt;&gt;"",TIME(HOUR(TRANSACTIONS!$A2840),MINUTE(TRANSACTIONS!$A2840),SECOND(TRANSACTIONS!$A2840)),"")</f>
        <v>0.44822916666666668</v>
      </c>
      <c r="D2840" s="82" t="s">
        <v>62</v>
      </c>
      <c r="E2840" s="82" t="s">
        <v>7</v>
      </c>
      <c r="F2840" s="94">
        <v>3000</v>
      </c>
      <c r="G2840" s="46"/>
      <c r="H2840" s="46">
        <f>IFERROR(TRANSACTIONS!$F2840+TRANSACTIONS!$G2840,"")</f>
        <v>3000</v>
      </c>
      <c r="I2840" s="40" t="s">
        <v>41</v>
      </c>
    </row>
    <row r="2841" spans="1:9" x14ac:dyDescent="0.25">
      <c r="A2841" s="41">
        <v>45358.448310648149</v>
      </c>
      <c r="B2841" s="48">
        <f>IF(A2841&lt;&gt;"",DATE(YEAR(TRANSACTIONS!$A2841),MONTH(TRANSACTIONS!$A2841),DAY(TRANSACTIONS!$A2841)),"")</f>
        <v>45358</v>
      </c>
      <c r="C2841" s="49">
        <f>IF(A2841&lt;&gt;"",TIME(HOUR(TRANSACTIONS!$A2841),MINUTE(TRANSACTIONS!$A2841),SECOND(TRANSACTIONS!$A2841)),"")</f>
        <v>0.44831018518518517</v>
      </c>
      <c r="D2841" s="82" t="s">
        <v>62</v>
      </c>
      <c r="E2841" s="82" t="s">
        <v>7</v>
      </c>
      <c r="F2841" s="94">
        <v>500</v>
      </c>
      <c r="G2841" s="46"/>
      <c r="H2841" s="46">
        <f>IFERROR(TRANSACTIONS!$F2841+TRANSACTIONS!$G2841,"")</f>
        <v>500</v>
      </c>
      <c r="I2841" s="40" t="s">
        <v>41</v>
      </c>
    </row>
    <row r="2842" spans="1:9" x14ac:dyDescent="0.25">
      <c r="A2842" s="41">
        <v>45358.452436458334</v>
      </c>
      <c r="B2842" s="48">
        <f>IF(A2842&lt;&gt;"",DATE(YEAR(TRANSACTIONS!$A2842),MONTH(TRANSACTIONS!$A2842),DAY(TRANSACTIONS!$A2842)),"")</f>
        <v>45358</v>
      </c>
      <c r="C2842" s="49">
        <f>IF(A2842&lt;&gt;"",TIME(HOUR(TRANSACTIONS!$A2842),MINUTE(TRANSACTIONS!$A2842),SECOND(TRANSACTIONS!$A2842)),"")</f>
        <v>0.45244212962962965</v>
      </c>
      <c r="D2842" s="82" t="s">
        <v>62</v>
      </c>
      <c r="E2842" s="82" t="s">
        <v>6</v>
      </c>
      <c r="F2842" s="94">
        <v>3000</v>
      </c>
      <c r="G2842" s="46"/>
      <c r="H2842" s="46">
        <f>IFERROR(TRANSACTIONS!$F2842+TRANSACTIONS!$G2842,"")</f>
        <v>3000</v>
      </c>
      <c r="I2842" s="40" t="s">
        <v>41</v>
      </c>
    </row>
    <row r="2843" spans="1:9" x14ac:dyDescent="0.25">
      <c r="A2843" s="41">
        <v>45358.452752314814</v>
      </c>
      <c r="B2843" s="48">
        <f>IF(A2843&lt;&gt;"",DATE(YEAR(TRANSACTIONS!$A2843),MONTH(TRANSACTIONS!$A2843),DAY(TRANSACTIONS!$A2843)),"")</f>
        <v>45358</v>
      </c>
      <c r="C2843" s="49">
        <f>IF(A2843&lt;&gt;"",TIME(HOUR(TRANSACTIONS!$A2843),MINUTE(TRANSACTIONS!$A2843),SECOND(TRANSACTIONS!$A2843)),"")</f>
        <v>0.45275462962962965</v>
      </c>
      <c r="D2843" s="82" t="s">
        <v>25</v>
      </c>
      <c r="E2843" s="82" t="s">
        <v>6</v>
      </c>
      <c r="F2843" s="94">
        <v>10000</v>
      </c>
      <c r="G2843" s="46"/>
      <c r="H2843" s="46">
        <f>IFERROR(TRANSACTIONS!$F2843+TRANSACTIONS!$G2843,"")</f>
        <v>10000</v>
      </c>
      <c r="I2843" s="43" t="s">
        <v>41</v>
      </c>
    </row>
    <row r="2844" spans="1:9" x14ac:dyDescent="0.25">
      <c r="A2844" s="113">
        <v>45358.463621643517</v>
      </c>
      <c r="B2844" s="114">
        <f>IF(A2844&lt;&gt;"",DATE(YEAR(TRANSACTIONS!$A2844),MONTH(TRANSACTIONS!$A2844),DAY(TRANSACTIONS!$A2844)),"")</f>
        <v>45358</v>
      </c>
      <c r="C2844" s="115">
        <f>IF(A2844&lt;&gt;"",TIME(HOUR(TRANSACTIONS!$A2844),MINUTE(TRANSACTIONS!$A2844),SECOND(TRANSACTIONS!$A2844)),"")</f>
        <v>0.46362268518518518</v>
      </c>
      <c r="D2844" s="82" t="s">
        <v>25</v>
      </c>
      <c r="E2844" s="82" t="s">
        <v>6</v>
      </c>
      <c r="F2844" s="94">
        <v>40500</v>
      </c>
      <c r="G2844" s="117"/>
      <c r="H2844" s="117">
        <f>IFERROR(TRANSACTIONS!$F2844+TRANSACTIONS!$G2844,"")</f>
        <v>40500</v>
      </c>
      <c r="I2844" s="118" t="s">
        <v>41</v>
      </c>
    </row>
    <row r="2845" spans="1:9" x14ac:dyDescent="0.25">
      <c r="A2845" s="41">
        <v>45358.471556481483</v>
      </c>
      <c r="B2845" s="48">
        <f>IF(A2845&lt;&gt;"",DATE(YEAR(TRANSACTIONS!$A2845),MONTH(TRANSACTIONS!$A2845),DAY(TRANSACTIONS!$A2845)),"")</f>
        <v>45358</v>
      </c>
      <c r="C2845" s="49">
        <f>IF(A2845&lt;&gt;"",TIME(HOUR(TRANSACTIONS!$A2845),MINUTE(TRANSACTIONS!$A2845),SECOND(TRANSACTIONS!$A2845)),"")</f>
        <v>0.4715509259259259</v>
      </c>
      <c r="D2845" s="82" t="s">
        <v>25</v>
      </c>
      <c r="E2845" s="82" t="s">
        <v>7</v>
      </c>
      <c r="F2845" s="94">
        <v>5000</v>
      </c>
      <c r="G2845" s="46"/>
      <c r="H2845" s="46">
        <f>IFERROR(TRANSACTIONS!$F2845+TRANSACTIONS!$G2845,"")</f>
        <v>5000</v>
      </c>
      <c r="I2845" s="40" t="s">
        <v>41</v>
      </c>
    </row>
    <row r="2846" spans="1:9" x14ac:dyDescent="0.25">
      <c r="A2846" s="41">
        <v>45358.471566087966</v>
      </c>
      <c r="B2846" s="48">
        <f>IF(A2846&lt;&gt;"",DATE(YEAR(TRANSACTIONS!$A2846),MONTH(TRANSACTIONS!$A2846),DAY(TRANSACTIONS!$A2846)),"")</f>
        <v>45358</v>
      </c>
      <c r="C2846" s="49">
        <f>IF(A2846&lt;&gt;"",TIME(HOUR(TRANSACTIONS!$A2846),MINUTE(TRANSACTIONS!$A2846),SECOND(TRANSACTIONS!$A2846)),"")</f>
        <v>0.47156250000000005</v>
      </c>
      <c r="D2846" s="82" t="s">
        <v>25</v>
      </c>
      <c r="E2846" s="82" t="s">
        <v>7</v>
      </c>
      <c r="F2846" s="94">
        <v>2500</v>
      </c>
      <c r="G2846" s="46"/>
      <c r="H2846" s="46">
        <f>IFERROR(TRANSACTIONS!$F2846+TRANSACTIONS!$G2846,"")</f>
        <v>2500</v>
      </c>
      <c r="I2846" s="40" t="s">
        <v>41</v>
      </c>
    </row>
    <row r="2847" spans="1:9" x14ac:dyDescent="0.25">
      <c r="A2847" s="41">
        <v>45358.471633449073</v>
      </c>
      <c r="B2847" s="48">
        <f>IF(A2847&lt;&gt;"",DATE(YEAR(TRANSACTIONS!$A2847),MONTH(TRANSACTIONS!$A2847),DAY(TRANSACTIONS!$A2847)),"")</f>
        <v>45358</v>
      </c>
      <c r="C2847" s="49">
        <f>IF(A2847&lt;&gt;"",TIME(HOUR(TRANSACTIONS!$A2847),MINUTE(TRANSACTIONS!$A2847),SECOND(TRANSACTIONS!$A2847)),"")</f>
        <v>0.4716319444444444</v>
      </c>
      <c r="D2847" s="82" t="s">
        <v>62</v>
      </c>
      <c r="E2847" s="82" t="s">
        <v>7</v>
      </c>
      <c r="F2847" s="94">
        <v>1500</v>
      </c>
      <c r="G2847" s="46"/>
      <c r="H2847" s="46">
        <f>IFERROR(TRANSACTIONS!$F2847+TRANSACTIONS!$G2847,"")</f>
        <v>1500</v>
      </c>
      <c r="I2847" s="40" t="s">
        <v>41</v>
      </c>
    </row>
    <row r="2848" spans="1:9" x14ac:dyDescent="0.25">
      <c r="A2848" s="41">
        <v>45358.471653356479</v>
      </c>
      <c r="B2848" s="48">
        <f>IF(A2848&lt;&gt;"",DATE(YEAR(TRANSACTIONS!$A2848),MONTH(TRANSACTIONS!$A2848),DAY(TRANSACTIONS!$A2848)),"")</f>
        <v>45358</v>
      </c>
      <c r="C2848" s="49">
        <f>IF(A2848&lt;&gt;"",TIME(HOUR(TRANSACTIONS!$A2848),MINUTE(TRANSACTIONS!$A2848),SECOND(TRANSACTIONS!$A2848)),"")</f>
        <v>0.47165509259259258</v>
      </c>
      <c r="D2848" s="82" t="s">
        <v>62</v>
      </c>
      <c r="E2848" s="82" t="s">
        <v>6</v>
      </c>
      <c r="F2848" s="94">
        <v>10000</v>
      </c>
      <c r="G2848" s="46"/>
      <c r="H2848" s="46">
        <f>IFERROR(TRANSACTIONS!$F2848+TRANSACTIONS!$G2848,"")</f>
        <v>10000</v>
      </c>
      <c r="I2848" s="40" t="s">
        <v>41</v>
      </c>
    </row>
    <row r="2849" spans="1:11" x14ac:dyDescent="0.25">
      <c r="A2849" s="41">
        <v>45358.471666898149</v>
      </c>
      <c r="B2849" s="48">
        <f>IF(A2849&lt;&gt;"",DATE(YEAR(TRANSACTIONS!$A2849),MONTH(TRANSACTIONS!$A2849),DAY(TRANSACTIONS!$A2849)),"")</f>
        <v>45358</v>
      </c>
      <c r="C2849" s="49">
        <f>IF(A2849&lt;&gt;"",TIME(HOUR(TRANSACTIONS!$A2849),MINUTE(TRANSACTIONS!$A2849),SECOND(TRANSACTIONS!$A2849)),"")</f>
        <v>0.47166666666666668</v>
      </c>
      <c r="D2849" s="82" t="s">
        <v>62</v>
      </c>
      <c r="E2849" s="82" t="s">
        <v>7</v>
      </c>
      <c r="F2849" s="94">
        <v>7000</v>
      </c>
      <c r="G2849" s="46"/>
      <c r="H2849" s="46">
        <f>IFERROR(TRANSACTIONS!$F2849+TRANSACTIONS!$G2849,"")</f>
        <v>7000</v>
      </c>
      <c r="I2849" s="40" t="s">
        <v>41</v>
      </c>
    </row>
    <row r="2850" spans="1:11" x14ac:dyDescent="0.25">
      <c r="A2850" s="41">
        <v>45358.474120833336</v>
      </c>
      <c r="B2850" s="48">
        <f>IF(A2850&lt;&gt;"",DATE(YEAR(TRANSACTIONS!$A2850),MONTH(TRANSACTIONS!$A2850),DAY(TRANSACTIONS!$A2850)),"")</f>
        <v>45358</v>
      </c>
      <c r="C2850" s="49">
        <f>IF(A2850&lt;&gt;"",TIME(HOUR(TRANSACTIONS!$A2850),MINUTE(TRANSACTIONS!$A2850),SECOND(TRANSACTIONS!$A2850)),"")</f>
        <v>0.47412037037037041</v>
      </c>
      <c r="D2850" s="82" t="s">
        <v>25</v>
      </c>
      <c r="E2850" s="82" t="s">
        <v>6</v>
      </c>
      <c r="F2850" s="94">
        <v>10000</v>
      </c>
      <c r="G2850" s="46"/>
      <c r="H2850" s="46">
        <f>IFERROR(TRANSACTIONS!$F2850+TRANSACTIONS!$G2850,"")</f>
        <v>10000</v>
      </c>
      <c r="I2850" s="40" t="s">
        <v>41</v>
      </c>
    </row>
    <row r="2851" spans="1:11" x14ac:dyDescent="0.25">
      <c r="A2851" s="41">
        <v>45358.477105208331</v>
      </c>
      <c r="B2851" s="48">
        <f>IF(A2851&lt;&gt;"",DATE(YEAR(TRANSACTIONS!$A2851),MONTH(TRANSACTIONS!$A2851),DAY(TRANSACTIONS!$A2851)),"")</f>
        <v>45358</v>
      </c>
      <c r="C2851" s="49">
        <f>IF(A2851&lt;&gt;"",TIME(HOUR(TRANSACTIONS!$A2851),MINUTE(TRANSACTIONS!$A2851),SECOND(TRANSACTIONS!$A2851)),"")</f>
        <v>0.47710648148148144</v>
      </c>
      <c r="D2851" s="82" t="s">
        <v>25</v>
      </c>
      <c r="E2851" s="82" t="s">
        <v>7</v>
      </c>
      <c r="F2851" s="94">
        <v>1000</v>
      </c>
      <c r="G2851" s="46"/>
      <c r="H2851" s="46">
        <f>IFERROR(TRANSACTIONS!$F2851+TRANSACTIONS!$G2851,"")</f>
        <v>1000</v>
      </c>
      <c r="I2851" s="40" t="s">
        <v>41</v>
      </c>
    </row>
    <row r="2852" spans="1:11" x14ac:dyDescent="0.25">
      <c r="A2852" s="41">
        <v>45358.480953472223</v>
      </c>
      <c r="B2852" s="48">
        <f>IF(A2852&lt;&gt;"",DATE(YEAR(TRANSACTIONS!$A2852),MONTH(TRANSACTIONS!$A2852),DAY(TRANSACTIONS!$A2852)),"")</f>
        <v>45358</v>
      </c>
      <c r="C2852" s="49">
        <f>IF(A2852&lt;&gt;"",TIME(HOUR(TRANSACTIONS!$A2852),MINUTE(TRANSACTIONS!$A2852),SECOND(TRANSACTIONS!$A2852)),"")</f>
        <v>0.48094907407407406</v>
      </c>
      <c r="D2852" s="82" t="s">
        <v>62</v>
      </c>
      <c r="E2852" s="82" t="s">
        <v>7</v>
      </c>
      <c r="F2852" s="85">
        <v>12000</v>
      </c>
      <c r="G2852" s="46"/>
      <c r="H2852" s="46">
        <f>IFERROR(TRANSACTIONS!$F2852+TRANSACTIONS!$G2852,"")</f>
        <v>12000</v>
      </c>
      <c r="I2852" s="40" t="s">
        <v>41</v>
      </c>
    </row>
    <row r="2853" spans="1:11" x14ac:dyDescent="0.25">
      <c r="A2853" s="41">
        <v>45358.480961226851</v>
      </c>
      <c r="B2853" s="48">
        <f>IF(A2853&lt;&gt;"",DATE(YEAR(TRANSACTIONS!$A2853),MONTH(TRANSACTIONS!$A2853),DAY(TRANSACTIONS!$A2853)),"")</f>
        <v>45358</v>
      </c>
      <c r="C2853" s="49">
        <f>IF(A2853&lt;&gt;"",TIME(HOUR(TRANSACTIONS!$A2853),MINUTE(TRANSACTIONS!$A2853),SECOND(TRANSACTIONS!$A2853)),"")</f>
        <v>0.48096064814814815</v>
      </c>
      <c r="D2853" s="82" t="s">
        <v>62</v>
      </c>
      <c r="E2853" s="82" t="s">
        <v>7</v>
      </c>
      <c r="F2853" s="85">
        <v>5000</v>
      </c>
      <c r="G2853" s="46"/>
      <c r="H2853" s="46">
        <f>IFERROR(TRANSACTIONS!$F2853+TRANSACTIONS!$G2853,"")</f>
        <v>5000</v>
      </c>
      <c r="I2853" s="40" t="s">
        <v>41</v>
      </c>
    </row>
    <row r="2854" spans="1:11" x14ac:dyDescent="0.25">
      <c r="A2854" s="41">
        <v>45358.482095717591</v>
      </c>
      <c r="B2854" s="48">
        <f>IF(A2854&lt;&gt;"",DATE(YEAR(TRANSACTIONS!$A2854),MONTH(TRANSACTIONS!$A2854),DAY(TRANSACTIONS!$A2854)),"")</f>
        <v>45358</v>
      </c>
      <c r="C2854" s="49">
        <f>IF(A2854&lt;&gt;"",TIME(HOUR(TRANSACTIONS!$A2854),MINUTE(TRANSACTIONS!$A2854),SECOND(TRANSACTIONS!$A2854)),"")</f>
        <v>0.4820949074074074</v>
      </c>
      <c r="D2854" s="82" t="s">
        <v>25</v>
      </c>
      <c r="E2854" s="82" t="s">
        <v>6</v>
      </c>
      <c r="F2854" s="85">
        <v>30000</v>
      </c>
      <c r="G2854" s="46"/>
      <c r="H2854" s="46">
        <f>IFERROR(TRANSACTIONS!$F2854+TRANSACTIONS!$G2854,"")</f>
        <v>30000</v>
      </c>
      <c r="I2854" s="40" t="s">
        <v>41</v>
      </c>
    </row>
    <row r="2855" spans="1:11" x14ac:dyDescent="0.25">
      <c r="A2855" s="81">
        <v>45358.482953587962</v>
      </c>
      <c r="B2855" s="83">
        <f>IF(A2855&lt;&gt;"",DATE(YEAR(TRANSACTIONS!$A2855),MONTH(TRANSACTIONS!$A2855),DAY(TRANSACTIONS!$A2855)),"")</f>
        <v>45358</v>
      </c>
      <c r="C2855" s="84">
        <f>IF(A2855&lt;&gt;"",TIME(HOUR(TRANSACTIONS!$A2855),MINUTE(TRANSACTIONS!$A2855),SECOND(TRANSACTIONS!$A2855)),"")</f>
        <v>0.48295138888888894</v>
      </c>
      <c r="D2855" s="82" t="s">
        <v>62</v>
      </c>
      <c r="E2855" s="82" t="s">
        <v>7</v>
      </c>
      <c r="F2855" s="85">
        <v>22000</v>
      </c>
      <c r="G2855" s="46"/>
      <c r="H2855" s="46">
        <f>IFERROR(TRANSACTIONS!$F2855+TRANSACTIONS!$G2855,"")</f>
        <v>22000</v>
      </c>
      <c r="I2855" s="40" t="s">
        <v>41</v>
      </c>
    </row>
    <row r="2856" spans="1:11" x14ac:dyDescent="0.25">
      <c r="A2856" s="81">
        <v>45358.489012847225</v>
      </c>
      <c r="B2856" s="83">
        <f>IF(A2856&lt;&gt;"",DATE(YEAR(TRANSACTIONS!$A2856),MONTH(TRANSACTIONS!$A2856),DAY(TRANSACTIONS!$A2856)),"")</f>
        <v>45358</v>
      </c>
      <c r="C2856" s="84">
        <f>IF(A2856&lt;&gt;"",TIME(HOUR(TRANSACTIONS!$A2856),MINUTE(TRANSACTIONS!$A2856),SECOND(TRANSACTIONS!$A2856)),"")</f>
        <v>0.48901620370370374</v>
      </c>
      <c r="D2856" s="82" t="s">
        <v>62</v>
      </c>
      <c r="E2856" s="82" t="s">
        <v>7</v>
      </c>
      <c r="F2856" s="85">
        <v>100000</v>
      </c>
      <c r="G2856" s="86"/>
      <c r="H2856" s="86">
        <f>IFERROR(TRANSACTIONS!$F2856+TRANSACTIONS!$G2856,"")</f>
        <v>100000</v>
      </c>
      <c r="I2856" s="88" t="s">
        <v>41</v>
      </c>
      <c r="J2856" s="88"/>
      <c r="K2856" s="88"/>
    </row>
    <row r="2857" spans="1:11" x14ac:dyDescent="0.25">
      <c r="A2857" s="41">
        <v>45358.493607638891</v>
      </c>
      <c r="B2857" s="48">
        <f>IF(A2857&lt;&gt;"",DATE(YEAR(TRANSACTIONS!$A2857),MONTH(TRANSACTIONS!$A2857),DAY(TRANSACTIONS!$A2857)),"")</f>
        <v>45358</v>
      </c>
      <c r="C2857" s="49">
        <f>IF(A2857&lt;&gt;"",TIME(HOUR(TRANSACTIONS!$A2857),MINUTE(TRANSACTIONS!$A2857),SECOND(TRANSACTIONS!$A2857)),"")</f>
        <v>0.49361111111111106</v>
      </c>
      <c r="D2857" s="82" t="s">
        <v>25</v>
      </c>
      <c r="E2857" s="40" t="s">
        <v>7</v>
      </c>
      <c r="F2857" s="85">
        <v>23000</v>
      </c>
      <c r="G2857" s="86"/>
      <c r="H2857" s="86">
        <f>IFERROR(TRANSACTIONS!$F2857+TRANSACTIONS!$G2857,"")</f>
        <v>23000</v>
      </c>
      <c r="I2857" s="88" t="s">
        <v>41</v>
      </c>
      <c r="J2857" s="88"/>
      <c r="K2857" s="88"/>
    </row>
    <row r="2858" spans="1:11" x14ac:dyDescent="0.25">
      <c r="A2858" s="41">
        <v>45358.493890046295</v>
      </c>
      <c r="B2858" s="48">
        <f>IF(A2858&lt;&gt;"",DATE(YEAR(TRANSACTIONS!$A2858),MONTH(TRANSACTIONS!$A2858),DAY(TRANSACTIONS!$A2858)),"")</f>
        <v>45358</v>
      </c>
      <c r="C2858" s="49">
        <f>IF(A2858&lt;&gt;"",TIME(HOUR(TRANSACTIONS!$A2858),MINUTE(TRANSACTIONS!$A2858),SECOND(TRANSACTIONS!$A2858)),"")</f>
        <v>0.49388888888888888</v>
      </c>
      <c r="D2858" s="82" t="s">
        <v>62</v>
      </c>
      <c r="E2858" s="82" t="s">
        <v>6</v>
      </c>
      <c r="F2858" s="94">
        <v>500</v>
      </c>
      <c r="G2858" s="46"/>
      <c r="H2858" s="46">
        <f>IFERROR(TRANSACTIONS!$F2858+TRANSACTIONS!$G2858,"")</f>
        <v>500</v>
      </c>
      <c r="I2858" s="40" t="s">
        <v>41</v>
      </c>
    </row>
    <row r="2859" spans="1:11" x14ac:dyDescent="0.25">
      <c r="A2859" s="41">
        <v>45358.495210185189</v>
      </c>
      <c r="B2859" s="48">
        <f>IF(A2859&lt;&gt;"",DATE(YEAR(TRANSACTIONS!$A2859),MONTH(TRANSACTIONS!$A2859),DAY(TRANSACTIONS!$A2859)),"")</f>
        <v>45358</v>
      </c>
      <c r="C2859" s="49">
        <f>IF(A2859&lt;&gt;"",TIME(HOUR(TRANSACTIONS!$A2859),MINUTE(TRANSACTIONS!$A2859),SECOND(TRANSACTIONS!$A2859)),"")</f>
        <v>0.49520833333333331</v>
      </c>
      <c r="D2859" s="82" t="s">
        <v>62</v>
      </c>
      <c r="E2859" s="82" t="s">
        <v>7</v>
      </c>
      <c r="F2859" s="85">
        <v>10000</v>
      </c>
      <c r="G2859" s="46"/>
      <c r="H2859" s="46">
        <f>IFERROR(TRANSACTIONS!$F2859+TRANSACTIONS!$G2859,"")</f>
        <v>10000</v>
      </c>
      <c r="I2859" s="40" t="s">
        <v>41</v>
      </c>
    </row>
    <row r="2860" spans="1:11" x14ac:dyDescent="0.25">
      <c r="A2860" s="41">
        <v>45358.495679398147</v>
      </c>
      <c r="B2860" s="48">
        <f>IF(A2860&lt;&gt;"",DATE(YEAR(TRANSACTIONS!$A2860),MONTH(TRANSACTIONS!$A2860),DAY(TRANSACTIONS!$A2860)),"")</f>
        <v>45358</v>
      </c>
      <c r="C2860" s="49">
        <f>IF(A2860&lt;&gt;"",TIME(HOUR(TRANSACTIONS!$A2860),MINUTE(TRANSACTIONS!$A2860),SECOND(TRANSACTIONS!$A2860)),"")</f>
        <v>0.4956828703703704</v>
      </c>
      <c r="D2860" s="82" t="s">
        <v>25</v>
      </c>
      <c r="E2860" s="82" t="s">
        <v>6</v>
      </c>
      <c r="F2860" s="85">
        <v>40000</v>
      </c>
      <c r="G2860" s="46"/>
      <c r="H2860" s="46">
        <f>IFERROR(TRANSACTIONS!$F2860+TRANSACTIONS!$G2860,"")</f>
        <v>40000</v>
      </c>
      <c r="I2860" s="40" t="s">
        <v>41</v>
      </c>
    </row>
    <row r="2861" spans="1:11" x14ac:dyDescent="0.25">
      <c r="A2861" s="41">
        <v>45358.50381736111</v>
      </c>
      <c r="B2861" s="48">
        <f>IF(A2861&lt;&gt;"",DATE(YEAR(TRANSACTIONS!$A2861),MONTH(TRANSACTIONS!$A2861),DAY(TRANSACTIONS!$A2861)),"")</f>
        <v>45358</v>
      </c>
      <c r="C2861" s="49">
        <f>IF(A2861&lt;&gt;"",TIME(HOUR(TRANSACTIONS!$A2861),MINUTE(TRANSACTIONS!$A2861),SECOND(TRANSACTIONS!$A2861)),"")</f>
        <v>0.50381944444444449</v>
      </c>
      <c r="D2861" s="82" t="s">
        <v>62</v>
      </c>
      <c r="E2861" s="82" t="s">
        <v>6</v>
      </c>
      <c r="F2861" s="85">
        <v>350000</v>
      </c>
      <c r="G2861" s="46"/>
      <c r="H2861" s="46">
        <f>IFERROR(TRANSACTIONS!$F2861+TRANSACTIONS!$G2861,"")</f>
        <v>350000</v>
      </c>
      <c r="I2861" s="40" t="s">
        <v>41</v>
      </c>
    </row>
    <row r="2862" spans="1:11" x14ac:dyDescent="0.25">
      <c r="A2862" s="41">
        <v>45358.507409722224</v>
      </c>
      <c r="B2862" s="48">
        <f>IF(A2862&lt;&gt;"",DATE(YEAR(TRANSACTIONS!$A2862),MONTH(TRANSACTIONS!$A2862),DAY(TRANSACTIONS!$A2862)),"")</f>
        <v>45358</v>
      </c>
      <c r="C2862" s="49">
        <f>IF(A2862&lt;&gt;"",TIME(HOUR(TRANSACTIONS!$A2862),MINUTE(TRANSACTIONS!$A2862),SECOND(TRANSACTIONS!$A2862)),"")</f>
        <v>0.50740740740740742</v>
      </c>
      <c r="D2862" s="82" t="s">
        <v>25</v>
      </c>
      <c r="E2862" s="82" t="s">
        <v>7</v>
      </c>
      <c r="F2862" s="85">
        <v>5000</v>
      </c>
      <c r="G2862" s="46"/>
      <c r="H2862" s="46">
        <f>IFERROR(TRANSACTIONS!$F2862+TRANSACTIONS!$G2862,"")</f>
        <v>5000</v>
      </c>
      <c r="I2862" s="40" t="s">
        <v>41</v>
      </c>
    </row>
    <row r="2863" spans="1:11" x14ac:dyDescent="0.25">
      <c r="A2863" s="41">
        <v>45358.508974652781</v>
      </c>
      <c r="B2863" s="48">
        <f>IF(A2863&lt;&gt;"",DATE(YEAR(TRANSACTIONS!$A2863),MONTH(TRANSACTIONS!$A2863),DAY(TRANSACTIONS!$A2863)),"")</f>
        <v>45358</v>
      </c>
      <c r="C2863" s="49">
        <f>IF(A2863&lt;&gt;"",TIME(HOUR(TRANSACTIONS!$A2863),MINUTE(TRANSACTIONS!$A2863),SECOND(TRANSACTIONS!$A2863)),"")</f>
        <v>0.50896990740740744</v>
      </c>
      <c r="D2863" s="82" t="s">
        <v>62</v>
      </c>
      <c r="E2863" s="82" t="s">
        <v>7</v>
      </c>
      <c r="F2863" s="85">
        <v>10000</v>
      </c>
      <c r="G2863" s="46"/>
      <c r="H2863" s="46">
        <f>IFERROR(TRANSACTIONS!$F2863+TRANSACTIONS!$G2863,"")</f>
        <v>10000</v>
      </c>
      <c r="I2863" s="40" t="s">
        <v>41</v>
      </c>
    </row>
    <row r="2864" spans="1:11" x14ac:dyDescent="0.25">
      <c r="A2864" s="41">
        <v>45358.513341203703</v>
      </c>
      <c r="B2864" s="48">
        <f>IF(A2864&lt;&gt;"",DATE(YEAR(TRANSACTIONS!$A2864),MONTH(TRANSACTIONS!$A2864),DAY(TRANSACTIONS!$A2864)),"")</f>
        <v>45358</v>
      </c>
      <c r="C2864" s="49">
        <f>IF(A2864&lt;&gt;"",TIME(HOUR(TRANSACTIONS!$A2864),MINUTE(TRANSACTIONS!$A2864),SECOND(TRANSACTIONS!$A2864)),"")</f>
        <v>0.51334490740740735</v>
      </c>
      <c r="D2864" s="82" t="s">
        <v>62</v>
      </c>
      <c r="E2864" s="82" t="s">
        <v>7</v>
      </c>
      <c r="F2864" s="85">
        <v>500</v>
      </c>
      <c r="G2864" s="46"/>
      <c r="H2864" s="46">
        <f>IFERROR(TRANSACTIONS!$F2864+TRANSACTIONS!$G2864,"")</f>
        <v>500</v>
      </c>
      <c r="I2864" s="40" t="s">
        <v>41</v>
      </c>
    </row>
    <row r="2865" spans="1:11" x14ac:dyDescent="0.25">
      <c r="A2865" s="41">
        <v>45358.54009224537</v>
      </c>
      <c r="B2865" s="48">
        <f>IF(A2865&lt;&gt;"",DATE(YEAR(TRANSACTIONS!$A2865),MONTH(TRANSACTIONS!$A2865),DAY(TRANSACTIONS!$A2865)),"")</f>
        <v>45358</v>
      </c>
      <c r="C2865" s="49">
        <f>IF(A2865&lt;&gt;"",TIME(HOUR(TRANSACTIONS!$A2865),MINUTE(TRANSACTIONS!$A2865),SECOND(TRANSACTIONS!$A2865)),"")</f>
        <v>0.54009259259259257</v>
      </c>
      <c r="D2865" s="82" t="s">
        <v>25</v>
      </c>
      <c r="E2865" s="82" t="s">
        <v>7</v>
      </c>
      <c r="F2865" s="85">
        <v>41000</v>
      </c>
      <c r="G2865" s="46"/>
      <c r="H2865" s="46">
        <f>IFERROR(TRANSACTIONS!$F2865+TRANSACTIONS!$G2865,"")</f>
        <v>41000</v>
      </c>
      <c r="I2865" s="40" t="s">
        <v>41</v>
      </c>
    </row>
    <row r="2866" spans="1:11" x14ac:dyDescent="0.25">
      <c r="A2866" s="41">
        <v>45358.540288657408</v>
      </c>
      <c r="B2866" s="48">
        <f>IF(A2866&lt;&gt;"",DATE(YEAR(TRANSACTIONS!$A2866),MONTH(TRANSACTIONS!$A2866),DAY(TRANSACTIONS!$A2866)),"")</f>
        <v>45358</v>
      </c>
      <c r="C2866" s="49">
        <f>IF(A2866&lt;&gt;"",TIME(HOUR(TRANSACTIONS!$A2866),MINUTE(TRANSACTIONS!$A2866),SECOND(TRANSACTIONS!$A2866)),"")</f>
        <v>0.54028935185185178</v>
      </c>
      <c r="D2866" s="82" t="s">
        <v>62</v>
      </c>
      <c r="E2866" s="82" t="s">
        <v>6</v>
      </c>
      <c r="F2866" s="85">
        <v>24200</v>
      </c>
      <c r="G2866" s="46"/>
      <c r="H2866" s="46">
        <f>IFERROR(TRANSACTIONS!$F2866+TRANSACTIONS!$G2866,"")</f>
        <v>24200</v>
      </c>
      <c r="I2866" s="40" t="s">
        <v>41</v>
      </c>
    </row>
    <row r="2867" spans="1:11" x14ac:dyDescent="0.25">
      <c r="A2867" s="41">
        <v>45358.540310879631</v>
      </c>
      <c r="B2867" s="48">
        <f>IF(A2867&lt;&gt;"",DATE(YEAR(TRANSACTIONS!$A2867),MONTH(TRANSACTIONS!$A2867),DAY(TRANSACTIONS!$A2867)),"")</f>
        <v>45358</v>
      </c>
      <c r="C2867" s="49">
        <f>IF(A2867&lt;&gt;"",TIME(HOUR(TRANSACTIONS!$A2867),MINUTE(TRANSACTIONS!$A2867),SECOND(TRANSACTIONS!$A2867)),"")</f>
        <v>0.54031249999999997</v>
      </c>
      <c r="D2867" s="82" t="s">
        <v>62</v>
      </c>
      <c r="E2867" s="82" t="s">
        <v>6</v>
      </c>
      <c r="F2867" s="94">
        <v>5000</v>
      </c>
      <c r="G2867" s="46"/>
      <c r="H2867" s="46">
        <f>IFERROR(TRANSACTIONS!$F2867+TRANSACTIONS!$G2867,"")</f>
        <v>5000</v>
      </c>
      <c r="I2867" s="40" t="s">
        <v>41</v>
      </c>
    </row>
    <row r="2868" spans="1:11" x14ac:dyDescent="0.25">
      <c r="A2868" s="41">
        <v>45358.560439120367</v>
      </c>
      <c r="B2868" s="48">
        <f>IF(A2868&lt;&gt;"",DATE(YEAR(TRANSACTIONS!$A2868),MONTH(TRANSACTIONS!$A2868),DAY(TRANSACTIONS!$A2868)),"")</f>
        <v>45358</v>
      </c>
      <c r="C2868" s="49">
        <f>IF(A2868&lt;&gt;"",TIME(HOUR(TRANSACTIONS!$A2868),MINUTE(TRANSACTIONS!$A2868),SECOND(TRANSACTIONS!$A2868)),"")</f>
        <v>0.56043981481481475</v>
      </c>
      <c r="D2868" s="82" t="s">
        <v>62</v>
      </c>
      <c r="E2868" s="82" t="s">
        <v>7</v>
      </c>
      <c r="F2868" s="85">
        <v>65000</v>
      </c>
      <c r="G2868" s="46"/>
      <c r="H2868" s="46">
        <f>IFERROR(TRANSACTIONS!$F2868+TRANSACTIONS!$G2868,"")</f>
        <v>65000</v>
      </c>
      <c r="I2868" s="40" t="s">
        <v>41</v>
      </c>
    </row>
    <row r="2869" spans="1:11" x14ac:dyDescent="0.25">
      <c r="A2869" s="41">
        <v>45358.566029513888</v>
      </c>
      <c r="B2869" s="48">
        <f>IF(A2869&lt;&gt;"",DATE(YEAR(TRANSACTIONS!$A2869),MONTH(TRANSACTIONS!$A2869),DAY(TRANSACTIONS!$A2869)),"")</f>
        <v>45358</v>
      </c>
      <c r="C2869" s="49">
        <f>IF(A2869&lt;&gt;"",TIME(HOUR(TRANSACTIONS!$A2869),MINUTE(TRANSACTIONS!$A2869),SECOND(TRANSACTIONS!$A2869)),"")</f>
        <v>0.56603009259259263</v>
      </c>
      <c r="D2869" s="82" t="s">
        <v>62</v>
      </c>
      <c r="E2869" s="82" t="s">
        <v>7</v>
      </c>
      <c r="F2869" s="85">
        <v>7000</v>
      </c>
      <c r="G2869" s="46"/>
      <c r="H2869" s="46">
        <f>IFERROR(TRANSACTIONS!$F2869+TRANSACTIONS!$G2869,"")</f>
        <v>7000</v>
      </c>
      <c r="I2869" s="40" t="s">
        <v>41</v>
      </c>
    </row>
    <row r="2870" spans="1:11" x14ac:dyDescent="0.25">
      <c r="A2870" s="41">
        <v>45358.584741435188</v>
      </c>
      <c r="B2870" s="48">
        <f>IF(A2870&lt;&gt;"",DATE(YEAR(TRANSACTIONS!$A2870),MONTH(TRANSACTIONS!$A2870),DAY(TRANSACTIONS!$A2870)),"")</f>
        <v>45358</v>
      </c>
      <c r="C2870" s="49">
        <f>IF(A2870&lt;&gt;"",TIME(HOUR(TRANSACTIONS!$A2870),MINUTE(TRANSACTIONS!$A2870),SECOND(TRANSACTIONS!$A2870)),"")</f>
        <v>0.58474537037037033</v>
      </c>
      <c r="D2870" s="82" t="s">
        <v>62</v>
      </c>
      <c r="E2870" s="82" t="s">
        <v>6</v>
      </c>
      <c r="F2870" s="85">
        <v>220180</v>
      </c>
      <c r="G2870" s="46"/>
      <c r="H2870" s="46">
        <f>IFERROR(TRANSACTIONS!$F2870+TRANSACTIONS!$G2870,"")</f>
        <v>220180</v>
      </c>
      <c r="I2870" s="40" t="s">
        <v>41</v>
      </c>
      <c r="K2870" s="110"/>
    </row>
    <row r="2871" spans="1:11" x14ac:dyDescent="0.25">
      <c r="A2871" s="41">
        <v>45358.584792245369</v>
      </c>
      <c r="B2871" s="48">
        <f>IF(A2871&lt;&gt;"",DATE(YEAR(TRANSACTIONS!$A2871),MONTH(TRANSACTIONS!$A2871),DAY(TRANSACTIONS!$A2871)),"")</f>
        <v>45358</v>
      </c>
      <c r="C2871" s="49">
        <f>IF(A2871&lt;&gt;"",TIME(HOUR(TRANSACTIONS!$A2871),MINUTE(TRANSACTIONS!$A2871),SECOND(TRANSACTIONS!$A2871)),"")</f>
        <v>0.58479166666666671</v>
      </c>
      <c r="D2871" s="82" t="s">
        <v>62</v>
      </c>
      <c r="E2871" s="82" t="s">
        <v>6</v>
      </c>
      <c r="F2871" s="94">
        <v>5050</v>
      </c>
      <c r="G2871" s="46"/>
      <c r="H2871" s="46">
        <f>IFERROR(TRANSACTIONS!$F2871+TRANSACTIONS!$G2871,"")</f>
        <v>5050</v>
      </c>
      <c r="I2871" s="40" t="s">
        <v>41</v>
      </c>
    </row>
    <row r="2872" spans="1:11" x14ac:dyDescent="0.25">
      <c r="A2872" s="41">
        <v>45358.584799074073</v>
      </c>
      <c r="B2872" s="48">
        <f>IF(A2872&lt;&gt;"",DATE(YEAR(TRANSACTIONS!$A2872),MONTH(TRANSACTIONS!$A2872),DAY(TRANSACTIONS!$A2872)),"")</f>
        <v>45358</v>
      </c>
      <c r="C2872" s="49">
        <f>IF(A2872&lt;&gt;"",TIME(HOUR(TRANSACTIONS!$A2872),MINUTE(TRANSACTIONS!$A2872),SECOND(TRANSACTIONS!$A2872)),"")</f>
        <v>0.58480324074074075</v>
      </c>
      <c r="D2872" s="82" t="s">
        <v>62</v>
      </c>
      <c r="E2872" s="82" t="s">
        <v>6</v>
      </c>
      <c r="F2872" s="85">
        <v>55000</v>
      </c>
      <c r="G2872" s="46"/>
      <c r="H2872" s="46">
        <f>IFERROR(TRANSACTIONS!$F2872+TRANSACTIONS!$G2872,"")</f>
        <v>55000</v>
      </c>
      <c r="I2872" s="40" t="s">
        <v>41</v>
      </c>
    </row>
    <row r="2873" spans="1:11" x14ac:dyDescent="0.25">
      <c r="A2873" s="81">
        <v>45358.58481064815</v>
      </c>
      <c r="B2873" s="83">
        <f>IF(A2873&lt;&gt;"",DATE(YEAR(TRANSACTIONS!$A2873),MONTH(TRANSACTIONS!$A2873),DAY(TRANSACTIONS!$A2873)),"")</f>
        <v>45358</v>
      </c>
      <c r="C2873" s="84">
        <f>IF(A2873&lt;&gt;"",TIME(HOUR(TRANSACTIONS!$A2873),MINUTE(TRANSACTIONS!$A2873),SECOND(TRANSACTIONS!$A2873)),"")</f>
        <v>0.58481481481481479</v>
      </c>
      <c r="D2873" s="82" t="s">
        <v>62</v>
      </c>
      <c r="E2873" s="82" t="s">
        <v>7</v>
      </c>
      <c r="F2873" s="85">
        <v>5000</v>
      </c>
      <c r="G2873" s="86"/>
      <c r="H2873" s="86">
        <f>IFERROR(TRANSACTIONS!$F2873+TRANSACTIONS!$G2873,"")</f>
        <v>5000</v>
      </c>
      <c r="I2873" s="88" t="s">
        <v>41</v>
      </c>
      <c r="J2873" s="88"/>
    </row>
    <row r="2874" spans="1:11" x14ac:dyDescent="0.25">
      <c r="A2874" s="81">
        <v>45358.584819212963</v>
      </c>
      <c r="B2874" s="83">
        <f>IF(A2874&lt;&gt;"",DATE(YEAR(TRANSACTIONS!$A2874),MONTH(TRANSACTIONS!$A2874),DAY(TRANSACTIONS!$A2874)),"")</f>
        <v>45358</v>
      </c>
      <c r="C2874" s="84">
        <f>IF(A2874&lt;&gt;"",TIME(HOUR(TRANSACTIONS!$A2874),MINUTE(TRANSACTIONS!$A2874),SECOND(TRANSACTIONS!$A2874)),"")</f>
        <v>0.58481481481481479</v>
      </c>
      <c r="D2874" s="82" t="s">
        <v>62</v>
      </c>
      <c r="E2874" s="82" t="s">
        <v>6</v>
      </c>
      <c r="F2874" s="85">
        <v>202000</v>
      </c>
      <c r="G2874" s="86"/>
      <c r="H2874" s="86">
        <f>IFERROR(TRANSACTIONS!$F2874+TRANSACTIONS!$G2874,"")</f>
        <v>202000</v>
      </c>
      <c r="I2874" s="88" t="s">
        <v>41</v>
      </c>
      <c r="J2874" s="88"/>
    </row>
    <row r="2875" spans="1:11" x14ac:dyDescent="0.25">
      <c r="A2875" s="41">
        <v>45358.584828935185</v>
      </c>
      <c r="B2875" s="48">
        <f>IF(A2875&lt;&gt;"",DATE(YEAR(TRANSACTIONS!$A2875),MONTH(TRANSACTIONS!$A2875),DAY(TRANSACTIONS!$A2875)),"")</f>
        <v>45358</v>
      </c>
      <c r="C2875" s="49">
        <f>IF(A2875&lt;&gt;"",TIME(HOUR(TRANSACTIONS!$A2875),MINUTE(TRANSACTIONS!$A2875),SECOND(TRANSACTIONS!$A2875)),"")</f>
        <v>0.58482638888888883</v>
      </c>
      <c r="D2875" s="82" t="s">
        <v>64</v>
      </c>
      <c r="E2875" s="82" t="s">
        <v>7</v>
      </c>
      <c r="F2875" s="85">
        <v>500000</v>
      </c>
      <c r="G2875" s="46"/>
      <c r="H2875" s="46">
        <f>IFERROR(TRANSACTIONS!$F2875+TRANSACTIONS!$G2875,"")</f>
        <v>500000</v>
      </c>
      <c r="I2875" s="40" t="s">
        <v>41</v>
      </c>
    </row>
    <row r="2876" spans="1:11" x14ac:dyDescent="0.25">
      <c r="A2876" s="41">
        <v>45358.588855555558</v>
      </c>
      <c r="B2876" s="48">
        <f>IF(A2876&lt;&gt;"",DATE(YEAR(TRANSACTIONS!$A2876),MONTH(TRANSACTIONS!$A2876),DAY(TRANSACTIONS!$A2876)),"")</f>
        <v>45358</v>
      </c>
      <c r="C2876" s="49">
        <f>IF(A2876&lt;&gt;"",TIME(HOUR(TRANSACTIONS!$A2876),MINUTE(TRANSACTIONS!$A2876),SECOND(TRANSACTIONS!$A2876)),"")</f>
        <v>0.58885416666666668</v>
      </c>
      <c r="D2876" s="82" t="s">
        <v>62</v>
      </c>
      <c r="E2876" s="82" t="s">
        <v>6</v>
      </c>
      <c r="F2876" s="85">
        <v>2000</v>
      </c>
      <c r="G2876" s="46"/>
      <c r="H2876" s="46">
        <f>IFERROR(TRANSACTIONS!$F2876+TRANSACTIONS!$G2876,"")</f>
        <v>2000</v>
      </c>
      <c r="I2876" s="40" t="s">
        <v>41</v>
      </c>
    </row>
    <row r="2877" spans="1:11" x14ac:dyDescent="0.25">
      <c r="A2877" s="41">
        <v>45358.591849884258</v>
      </c>
      <c r="B2877" s="48">
        <f>IF(A2877&lt;&gt;"",DATE(YEAR(TRANSACTIONS!$A2877),MONTH(TRANSACTIONS!$A2877),DAY(TRANSACTIONS!$A2877)),"")</f>
        <v>45358</v>
      </c>
      <c r="C2877" s="49">
        <f>IF(A2877&lt;&gt;"",TIME(HOUR(TRANSACTIONS!$A2877),MINUTE(TRANSACTIONS!$A2877),SECOND(TRANSACTIONS!$A2877)),"")</f>
        <v>0.59185185185185185</v>
      </c>
      <c r="D2877" s="82" t="s">
        <v>49</v>
      </c>
      <c r="E2877" s="82" t="s">
        <v>6</v>
      </c>
      <c r="F2877" s="85">
        <v>500</v>
      </c>
      <c r="G2877" s="46"/>
      <c r="H2877" s="46">
        <f>IFERROR(TRANSACTIONS!$F2877+TRANSACTIONS!$G2877,"")</f>
        <v>500</v>
      </c>
      <c r="I2877" s="40" t="s">
        <v>41</v>
      </c>
    </row>
    <row r="2878" spans="1:11" x14ac:dyDescent="0.25">
      <c r="A2878" s="113">
        <v>45358.59320520833</v>
      </c>
      <c r="B2878" s="114">
        <f>IF(A2878&lt;&gt;"",DATE(YEAR(TRANSACTIONS!$A2878),MONTH(TRANSACTIONS!$A2878),DAY(TRANSACTIONS!$A2878)),"")</f>
        <v>45358</v>
      </c>
      <c r="C2878" s="115">
        <f>IF(A2878&lt;&gt;"",TIME(HOUR(TRANSACTIONS!$A2878),MINUTE(TRANSACTIONS!$A2878),SECOND(TRANSACTIONS!$A2878)),"")</f>
        <v>0.59320601851851851</v>
      </c>
      <c r="D2878" s="82" t="s">
        <v>62</v>
      </c>
      <c r="E2878" s="82" t="s">
        <v>7</v>
      </c>
      <c r="F2878" s="85">
        <v>35000</v>
      </c>
      <c r="G2878" s="117"/>
      <c r="H2878" s="117">
        <f>IFERROR(TRANSACTIONS!$F2878+TRANSACTIONS!$G2878,"")</f>
        <v>35000</v>
      </c>
      <c r="I2878" s="118" t="s">
        <v>41</v>
      </c>
    </row>
    <row r="2879" spans="1:11" x14ac:dyDescent="0.25">
      <c r="A2879" s="41">
        <v>45358.594293287038</v>
      </c>
      <c r="B2879" s="48">
        <f>IF(A2879&lt;&gt;"",DATE(YEAR(TRANSACTIONS!$A2879),MONTH(TRANSACTIONS!$A2879),DAY(TRANSACTIONS!$A2879)),"")</f>
        <v>45358</v>
      </c>
      <c r="C2879" s="49">
        <f>IF(A2879&lt;&gt;"",TIME(HOUR(TRANSACTIONS!$A2879),MINUTE(TRANSACTIONS!$A2879),SECOND(TRANSACTIONS!$A2879)),"")</f>
        <v>0.59429398148148149</v>
      </c>
      <c r="D2879" s="82" t="s">
        <v>62</v>
      </c>
      <c r="E2879" s="82" t="s">
        <v>6</v>
      </c>
      <c r="F2879" s="85">
        <v>49000</v>
      </c>
      <c r="G2879" s="46"/>
      <c r="H2879" s="46">
        <f>IFERROR(TRANSACTIONS!$F2879+TRANSACTIONS!$G2879,"")</f>
        <v>49000</v>
      </c>
      <c r="I2879" s="40" t="s">
        <v>41</v>
      </c>
    </row>
    <row r="2880" spans="1:11" x14ac:dyDescent="0.25">
      <c r="A2880" s="41">
        <v>45358.604530902776</v>
      </c>
      <c r="B2880" s="48">
        <f>IF(A2880&lt;&gt;"",DATE(YEAR(TRANSACTIONS!$A2880),MONTH(TRANSACTIONS!$A2880),DAY(TRANSACTIONS!$A2880)),"")</f>
        <v>45358</v>
      </c>
      <c r="C2880" s="49">
        <f>IF(A2880&lt;&gt;"",TIME(HOUR(TRANSACTIONS!$A2880),MINUTE(TRANSACTIONS!$A2880),SECOND(TRANSACTIONS!$A2880)),"")</f>
        <v>0.60452546296296295</v>
      </c>
      <c r="D2880" s="82" t="s">
        <v>62</v>
      </c>
      <c r="E2880" s="82" t="s">
        <v>7</v>
      </c>
      <c r="F2880" s="85">
        <v>1000</v>
      </c>
      <c r="G2880" s="46"/>
      <c r="H2880" s="46">
        <f>IFERROR(TRANSACTIONS!$F2880+TRANSACTIONS!$G2880,"")</f>
        <v>1000</v>
      </c>
      <c r="I2880" s="40" t="s">
        <v>41</v>
      </c>
      <c r="K2880" s="127">
        <f ca="1">F2880:K2907</f>
        <v>0</v>
      </c>
    </row>
    <row r="2881" spans="1:9" x14ac:dyDescent="0.25">
      <c r="A2881" s="41">
        <v>45358.60456122685</v>
      </c>
      <c r="B2881" s="48">
        <f>IF(A2881&lt;&gt;"",DATE(YEAR(TRANSACTIONS!$A2881),MONTH(TRANSACTIONS!$A2881),DAY(TRANSACTIONS!$A2881)),"")</f>
        <v>45358</v>
      </c>
      <c r="C2881" s="49">
        <f>IF(A2881&lt;&gt;"",TIME(HOUR(TRANSACTIONS!$A2881),MINUTE(TRANSACTIONS!$A2881),SECOND(TRANSACTIONS!$A2881)),"")</f>
        <v>0.60456018518518517</v>
      </c>
      <c r="D2881" s="82" t="s">
        <v>62</v>
      </c>
      <c r="E2881" s="82" t="s">
        <v>6</v>
      </c>
      <c r="F2881" s="85">
        <v>100000</v>
      </c>
      <c r="G2881" s="46"/>
      <c r="H2881" s="46">
        <f>IFERROR(TRANSACTIONS!$F2881+TRANSACTIONS!$G2881,"")</f>
        <v>100000</v>
      </c>
      <c r="I2881" s="40" t="s">
        <v>41</v>
      </c>
    </row>
    <row r="2882" spans="1:9" x14ac:dyDescent="0.25">
      <c r="A2882" s="41">
        <v>45358.604574305558</v>
      </c>
      <c r="B2882" s="48">
        <f>IF(A2882&lt;&gt;"",DATE(YEAR(TRANSACTIONS!$A2882),MONTH(TRANSACTIONS!$A2882),DAY(TRANSACTIONS!$A2882)),"")</f>
        <v>45358</v>
      </c>
      <c r="C2882" s="49">
        <f>IF(A2882&lt;&gt;"",TIME(HOUR(TRANSACTIONS!$A2882),MINUTE(TRANSACTIONS!$A2882),SECOND(TRANSACTIONS!$A2882)),"")</f>
        <v>0.60457175925925932</v>
      </c>
      <c r="D2882" s="82" t="s">
        <v>62</v>
      </c>
      <c r="E2882" s="82" t="s">
        <v>7</v>
      </c>
      <c r="F2882" s="85">
        <v>9800</v>
      </c>
      <c r="G2882" s="46"/>
      <c r="H2882" s="46">
        <f>IFERROR(TRANSACTIONS!$F2882+TRANSACTIONS!$G2882,"")</f>
        <v>9800</v>
      </c>
      <c r="I2882" s="40" t="s">
        <v>41</v>
      </c>
    </row>
    <row r="2883" spans="1:9" x14ac:dyDescent="0.25">
      <c r="A2883" s="41">
        <v>45358.605125231479</v>
      </c>
      <c r="B2883" s="48">
        <f>IF(A2883&lt;&gt;"",DATE(YEAR(TRANSACTIONS!$A2883),MONTH(TRANSACTIONS!$A2883),DAY(TRANSACTIONS!$A2883)),"")</f>
        <v>45358</v>
      </c>
      <c r="C2883" s="49">
        <f>IF(A2883&lt;&gt;"",TIME(HOUR(TRANSACTIONS!$A2883),MINUTE(TRANSACTIONS!$A2883),SECOND(TRANSACTIONS!$A2883)),"")</f>
        <v>0.60512731481481474</v>
      </c>
      <c r="D2883" s="82" t="s">
        <v>25</v>
      </c>
      <c r="E2883" s="82" t="s">
        <v>7</v>
      </c>
      <c r="F2883" s="85">
        <v>3500</v>
      </c>
      <c r="G2883" s="46"/>
      <c r="H2883" s="46">
        <f>IFERROR(TRANSACTIONS!$F2883+TRANSACTIONS!$G2883,"")</f>
        <v>3500</v>
      </c>
      <c r="I2883" s="40" t="s">
        <v>41</v>
      </c>
    </row>
    <row r="2884" spans="1:9" x14ac:dyDescent="0.25">
      <c r="A2884" s="41">
        <v>45358.611111921295</v>
      </c>
      <c r="B2884" s="48">
        <f>IF(A2884&lt;&gt;"",DATE(YEAR(TRANSACTIONS!$A2884),MONTH(TRANSACTIONS!$A2884),DAY(TRANSACTIONS!$A2884)),"")</f>
        <v>45358</v>
      </c>
      <c r="C2884" s="49">
        <f>IF(A2884&lt;&gt;"",TIME(HOUR(TRANSACTIONS!$A2884),MINUTE(TRANSACTIONS!$A2884),SECOND(TRANSACTIONS!$A2884)),"")</f>
        <v>0.61111111111111105</v>
      </c>
      <c r="D2884" s="82" t="s">
        <v>62</v>
      </c>
      <c r="E2884" s="82" t="s">
        <v>6</v>
      </c>
      <c r="F2884" s="85">
        <v>1500</v>
      </c>
      <c r="G2884" s="46"/>
      <c r="H2884" s="46">
        <f>IFERROR(TRANSACTIONS!$F2884+TRANSACTIONS!$G2884,"")</f>
        <v>1500</v>
      </c>
      <c r="I2884" s="40" t="s">
        <v>41</v>
      </c>
    </row>
    <row r="2885" spans="1:9" x14ac:dyDescent="0.25">
      <c r="A2885" s="41">
        <v>45358.614576388885</v>
      </c>
      <c r="B2885" s="48">
        <f>IF(A2885&lt;&gt;"",DATE(YEAR(TRANSACTIONS!$A2885),MONTH(TRANSACTIONS!$A2885),DAY(TRANSACTIONS!$A2885)),"")</f>
        <v>45358</v>
      </c>
      <c r="C2885" s="49">
        <f>IF(A2885&lt;&gt;"",TIME(HOUR(TRANSACTIONS!$A2885),MINUTE(TRANSACTIONS!$A2885),SECOND(TRANSACTIONS!$A2885)),"")</f>
        <v>0.61457175925925933</v>
      </c>
      <c r="D2885" s="82" t="s">
        <v>25</v>
      </c>
      <c r="E2885" s="82" t="s">
        <v>7</v>
      </c>
      <c r="F2885" s="85">
        <v>2000</v>
      </c>
      <c r="G2885" s="46"/>
      <c r="H2885" s="46">
        <f>IFERROR(TRANSACTIONS!$F2885+TRANSACTIONS!$G2885,"")</f>
        <v>2000</v>
      </c>
      <c r="I2885" s="40" t="s">
        <v>41</v>
      </c>
    </row>
    <row r="2886" spans="1:9" x14ac:dyDescent="0.25">
      <c r="A2886" s="41">
        <v>45358.623150347223</v>
      </c>
      <c r="B2886" s="48">
        <f>IF(A2886&lt;&gt;"",DATE(YEAR(TRANSACTIONS!$A2886),MONTH(TRANSACTIONS!$A2886),DAY(TRANSACTIONS!$A2886)),"")</f>
        <v>45358</v>
      </c>
      <c r="C2886" s="49">
        <f>IF(A2886&lt;&gt;"",TIME(HOUR(TRANSACTIONS!$A2886),MINUTE(TRANSACTIONS!$A2886),SECOND(TRANSACTIONS!$A2886)),"")</f>
        <v>0.62314814814814812</v>
      </c>
      <c r="D2886" s="82" t="s">
        <v>62</v>
      </c>
      <c r="E2886" s="82" t="s">
        <v>6</v>
      </c>
      <c r="F2886" s="85">
        <v>5000</v>
      </c>
      <c r="G2886" s="46"/>
      <c r="H2886" s="46">
        <f>IFERROR(TRANSACTIONS!$F2886+TRANSACTIONS!$G2886,"")</f>
        <v>5000</v>
      </c>
      <c r="I2886" s="40" t="s">
        <v>41</v>
      </c>
    </row>
    <row r="2887" spans="1:9" x14ac:dyDescent="0.25">
      <c r="A2887" s="41">
        <v>45358.62316516204</v>
      </c>
      <c r="B2887" s="48">
        <f>IF(A2887&lt;&gt;"",DATE(YEAR(TRANSACTIONS!$A2887),MONTH(TRANSACTIONS!$A2887),DAY(TRANSACTIONS!$A2887)),"")</f>
        <v>45358</v>
      </c>
      <c r="C2887" s="49">
        <f>IF(A2887&lt;&gt;"",TIME(HOUR(TRANSACTIONS!$A2887),MINUTE(TRANSACTIONS!$A2887),SECOND(TRANSACTIONS!$A2887)),"")</f>
        <v>0.62315972222222216</v>
      </c>
      <c r="D2887" s="82" t="s">
        <v>62</v>
      </c>
      <c r="E2887" s="82" t="s">
        <v>7</v>
      </c>
      <c r="F2887" s="85">
        <v>158000</v>
      </c>
      <c r="G2887" s="46"/>
      <c r="H2887" s="46">
        <f>IFERROR(TRANSACTIONS!$F2887+TRANSACTIONS!$G2887,"")</f>
        <v>158000</v>
      </c>
      <c r="I2887" s="40" t="s">
        <v>41</v>
      </c>
    </row>
    <row r="2888" spans="1:9" x14ac:dyDescent="0.25">
      <c r="A2888" s="41">
        <v>45358.62317835648</v>
      </c>
      <c r="B2888" s="48">
        <f>IF(A2888&lt;&gt;"",DATE(YEAR(TRANSACTIONS!$A2888),MONTH(TRANSACTIONS!$A2888),DAY(TRANSACTIONS!$A2888)),"")</f>
        <v>45358</v>
      </c>
      <c r="C2888" s="49">
        <f>IF(A2888&lt;&gt;"",TIME(HOUR(TRANSACTIONS!$A2888),MINUTE(TRANSACTIONS!$A2888),SECOND(TRANSACTIONS!$A2888)),"")</f>
        <v>0.62318287037037035</v>
      </c>
      <c r="D2888" s="82" t="s">
        <v>62</v>
      </c>
      <c r="E2888" s="82" t="s">
        <v>6</v>
      </c>
      <c r="F2888" s="85">
        <v>142000</v>
      </c>
      <c r="G2888" s="46"/>
      <c r="H2888" s="46">
        <f>IFERROR(TRANSACTIONS!$F2888+TRANSACTIONS!$G2888,"")</f>
        <v>142000</v>
      </c>
      <c r="I2888" s="40" t="s">
        <v>41</v>
      </c>
    </row>
    <row r="2889" spans="1:9" x14ac:dyDescent="0.25">
      <c r="A2889" s="41">
        <v>45358.623192129628</v>
      </c>
      <c r="B2889" s="48">
        <f>IF(A2889&lt;&gt;"",DATE(YEAR(TRANSACTIONS!$A2889),MONTH(TRANSACTIONS!$A2889),DAY(TRANSACTIONS!$A2889)),"")</f>
        <v>45358</v>
      </c>
      <c r="C2889" s="49">
        <f>IF(A2889&lt;&gt;"",TIME(HOUR(TRANSACTIONS!$A2889),MINUTE(TRANSACTIONS!$A2889),SECOND(TRANSACTIONS!$A2889)),"")</f>
        <v>0.6231944444444445</v>
      </c>
      <c r="D2889" s="82" t="s">
        <v>62</v>
      </c>
      <c r="E2889" s="82" t="s">
        <v>7</v>
      </c>
      <c r="F2889" s="85">
        <v>7000</v>
      </c>
      <c r="G2889" s="46"/>
      <c r="H2889" s="46">
        <f>IFERROR(TRANSACTIONS!$F2889+TRANSACTIONS!$G2889,"")</f>
        <v>7000</v>
      </c>
      <c r="I2889" s="40" t="s">
        <v>41</v>
      </c>
    </row>
    <row r="2890" spans="1:9" x14ac:dyDescent="0.25">
      <c r="A2890" s="41">
        <v>45358.624008796294</v>
      </c>
      <c r="B2890" s="48">
        <f>IF(A2890&lt;&gt;"",DATE(YEAR(TRANSACTIONS!$A2890),MONTH(TRANSACTIONS!$A2890),DAY(TRANSACTIONS!$A2890)),"")</f>
        <v>45358</v>
      </c>
      <c r="C2890" s="49">
        <f>IF(A2890&lt;&gt;"",TIME(HOUR(TRANSACTIONS!$A2890),MINUTE(TRANSACTIONS!$A2890),SECOND(TRANSACTIONS!$A2890)),"")</f>
        <v>0.62400462962962966</v>
      </c>
      <c r="D2890" s="82" t="s">
        <v>62</v>
      </c>
      <c r="E2890" s="82" t="s">
        <v>7</v>
      </c>
      <c r="F2890" s="85">
        <v>9150</v>
      </c>
      <c r="G2890" s="46"/>
      <c r="H2890" s="46">
        <f>IFERROR(TRANSACTIONS!$F2890+TRANSACTIONS!$G2890,"")</f>
        <v>9150</v>
      </c>
      <c r="I2890" s="40" t="s">
        <v>41</v>
      </c>
    </row>
    <row r="2891" spans="1:9" x14ac:dyDescent="0.25">
      <c r="A2891" s="41">
        <v>45358.627095833333</v>
      </c>
      <c r="B2891" s="48">
        <f>IF(A2891&lt;&gt;"",DATE(YEAR(TRANSACTIONS!$A2891),MONTH(TRANSACTIONS!$A2891),DAY(TRANSACTIONS!$A2891)),"")</f>
        <v>45358</v>
      </c>
      <c r="C2891" s="49">
        <f>IF(A2891&lt;&gt;"",TIME(HOUR(TRANSACTIONS!$A2891),MINUTE(TRANSACTIONS!$A2891),SECOND(TRANSACTIONS!$A2891)),"")</f>
        <v>0.62709490740740736</v>
      </c>
      <c r="D2891" s="82" t="s">
        <v>62</v>
      </c>
      <c r="E2891" s="82" t="s">
        <v>6</v>
      </c>
      <c r="F2891" s="85">
        <v>30000</v>
      </c>
      <c r="G2891" s="46"/>
      <c r="H2891" s="46">
        <f>IFERROR(TRANSACTIONS!$F2891+TRANSACTIONS!$G2891,"")</f>
        <v>30000</v>
      </c>
      <c r="I2891" s="40" t="s">
        <v>41</v>
      </c>
    </row>
    <row r="2892" spans="1:9" x14ac:dyDescent="0.25">
      <c r="A2892" s="41">
        <v>45358.627124999999</v>
      </c>
      <c r="B2892" s="48">
        <f>IF(A2892&lt;&gt;"",DATE(YEAR(TRANSACTIONS!$A2892),MONTH(TRANSACTIONS!$A2892),DAY(TRANSACTIONS!$A2892)),"")</f>
        <v>45358</v>
      </c>
      <c r="C2892" s="49">
        <f>IF(A2892&lt;&gt;"",TIME(HOUR(TRANSACTIONS!$A2892),MINUTE(TRANSACTIONS!$A2892),SECOND(TRANSACTIONS!$A2892)),"")</f>
        <v>0.6271296296296297</v>
      </c>
      <c r="D2892" s="82" t="s">
        <v>25</v>
      </c>
      <c r="E2892" s="82" t="s">
        <v>6</v>
      </c>
      <c r="F2892" s="85">
        <v>100000</v>
      </c>
      <c r="G2892" s="46"/>
      <c r="H2892" s="46">
        <f>IFERROR(TRANSACTIONS!$F2892+TRANSACTIONS!$G2892,"")</f>
        <v>100000</v>
      </c>
      <c r="I2892" s="40" t="s">
        <v>41</v>
      </c>
    </row>
    <row r="2893" spans="1:9" x14ac:dyDescent="0.25">
      <c r="A2893" s="41">
        <v>45358.629903009256</v>
      </c>
      <c r="B2893" s="48">
        <f>IF(A2893&lt;&gt;"",DATE(YEAR(TRANSACTIONS!$A2893),MONTH(TRANSACTIONS!$A2893),DAY(TRANSACTIONS!$A2893)),"")</f>
        <v>45358</v>
      </c>
      <c r="C2893" s="49">
        <f>IF(A2893&lt;&gt;"",TIME(HOUR(TRANSACTIONS!$A2893),MINUTE(TRANSACTIONS!$A2893),SECOND(TRANSACTIONS!$A2893)),"")</f>
        <v>0.62990740740740747</v>
      </c>
      <c r="D2893" s="82" t="s">
        <v>62</v>
      </c>
      <c r="E2893" s="82" t="s">
        <v>7</v>
      </c>
      <c r="F2893" s="85">
        <v>100000</v>
      </c>
      <c r="G2893" s="46"/>
      <c r="H2893" s="46">
        <f>IFERROR(TRANSACTIONS!$F2893+TRANSACTIONS!$G2893,"")</f>
        <v>100000</v>
      </c>
      <c r="I2893" s="40" t="s">
        <v>41</v>
      </c>
    </row>
    <row r="2894" spans="1:9" x14ac:dyDescent="0.25">
      <c r="A2894" s="41">
        <v>45358.649130439815</v>
      </c>
      <c r="B2894" s="48">
        <f>IF(A2894&lt;&gt;"",DATE(YEAR(TRANSACTIONS!$A2894),MONTH(TRANSACTIONS!$A2894),DAY(TRANSACTIONS!$A2894)),"")</f>
        <v>45358</v>
      </c>
      <c r="C2894" s="49">
        <f>IF(A2894&lt;&gt;"",TIME(HOUR(TRANSACTIONS!$A2894),MINUTE(TRANSACTIONS!$A2894),SECOND(TRANSACTIONS!$A2894)),"")</f>
        <v>0.64913194444444444</v>
      </c>
      <c r="D2894" s="82" t="s">
        <v>25</v>
      </c>
      <c r="E2894" s="82" t="s">
        <v>6</v>
      </c>
      <c r="F2894" s="85">
        <v>5050</v>
      </c>
      <c r="G2894" s="46"/>
      <c r="H2894" s="46">
        <f>IFERROR(TRANSACTIONS!$F2894+TRANSACTIONS!$G2894,"")</f>
        <v>5050</v>
      </c>
      <c r="I2894" s="40" t="s">
        <v>41</v>
      </c>
    </row>
    <row r="2895" spans="1:9" x14ac:dyDescent="0.25">
      <c r="A2895" s="41">
        <v>45358.649211805554</v>
      </c>
      <c r="B2895" s="48">
        <f>IF(A2895&lt;&gt;"",DATE(YEAR(TRANSACTIONS!$A2895),MONTH(TRANSACTIONS!$A2895),DAY(TRANSACTIONS!$A2895)),"")</f>
        <v>45358</v>
      </c>
      <c r="C2895" s="49">
        <f>IF(A2895&lt;&gt;"",TIME(HOUR(TRANSACTIONS!$A2895),MINUTE(TRANSACTIONS!$A2895),SECOND(TRANSACTIONS!$A2895)),"")</f>
        <v>0.64921296296296294</v>
      </c>
      <c r="D2895" s="82" t="s">
        <v>25</v>
      </c>
      <c r="E2895" s="82" t="s">
        <v>6</v>
      </c>
      <c r="F2895" s="85">
        <v>5000</v>
      </c>
      <c r="G2895" s="46"/>
      <c r="H2895" s="46">
        <f>IFERROR(TRANSACTIONS!$F2895+TRANSACTIONS!$G2895,"")</f>
        <v>5000</v>
      </c>
      <c r="I2895" s="40" t="s">
        <v>41</v>
      </c>
    </row>
    <row r="2896" spans="1:9" x14ac:dyDescent="0.25">
      <c r="A2896" s="41">
        <v>45358.650863310184</v>
      </c>
      <c r="B2896" s="48">
        <f>IF(A2896&lt;&gt;"",DATE(YEAR(TRANSACTIONS!$A2896),MONTH(TRANSACTIONS!$A2896),DAY(TRANSACTIONS!$A2896)),"")</f>
        <v>45358</v>
      </c>
      <c r="C2896" s="49">
        <f>IF(A2896&lt;&gt;"",TIME(HOUR(TRANSACTIONS!$A2896),MINUTE(TRANSACTIONS!$A2896),SECOND(TRANSACTIONS!$A2896)),"")</f>
        <v>0.6508680555555556</v>
      </c>
      <c r="D2896" s="82" t="s">
        <v>25</v>
      </c>
      <c r="E2896" s="82" t="s">
        <v>6</v>
      </c>
      <c r="F2896" s="85">
        <v>5000</v>
      </c>
      <c r="G2896" s="46"/>
      <c r="H2896" s="46">
        <f>IFERROR(TRANSACTIONS!$F2896+TRANSACTIONS!$G2896,"")</f>
        <v>5000</v>
      </c>
      <c r="I2896" s="40" t="s">
        <v>41</v>
      </c>
    </row>
    <row r="2897" spans="1:11" x14ac:dyDescent="0.25">
      <c r="A2897" s="41">
        <v>45358.651474189814</v>
      </c>
      <c r="B2897" s="48">
        <f>IF(A2897&lt;&gt;"",DATE(YEAR(TRANSACTIONS!$A2897),MONTH(TRANSACTIONS!$A2897),DAY(TRANSACTIONS!$A2897)),"")</f>
        <v>45358</v>
      </c>
      <c r="C2897" s="49">
        <f>IF(A2897&lt;&gt;"",TIME(HOUR(TRANSACTIONS!$A2897),MINUTE(TRANSACTIONS!$A2897),SECOND(TRANSACTIONS!$A2897)),"")</f>
        <v>0.6514699074074074</v>
      </c>
      <c r="D2897" s="82" t="s">
        <v>62</v>
      </c>
      <c r="E2897" s="82" t="s">
        <v>6</v>
      </c>
      <c r="F2897" s="85">
        <v>31000</v>
      </c>
      <c r="G2897" s="46"/>
      <c r="H2897" s="46">
        <f>IFERROR(TRANSACTIONS!$F2897+TRANSACTIONS!$G2897,"")</f>
        <v>31000</v>
      </c>
      <c r="I2897" s="40" t="s">
        <v>41</v>
      </c>
    </row>
    <row r="2898" spans="1:11" x14ac:dyDescent="0.25">
      <c r="A2898" s="41">
        <v>45358.653715624998</v>
      </c>
      <c r="B2898" s="48">
        <f>IF(A2898&lt;&gt;"",DATE(YEAR(TRANSACTIONS!$A2898),MONTH(TRANSACTIONS!$A2898),DAY(TRANSACTIONS!$A2898)),"")</f>
        <v>45358</v>
      </c>
      <c r="C2898" s="49">
        <f>IF(A2898&lt;&gt;"",TIME(HOUR(TRANSACTIONS!$A2898),MINUTE(TRANSACTIONS!$A2898),SECOND(TRANSACTIONS!$A2898)),"")</f>
        <v>0.65371527777777783</v>
      </c>
      <c r="D2898" s="82" t="s">
        <v>62</v>
      </c>
      <c r="E2898" s="82" t="s">
        <v>7</v>
      </c>
      <c r="F2898" s="85">
        <v>6500</v>
      </c>
      <c r="G2898" s="46"/>
      <c r="H2898" s="46">
        <f>IFERROR(TRANSACTIONS!$F2898+TRANSACTIONS!$G2898,"")</f>
        <v>6500</v>
      </c>
      <c r="I2898" s="40" t="s">
        <v>41</v>
      </c>
    </row>
    <row r="2899" spans="1:11" x14ac:dyDescent="0.25">
      <c r="A2899" s="41">
        <v>45358.671332060185</v>
      </c>
      <c r="B2899" s="48">
        <f>IF(A2899&lt;&gt;"",DATE(YEAR(TRANSACTIONS!$A2899),MONTH(TRANSACTIONS!$A2899),DAY(TRANSACTIONS!$A2899)),"")</f>
        <v>45358</v>
      </c>
      <c r="C2899" s="49">
        <f>IF(A2899&lt;&gt;"",TIME(HOUR(TRANSACTIONS!$A2899),MINUTE(TRANSACTIONS!$A2899),SECOND(TRANSACTIONS!$A2899)),"")</f>
        <v>0.67133101851851851</v>
      </c>
      <c r="D2899" s="82" t="s">
        <v>62</v>
      </c>
      <c r="E2899" s="82" t="s">
        <v>6</v>
      </c>
      <c r="F2899" s="85">
        <v>5050</v>
      </c>
      <c r="G2899" s="46"/>
      <c r="H2899" s="46">
        <f>IFERROR(TRANSACTIONS!$F2899+TRANSACTIONS!$G2899,"")</f>
        <v>5050</v>
      </c>
      <c r="I2899" s="40" t="s">
        <v>41</v>
      </c>
    </row>
    <row r="2900" spans="1:11" x14ac:dyDescent="0.25">
      <c r="A2900" s="41">
        <v>45358.67134270833</v>
      </c>
      <c r="B2900" s="48">
        <f>IF(A2900&lt;&gt;"",DATE(YEAR(TRANSACTIONS!$A2900),MONTH(TRANSACTIONS!$A2900),DAY(TRANSACTIONS!$A2900)),"")</f>
        <v>45358</v>
      </c>
      <c r="C2900" s="49">
        <f>IF(A2900&lt;&gt;"",TIME(HOUR(TRANSACTIONS!$A2900),MINUTE(TRANSACTIONS!$A2900),SECOND(TRANSACTIONS!$A2900)),"")</f>
        <v>0.67134259259259255</v>
      </c>
      <c r="D2900" s="82" t="s">
        <v>62</v>
      </c>
      <c r="E2900" s="82" t="s">
        <v>7</v>
      </c>
      <c r="F2900" s="85">
        <v>10000</v>
      </c>
      <c r="G2900" s="46"/>
      <c r="H2900" s="46">
        <f>IFERROR(TRANSACTIONS!$F2900+TRANSACTIONS!$G2900,"")</f>
        <v>10000</v>
      </c>
      <c r="I2900" s="40" t="s">
        <v>41</v>
      </c>
      <c r="J2900" s="40" t="s">
        <v>40</v>
      </c>
    </row>
    <row r="2901" spans="1:11" x14ac:dyDescent="0.25">
      <c r="A2901" s="41">
        <v>45358.671357870371</v>
      </c>
      <c r="B2901" s="48">
        <f>IF(A2901&lt;&gt;"",DATE(YEAR(TRANSACTIONS!$A2901),MONTH(TRANSACTIONS!$A2901),DAY(TRANSACTIONS!$A2901)),"")</f>
        <v>45358</v>
      </c>
      <c r="C2901" s="49">
        <f>IF(A2901&lt;&gt;"",TIME(HOUR(TRANSACTIONS!$A2901),MINUTE(TRANSACTIONS!$A2901),SECOND(TRANSACTIONS!$A2901)),"")</f>
        <v>0.6713541666666667</v>
      </c>
      <c r="D2901" s="82" t="s">
        <v>62</v>
      </c>
      <c r="E2901" s="82" t="s">
        <v>6</v>
      </c>
      <c r="F2901" s="85">
        <v>15000</v>
      </c>
      <c r="G2901" s="46"/>
      <c r="H2901" s="46">
        <f>IFERROR(TRANSACTIONS!$F2901+TRANSACTIONS!$G2901,"")</f>
        <v>15000</v>
      </c>
      <c r="I2901" s="40" t="s">
        <v>41</v>
      </c>
    </row>
    <row r="2902" spans="1:11" x14ac:dyDescent="0.25">
      <c r="A2902" s="41">
        <v>45358.671370949072</v>
      </c>
      <c r="B2902" s="48">
        <f>IF(A2902&lt;&gt;"",DATE(YEAR(TRANSACTIONS!$A2902),MONTH(TRANSACTIONS!$A2902),DAY(TRANSACTIONS!$A2902)),"")</f>
        <v>45358</v>
      </c>
      <c r="C2902" s="49">
        <f>IF(A2902&lt;&gt;"",TIME(HOUR(TRANSACTIONS!$A2902),MINUTE(TRANSACTIONS!$A2902),SECOND(TRANSACTIONS!$A2902)),"")</f>
        <v>0.67136574074074085</v>
      </c>
      <c r="D2902" s="82" t="s">
        <v>62</v>
      </c>
      <c r="E2902" s="82" t="s">
        <v>6</v>
      </c>
      <c r="F2902" s="85">
        <v>2000</v>
      </c>
      <c r="G2902" s="46"/>
      <c r="H2902" s="46">
        <f>IFERROR(TRANSACTIONS!$F2902+TRANSACTIONS!$G2902,"")</f>
        <v>2000</v>
      </c>
      <c r="I2902" s="40" t="s">
        <v>41</v>
      </c>
    </row>
    <row r="2903" spans="1:11" x14ac:dyDescent="0.25">
      <c r="A2903" s="41">
        <v>45358.672155092594</v>
      </c>
      <c r="B2903" s="48">
        <f>IF(A2903&lt;&gt;"",DATE(YEAR(TRANSACTIONS!$A2903),MONTH(TRANSACTIONS!$A2903),DAY(TRANSACTIONS!$A2903)),"")</f>
        <v>45358</v>
      </c>
      <c r="C2903" s="49">
        <f>IF(A2903&lt;&gt;"",TIME(HOUR(TRANSACTIONS!$A2903),MINUTE(TRANSACTIONS!$A2903),SECOND(TRANSACTIONS!$A2903)),"")</f>
        <v>0.67215277777777782</v>
      </c>
      <c r="D2903" s="82" t="s">
        <v>62</v>
      </c>
      <c r="E2903" s="82" t="s">
        <v>7</v>
      </c>
      <c r="F2903" s="85">
        <v>184000</v>
      </c>
      <c r="G2903" s="46"/>
      <c r="H2903" s="46">
        <f>IFERROR(TRANSACTIONS!$F2903+TRANSACTIONS!$G2903,"")</f>
        <v>184000</v>
      </c>
      <c r="I2903" s="40" t="s">
        <v>41</v>
      </c>
    </row>
    <row r="2904" spans="1:11" x14ac:dyDescent="0.25">
      <c r="A2904" s="41">
        <v>45358.672164467593</v>
      </c>
      <c r="B2904" s="48">
        <f>IF(A2904&lt;&gt;"",DATE(YEAR(TRANSACTIONS!$A2904),MONTH(TRANSACTIONS!$A2904),DAY(TRANSACTIONS!$A2904)),"")</f>
        <v>45358</v>
      </c>
      <c r="C2904" s="49">
        <f>IF(A2904&lt;&gt;"",TIME(HOUR(TRANSACTIONS!$A2904),MINUTE(TRANSACTIONS!$A2904),SECOND(TRANSACTIONS!$A2904)),"")</f>
        <v>0.67216435185185175</v>
      </c>
      <c r="D2904" s="82" t="s">
        <v>25</v>
      </c>
      <c r="E2904" s="82" t="s">
        <v>7</v>
      </c>
      <c r="F2904" s="85">
        <v>5000</v>
      </c>
      <c r="G2904" s="46"/>
      <c r="H2904" s="46">
        <f>IFERROR(TRANSACTIONS!$F2904+TRANSACTIONS!$G2904,"")</f>
        <v>5000</v>
      </c>
      <c r="I2904" s="40" t="s">
        <v>41</v>
      </c>
    </row>
    <row r="2905" spans="1:11" x14ac:dyDescent="0.25">
      <c r="A2905" s="41">
        <v>45358.672690740743</v>
      </c>
      <c r="B2905" s="48">
        <f>IF(A2905&lt;&gt;"",DATE(YEAR(TRANSACTIONS!$A2905),MONTH(TRANSACTIONS!$A2905),DAY(TRANSACTIONS!$A2905)),"")</f>
        <v>45358</v>
      </c>
      <c r="C2905" s="49">
        <f>IF(A2905&lt;&gt;"",TIME(HOUR(TRANSACTIONS!$A2905),MINUTE(TRANSACTIONS!$A2905),SECOND(TRANSACTIONS!$A2905)),"")</f>
        <v>0.67268518518518527</v>
      </c>
      <c r="D2905" s="82" t="s">
        <v>25</v>
      </c>
      <c r="E2905" s="82" t="s">
        <v>7</v>
      </c>
      <c r="F2905" s="85">
        <v>37000</v>
      </c>
      <c r="G2905" s="46"/>
      <c r="H2905" s="46">
        <f>IFERROR(TRANSACTIONS!$F2905+TRANSACTIONS!$G2905,"")</f>
        <v>37000</v>
      </c>
      <c r="I2905" s="40" t="s">
        <v>41</v>
      </c>
    </row>
    <row r="2906" spans="1:11" x14ac:dyDescent="0.25">
      <c r="A2906" s="41">
        <v>45358.672792708334</v>
      </c>
      <c r="B2906" s="48">
        <f>IF(A2906&lt;&gt;"",DATE(YEAR(TRANSACTIONS!$A2906),MONTH(TRANSACTIONS!$A2906),DAY(TRANSACTIONS!$A2906)),"")</f>
        <v>45358</v>
      </c>
      <c r="C2906" s="49">
        <f>IF(A2906&lt;&gt;"",TIME(HOUR(TRANSACTIONS!$A2906),MINUTE(TRANSACTIONS!$A2906),SECOND(TRANSACTIONS!$A2906)),"")</f>
        <v>0.67278935185185185</v>
      </c>
      <c r="D2906" s="82" t="s">
        <v>25</v>
      </c>
      <c r="E2906" s="82" t="s">
        <v>6</v>
      </c>
      <c r="F2906" s="85">
        <v>500</v>
      </c>
      <c r="G2906" s="46"/>
      <c r="H2906" s="46">
        <f>IFERROR(TRANSACTIONS!$F2906+TRANSACTIONS!$G2906,"")</f>
        <v>500</v>
      </c>
      <c r="I2906" s="40" t="s">
        <v>41</v>
      </c>
    </row>
    <row r="2907" spans="1:11" x14ac:dyDescent="0.25">
      <c r="A2907" s="41">
        <v>45358.687662731485</v>
      </c>
      <c r="B2907" s="48">
        <f>IF(A2907&lt;&gt;"",DATE(YEAR(TRANSACTIONS!$A2907),MONTH(TRANSACTIONS!$A2907),DAY(TRANSACTIONS!$A2907)),"")</f>
        <v>45358</v>
      </c>
      <c r="C2907" s="49">
        <f>IF(A2907&lt;&gt;"",TIME(HOUR(TRANSACTIONS!$A2907),MINUTE(TRANSACTIONS!$A2907),SECOND(TRANSACTIONS!$A2907)),"")</f>
        <v>0.68766203703703699</v>
      </c>
      <c r="D2907" s="82" t="s">
        <v>64</v>
      </c>
      <c r="E2907" s="82" t="s">
        <v>7</v>
      </c>
      <c r="F2907" s="85">
        <v>300000</v>
      </c>
      <c r="G2907" s="46"/>
      <c r="H2907" s="46">
        <f>IFERROR(TRANSACTIONS!$F2907+TRANSACTIONS!$G2907,"")</f>
        <v>300000</v>
      </c>
      <c r="I2907" s="40" t="s">
        <v>41</v>
      </c>
    </row>
    <row r="2908" spans="1:11" x14ac:dyDescent="0.25">
      <c r="A2908" s="81">
        <v>45358.68844189815</v>
      </c>
      <c r="B2908" s="83">
        <f>IF(A2908&lt;&gt;"",DATE(YEAR(TRANSACTIONS!$A2908),MONTH(TRANSACTIONS!$A2908),DAY(TRANSACTIONS!$A2908)),"")</f>
        <v>45358</v>
      </c>
      <c r="C2908" s="84">
        <f>IF(A2908&lt;&gt;"",TIME(HOUR(TRANSACTIONS!$A2908),MINUTE(TRANSACTIONS!$A2908),SECOND(TRANSACTIONS!$A2908)),"")</f>
        <v>0.68843750000000004</v>
      </c>
      <c r="D2908" s="82" t="s">
        <v>62</v>
      </c>
      <c r="E2908" s="82" t="s">
        <v>7</v>
      </c>
      <c r="F2908" s="85">
        <v>25000</v>
      </c>
      <c r="G2908" s="86"/>
      <c r="H2908" s="86">
        <f>IFERROR(TRANSACTIONS!$F2908+TRANSACTIONS!$G2908,"")</f>
        <v>25000</v>
      </c>
      <c r="I2908" s="88" t="s">
        <v>41</v>
      </c>
      <c r="J2908" s="88"/>
      <c r="K2908" s="88"/>
    </row>
    <row r="2909" spans="1:11" x14ac:dyDescent="0.25">
      <c r="A2909" s="81">
        <v>45358.711284490739</v>
      </c>
      <c r="B2909" s="83">
        <f>IF(A2909&lt;&gt;"",DATE(YEAR(TRANSACTIONS!$A2909),MONTH(TRANSACTIONS!$A2909),DAY(TRANSACTIONS!$A2909)),"")</f>
        <v>45358</v>
      </c>
      <c r="C2909" s="84">
        <f>IF(A2909&lt;&gt;"",TIME(HOUR(TRANSACTIONS!$A2909),MINUTE(TRANSACTIONS!$A2909),SECOND(TRANSACTIONS!$A2909)),"")</f>
        <v>0.71128472222222217</v>
      </c>
      <c r="D2909" s="82" t="s">
        <v>49</v>
      </c>
      <c r="E2909" s="82" t="s">
        <v>6</v>
      </c>
      <c r="F2909" s="85">
        <v>700</v>
      </c>
      <c r="G2909" s="86"/>
      <c r="H2909" s="86">
        <f>IFERROR(TRANSACTIONS!$F2909+TRANSACTIONS!$G2909,"")</f>
        <v>700</v>
      </c>
      <c r="I2909" s="88" t="s">
        <v>41</v>
      </c>
      <c r="J2909" s="88"/>
      <c r="K2909" s="88"/>
    </row>
    <row r="2910" spans="1:11" x14ac:dyDescent="0.25">
      <c r="A2910" s="41">
        <v>45358.711312847219</v>
      </c>
      <c r="B2910" s="48">
        <f>IF(A2910&lt;&gt;"",DATE(YEAR(TRANSACTIONS!$A2910),MONTH(TRANSACTIONS!$A2910),DAY(TRANSACTIONS!$A2910)),"")</f>
        <v>45358</v>
      </c>
      <c r="C2910" s="49">
        <f>IF(A2910&lt;&gt;"",TIME(HOUR(TRANSACTIONS!$A2910),MINUTE(TRANSACTIONS!$A2910),SECOND(TRANSACTIONS!$A2910)),"")</f>
        <v>0.71130787037037047</v>
      </c>
      <c r="D2910" s="82" t="s">
        <v>25</v>
      </c>
      <c r="E2910" s="82" t="s">
        <v>6</v>
      </c>
      <c r="F2910" s="85">
        <v>4000</v>
      </c>
      <c r="G2910" s="46"/>
      <c r="H2910" s="46">
        <f>IFERROR(TRANSACTIONS!$F2910+TRANSACTIONS!$G2910,"")</f>
        <v>4000</v>
      </c>
      <c r="I2910" s="40" t="s">
        <v>41</v>
      </c>
      <c r="K2910" s="110"/>
    </row>
    <row r="2911" spans="1:11" x14ac:dyDescent="0.25">
      <c r="A2911" s="41">
        <v>45358.711722685184</v>
      </c>
      <c r="B2911" s="48">
        <f>IF(A2911&lt;&gt;"",DATE(YEAR(TRANSACTIONS!$A2911),MONTH(TRANSACTIONS!$A2911),DAY(TRANSACTIONS!$A2911)),"")</f>
        <v>45358</v>
      </c>
      <c r="C2911" s="49">
        <f>IF(A2911&lt;&gt;"",TIME(HOUR(TRANSACTIONS!$A2911),MINUTE(TRANSACTIONS!$A2911),SECOND(TRANSACTIONS!$A2911)),"")</f>
        <v>0.71172453703703698</v>
      </c>
      <c r="D2911" s="82" t="s">
        <v>62</v>
      </c>
      <c r="E2911" s="82" t="s">
        <v>6</v>
      </c>
      <c r="F2911" s="85">
        <v>5000</v>
      </c>
      <c r="G2911" s="46"/>
      <c r="H2911" s="46">
        <f>IFERROR(TRANSACTIONS!$F2911+TRANSACTIONS!$G2911,"")</f>
        <v>5000</v>
      </c>
      <c r="I2911" s="40" t="s">
        <v>41</v>
      </c>
    </row>
    <row r="2912" spans="1:11" x14ac:dyDescent="0.25">
      <c r="A2912" s="41">
        <v>45358.711730439813</v>
      </c>
      <c r="B2912" s="48">
        <f>IF(A2912&lt;&gt;"",DATE(YEAR(TRANSACTIONS!$A2912),MONTH(TRANSACTIONS!$A2912),DAY(TRANSACTIONS!$A2912)),"")</f>
        <v>45358</v>
      </c>
      <c r="C2912" s="49">
        <f>IF(A2912&lt;&gt;"",TIME(HOUR(TRANSACTIONS!$A2912),MINUTE(TRANSACTIONS!$A2912),SECOND(TRANSACTIONS!$A2912)),"")</f>
        <v>0.71173611111111112</v>
      </c>
      <c r="D2912" s="82" t="s">
        <v>62</v>
      </c>
      <c r="E2912" s="82" t="s">
        <v>7</v>
      </c>
      <c r="F2912" s="85">
        <v>1000</v>
      </c>
      <c r="G2912" s="46"/>
      <c r="H2912" s="46">
        <f>IFERROR(TRANSACTIONS!$F2912+TRANSACTIONS!$G2912,"")</f>
        <v>1000</v>
      </c>
      <c r="I2912" s="40" t="s">
        <v>41</v>
      </c>
    </row>
    <row r="2913" spans="1:10" x14ac:dyDescent="0.25">
      <c r="A2913" s="41">
        <v>45358.753916666668</v>
      </c>
      <c r="B2913" s="48">
        <f>IF(A2913&lt;&gt;"",DATE(YEAR(TRANSACTIONS!$A2913),MONTH(TRANSACTIONS!$A2913),DAY(TRANSACTIONS!$A2913)),"")</f>
        <v>45358</v>
      </c>
      <c r="C2913" s="49">
        <f>IF(A2913&lt;&gt;"",TIME(HOUR(TRANSACTIONS!$A2913),MINUTE(TRANSACTIONS!$A2913),SECOND(TRANSACTIONS!$A2913)),"")</f>
        <v>0.75391203703703702</v>
      </c>
      <c r="D2913" s="82" t="s">
        <v>62</v>
      </c>
      <c r="E2913" s="82" t="s">
        <v>7</v>
      </c>
      <c r="F2913" s="85">
        <v>5000</v>
      </c>
      <c r="G2913" s="46"/>
      <c r="H2913" s="46">
        <f>IFERROR(TRANSACTIONS!$F2913+TRANSACTIONS!$G2913,"")</f>
        <v>5000</v>
      </c>
      <c r="I2913" s="40" t="s">
        <v>41</v>
      </c>
    </row>
    <row r="2914" spans="1:10" x14ac:dyDescent="0.25">
      <c r="A2914" s="41">
        <v>45358.763050578702</v>
      </c>
      <c r="B2914" s="48">
        <f>IF(A2914&lt;&gt;"",DATE(YEAR(TRANSACTIONS!$A2914),MONTH(TRANSACTIONS!$A2914),DAY(TRANSACTIONS!$A2914)),"")</f>
        <v>45358</v>
      </c>
      <c r="C2914" s="49">
        <f>IF(A2914&lt;&gt;"",TIME(HOUR(TRANSACTIONS!$A2914),MINUTE(TRANSACTIONS!$A2914),SECOND(TRANSACTIONS!$A2914)),"")</f>
        <v>0.76305555555555549</v>
      </c>
      <c r="D2914" s="82" t="s">
        <v>62</v>
      </c>
      <c r="E2914" s="82" t="s">
        <v>6</v>
      </c>
      <c r="F2914" s="85">
        <v>29000</v>
      </c>
      <c r="G2914" s="46"/>
      <c r="H2914" s="46">
        <f>IFERROR(TRANSACTIONS!$F2914+TRANSACTIONS!$G2914,"")</f>
        <v>29000</v>
      </c>
      <c r="I2914" s="40" t="s">
        <v>41</v>
      </c>
    </row>
    <row r="2915" spans="1:10" x14ac:dyDescent="0.25">
      <c r="A2915" s="41">
        <v>45358.763064699073</v>
      </c>
      <c r="B2915" s="48">
        <f>IF(A2915&lt;&gt;"",DATE(YEAR(TRANSACTIONS!$A2915),MONTH(TRANSACTIONS!$A2915),DAY(TRANSACTIONS!$A2915)),"")</f>
        <v>45358</v>
      </c>
      <c r="C2915" s="49">
        <f>IF(A2915&lt;&gt;"",TIME(HOUR(TRANSACTIONS!$A2915),MINUTE(TRANSACTIONS!$A2915),SECOND(TRANSACTIONS!$A2915)),"")</f>
        <v>0.76306712962962964</v>
      </c>
      <c r="D2915" s="82" t="s">
        <v>62</v>
      </c>
      <c r="E2915" s="82" t="s">
        <v>7</v>
      </c>
      <c r="F2915" s="85">
        <v>10000</v>
      </c>
      <c r="G2915" s="46"/>
      <c r="H2915" s="46">
        <f>IFERROR(TRANSACTIONS!$F2915+TRANSACTIONS!$G2915,"")</f>
        <v>10000</v>
      </c>
      <c r="I2915" s="40" t="s">
        <v>41</v>
      </c>
    </row>
    <row r="2916" spans="1:10" x14ac:dyDescent="0.25">
      <c r="A2916" s="105">
        <v>45358.763080787037</v>
      </c>
      <c r="B2916" s="106">
        <f>IF(A2916&lt;&gt;"",DATE(YEAR(TRANSACTIONS!$A2916),MONTH(TRANSACTIONS!$A2916),DAY(TRANSACTIONS!$A2916)),"")</f>
        <v>45358</v>
      </c>
      <c r="C2916" s="107">
        <f>IF(A2916&lt;&gt;"",TIME(HOUR(TRANSACTIONS!$A2916),MINUTE(TRANSACTIONS!$A2916),SECOND(TRANSACTIONS!$A2916)),"")</f>
        <v>0.76307870370370379</v>
      </c>
      <c r="D2916" s="93" t="s">
        <v>62</v>
      </c>
      <c r="E2916" s="93" t="s">
        <v>6</v>
      </c>
      <c r="F2916" s="94">
        <v>150000</v>
      </c>
      <c r="G2916" s="108"/>
      <c r="H2916" s="108">
        <f>IFERROR(TRANSACTIONS!$F2916+TRANSACTIONS!$G2916,"")</f>
        <v>150000</v>
      </c>
      <c r="I2916" s="109" t="s">
        <v>41</v>
      </c>
    </row>
    <row r="2917" spans="1:10" x14ac:dyDescent="0.25">
      <c r="A2917" s="41">
        <v>45358.763095138886</v>
      </c>
      <c r="B2917" s="48">
        <f>IF(A2917&lt;&gt;"",DATE(YEAR(TRANSACTIONS!$A2917),MONTH(TRANSACTIONS!$A2917),DAY(TRANSACTIONS!$A2917)),"")</f>
        <v>45358</v>
      </c>
      <c r="C2917" s="49">
        <f>IF(A2917&lt;&gt;"",TIME(HOUR(TRANSACTIONS!$A2917),MINUTE(TRANSACTIONS!$A2917),SECOND(TRANSACTIONS!$A2917)),"")</f>
        <v>0.76309027777777771</v>
      </c>
      <c r="D2917" s="82" t="s">
        <v>62</v>
      </c>
      <c r="E2917" s="82" t="s">
        <v>7</v>
      </c>
      <c r="F2917" s="85">
        <v>500</v>
      </c>
      <c r="G2917" s="46"/>
      <c r="H2917" s="46">
        <f>IFERROR(TRANSACTIONS!$F2917+TRANSACTIONS!$G2917,"")</f>
        <v>500</v>
      </c>
      <c r="I2917" s="40" t="s">
        <v>41</v>
      </c>
    </row>
    <row r="2918" spans="1:10" x14ac:dyDescent="0.25">
      <c r="A2918" s="41">
        <v>45358.763109375002</v>
      </c>
      <c r="B2918" s="48">
        <f>IF(A2918&lt;&gt;"",DATE(YEAR(TRANSACTIONS!$A2918),MONTH(TRANSACTIONS!$A2918),DAY(TRANSACTIONS!$A2918)),"")</f>
        <v>45358</v>
      </c>
      <c r="C2918" s="49">
        <f>IF(A2918&lt;&gt;"",TIME(HOUR(TRANSACTIONS!$A2918),MINUTE(TRANSACTIONS!$A2918),SECOND(TRANSACTIONS!$A2918)),"")</f>
        <v>0.7631134259259259</v>
      </c>
      <c r="D2918" s="82" t="s">
        <v>62</v>
      </c>
      <c r="E2918" s="82" t="s">
        <v>7</v>
      </c>
      <c r="F2918" s="85">
        <v>500</v>
      </c>
      <c r="G2918" s="46"/>
      <c r="H2918" s="46">
        <f>IFERROR(TRANSACTIONS!$F2918+TRANSACTIONS!$G2918,"")</f>
        <v>500</v>
      </c>
      <c r="I2918" s="40" t="s">
        <v>41</v>
      </c>
    </row>
    <row r="2919" spans="1:10" x14ac:dyDescent="0.25">
      <c r="A2919" s="160">
        <v>45358.763119675925</v>
      </c>
      <c r="B2919" s="161">
        <f>IF(A2919&lt;&gt;"",DATE(YEAR(TRANSACTIONS!$A2919),MONTH(TRANSACTIONS!$A2919),DAY(TRANSACTIONS!$A2919)),"")</f>
        <v>45358</v>
      </c>
      <c r="C2919" s="162">
        <f>IF(A2919&lt;&gt;"",TIME(HOUR(TRANSACTIONS!$A2919),MINUTE(TRANSACTIONS!$A2919),SECOND(TRANSACTIONS!$A2919)),"")</f>
        <v>0.76312500000000005</v>
      </c>
      <c r="D2919" s="82" t="s">
        <v>62</v>
      </c>
      <c r="E2919" s="82" t="s">
        <v>6</v>
      </c>
      <c r="F2919" s="85">
        <v>700</v>
      </c>
      <c r="G2919" s="163"/>
      <c r="H2919" s="163">
        <f>IFERROR(TRANSACTIONS!$F2919+TRANSACTIONS!$G2919,"")</f>
        <v>700</v>
      </c>
      <c r="I2919" s="165" t="s">
        <v>41</v>
      </c>
    </row>
    <row r="2920" spans="1:10" x14ac:dyDescent="0.25">
      <c r="A2920" s="41">
        <v>45358.763135763889</v>
      </c>
      <c r="B2920" s="48">
        <f>IF(A2920&lt;&gt;"",DATE(YEAR(TRANSACTIONS!$A2920),MONTH(TRANSACTIONS!$A2920),DAY(TRANSACTIONS!$A2920)),"")</f>
        <v>45358</v>
      </c>
      <c r="C2920" s="49">
        <f>IF(A2920&lt;&gt;"",TIME(HOUR(TRANSACTIONS!$A2920),MINUTE(TRANSACTIONS!$A2920),SECOND(TRANSACTIONS!$A2920)),"")</f>
        <v>0.76313657407407398</v>
      </c>
      <c r="D2920" s="82" t="s">
        <v>62</v>
      </c>
      <c r="E2920" s="82" t="s">
        <v>6</v>
      </c>
      <c r="F2920" s="85">
        <v>3000</v>
      </c>
      <c r="G2920" s="46"/>
      <c r="H2920" s="46">
        <f>IFERROR(TRANSACTIONS!$F2920+TRANSACTIONS!$G2920,"")</f>
        <v>3000</v>
      </c>
      <c r="I2920" s="40" t="s">
        <v>41</v>
      </c>
    </row>
    <row r="2921" spans="1:10" x14ac:dyDescent="0.25">
      <c r="A2921" s="113">
        <v>45358.763168287034</v>
      </c>
      <c r="B2921" s="114">
        <f>IF(A2921&lt;&gt;"",DATE(YEAR(TRANSACTIONS!$A2921),MONTH(TRANSACTIONS!$A2921),DAY(TRANSACTIONS!$A2921)),"")</f>
        <v>45358</v>
      </c>
      <c r="C2921" s="115">
        <f>IF(A2921&lt;&gt;"",TIME(HOUR(TRANSACTIONS!$A2921),MINUTE(TRANSACTIONS!$A2921),SECOND(TRANSACTIONS!$A2921)),"")</f>
        <v>0.76317129629629632</v>
      </c>
      <c r="D2921" s="116" t="s">
        <v>62</v>
      </c>
      <c r="E2921" s="116" t="s">
        <v>7</v>
      </c>
      <c r="F2921" s="186">
        <v>30000</v>
      </c>
      <c r="G2921" s="117"/>
      <c r="H2921" s="117">
        <f>IFERROR(TRANSACTIONS!$F2921+TRANSACTIONS!$G2921,"")</f>
        <v>30000</v>
      </c>
      <c r="I2921" s="118" t="s">
        <v>41</v>
      </c>
      <c r="J2921" s="118"/>
    </row>
    <row r="2922" spans="1:10" x14ac:dyDescent="0.25">
      <c r="A2922" s="41">
        <v>45358.763184374999</v>
      </c>
      <c r="B2922" s="48">
        <f>IF(A2922&lt;&gt;"",DATE(YEAR(TRANSACTIONS!$A2922),MONTH(TRANSACTIONS!$A2922),DAY(TRANSACTIONS!$A2922)),"")</f>
        <v>45358</v>
      </c>
      <c r="C2922" s="49">
        <f>IF(A2922&lt;&gt;"",TIME(HOUR(TRANSACTIONS!$A2922),MINUTE(TRANSACTIONS!$A2922),SECOND(TRANSACTIONS!$A2922)),"")</f>
        <v>0.76318287037037036</v>
      </c>
      <c r="D2922" s="82" t="s">
        <v>62</v>
      </c>
      <c r="E2922" s="82" t="s">
        <v>6</v>
      </c>
      <c r="F2922" s="85">
        <v>220000</v>
      </c>
      <c r="G2922" s="46"/>
      <c r="H2922" s="46">
        <f>IFERROR(TRANSACTIONS!$F2922+TRANSACTIONS!$G2922,"")</f>
        <v>220000</v>
      </c>
      <c r="I2922" s="40" t="s">
        <v>41</v>
      </c>
    </row>
    <row r="2923" spans="1:10" x14ac:dyDescent="0.25">
      <c r="A2923" s="41">
        <v>45358.763192013888</v>
      </c>
      <c r="B2923" s="48">
        <f>IF(A2923&lt;&gt;"",DATE(YEAR(TRANSACTIONS!$A2923),MONTH(TRANSACTIONS!$A2923),DAY(TRANSACTIONS!$A2923)),"")</f>
        <v>45358</v>
      </c>
      <c r="C2923" s="49">
        <f>IF(A2923&lt;&gt;"",TIME(HOUR(TRANSACTIONS!$A2923),MINUTE(TRANSACTIONS!$A2923),SECOND(TRANSACTIONS!$A2923)),"")</f>
        <v>0.7631944444444444</v>
      </c>
      <c r="D2923" s="82" t="s">
        <v>62</v>
      </c>
      <c r="E2923" s="82" t="s">
        <v>6</v>
      </c>
      <c r="F2923" s="85">
        <v>50000</v>
      </c>
      <c r="G2923" s="46"/>
      <c r="H2923" s="46">
        <f>IFERROR(TRANSACTIONS!$F2923+TRANSACTIONS!$G2923,"")</f>
        <v>50000</v>
      </c>
      <c r="I2923" s="40" t="s">
        <v>41</v>
      </c>
    </row>
    <row r="2924" spans="1:10" x14ac:dyDescent="0.25">
      <c r="A2924" s="41">
        <v>45358.763208101853</v>
      </c>
      <c r="B2924" s="48">
        <f>IF(A2924&lt;&gt;"",DATE(YEAR(TRANSACTIONS!$A2924),MONTH(TRANSACTIONS!$A2924),DAY(TRANSACTIONS!$A2924)),"")</f>
        <v>45358</v>
      </c>
      <c r="C2924" s="49">
        <f>IF(A2924&lt;&gt;"",TIME(HOUR(TRANSACTIONS!$A2924),MINUTE(TRANSACTIONS!$A2924),SECOND(TRANSACTIONS!$A2924)),"")</f>
        <v>0.76320601851851855</v>
      </c>
      <c r="D2924" s="82" t="s">
        <v>62</v>
      </c>
      <c r="E2924" s="82" t="s">
        <v>7</v>
      </c>
      <c r="F2924" s="85">
        <v>2000</v>
      </c>
      <c r="G2924" s="46"/>
      <c r="H2924" s="46">
        <f>IFERROR(TRANSACTIONS!$F2924+TRANSACTIONS!$G2924,"")</f>
        <v>2000</v>
      </c>
      <c r="I2924" s="40" t="s">
        <v>41</v>
      </c>
    </row>
    <row r="2925" spans="1:10" x14ac:dyDescent="0.25">
      <c r="A2925" s="41">
        <v>45358.76322291667</v>
      </c>
      <c r="B2925" s="48">
        <f>IF(A2925&lt;&gt;"",DATE(YEAR(TRANSACTIONS!$A2925),MONTH(TRANSACTIONS!$A2925),DAY(TRANSACTIONS!$A2925)),"")</f>
        <v>45358</v>
      </c>
      <c r="C2925" s="49">
        <f>IF(A2925&lt;&gt;"",TIME(HOUR(TRANSACTIONS!$A2925),MINUTE(TRANSACTIONS!$A2925),SECOND(TRANSACTIONS!$A2925)),"")</f>
        <v>0.7632175925925927</v>
      </c>
      <c r="D2925" s="82" t="s">
        <v>62</v>
      </c>
      <c r="E2925" s="82" t="s">
        <v>6</v>
      </c>
      <c r="F2925" s="85">
        <v>8000</v>
      </c>
      <c r="G2925" s="46"/>
      <c r="H2925" s="46">
        <f>IFERROR(TRANSACTIONS!$F2925+TRANSACTIONS!$G2925,"")</f>
        <v>8000</v>
      </c>
      <c r="I2925" s="40" t="s">
        <v>41</v>
      </c>
    </row>
    <row r="2926" spans="1:10" x14ac:dyDescent="0.25">
      <c r="A2926" s="41">
        <v>45358.763230671299</v>
      </c>
      <c r="B2926" s="48">
        <f>IF(A2926&lt;&gt;"",DATE(YEAR(TRANSACTIONS!$A2926),MONTH(TRANSACTIONS!$A2926),DAY(TRANSACTIONS!$A2926)),"")</f>
        <v>45358</v>
      </c>
      <c r="C2926" s="49">
        <f>IF(A2926&lt;&gt;"",TIME(HOUR(TRANSACTIONS!$A2926),MINUTE(TRANSACTIONS!$A2926),SECOND(TRANSACTIONS!$A2926)),"")</f>
        <v>0.76322916666666663</v>
      </c>
      <c r="D2926" s="82" t="s">
        <v>62</v>
      </c>
      <c r="E2926" s="82" t="s">
        <v>6</v>
      </c>
      <c r="F2926" s="85">
        <v>353000</v>
      </c>
      <c r="G2926" s="46"/>
      <c r="H2926" s="46">
        <f>IFERROR(TRANSACTIONS!$F2926+TRANSACTIONS!$G2926,"")</f>
        <v>353000</v>
      </c>
      <c r="I2926" s="40" t="s">
        <v>41</v>
      </c>
    </row>
    <row r="2927" spans="1:10" x14ac:dyDescent="0.25">
      <c r="A2927" s="41">
        <v>45358.763247916664</v>
      </c>
      <c r="B2927" s="48">
        <f>IF(A2927&lt;&gt;"",DATE(YEAR(TRANSACTIONS!$A2927),MONTH(TRANSACTIONS!$A2927),DAY(TRANSACTIONS!$A2927)),"")</f>
        <v>45358</v>
      </c>
      <c r="C2927" s="49">
        <f>IF(A2927&lt;&gt;"",TIME(HOUR(TRANSACTIONS!$A2927),MINUTE(TRANSACTIONS!$A2927),SECOND(TRANSACTIONS!$A2927)),"")</f>
        <v>0.76325231481481481</v>
      </c>
      <c r="D2927" s="82" t="s">
        <v>62</v>
      </c>
      <c r="E2927" s="82" t="s">
        <v>6</v>
      </c>
      <c r="F2927" s="85">
        <v>3000</v>
      </c>
      <c r="G2927" s="46"/>
      <c r="H2927" s="46">
        <f>IFERROR(TRANSACTIONS!$F2927+TRANSACTIONS!$G2927,"")</f>
        <v>3000</v>
      </c>
      <c r="I2927" s="40" t="s">
        <v>41</v>
      </c>
    </row>
    <row r="2928" spans="1:10" x14ac:dyDescent="0.25">
      <c r="A2928" s="41">
        <v>45358.763267708331</v>
      </c>
      <c r="B2928" s="48">
        <f>IF(A2928&lt;&gt;"",DATE(YEAR(TRANSACTIONS!$A2928),MONTH(TRANSACTIONS!$A2928),DAY(TRANSACTIONS!$A2928)),"")</f>
        <v>45358</v>
      </c>
      <c r="C2928" s="49">
        <f>IF(A2928&lt;&gt;"",TIME(HOUR(TRANSACTIONS!$A2928),MINUTE(TRANSACTIONS!$A2928),SECOND(TRANSACTIONS!$A2928)),"")</f>
        <v>0.76326388888888896</v>
      </c>
      <c r="D2928" s="82" t="s">
        <v>62</v>
      </c>
      <c r="E2928" s="82" t="s">
        <v>6</v>
      </c>
      <c r="F2928" s="85">
        <v>3600</v>
      </c>
      <c r="G2928" s="46"/>
      <c r="H2928" s="46">
        <f>IFERROR(TRANSACTIONS!$F2928+TRANSACTIONS!$G2928,"")</f>
        <v>3600</v>
      </c>
      <c r="I2928" s="40" t="s">
        <v>41</v>
      </c>
    </row>
    <row r="2929" spans="1:9" x14ac:dyDescent="0.25">
      <c r="A2929" s="41">
        <v>45358.764852083332</v>
      </c>
      <c r="B2929" s="48">
        <f>IF(A2929&lt;&gt;"",DATE(YEAR(TRANSACTIONS!$A2929),MONTH(TRANSACTIONS!$A2929),DAY(TRANSACTIONS!$A2929)),"")</f>
        <v>45358</v>
      </c>
      <c r="C2929" s="49">
        <f>IF(A2929&lt;&gt;"",TIME(HOUR(TRANSACTIONS!$A2929),MINUTE(TRANSACTIONS!$A2929),SECOND(TRANSACTIONS!$A2929)),"")</f>
        <v>0.76484953703703706</v>
      </c>
      <c r="D2929" s="82" t="s">
        <v>62</v>
      </c>
      <c r="E2929" s="82" t="s">
        <v>7</v>
      </c>
      <c r="F2929" s="85">
        <v>1000</v>
      </c>
      <c r="G2929" s="46"/>
      <c r="H2929" s="46">
        <f>IFERROR(TRANSACTIONS!$F2929+TRANSACTIONS!$G2929,"")</f>
        <v>1000</v>
      </c>
      <c r="I2929" s="40" t="s">
        <v>41</v>
      </c>
    </row>
    <row r="2930" spans="1:9" x14ac:dyDescent="0.25">
      <c r="A2930" s="41">
        <v>45358.764860300929</v>
      </c>
      <c r="B2930" s="48">
        <f>IF(A2930&lt;&gt;"",DATE(YEAR(TRANSACTIONS!$A2930),MONTH(TRANSACTIONS!$A2930),DAY(TRANSACTIONS!$A2930)),"")</f>
        <v>45358</v>
      </c>
      <c r="C2930" s="49">
        <f>IF(A2930&lt;&gt;"",TIME(HOUR(TRANSACTIONS!$A2930),MINUTE(TRANSACTIONS!$A2930),SECOND(TRANSACTIONS!$A2930)),"")</f>
        <v>0.7648611111111111</v>
      </c>
      <c r="D2930" s="82" t="s">
        <v>62</v>
      </c>
      <c r="E2930" s="82" t="s">
        <v>7</v>
      </c>
      <c r="F2930" s="85">
        <v>5000</v>
      </c>
      <c r="G2930" s="46"/>
      <c r="H2930" s="46">
        <f>IFERROR(TRANSACTIONS!$F2930+TRANSACTIONS!$G2930,"")</f>
        <v>5000</v>
      </c>
      <c r="I2930" s="40" t="s">
        <v>41</v>
      </c>
    </row>
    <row r="2931" spans="1:9" x14ac:dyDescent="0.25">
      <c r="A2931" s="41">
        <v>45358.764903356481</v>
      </c>
      <c r="B2931" s="48">
        <f>IF(A2931&lt;&gt;"",DATE(YEAR(TRANSACTIONS!$A2931),MONTH(TRANSACTIONS!$A2931),DAY(TRANSACTIONS!$A2931)),"")</f>
        <v>45358</v>
      </c>
      <c r="C2931" s="49">
        <f>IF(A2931&lt;&gt;"",TIME(HOUR(TRANSACTIONS!$A2931),MINUTE(TRANSACTIONS!$A2931),SECOND(TRANSACTIONS!$A2931)),"")</f>
        <v>0.76490740740740737</v>
      </c>
      <c r="D2931" s="82" t="s">
        <v>62</v>
      </c>
      <c r="E2931" s="82" t="s">
        <v>6</v>
      </c>
      <c r="F2931" s="85">
        <v>20500</v>
      </c>
      <c r="G2931" s="46"/>
      <c r="H2931" s="46">
        <f>IFERROR(TRANSACTIONS!$F2931+TRANSACTIONS!$G2931,"")</f>
        <v>20500</v>
      </c>
      <c r="I2931" s="40" t="s">
        <v>41</v>
      </c>
    </row>
    <row r="2932" spans="1:9" x14ac:dyDescent="0.25">
      <c r="A2932" s="41">
        <v>45358.764924537034</v>
      </c>
      <c r="B2932" s="48">
        <f>IF(A2932&lt;&gt;"",DATE(YEAR(TRANSACTIONS!$A2932),MONTH(TRANSACTIONS!$A2932),DAY(TRANSACTIONS!$A2932)),"")</f>
        <v>45358</v>
      </c>
      <c r="C2932" s="49">
        <f>IF(A2932&lt;&gt;"",TIME(HOUR(TRANSACTIONS!$A2932),MINUTE(TRANSACTIONS!$A2932),SECOND(TRANSACTIONS!$A2932)),"")</f>
        <v>0.76491898148148152</v>
      </c>
      <c r="D2932" s="82" t="s">
        <v>62</v>
      </c>
      <c r="E2932" s="82" t="s">
        <v>6</v>
      </c>
      <c r="F2932" s="85">
        <v>2500</v>
      </c>
      <c r="G2932" s="46"/>
      <c r="H2932" s="46">
        <f>IFERROR(TRANSACTIONS!$F2932+TRANSACTIONS!$G2932,"")</f>
        <v>2500</v>
      </c>
      <c r="I2932" s="40" t="s">
        <v>41</v>
      </c>
    </row>
    <row r="2933" spans="1:9" x14ac:dyDescent="0.25">
      <c r="A2933" s="41">
        <v>45358.76493287037</v>
      </c>
      <c r="B2933" s="48">
        <f>IF(A2933&lt;&gt;"",DATE(YEAR(TRANSACTIONS!$A2933),MONTH(TRANSACTIONS!$A2933),DAY(TRANSACTIONS!$A2933)),"")</f>
        <v>45358</v>
      </c>
      <c r="C2933" s="49">
        <f>IF(A2933&lt;&gt;"",TIME(HOUR(TRANSACTIONS!$A2933),MINUTE(TRANSACTIONS!$A2933),SECOND(TRANSACTIONS!$A2933)),"")</f>
        <v>0.76493055555555556</v>
      </c>
      <c r="D2933" s="82" t="s">
        <v>62</v>
      </c>
      <c r="E2933" s="82" t="s">
        <v>6</v>
      </c>
      <c r="F2933" s="85">
        <v>4000</v>
      </c>
      <c r="G2933" s="46"/>
      <c r="H2933" s="46">
        <f>IFERROR(TRANSACTIONS!$F2933+TRANSACTIONS!$G2933,"")</f>
        <v>4000</v>
      </c>
      <c r="I2933" s="40" t="s">
        <v>41</v>
      </c>
    </row>
    <row r="2934" spans="1:9" x14ac:dyDescent="0.25">
      <c r="A2934" s="41">
        <v>45358.764953703707</v>
      </c>
      <c r="B2934" s="48">
        <f>IF(A2934&lt;&gt;"",DATE(YEAR(TRANSACTIONS!$A2934),MONTH(TRANSACTIONS!$A2934),DAY(TRANSACTIONS!$A2934)),"")</f>
        <v>45358</v>
      </c>
      <c r="C2934" s="49">
        <f>IF(A2934&lt;&gt;"",TIME(HOUR(TRANSACTIONS!$A2934),MINUTE(TRANSACTIONS!$A2934),SECOND(TRANSACTIONS!$A2934)),"")</f>
        <v>0.76495370370370364</v>
      </c>
      <c r="D2934" s="82" t="s">
        <v>62</v>
      </c>
      <c r="E2934" s="82" t="s">
        <v>7</v>
      </c>
      <c r="F2934" s="85">
        <v>3000</v>
      </c>
      <c r="G2934" s="46"/>
      <c r="H2934" s="46">
        <f>IFERROR(TRANSACTIONS!$F2934+TRANSACTIONS!$G2934,"")</f>
        <v>3000</v>
      </c>
      <c r="I2934" s="40" t="s">
        <v>41</v>
      </c>
    </row>
    <row r="2935" spans="1:9" x14ac:dyDescent="0.25">
      <c r="A2935" s="41">
        <v>45358.764965740738</v>
      </c>
      <c r="B2935" s="48">
        <f>IF(A2935&lt;&gt;"",DATE(YEAR(TRANSACTIONS!$A2935),MONTH(TRANSACTIONS!$A2935),DAY(TRANSACTIONS!$A2935)),"")</f>
        <v>45358</v>
      </c>
      <c r="C2935" s="49">
        <f>IF(A2935&lt;&gt;"",TIME(HOUR(TRANSACTIONS!$A2935),MINUTE(TRANSACTIONS!$A2935),SECOND(TRANSACTIONS!$A2935)),"")</f>
        <v>0.76496527777777779</v>
      </c>
      <c r="D2935" s="82" t="s">
        <v>64</v>
      </c>
      <c r="E2935" s="82" t="s">
        <v>7</v>
      </c>
      <c r="F2935" s="85">
        <v>700000</v>
      </c>
      <c r="G2935" s="46"/>
      <c r="H2935" s="46">
        <f>IFERROR(TRANSACTIONS!$F2935+TRANSACTIONS!$G2935,"")</f>
        <v>700000</v>
      </c>
      <c r="I2935" s="40" t="s">
        <v>41</v>
      </c>
    </row>
    <row r="2936" spans="1:9" x14ac:dyDescent="0.25">
      <c r="A2936" s="41">
        <v>45358.764985532405</v>
      </c>
      <c r="B2936" s="48">
        <f>IF(A2936&lt;&gt;"",DATE(YEAR(TRANSACTIONS!$A2936),MONTH(TRANSACTIONS!$A2936),DAY(TRANSACTIONS!$A2936)),"")</f>
        <v>45358</v>
      </c>
      <c r="C2936" s="49">
        <f>IF(A2936&lt;&gt;"",TIME(HOUR(TRANSACTIONS!$A2936),MINUTE(TRANSACTIONS!$A2936),SECOND(TRANSACTIONS!$A2936)),"")</f>
        <v>0.76498842592592586</v>
      </c>
      <c r="D2936" s="82" t="s">
        <v>62</v>
      </c>
      <c r="E2936" s="82" t="s">
        <v>7</v>
      </c>
      <c r="F2936" s="85">
        <v>130000</v>
      </c>
      <c r="G2936" s="46"/>
      <c r="H2936" s="46">
        <f>IFERROR(TRANSACTIONS!$F2936+TRANSACTIONS!$G2936,"")</f>
        <v>130000</v>
      </c>
      <c r="I2936" s="40" t="s">
        <v>41</v>
      </c>
    </row>
    <row r="2937" spans="1:9" x14ac:dyDescent="0.25">
      <c r="A2937" s="41">
        <v>45358.764998726852</v>
      </c>
      <c r="B2937" s="48">
        <f>IF(A2937&lt;&gt;"",DATE(YEAR(TRANSACTIONS!$A2937),MONTH(TRANSACTIONS!$A2937),DAY(TRANSACTIONS!$A2937)),"")</f>
        <v>45358</v>
      </c>
      <c r="C2937" s="49">
        <f>IF(A2937&lt;&gt;"",TIME(HOUR(TRANSACTIONS!$A2937),MINUTE(TRANSACTIONS!$A2937),SECOND(TRANSACTIONS!$A2937)),"")</f>
        <v>0.76500000000000001</v>
      </c>
      <c r="D2937" s="82" t="s">
        <v>62</v>
      </c>
      <c r="E2937" s="82" t="s">
        <v>7</v>
      </c>
      <c r="F2937" s="85">
        <v>25000</v>
      </c>
      <c r="G2937" s="46"/>
      <c r="H2937" s="46">
        <f>IFERROR(TRANSACTIONS!$F2937+TRANSACTIONS!$G2937,"")</f>
        <v>25000</v>
      </c>
      <c r="I2937" s="40" t="s">
        <v>41</v>
      </c>
    </row>
    <row r="2938" spans="1:9" x14ac:dyDescent="0.25">
      <c r="A2938" s="41">
        <v>45358.774695949076</v>
      </c>
      <c r="B2938" s="48">
        <f>IF(A2938&lt;&gt;"",DATE(YEAR(TRANSACTIONS!$A2938),MONTH(TRANSACTIONS!$A2938),DAY(TRANSACTIONS!$A2938)),"")</f>
        <v>45358</v>
      </c>
      <c r="C2938" s="49">
        <f>IF(A2938&lt;&gt;"",TIME(HOUR(TRANSACTIONS!$A2938),MINUTE(TRANSACTIONS!$A2938),SECOND(TRANSACTIONS!$A2938)),"")</f>
        <v>0.77469907407407401</v>
      </c>
      <c r="D2938" s="82" t="s">
        <v>62</v>
      </c>
      <c r="E2938" s="82" t="s">
        <v>7</v>
      </c>
      <c r="F2938" s="85">
        <v>5000</v>
      </c>
      <c r="G2938" s="46"/>
      <c r="H2938" s="46">
        <f>IFERROR(TRANSACTIONS!$F2938+TRANSACTIONS!$G2938,"")</f>
        <v>5000</v>
      </c>
      <c r="I2938" s="40" t="s">
        <v>41</v>
      </c>
    </row>
    <row r="2939" spans="1:9" x14ac:dyDescent="0.25">
      <c r="A2939" s="41">
        <v>45358.781631481485</v>
      </c>
      <c r="B2939" s="48">
        <f>IF(A2939&lt;&gt;"",DATE(YEAR(TRANSACTIONS!$A2939),MONTH(TRANSACTIONS!$A2939),DAY(TRANSACTIONS!$A2939)),"")</f>
        <v>45358</v>
      </c>
      <c r="C2939" s="49">
        <f>IF(A2939&lt;&gt;"",TIME(HOUR(TRANSACTIONS!$A2939),MINUTE(TRANSACTIONS!$A2939),SECOND(TRANSACTIONS!$A2939)),"")</f>
        <v>0.78163194444444439</v>
      </c>
      <c r="D2939" s="82" t="s">
        <v>62</v>
      </c>
      <c r="E2939" s="82" t="s">
        <v>7</v>
      </c>
      <c r="F2939" s="94">
        <v>2500</v>
      </c>
      <c r="G2939" s="46"/>
      <c r="H2939" s="46">
        <f>IFERROR(TRANSACTIONS!$F2939+TRANSACTIONS!$G2939,"")</f>
        <v>2500</v>
      </c>
      <c r="I2939" s="40" t="s">
        <v>41</v>
      </c>
    </row>
    <row r="2940" spans="1:9" x14ac:dyDescent="0.25">
      <c r="A2940" s="113">
        <v>45358.783091087964</v>
      </c>
      <c r="B2940" s="114">
        <f>IF(A2940&lt;&gt;"",DATE(YEAR(TRANSACTIONS!$A2940),MONTH(TRANSACTIONS!$A2940),DAY(TRANSACTIONS!$A2940)),"")</f>
        <v>45358</v>
      </c>
      <c r="C2940" s="115">
        <f>IF(A2940&lt;&gt;"",TIME(HOUR(TRANSACTIONS!$A2940),MINUTE(TRANSACTIONS!$A2940),SECOND(TRANSACTIONS!$A2940)),"")</f>
        <v>0.78309027777777773</v>
      </c>
      <c r="D2940" s="116" t="s">
        <v>62</v>
      </c>
      <c r="E2940" s="116" t="s">
        <v>7</v>
      </c>
      <c r="F2940" s="185">
        <v>5000</v>
      </c>
      <c r="G2940" s="117"/>
      <c r="H2940" s="117">
        <f>IFERROR(TRANSACTIONS!$F2940+TRANSACTIONS!$G2940,"")</f>
        <v>5000</v>
      </c>
      <c r="I2940" s="118" t="s">
        <v>41</v>
      </c>
    </row>
    <row r="2941" spans="1:9" x14ac:dyDescent="0.25">
      <c r="A2941" s="41">
        <v>45358.784253703707</v>
      </c>
      <c r="B2941" s="48">
        <f>IF(A2941&lt;&gt;"",DATE(YEAR(TRANSACTIONS!$A2941),MONTH(TRANSACTIONS!$A2941),DAY(TRANSACTIONS!$A2941)),"")</f>
        <v>45358</v>
      </c>
      <c r="C2941" s="49">
        <f>IF(A2941&lt;&gt;"",TIME(HOUR(TRANSACTIONS!$A2941),MINUTE(TRANSACTIONS!$A2941),SECOND(TRANSACTIONS!$A2941)),"")</f>
        <v>0.78425925925925932</v>
      </c>
      <c r="D2941" s="82" t="s">
        <v>62</v>
      </c>
      <c r="E2941" s="82" t="s">
        <v>6</v>
      </c>
      <c r="F2941" s="85">
        <v>25000</v>
      </c>
      <c r="G2941" s="46"/>
      <c r="H2941" s="46">
        <f>IFERROR(TRANSACTIONS!$F2941+TRANSACTIONS!$G2941,"")</f>
        <v>25000</v>
      </c>
      <c r="I2941" s="40" t="s">
        <v>41</v>
      </c>
    </row>
    <row r="2942" spans="1:9" x14ac:dyDescent="0.25">
      <c r="A2942" s="41">
        <v>45358.784263310183</v>
      </c>
      <c r="B2942" s="48">
        <f>IF(A2942&lt;&gt;"",DATE(YEAR(TRANSACTIONS!$A2942),MONTH(TRANSACTIONS!$A2942),DAY(TRANSACTIONS!$A2942)),"")</f>
        <v>45358</v>
      </c>
      <c r="C2942" s="49">
        <f>IF(A2942&lt;&gt;"",TIME(HOUR(TRANSACTIONS!$A2942),MINUTE(TRANSACTIONS!$A2942),SECOND(TRANSACTIONS!$A2942)),"")</f>
        <v>0.78425925925925932</v>
      </c>
      <c r="D2942" s="82" t="s">
        <v>62</v>
      </c>
      <c r="E2942" s="82" t="s">
        <v>6</v>
      </c>
      <c r="F2942" s="85">
        <v>30000</v>
      </c>
      <c r="G2942" s="46"/>
      <c r="H2942" s="46">
        <f>IFERROR(TRANSACTIONS!$F2942+TRANSACTIONS!$G2942,"")</f>
        <v>30000</v>
      </c>
      <c r="I2942" s="40" t="s">
        <v>41</v>
      </c>
    </row>
    <row r="2943" spans="1:9" x14ac:dyDescent="0.25">
      <c r="A2943" s="41">
        <v>45358.78428078704</v>
      </c>
      <c r="B2943" s="48">
        <f>IF(A2943&lt;&gt;"",DATE(YEAR(TRANSACTIONS!$A2943),MONTH(TRANSACTIONS!$A2943),DAY(TRANSACTIONS!$A2943)),"")</f>
        <v>45358</v>
      </c>
      <c r="C2943" s="49">
        <f>IF(A2943&lt;&gt;"",TIME(HOUR(TRANSACTIONS!$A2943),MINUTE(TRANSACTIONS!$A2943),SECOND(TRANSACTIONS!$A2943)),"")</f>
        <v>0.7842824074074074</v>
      </c>
      <c r="D2943" s="82" t="s">
        <v>25</v>
      </c>
      <c r="E2943" s="82" t="s">
        <v>6</v>
      </c>
      <c r="F2943" s="85">
        <v>10000</v>
      </c>
      <c r="G2943" s="46"/>
      <c r="H2943" s="46">
        <f>IFERROR(TRANSACTIONS!$F2943+TRANSACTIONS!$G2943,"")</f>
        <v>10000</v>
      </c>
      <c r="I2943" s="40" t="s">
        <v>41</v>
      </c>
    </row>
    <row r="2944" spans="1:9" x14ac:dyDescent="0.25">
      <c r="A2944" s="41">
        <v>45358.784294328703</v>
      </c>
      <c r="B2944" s="48">
        <f>IF(A2944&lt;&gt;"",DATE(YEAR(TRANSACTIONS!$A2944),MONTH(TRANSACTIONS!$A2944),DAY(TRANSACTIONS!$A2944)),"")</f>
        <v>45358</v>
      </c>
      <c r="C2944" s="49">
        <f>IF(A2944&lt;&gt;"",TIME(HOUR(TRANSACTIONS!$A2944),MINUTE(TRANSACTIONS!$A2944),SECOND(TRANSACTIONS!$A2944)),"")</f>
        <v>0.78429398148148144</v>
      </c>
      <c r="D2944" s="82" t="s">
        <v>25</v>
      </c>
      <c r="E2944" s="82" t="s">
        <v>6</v>
      </c>
      <c r="F2944" s="85">
        <v>3500</v>
      </c>
      <c r="G2944" s="46"/>
      <c r="H2944" s="46">
        <f>IFERROR(TRANSACTIONS!$F2944+TRANSACTIONS!$G2944,"")</f>
        <v>3500</v>
      </c>
      <c r="I2944" s="40" t="s">
        <v>41</v>
      </c>
    </row>
    <row r="2945" spans="1:11" x14ac:dyDescent="0.25">
      <c r="A2945" s="41">
        <v>45358.784305439818</v>
      </c>
      <c r="B2945" s="48">
        <f>IF(A2945&lt;&gt;"",DATE(YEAR(TRANSACTIONS!$A2945),MONTH(TRANSACTIONS!$A2945),DAY(TRANSACTIONS!$A2945)),"")</f>
        <v>45358</v>
      </c>
      <c r="C2945" s="49">
        <f>IF(A2945&lt;&gt;"",TIME(HOUR(TRANSACTIONS!$A2945),MINUTE(TRANSACTIONS!$A2945),SECOND(TRANSACTIONS!$A2945)),"")</f>
        <v>0.78430555555555559</v>
      </c>
      <c r="D2945" s="82" t="s">
        <v>25</v>
      </c>
      <c r="E2945" s="82" t="s">
        <v>6</v>
      </c>
      <c r="F2945" s="85">
        <v>5000</v>
      </c>
      <c r="G2945" s="46"/>
      <c r="H2945" s="46">
        <f>IFERROR(TRANSACTIONS!$F2945+TRANSACTIONS!$G2945,"")</f>
        <v>5000</v>
      </c>
      <c r="I2945" s="40" t="s">
        <v>41</v>
      </c>
    </row>
    <row r="2946" spans="1:11" x14ac:dyDescent="0.25">
      <c r="A2946" s="41">
        <v>45358.787513541669</v>
      </c>
      <c r="B2946" s="48">
        <f>IF(A2946&lt;&gt;"",DATE(YEAR(TRANSACTIONS!$A2946),MONTH(TRANSACTIONS!$A2946),DAY(TRANSACTIONS!$A2946)),"")</f>
        <v>45358</v>
      </c>
      <c r="C2946" s="49">
        <f>IF(A2946&lt;&gt;"",TIME(HOUR(TRANSACTIONS!$A2946),MINUTE(TRANSACTIONS!$A2946),SECOND(TRANSACTIONS!$A2946)),"")</f>
        <v>0.78751157407407402</v>
      </c>
      <c r="D2946" s="82" t="s">
        <v>25</v>
      </c>
      <c r="E2946" s="82" t="s">
        <v>7</v>
      </c>
      <c r="F2946" s="85">
        <v>5000</v>
      </c>
      <c r="G2946" s="46"/>
      <c r="H2946" s="46">
        <f>IFERROR(TRANSACTIONS!$F2946+TRANSACTIONS!$G2946,"")</f>
        <v>5000</v>
      </c>
      <c r="I2946" s="40" t="s">
        <v>41</v>
      </c>
    </row>
    <row r="2947" spans="1:11" x14ac:dyDescent="0.25">
      <c r="A2947" s="41">
        <v>45358.787529050926</v>
      </c>
      <c r="B2947" s="48">
        <f>IF(A2947&lt;&gt;"",DATE(YEAR(TRANSACTIONS!$A2947),MONTH(TRANSACTIONS!$A2947),DAY(TRANSACTIONS!$A2947)),"")</f>
        <v>45358</v>
      </c>
      <c r="C2947" s="49">
        <f>IF(A2947&lt;&gt;"",TIME(HOUR(TRANSACTIONS!$A2947),MINUTE(TRANSACTIONS!$A2947),SECOND(TRANSACTIONS!$A2947)),"")</f>
        <v>0.78753472222222232</v>
      </c>
      <c r="D2947" s="82" t="s">
        <v>62</v>
      </c>
      <c r="E2947" s="82" t="s">
        <v>7</v>
      </c>
      <c r="F2947" s="85">
        <v>500</v>
      </c>
      <c r="G2947" s="46"/>
      <c r="H2947" s="46">
        <f>IFERROR(TRANSACTIONS!$F2947+TRANSACTIONS!$G2947,"")</f>
        <v>500</v>
      </c>
      <c r="I2947" s="40" t="s">
        <v>41</v>
      </c>
    </row>
    <row r="2948" spans="1:11" x14ac:dyDescent="0.25">
      <c r="A2948" s="41">
        <v>45358.811876504631</v>
      </c>
      <c r="B2948" s="48">
        <f>IF(A2948&lt;&gt;"",DATE(YEAR(TRANSACTIONS!$A2948),MONTH(TRANSACTIONS!$A2948),DAY(TRANSACTIONS!$A2948)),"")</f>
        <v>45358</v>
      </c>
      <c r="C2948" s="49">
        <f>IF(A2948&lt;&gt;"",TIME(HOUR(TRANSACTIONS!$A2948),MINUTE(TRANSACTIONS!$A2948),SECOND(TRANSACTIONS!$A2948)),"")</f>
        <v>0.81187500000000001</v>
      </c>
      <c r="D2948" s="82" t="s">
        <v>62</v>
      </c>
      <c r="E2948" s="82" t="s">
        <v>7</v>
      </c>
      <c r="F2948" s="85">
        <v>10000</v>
      </c>
      <c r="G2948" s="46"/>
      <c r="H2948" s="46">
        <f>IFERROR(TRANSACTIONS!$F2948+TRANSACTIONS!$G2948,"")</f>
        <v>10000</v>
      </c>
      <c r="I2948" s="40" t="s">
        <v>41</v>
      </c>
    </row>
    <row r="2949" spans="1:11" x14ac:dyDescent="0.25">
      <c r="A2949" s="41">
        <v>45358.812277893521</v>
      </c>
      <c r="B2949" s="48">
        <f>IF(A2949&lt;&gt;"",DATE(YEAR(TRANSACTIONS!$A2949),MONTH(TRANSACTIONS!$A2949),DAY(TRANSACTIONS!$A2949)),"")</f>
        <v>45358</v>
      </c>
      <c r="C2949" s="49">
        <f>IF(A2949&lt;&gt;"",TIME(HOUR(TRANSACTIONS!$A2949),MINUTE(TRANSACTIONS!$A2949),SECOND(TRANSACTIONS!$A2949)),"")</f>
        <v>0.8122800925925926</v>
      </c>
      <c r="D2949" s="82" t="s">
        <v>62</v>
      </c>
      <c r="E2949" s="82" t="s">
        <v>7</v>
      </c>
      <c r="F2949" s="85">
        <v>45000</v>
      </c>
      <c r="G2949" s="46"/>
      <c r="H2949" s="46">
        <f>IFERROR(TRANSACTIONS!$F2949+TRANSACTIONS!$G2949,"")</f>
        <v>45000</v>
      </c>
      <c r="I2949" s="40" t="s">
        <v>41</v>
      </c>
    </row>
    <row r="2950" spans="1:11" x14ac:dyDescent="0.25">
      <c r="A2950" s="41">
        <v>45358.812303587962</v>
      </c>
      <c r="B2950" s="48">
        <f>IF(A2950&lt;&gt;"",DATE(YEAR(TRANSACTIONS!$A2950),MONTH(TRANSACTIONS!$A2950),DAY(TRANSACTIONS!$A2950)),"")</f>
        <v>45358</v>
      </c>
      <c r="C2950" s="49">
        <f>IF(A2950&lt;&gt;"",TIME(HOUR(TRANSACTIONS!$A2950),MINUTE(TRANSACTIONS!$A2950),SECOND(TRANSACTIONS!$A2950)),"")</f>
        <v>0.81230324074074067</v>
      </c>
      <c r="D2950" s="82" t="s">
        <v>62</v>
      </c>
      <c r="E2950" s="82" t="s">
        <v>6</v>
      </c>
      <c r="F2950" s="85">
        <v>5000</v>
      </c>
      <c r="G2950" s="46"/>
      <c r="H2950" s="46">
        <f>IFERROR(TRANSACTIONS!$F2950+TRANSACTIONS!$G2950,"")</f>
        <v>5000</v>
      </c>
      <c r="I2950" s="40" t="s">
        <v>41</v>
      </c>
    </row>
    <row r="2951" spans="1:11" x14ac:dyDescent="0.25">
      <c r="A2951" s="81">
        <v>45358.812318055556</v>
      </c>
      <c r="B2951" s="83">
        <f>IF(A2951&lt;&gt;"",DATE(YEAR(TRANSACTIONS!$A2951),MONTH(TRANSACTIONS!$A2951),DAY(TRANSACTIONS!$A2951)),"")</f>
        <v>45358</v>
      </c>
      <c r="C2951" s="84">
        <f>IF(A2951&lt;&gt;"",TIME(HOUR(TRANSACTIONS!$A2951),MINUTE(TRANSACTIONS!$A2951),SECOND(TRANSACTIONS!$A2951)),"")</f>
        <v>0.81231481481481482</v>
      </c>
      <c r="D2951" s="82" t="s">
        <v>62</v>
      </c>
      <c r="E2951" s="82" t="s">
        <v>7</v>
      </c>
      <c r="F2951" s="85">
        <v>25000</v>
      </c>
      <c r="G2951" s="86"/>
      <c r="H2951" s="86">
        <f>IFERROR(TRANSACTIONS!$F2951+TRANSACTIONS!$G2951,"")</f>
        <v>25000</v>
      </c>
      <c r="I2951" s="88" t="s">
        <v>41</v>
      </c>
      <c r="J2951" s="88"/>
      <c r="K2951" s="88"/>
    </row>
    <row r="2952" spans="1:11" x14ac:dyDescent="0.25">
      <c r="A2952" s="41">
        <v>45358.812326388892</v>
      </c>
      <c r="B2952" s="48">
        <f>IF(A2952&lt;&gt;"",DATE(YEAR(TRANSACTIONS!$A2952),MONTH(TRANSACTIONS!$A2952),DAY(TRANSACTIONS!$A2952)),"")</f>
        <v>45358</v>
      </c>
      <c r="C2952" s="49">
        <f>IF(A2952&lt;&gt;"",TIME(HOUR(TRANSACTIONS!$A2952),MINUTE(TRANSACTIONS!$A2952),SECOND(TRANSACTIONS!$A2952)),"")</f>
        <v>0.81232638888888886</v>
      </c>
      <c r="D2952" s="82" t="s">
        <v>62</v>
      </c>
      <c r="E2952" s="82" t="s">
        <v>7</v>
      </c>
      <c r="F2952" s="85">
        <v>5000</v>
      </c>
      <c r="G2952" s="46"/>
      <c r="H2952" s="46">
        <f>IFERROR(TRANSACTIONS!$F2952+TRANSACTIONS!$G2952,"")</f>
        <v>5000</v>
      </c>
      <c r="I2952" s="40" t="s">
        <v>41</v>
      </c>
    </row>
    <row r="2953" spans="1:11" x14ac:dyDescent="0.25">
      <c r="A2953" s="81">
        <v>45358.812365625003</v>
      </c>
      <c r="B2953" s="83">
        <f>IF(A2953&lt;&gt;"",DATE(YEAR(TRANSACTIONS!$A2953),MONTH(TRANSACTIONS!$A2953),DAY(TRANSACTIONS!$A2953)),"")</f>
        <v>45358</v>
      </c>
      <c r="C2953" s="84">
        <f>IF(A2953&lt;&gt;"",TIME(HOUR(TRANSACTIONS!$A2953),MINUTE(TRANSACTIONS!$A2953),SECOND(TRANSACTIONS!$A2953)),"")</f>
        <v>0.81236111111111109</v>
      </c>
      <c r="D2953" s="82" t="s">
        <v>62</v>
      </c>
      <c r="E2953" s="82" t="s">
        <v>6</v>
      </c>
      <c r="F2953" s="85">
        <v>30000</v>
      </c>
      <c r="G2953" s="86"/>
      <c r="H2953" s="86">
        <f>IFERROR(TRANSACTIONS!$F2953+TRANSACTIONS!$G2953,"")</f>
        <v>30000</v>
      </c>
      <c r="I2953" s="88" t="s">
        <v>41</v>
      </c>
    </row>
    <row r="2954" spans="1:11" x14ac:dyDescent="0.25">
      <c r="A2954" s="41">
        <v>45358.812375925925</v>
      </c>
      <c r="B2954" s="48">
        <f>IF(A2954&lt;&gt;"",DATE(YEAR(TRANSACTIONS!$A2954),MONTH(TRANSACTIONS!$A2954),DAY(TRANSACTIONS!$A2954)),"")</f>
        <v>45358</v>
      </c>
      <c r="C2954" s="49">
        <f>IF(A2954&lt;&gt;"",TIME(HOUR(TRANSACTIONS!$A2954),MINUTE(TRANSACTIONS!$A2954),SECOND(TRANSACTIONS!$A2954)),"")</f>
        <v>0.81237268518518524</v>
      </c>
      <c r="D2954" s="82" t="s">
        <v>62</v>
      </c>
      <c r="E2954" s="82" t="s">
        <v>6</v>
      </c>
      <c r="F2954" s="85">
        <v>5000</v>
      </c>
      <c r="G2954" s="46"/>
      <c r="H2954" s="46">
        <f>IFERROR(TRANSACTIONS!$F2954+TRANSACTIONS!$G2954,"")</f>
        <v>5000</v>
      </c>
      <c r="I2954" s="40" t="s">
        <v>41</v>
      </c>
    </row>
    <row r="2955" spans="1:11" x14ac:dyDescent="0.25">
      <c r="A2955" s="41">
        <v>45358.812387615741</v>
      </c>
      <c r="B2955" s="48">
        <f>IF(A2955&lt;&gt;"",DATE(YEAR(TRANSACTIONS!$A2955),MONTH(TRANSACTIONS!$A2955),DAY(TRANSACTIONS!$A2955)),"")</f>
        <v>45358</v>
      </c>
      <c r="C2955" s="49">
        <f>IF(A2955&lt;&gt;"",TIME(HOUR(TRANSACTIONS!$A2955),MINUTE(TRANSACTIONS!$A2955),SECOND(TRANSACTIONS!$A2955)),"")</f>
        <v>0.81238425925925928</v>
      </c>
      <c r="D2955" s="82" t="s">
        <v>62</v>
      </c>
      <c r="E2955" s="82" t="s">
        <v>7</v>
      </c>
      <c r="F2955" s="85">
        <v>1000</v>
      </c>
      <c r="G2955" s="46"/>
      <c r="H2955" s="46">
        <f>IFERROR(TRANSACTIONS!$F2955+TRANSACTIONS!$G2955,"")</f>
        <v>1000</v>
      </c>
      <c r="I2955" s="40" t="s">
        <v>41</v>
      </c>
    </row>
    <row r="2956" spans="1:11" x14ac:dyDescent="0.25">
      <c r="A2956" s="41">
        <v>45358.812396643516</v>
      </c>
      <c r="B2956" s="48">
        <f>IF(A2956&lt;&gt;"",DATE(YEAR(TRANSACTIONS!$A2956),MONTH(TRANSACTIONS!$A2956),DAY(TRANSACTIONS!$A2956)),"")</f>
        <v>45358</v>
      </c>
      <c r="C2956" s="49">
        <f>IF(A2956&lt;&gt;"",TIME(HOUR(TRANSACTIONS!$A2956),MINUTE(TRANSACTIONS!$A2956),SECOND(TRANSACTIONS!$A2956)),"")</f>
        <v>0.81239583333333332</v>
      </c>
      <c r="D2956" s="82" t="s">
        <v>49</v>
      </c>
      <c r="E2956" s="82" t="s">
        <v>6</v>
      </c>
      <c r="F2956" s="85">
        <v>500</v>
      </c>
      <c r="G2956" s="46"/>
      <c r="H2956" s="46">
        <f>IFERROR(TRANSACTIONS!$F2956+TRANSACTIONS!$G2956,"")</f>
        <v>500</v>
      </c>
      <c r="I2956" s="40" t="s">
        <v>41</v>
      </c>
    </row>
    <row r="2957" spans="1:11" x14ac:dyDescent="0.25">
      <c r="A2957" s="41">
        <v>45358.814084606478</v>
      </c>
      <c r="B2957" s="48">
        <f>IF(A2957&lt;&gt;"",DATE(YEAR(TRANSACTIONS!$A2957),MONTH(TRANSACTIONS!$A2957),DAY(TRANSACTIONS!$A2957)),"")</f>
        <v>45358</v>
      </c>
      <c r="C2957" s="49">
        <f>IF(A2957&lt;&gt;"",TIME(HOUR(TRANSACTIONS!$A2957),MINUTE(TRANSACTIONS!$A2957),SECOND(TRANSACTIONS!$A2957)),"")</f>
        <v>0.8140856481481481</v>
      </c>
      <c r="D2957" s="82" t="s">
        <v>62</v>
      </c>
      <c r="E2957" s="82" t="s">
        <v>7</v>
      </c>
      <c r="F2957" s="85">
        <v>6000</v>
      </c>
      <c r="G2957" s="46"/>
      <c r="H2957" s="46">
        <f>IFERROR(TRANSACTIONS!$F2957+TRANSACTIONS!$G2957,"")</f>
        <v>6000</v>
      </c>
      <c r="I2957" s="40" t="s">
        <v>41</v>
      </c>
    </row>
    <row r="2958" spans="1:11" x14ac:dyDescent="0.25">
      <c r="A2958" s="81">
        <v>45358.815603356481</v>
      </c>
      <c r="B2958" s="83">
        <f>IF(A2958&lt;&gt;"",DATE(YEAR(TRANSACTIONS!$A2958),MONTH(TRANSACTIONS!$A2958),DAY(TRANSACTIONS!$A2958)),"")</f>
        <v>45358</v>
      </c>
      <c r="C2958" s="84">
        <f>IF(A2958&lt;&gt;"",TIME(HOUR(TRANSACTIONS!$A2958),MINUTE(TRANSACTIONS!$A2958),SECOND(TRANSACTIONS!$A2958)),"")</f>
        <v>0.81560185185185186</v>
      </c>
      <c r="D2958" s="82" t="s">
        <v>62</v>
      </c>
      <c r="E2958" s="82" t="s">
        <v>6</v>
      </c>
      <c r="F2958" s="85">
        <v>10000</v>
      </c>
      <c r="G2958" s="86"/>
      <c r="H2958" s="86">
        <f>IFERROR(TRANSACTIONS!$F2958+TRANSACTIONS!$G2958,"")</f>
        <v>10000</v>
      </c>
      <c r="I2958" s="88" t="s">
        <v>41</v>
      </c>
    </row>
    <row r="2959" spans="1:11" x14ac:dyDescent="0.25">
      <c r="A2959" s="81">
        <v>45358.819127430557</v>
      </c>
      <c r="B2959" s="83">
        <f>IF(A2959&lt;&gt;"",DATE(YEAR(TRANSACTIONS!$A2959),MONTH(TRANSACTIONS!$A2959),DAY(TRANSACTIONS!$A2959)),"")</f>
        <v>45358</v>
      </c>
      <c r="C2959" s="84">
        <f>IF(A2959&lt;&gt;"",TIME(HOUR(TRANSACTIONS!$A2959),MINUTE(TRANSACTIONS!$A2959),SECOND(TRANSACTIONS!$A2959)),"")</f>
        <v>0.81913194444444448</v>
      </c>
      <c r="D2959" s="82" t="s">
        <v>62</v>
      </c>
      <c r="E2959" s="82" t="s">
        <v>7</v>
      </c>
      <c r="F2959" s="85">
        <v>2000</v>
      </c>
      <c r="G2959" s="86"/>
      <c r="H2959" s="86">
        <f>IFERROR(TRANSACTIONS!$F2959+TRANSACTIONS!$G2959,"")</f>
        <v>2000</v>
      </c>
      <c r="I2959" s="88" t="s">
        <v>41</v>
      </c>
    </row>
    <row r="2960" spans="1:11" x14ac:dyDescent="0.25">
      <c r="A2960" s="233">
        <v>45358.825069328705</v>
      </c>
      <c r="B2960" s="234">
        <f>IF(A2960&lt;&gt;"",DATE(YEAR(TRANSACTIONS!$A2960),MONTH(TRANSACTIONS!$A2960),DAY(TRANSACTIONS!$A2960)),"")</f>
        <v>45358</v>
      </c>
      <c r="C2960" s="235">
        <f>IF(A2960&lt;&gt;"",TIME(HOUR(TRANSACTIONS!$A2960),MINUTE(TRANSACTIONS!$A2960),SECOND(TRANSACTIONS!$A2960)),"")</f>
        <v>0.82506944444444441</v>
      </c>
      <c r="D2960" s="236" t="s">
        <v>49</v>
      </c>
      <c r="E2960" s="236" t="s">
        <v>6</v>
      </c>
      <c r="F2960" s="237">
        <v>500</v>
      </c>
      <c r="G2960" s="238"/>
      <c r="H2960" s="238">
        <f>IFERROR(TRANSACTIONS!$F2960+TRANSACTIONS!$G2960,"")</f>
        <v>500</v>
      </c>
      <c r="I2960" s="239" t="s">
        <v>41</v>
      </c>
    </row>
    <row r="2961" spans="1:10" x14ac:dyDescent="0.25">
      <c r="A2961" s="113"/>
      <c r="B2961" s="114" t="str">
        <f>IF(A2961&lt;&gt;"",DATE(YEAR(TRANSACTIONS!$A2961),MONTH(TRANSACTIONS!$A2961),DAY(TRANSACTIONS!$A2961)),"")</f>
        <v/>
      </c>
      <c r="C2961" s="115" t="str">
        <f>IF(A2961&lt;&gt;"",TIME(HOUR(TRANSACTIONS!$A2961),MINUTE(TRANSACTIONS!$A2961),SECOND(TRANSACTIONS!$A2961)),"")</f>
        <v/>
      </c>
      <c r="D2961" s="82"/>
      <c r="E2961" s="82"/>
      <c r="F2961" s="85"/>
      <c r="G2961" s="117"/>
      <c r="H2961" s="117">
        <f>IFERROR(TRANSACTIONS!$F2961+TRANSACTIONS!$G2961,"")</f>
        <v>0</v>
      </c>
      <c r="I2961" s="118" t="s">
        <v>41</v>
      </c>
      <c r="J2961" s="118"/>
    </row>
    <row r="2962" spans="1:10" x14ac:dyDescent="0.25">
      <c r="A2962" s="41">
        <v>45359.41658391204</v>
      </c>
      <c r="B2962" s="48">
        <f>IF(A2962&lt;&gt;"",DATE(YEAR(TRANSACTIONS!$A2962),MONTH(TRANSACTIONS!$A2962),DAY(TRANSACTIONS!$A2962)),"")</f>
        <v>45359</v>
      </c>
      <c r="C2962" s="49">
        <f>IF(A2962&lt;&gt;"",TIME(HOUR(TRANSACTIONS!$A2962),MINUTE(TRANSACTIONS!$A2962),SECOND(TRANSACTIONS!$A2962)),"")</f>
        <v>0.41658564814814819</v>
      </c>
      <c r="D2962" s="82" t="s">
        <v>62</v>
      </c>
      <c r="E2962" s="82" t="s">
        <v>7</v>
      </c>
      <c r="F2962" s="85">
        <v>1000</v>
      </c>
      <c r="G2962" s="46"/>
      <c r="H2962" s="46">
        <f>IFERROR(TRANSACTIONS!$F2962+TRANSACTIONS!$G2962,"")</f>
        <v>1000</v>
      </c>
      <c r="I2962" s="40" t="s">
        <v>41</v>
      </c>
    </row>
    <row r="2963" spans="1:10" x14ac:dyDescent="0.25">
      <c r="A2963" s="41">
        <v>45359.41663576389</v>
      </c>
      <c r="B2963" s="48">
        <f>IF(A2963&lt;&gt;"",DATE(YEAR(TRANSACTIONS!$A2963),MONTH(TRANSACTIONS!$A2963),DAY(TRANSACTIONS!$A2963)),"")</f>
        <v>45359</v>
      </c>
      <c r="C2963" s="49">
        <f>IF(A2963&lt;&gt;"",TIME(HOUR(TRANSACTIONS!$A2963),MINUTE(TRANSACTIONS!$A2963),SECOND(TRANSACTIONS!$A2963)),"")</f>
        <v>0.41663194444444446</v>
      </c>
      <c r="D2963" s="82" t="s">
        <v>62</v>
      </c>
      <c r="E2963" s="82" t="s">
        <v>6</v>
      </c>
      <c r="F2963" s="85">
        <v>10500</v>
      </c>
      <c r="G2963" s="46"/>
      <c r="H2963" s="46">
        <f>IFERROR(TRANSACTIONS!$F2963+TRANSACTIONS!$G2963,"")</f>
        <v>10500</v>
      </c>
      <c r="I2963" s="40" t="s">
        <v>41</v>
      </c>
    </row>
    <row r="2964" spans="1:10" x14ac:dyDescent="0.25">
      <c r="A2964" s="41">
        <v>45359.416646296297</v>
      </c>
      <c r="B2964" s="48">
        <f>IF(A2964&lt;&gt;"",DATE(YEAR(TRANSACTIONS!$A2964),MONTH(TRANSACTIONS!$A2964),DAY(TRANSACTIONS!$A2964)),"")</f>
        <v>45359</v>
      </c>
      <c r="C2964" s="49">
        <f>IF(A2964&lt;&gt;"",TIME(HOUR(TRANSACTIONS!$A2964),MINUTE(TRANSACTIONS!$A2964),SECOND(TRANSACTIONS!$A2964)),"")</f>
        <v>0.4166435185185185</v>
      </c>
      <c r="D2964" s="82" t="s">
        <v>62</v>
      </c>
      <c r="E2964" s="82" t="s">
        <v>7</v>
      </c>
      <c r="F2964" s="85">
        <v>1000</v>
      </c>
      <c r="G2964" s="46"/>
      <c r="H2964" s="46">
        <f>IFERROR(TRANSACTIONS!$F2964+TRANSACTIONS!$G2964,"")</f>
        <v>1000</v>
      </c>
      <c r="I2964" s="40" t="s">
        <v>41</v>
      </c>
    </row>
    <row r="2965" spans="1:10" x14ac:dyDescent="0.25">
      <c r="A2965" s="41">
        <v>45359.416654745371</v>
      </c>
      <c r="B2965" s="48">
        <f>IF(A2965&lt;&gt;"",DATE(YEAR(TRANSACTIONS!$A2965),MONTH(TRANSACTIONS!$A2965),DAY(TRANSACTIONS!$A2965)),"")</f>
        <v>45359</v>
      </c>
      <c r="C2965" s="49">
        <f>IF(A2965&lt;&gt;"",TIME(HOUR(TRANSACTIONS!$A2965),MINUTE(TRANSACTIONS!$A2965),SECOND(TRANSACTIONS!$A2965)),"")</f>
        <v>0.41665509259259265</v>
      </c>
      <c r="D2965" s="82" t="s">
        <v>62</v>
      </c>
      <c r="E2965" s="82" t="s">
        <v>6</v>
      </c>
      <c r="F2965" s="85">
        <v>52250</v>
      </c>
      <c r="G2965" s="46"/>
      <c r="H2965" s="46">
        <f>IFERROR(TRANSACTIONS!$F2965+TRANSACTIONS!$G2965,"")</f>
        <v>52250</v>
      </c>
      <c r="I2965" s="40" t="s">
        <v>41</v>
      </c>
    </row>
    <row r="2966" spans="1:10" x14ac:dyDescent="0.25">
      <c r="A2966" s="41">
        <v>45359.416662847223</v>
      </c>
      <c r="B2966" s="48">
        <f>IF(A2966&lt;&gt;"",DATE(YEAR(TRANSACTIONS!$A2966),MONTH(TRANSACTIONS!$A2966),DAY(TRANSACTIONS!$A2966)),"")</f>
        <v>45359</v>
      </c>
      <c r="C2966" s="49">
        <f>IF(A2966&lt;&gt;"",TIME(HOUR(TRANSACTIONS!$A2966),MINUTE(TRANSACTIONS!$A2966),SECOND(TRANSACTIONS!$A2966)),"")</f>
        <v>0.41666666666666669</v>
      </c>
      <c r="D2966" s="82" t="s">
        <v>62</v>
      </c>
      <c r="E2966" s="82" t="s">
        <v>6</v>
      </c>
      <c r="F2966" s="85">
        <v>1000</v>
      </c>
      <c r="G2966" s="46"/>
      <c r="H2966" s="46">
        <f>IFERROR(TRANSACTIONS!$F2966+TRANSACTIONS!$G2966,"")</f>
        <v>1000</v>
      </c>
      <c r="I2966" s="40" t="s">
        <v>41</v>
      </c>
    </row>
    <row r="2967" spans="1:10" x14ac:dyDescent="0.25">
      <c r="A2967" s="41">
        <v>45359.416674305554</v>
      </c>
      <c r="B2967" s="48">
        <f>IF(A2967&lt;&gt;"",DATE(YEAR(TRANSACTIONS!$A2967),MONTH(TRANSACTIONS!$A2967),DAY(TRANSACTIONS!$A2967)),"")</f>
        <v>45359</v>
      </c>
      <c r="C2967" s="49">
        <f>IF(A2967&lt;&gt;"",TIME(HOUR(TRANSACTIONS!$A2967),MINUTE(TRANSACTIONS!$A2967),SECOND(TRANSACTIONS!$A2967)),"")</f>
        <v>0.41667824074074072</v>
      </c>
      <c r="D2967" s="82" t="s">
        <v>62</v>
      </c>
      <c r="E2967" s="82" t="s">
        <v>6</v>
      </c>
      <c r="F2967" s="85">
        <v>120000</v>
      </c>
      <c r="G2967" s="46"/>
      <c r="H2967" s="46">
        <f>IFERROR(TRANSACTIONS!$F2967+TRANSACTIONS!$G2967,"")</f>
        <v>120000</v>
      </c>
      <c r="I2967" s="40" t="s">
        <v>41</v>
      </c>
    </row>
    <row r="2968" spans="1:10" x14ac:dyDescent="0.25">
      <c r="A2968" s="41">
        <v>45359.41668263889</v>
      </c>
      <c r="B2968" s="48">
        <f>IF(A2968&lt;&gt;"",DATE(YEAR(TRANSACTIONS!$A2968),MONTH(TRANSACTIONS!$A2968),DAY(TRANSACTIONS!$A2968)),"")</f>
        <v>45359</v>
      </c>
      <c r="C2968" s="49">
        <f>IF(A2968&lt;&gt;"",TIME(HOUR(TRANSACTIONS!$A2968),MINUTE(TRANSACTIONS!$A2968),SECOND(TRANSACTIONS!$A2968)),"")</f>
        <v>0.41667824074074072</v>
      </c>
      <c r="D2968" s="82" t="s">
        <v>62</v>
      </c>
      <c r="E2968" s="82" t="s">
        <v>6</v>
      </c>
      <c r="F2968" s="85">
        <v>5000</v>
      </c>
      <c r="G2968" s="46"/>
      <c r="H2968" s="46">
        <f>IFERROR(TRANSACTIONS!$F2968+TRANSACTIONS!$G2968,"")</f>
        <v>5000</v>
      </c>
      <c r="I2968" s="40" t="s">
        <v>41</v>
      </c>
    </row>
    <row r="2969" spans="1:10" x14ac:dyDescent="0.25">
      <c r="A2969" s="41">
        <v>45359.416710069447</v>
      </c>
      <c r="B2969" s="48">
        <f>IF(A2969&lt;&gt;"",DATE(YEAR(TRANSACTIONS!$A2969),MONTH(TRANSACTIONS!$A2969),DAY(TRANSACTIONS!$A2969)),"")</f>
        <v>45359</v>
      </c>
      <c r="C2969" s="49">
        <f>IF(A2969&lt;&gt;"",TIME(HOUR(TRANSACTIONS!$A2969),MINUTE(TRANSACTIONS!$A2969),SECOND(TRANSACTIONS!$A2969)),"")</f>
        <v>0.41671296296296295</v>
      </c>
      <c r="D2969" s="82" t="s">
        <v>62</v>
      </c>
      <c r="E2969" s="82" t="s">
        <v>7</v>
      </c>
      <c r="F2969" s="85">
        <v>1000</v>
      </c>
      <c r="G2969" s="46"/>
      <c r="H2969" s="46">
        <f>IFERROR(TRANSACTIONS!$F2969+TRANSACTIONS!$G2969,"")</f>
        <v>1000</v>
      </c>
      <c r="I2969" s="40" t="s">
        <v>41</v>
      </c>
    </row>
    <row r="2970" spans="1:10" x14ac:dyDescent="0.25">
      <c r="A2970" s="41">
        <v>45359.416745833332</v>
      </c>
      <c r="B2970" s="48">
        <f>IF(A2970&lt;&gt;"",DATE(YEAR(TRANSACTIONS!$A2970),MONTH(TRANSACTIONS!$A2970),DAY(TRANSACTIONS!$A2970)),"")</f>
        <v>45359</v>
      </c>
      <c r="C2970" s="49">
        <f>IF(A2970&lt;&gt;"",TIME(HOUR(TRANSACTIONS!$A2970),MINUTE(TRANSACTIONS!$A2970),SECOND(TRANSACTIONS!$A2970)),"")</f>
        <v>0.41674768518518518</v>
      </c>
      <c r="D2970" s="82" t="s">
        <v>62</v>
      </c>
      <c r="E2970" s="82" t="s">
        <v>7</v>
      </c>
      <c r="F2970" s="85">
        <v>3000</v>
      </c>
      <c r="G2970" s="46"/>
      <c r="H2970" s="46">
        <f>IFERROR(TRANSACTIONS!$F2970+TRANSACTIONS!$G2970,"")</f>
        <v>3000</v>
      </c>
      <c r="I2970" s="40" t="s">
        <v>41</v>
      </c>
    </row>
    <row r="2971" spans="1:10" x14ac:dyDescent="0.25">
      <c r="A2971" s="41">
        <v>45359.416719097222</v>
      </c>
      <c r="B2971" s="48">
        <f>IF(A2971&lt;&gt;"",DATE(YEAR(TRANSACTIONS!$A2971),MONTH(TRANSACTIONS!$A2971),DAY(TRANSACTIONS!$A2971)),"")</f>
        <v>45359</v>
      </c>
      <c r="C2971" s="49">
        <f>IF(A2971&lt;&gt;"",TIME(HOUR(TRANSACTIONS!$A2971),MINUTE(TRANSACTIONS!$A2971),SECOND(TRANSACTIONS!$A2971)),"")</f>
        <v>0.41672453703703699</v>
      </c>
      <c r="D2971" s="82" t="s">
        <v>62</v>
      </c>
      <c r="E2971" s="82" t="s">
        <v>7</v>
      </c>
      <c r="F2971" s="85">
        <v>1000</v>
      </c>
      <c r="G2971" s="46"/>
      <c r="H2971" s="46">
        <f>IFERROR(TRANSACTIONS!$F2971+TRANSACTIONS!$G2971,"")</f>
        <v>1000</v>
      </c>
      <c r="I2971" s="40" t="s">
        <v>41</v>
      </c>
    </row>
    <row r="2972" spans="1:10" x14ac:dyDescent="0.25">
      <c r="A2972" s="41">
        <v>45359.416761111112</v>
      </c>
      <c r="B2972" s="48">
        <f>IF(A2972&lt;&gt;"",DATE(YEAR(TRANSACTIONS!$A2972),MONTH(TRANSACTIONS!$A2972),DAY(TRANSACTIONS!$A2972)),"")</f>
        <v>45359</v>
      </c>
      <c r="C2972" s="49">
        <f>IF(A2972&lt;&gt;"",TIME(HOUR(TRANSACTIONS!$A2972),MINUTE(TRANSACTIONS!$A2972),SECOND(TRANSACTIONS!$A2972)),"")</f>
        <v>0.41675925925925927</v>
      </c>
      <c r="D2972" s="82" t="s">
        <v>62</v>
      </c>
      <c r="E2972" s="82" t="s">
        <v>7</v>
      </c>
      <c r="F2972" s="85">
        <v>145000</v>
      </c>
      <c r="G2972" s="46"/>
      <c r="H2972" s="46">
        <f>IFERROR(TRANSACTIONS!$F2972+TRANSACTIONS!$G2972,"")</f>
        <v>145000</v>
      </c>
      <c r="I2972" s="40" t="s">
        <v>41</v>
      </c>
    </row>
    <row r="2973" spans="1:10" x14ac:dyDescent="0.25">
      <c r="A2973" s="41">
        <v>45359.416795949073</v>
      </c>
      <c r="B2973" s="48">
        <f>IF(A2973&lt;&gt;"",DATE(YEAR(TRANSACTIONS!$A2973),MONTH(TRANSACTIONS!$A2973),DAY(TRANSACTIONS!$A2973)),"")</f>
        <v>45359</v>
      </c>
      <c r="C2973" s="49">
        <f>IF(A2973&lt;&gt;"",TIME(HOUR(TRANSACTIONS!$A2973),MINUTE(TRANSACTIONS!$A2973),SECOND(TRANSACTIONS!$A2973)),"")</f>
        <v>0.41679398148148145</v>
      </c>
      <c r="D2973" s="82" t="s">
        <v>62</v>
      </c>
      <c r="E2973" s="82" t="s">
        <v>6</v>
      </c>
      <c r="F2973" s="85">
        <v>4000</v>
      </c>
      <c r="G2973" s="46"/>
      <c r="H2973" s="46">
        <f>IFERROR(TRANSACTIONS!$F2973+TRANSACTIONS!$G2973,"")</f>
        <v>4000</v>
      </c>
      <c r="I2973" s="40" t="s">
        <v>41</v>
      </c>
    </row>
    <row r="2974" spans="1:10" x14ac:dyDescent="0.25">
      <c r="A2974" s="41">
        <v>45359.416803703702</v>
      </c>
      <c r="B2974" s="48">
        <f>IF(A2974&lt;&gt;"",DATE(YEAR(TRANSACTIONS!$A2974),MONTH(TRANSACTIONS!$A2974),DAY(TRANSACTIONS!$A2974)),"")</f>
        <v>45359</v>
      </c>
      <c r="C2974" s="49">
        <f>IF(A2974&lt;&gt;"",TIME(HOUR(TRANSACTIONS!$A2974),MINUTE(TRANSACTIONS!$A2974),SECOND(TRANSACTIONS!$A2974)),"")</f>
        <v>0.4168055555555556</v>
      </c>
      <c r="D2974" s="82" t="s">
        <v>62</v>
      </c>
      <c r="E2974" s="82" t="s">
        <v>6</v>
      </c>
      <c r="F2974" s="85">
        <v>18000</v>
      </c>
      <c r="G2974" s="46"/>
      <c r="H2974" s="46">
        <f>IFERROR(TRANSACTIONS!$F2974+TRANSACTIONS!$G2974,"")</f>
        <v>18000</v>
      </c>
      <c r="I2974" s="40" t="s">
        <v>41</v>
      </c>
    </row>
    <row r="2975" spans="1:10" x14ac:dyDescent="0.25">
      <c r="A2975" s="41">
        <v>45359.416824305554</v>
      </c>
      <c r="B2975" s="48">
        <f>IF(A2975&lt;&gt;"",DATE(YEAR(TRANSACTIONS!$A2975),MONTH(TRANSACTIONS!$A2975),DAY(TRANSACTIONS!$A2975)),"")</f>
        <v>45359</v>
      </c>
      <c r="C2975" s="49">
        <f>IF(A2975&lt;&gt;"",TIME(HOUR(TRANSACTIONS!$A2975),MINUTE(TRANSACTIONS!$A2975),SECOND(TRANSACTIONS!$A2975)),"")</f>
        <v>0.41682870370370373</v>
      </c>
      <c r="D2975" s="82" t="s">
        <v>62</v>
      </c>
      <c r="E2975" s="82" t="s">
        <v>7</v>
      </c>
      <c r="F2975" s="85">
        <v>61000</v>
      </c>
      <c r="G2975" s="46"/>
      <c r="H2975" s="46">
        <f>IFERROR(TRANSACTIONS!$F2975+TRANSACTIONS!$G2975,"")</f>
        <v>61000</v>
      </c>
      <c r="I2975" s="40" t="s">
        <v>41</v>
      </c>
    </row>
    <row r="2976" spans="1:10" x14ac:dyDescent="0.25">
      <c r="A2976" s="41">
        <v>45359.416833333336</v>
      </c>
      <c r="B2976" s="48">
        <f>IF(A2976&lt;&gt;"",DATE(YEAR(TRANSACTIONS!$A2976),MONTH(TRANSACTIONS!$A2976),DAY(TRANSACTIONS!$A2976)),"")</f>
        <v>45359</v>
      </c>
      <c r="C2976" s="49">
        <f>IF(A2976&lt;&gt;"",TIME(HOUR(TRANSACTIONS!$A2976),MINUTE(TRANSACTIONS!$A2976),SECOND(TRANSACTIONS!$A2976)),"")</f>
        <v>0.41682870370370373</v>
      </c>
      <c r="D2976" s="82" t="s">
        <v>62</v>
      </c>
      <c r="E2976" s="82" t="s">
        <v>7</v>
      </c>
      <c r="F2976" s="85">
        <v>2000</v>
      </c>
      <c r="G2976" s="46"/>
      <c r="H2976" s="46">
        <f>IFERROR(TRANSACTIONS!$F2976+TRANSACTIONS!$G2976,"")</f>
        <v>2000</v>
      </c>
      <c r="I2976" s="40" t="s">
        <v>41</v>
      </c>
    </row>
    <row r="2977" spans="1:9" x14ac:dyDescent="0.25">
      <c r="A2977" s="41">
        <v>45359.416842824074</v>
      </c>
      <c r="B2977" s="48">
        <f>IF(A2977&lt;&gt;"",DATE(YEAR(TRANSACTIONS!$A2977),MONTH(TRANSACTIONS!$A2977),DAY(TRANSACTIONS!$A2977)),"")</f>
        <v>45359</v>
      </c>
      <c r="C2977" s="49">
        <f>IF(A2977&lt;&gt;"",TIME(HOUR(TRANSACTIONS!$A2977),MINUTE(TRANSACTIONS!$A2977),SECOND(TRANSACTIONS!$A2977)),"")</f>
        <v>0.41684027777777777</v>
      </c>
      <c r="D2977" s="82" t="s">
        <v>62</v>
      </c>
      <c r="E2977" s="82" t="s">
        <v>7</v>
      </c>
      <c r="F2977" s="85">
        <v>20000</v>
      </c>
      <c r="G2977" s="46"/>
      <c r="H2977" s="46">
        <f>IFERROR(TRANSACTIONS!$F2977+TRANSACTIONS!$G2977,"")</f>
        <v>20000</v>
      </c>
      <c r="I2977" s="40" t="s">
        <v>41</v>
      </c>
    </row>
    <row r="2978" spans="1:9" x14ac:dyDescent="0.25">
      <c r="A2978" s="41">
        <v>45359.416851273148</v>
      </c>
      <c r="B2978" s="48">
        <f>IF(A2978&lt;&gt;"",DATE(YEAR(TRANSACTIONS!$A2978),MONTH(TRANSACTIONS!$A2978),DAY(TRANSACTIONS!$A2978)),"")</f>
        <v>45359</v>
      </c>
      <c r="C2978" s="49">
        <f>IF(A2978&lt;&gt;"",TIME(HOUR(TRANSACTIONS!$A2978),MINUTE(TRANSACTIONS!$A2978),SECOND(TRANSACTIONS!$A2978)),"")</f>
        <v>0.41685185185185186</v>
      </c>
      <c r="D2978" s="82" t="s">
        <v>62</v>
      </c>
      <c r="E2978" s="82" t="s">
        <v>6</v>
      </c>
      <c r="F2978" s="85">
        <v>11000</v>
      </c>
      <c r="G2978" s="46"/>
      <c r="H2978" s="46">
        <f>IFERROR(TRANSACTIONS!$F2978+TRANSACTIONS!$G2978,"")</f>
        <v>11000</v>
      </c>
      <c r="I2978" s="40" t="s">
        <v>41</v>
      </c>
    </row>
    <row r="2979" spans="1:9" x14ac:dyDescent="0.25">
      <c r="A2979" s="41">
        <v>45359.416860648147</v>
      </c>
      <c r="B2979" s="48">
        <f>IF(A2979&lt;&gt;"",DATE(YEAR(TRANSACTIONS!$A2979),MONTH(TRANSACTIONS!$A2979),DAY(TRANSACTIONS!$A2979)),"")</f>
        <v>45359</v>
      </c>
      <c r="C2979" s="49">
        <f>IF(A2979&lt;&gt;"",TIME(HOUR(TRANSACTIONS!$A2979),MINUTE(TRANSACTIONS!$A2979),SECOND(TRANSACTIONS!$A2979)),"")</f>
        <v>0.4168634259259259</v>
      </c>
      <c r="D2979" s="82" t="s">
        <v>62</v>
      </c>
      <c r="E2979" s="82" t="s">
        <v>7</v>
      </c>
      <c r="F2979" s="85">
        <v>25000</v>
      </c>
      <c r="G2979" s="46"/>
      <c r="H2979" s="46">
        <f>IFERROR(TRANSACTIONS!$F2979+TRANSACTIONS!$G2979,"")</f>
        <v>25000</v>
      </c>
      <c r="I2979" s="40" t="s">
        <v>41</v>
      </c>
    </row>
    <row r="2980" spans="1:9" x14ac:dyDescent="0.25">
      <c r="A2980" s="41">
        <v>45359.416868981483</v>
      </c>
      <c r="B2980" s="48">
        <f>IF(A2980&lt;&gt;"",DATE(YEAR(TRANSACTIONS!$A2980),MONTH(TRANSACTIONS!$A2980),DAY(TRANSACTIONS!$A2980)),"")</f>
        <v>45359</v>
      </c>
      <c r="C2980" s="49">
        <f>IF(A2980&lt;&gt;"",TIME(HOUR(TRANSACTIONS!$A2980),MINUTE(TRANSACTIONS!$A2980),SECOND(TRANSACTIONS!$A2980)),"")</f>
        <v>0.4168634259259259</v>
      </c>
      <c r="D2980" s="82" t="s">
        <v>62</v>
      </c>
      <c r="E2980" s="82" t="s">
        <v>6</v>
      </c>
      <c r="F2980" s="85">
        <v>10000</v>
      </c>
      <c r="G2980" s="46"/>
      <c r="H2980" s="46">
        <f>IFERROR(TRANSACTIONS!$F2980+TRANSACTIONS!$G2980,"")</f>
        <v>10000</v>
      </c>
      <c r="I2980" s="40" t="s">
        <v>41</v>
      </c>
    </row>
    <row r="2981" spans="1:9" x14ac:dyDescent="0.25">
      <c r="A2981" s="41">
        <v>45359.435487037037</v>
      </c>
      <c r="B2981" s="48">
        <f>IF(A2981&lt;&gt;"",DATE(YEAR(TRANSACTIONS!$A2981),MONTH(TRANSACTIONS!$A2981),DAY(TRANSACTIONS!$A2981)),"")</f>
        <v>45359</v>
      </c>
      <c r="C2981" s="49">
        <f>IF(A2981&lt;&gt;"",TIME(HOUR(TRANSACTIONS!$A2981),MINUTE(TRANSACTIONS!$A2981),SECOND(TRANSACTIONS!$A2981)),"")</f>
        <v>0.43548611111111107</v>
      </c>
      <c r="D2981" s="82" t="s">
        <v>25</v>
      </c>
      <c r="E2981" s="82" t="s">
        <v>7</v>
      </c>
      <c r="F2981" s="85">
        <v>70000</v>
      </c>
      <c r="G2981" s="46"/>
      <c r="H2981" s="46">
        <f>IFERROR(TRANSACTIONS!$F2981+TRANSACTIONS!$G2981,"")</f>
        <v>70000</v>
      </c>
      <c r="I2981" s="40" t="s">
        <v>41</v>
      </c>
    </row>
    <row r="2982" spans="1:9" x14ac:dyDescent="0.25">
      <c r="A2982" s="41">
        <v>45359.436076967591</v>
      </c>
      <c r="B2982" s="48">
        <f>IF(A2982&lt;&gt;"",DATE(YEAR(TRANSACTIONS!$A2982),MONTH(TRANSACTIONS!$A2982),DAY(TRANSACTIONS!$A2982)),"")</f>
        <v>45359</v>
      </c>
      <c r="C2982" s="49">
        <f>IF(A2982&lt;&gt;"",TIME(HOUR(TRANSACTIONS!$A2982),MINUTE(TRANSACTIONS!$A2982),SECOND(TRANSACTIONS!$A2982)),"")</f>
        <v>0.43607638888888883</v>
      </c>
      <c r="D2982" s="82" t="s">
        <v>25</v>
      </c>
      <c r="E2982" s="82" t="s">
        <v>7</v>
      </c>
      <c r="F2982" s="85">
        <v>20000</v>
      </c>
      <c r="G2982" s="46"/>
      <c r="H2982" s="46">
        <f>IFERROR(TRANSACTIONS!$F2982+TRANSACTIONS!$G2982,"")</f>
        <v>20000</v>
      </c>
      <c r="I2982" s="40" t="s">
        <v>41</v>
      </c>
    </row>
    <row r="2983" spans="1:9" x14ac:dyDescent="0.25">
      <c r="A2983" s="41">
        <v>45359.436092013886</v>
      </c>
      <c r="B2983" s="48">
        <f>IF(A2983&lt;&gt;"",DATE(YEAR(TRANSACTIONS!$A2983),MONTH(TRANSACTIONS!$A2983),DAY(TRANSACTIONS!$A2983)),"")</f>
        <v>45359</v>
      </c>
      <c r="C2983" s="49">
        <f>IF(A2983&lt;&gt;"",TIME(HOUR(TRANSACTIONS!$A2983),MINUTE(TRANSACTIONS!$A2983),SECOND(TRANSACTIONS!$A2983)),"")</f>
        <v>0.43608796296296298</v>
      </c>
      <c r="D2983" s="82" t="s">
        <v>25</v>
      </c>
      <c r="E2983" s="82" t="s">
        <v>6</v>
      </c>
      <c r="F2983" s="85">
        <v>10000</v>
      </c>
      <c r="G2983" s="46"/>
      <c r="H2983" s="46">
        <f>IFERROR(TRANSACTIONS!$F2983+TRANSACTIONS!$G2983,"")</f>
        <v>10000</v>
      </c>
      <c r="I2983" s="40" t="s">
        <v>41</v>
      </c>
    </row>
    <row r="2984" spans="1:9" x14ac:dyDescent="0.25">
      <c r="A2984" s="41">
        <v>45359.43614189815</v>
      </c>
      <c r="B2984" s="48">
        <f>IF(A2984&lt;&gt;"",DATE(YEAR(TRANSACTIONS!$A2984),MONTH(TRANSACTIONS!$A2984),DAY(TRANSACTIONS!$A2984)),"")</f>
        <v>45359</v>
      </c>
      <c r="C2984" s="49">
        <f>IF(A2984&lt;&gt;"",TIME(HOUR(TRANSACTIONS!$A2984),MINUTE(TRANSACTIONS!$A2984),SECOND(TRANSACTIONS!$A2984)),"")</f>
        <v>0.43614583333333329</v>
      </c>
      <c r="D2984" s="82" t="s">
        <v>25</v>
      </c>
      <c r="E2984" s="82" t="s">
        <v>7</v>
      </c>
      <c r="F2984" s="85">
        <v>5000</v>
      </c>
      <c r="G2984" s="46"/>
      <c r="H2984" s="46">
        <f>IFERROR(TRANSACTIONS!$F2984+TRANSACTIONS!$G2984,"")</f>
        <v>5000</v>
      </c>
      <c r="I2984" s="40" t="s">
        <v>41</v>
      </c>
    </row>
    <row r="2985" spans="1:9" x14ac:dyDescent="0.25">
      <c r="A2985" s="41">
        <v>45359.436150347225</v>
      </c>
      <c r="B2985" s="48">
        <f>IF(A2985&lt;&gt;"",DATE(YEAR(TRANSACTIONS!$A2985),MONTH(TRANSACTIONS!$A2985),DAY(TRANSACTIONS!$A2985)),"")</f>
        <v>45359</v>
      </c>
      <c r="C2985" s="49">
        <f>IF(A2985&lt;&gt;"",TIME(HOUR(TRANSACTIONS!$A2985),MINUTE(TRANSACTIONS!$A2985),SECOND(TRANSACTIONS!$A2985)),"")</f>
        <v>0.43614583333333329</v>
      </c>
      <c r="D2985" s="82" t="s">
        <v>25</v>
      </c>
      <c r="E2985" s="82" t="s">
        <v>7</v>
      </c>
      <c r="F2985" s="85">
        <v>5000</v>
      </c>
      <c r="G2985" s="46"/>
      <c r="H2985" s="46">
        <f>IFERROR(TRANSACTIONS!$F2985+TRANSACTIONS!$G2985,"")</f>
        <v>5000</v>
      </c>
      <c r="I2985" s="40" t="s">
        <v>41</v>
      </c>
    </row>
    <row r="2986" spans="1:9" x14ac:dyDescent="0.25">
      <c r="A2986" s="41">
        <v>45359.436159259261</v>
      </c>
      <c r="B2986" s="48">
        <f>IF(A2986&lt;&gt;"",DATE(YEAR(TRANSACTIONS!$A2986),MONTH(TRANSACTIONS!$A2986),DAY(TRANSACTIONS!$A2986)),"")</f>
        <v>45359</v>
      </c>
      <c r="C2986" s="49">
        <f>IF(A2986&lt;&gt;"",TIME(HOUR(TRANSACTIONS!$A2986),MINUTE(TRANSACTIONS!$A2986),SECOND(TRANSACTIONS!$A2986)),"")</f>
        <v>0.43615740740740744</v>
      </c>
      <c r="D2986" s="82" t="s">
        <v>25</v>
      </c>
      <c r="E2986" s="82" t="s">
        <v>7</v>
      </c>
      <c r="F2986" s="85">
        <v>42000</v>
      </c>
      <c r="G2986" s="46"/>
      <c r="H2986" s="46">
        <f>IFERROR(TRANSACTIONS!$F2986+TRANSACTIONS!$G2986,"")</f>
        <v>42000</v>
      </c>
      <c r="I2986" s="40" t="s">
        <v>41</v>
      </c>
    </row>
    <row r="2987" spans="1:9" x14ac:dyDescent="0.25">
      <c r="A2987" s="41">
        <v>45359.436167476852</v>
      </c>
      <c r="B2987" s="48">
        <f>IF(A2987&lt;&gt;"",DATE(YEAR(TRANSACTIONS!$A2987),MONTH(TRANSACTIONS!$A2987),DAY(TRANSACTIONS!$A2987)),"")</f>
        <v>45359</v>
      </c>
      <c r="C2987" s="49">
        <f>IF(A2987&lt;&gt;"",TIME(HOUR(TRANSACTIONS!$A2987),MINUTE(TRANSACTIONS!$A2987),SECOND(TRANSACTIONS!$A2987)),"")</f>
        <v>0.43616898148148148</v>
      </c>
      <c r="D2987" s="82" t="s">
        <v>25</v>
      </c>
      <c r="E2987" s="82" t="s">
        <v>6</v>
      </c>
      <c r="F2987" s="85">
        <v>12100</v>
      </c>
      <c r="G2987" s="46"/>
      <c r="H2987" s="46">
        <f>IFERROR(TRANSACTIONS!$F2987+TRANSACTIONS!$G2987,"")</f>
        <v>12100</v>
      </c>
      <c r="I2987" s="40" t="s">
        <v>41</v>
      </c>
    </row>
    <row r="2988" spans="1:9" x14ac:dyDescent="0.25">
      <c r="A2988" s="41">
        <v>45359.436177314812</v>
      </c>
      <c r="B2988" s="48">
        <f>IF(A2988&lt;&gt;"",DATE(YEAR(TRANSACTIONS!$A2988),MONTH(TRANSACTIONS!$A2988),DAY(TRANSACTIONS!$A2988)),"")</f>
        <v>45359</v>
      </c>
      <c r="C2988" s="49">
        <f>IF(A2988&lt;&gt;"",TIME(HOUR(TRANSACTIONS!$A2988),MINUTE(TRANSACTIONS!$A2988),SECOND(TRANSACTIONS!$A2988)),"")</f>
        <v>0.43618055555555557</v>
      </c>
      <c r="D2988" s="82" t="s">
        <v>25</v>
      </c>
      <c r="E2988" s="82" t="s">
        <v>7</v>
      </c>
      <c r="F2988" s="85">
        <v>100000</v>
      </c>
      <c r="G2988" s="46"/>
      <c r="H2988" s="46">
        <f>IFERROR(TRANSACTIONS!$F2988+TRANSACTIONS!$G2988,"")</f>
        <v>100000</v>
      </c>
      <c r="I2988" s="40" t="s">
        <v>41</v>
      </c>
    </row>
    <row r="2989" spans="1:9" x14ac:dyDescent="0.25">
      <c r="A2989" s="41">
        <v>45359.436185069448</v>
      </c>
      <c r="B2989" s="48">
        <f>IF(A2989&lt;&gt;"",DATE(YEAR(TRANSACTIONS!$A2989),MONTH(TRANSACTIONS!$A2989),DAY(TRANSACTIONS!$A2989)),"")</f>
        <v>45359</v>
      </c>
      <c r="C2989" s="49">
        <f>IF(A2989&lt;&gt;"",TIME(HOUR(TRANSACTIONS!$A2989),MINUTE(TRANSACTIONS!$A2989),SECOND(TRANSACTIONS!$A2989)),"")</f>
        <v>0.43618055555555557</v>
      </c>
      <c r="D2989" s="82" t="s">
        <v>25</v>
      </c>
      <c r="E2989" s="82" t="s">
        <v>6</v>
      </c>
      <c r="F2989" s="85">
        <v>5000</v>
      </c>
      <c r="G2989" s="46"/>
      <c r="H2989" s="46">
        <f>IFERROR(TRANSACTIONS!$F2989+TRANSACTIONS!$G2989,"")</f>
        <v>5000</v>
      </c>
      <c r="I2989" s="40" t="s">
        <v>41</v>
      </c>
    </row>
    <row r="2990" spans="1:9" x14ac:dyDescent="0.25">
      <c r="A2990" s="113">
        <v>45359.446091782411</v>
      </c>
      <c r="B2990" s="114">
        <f>IF(A2990&lt;&gt;"",DATE(YEAR(TRANSACTIONS!$A2990),MONTH(TRANSACTIONS!$A2990),DAY(TRANSACTIONS!$A2990)),"")</f>
        <v>45359</v>
      </c>
      <c r="C2990" s="115">
        <f>IF(A2990&lt;&gt;"",TIME(HOUR(TRANSACTIONS!$A2990),MINUTE(TRANSACTIONS!$A2990),SECOND(TRANSACTIONS!$A2990)),"")</f>
        <v>0.44608796296296299</v>
      </c>
      <c r="D2990" s="82" t="s">
        <v>25</v>
      </c>
      <c r="E2990" s="82" t="s">
        <v>6</v>
      </c>
      <c r="F2990" s="85">
        <v>240000</v>
      </c>
      <c r="G2990" s="117"/>
      <c r="H2990" s="117">
        <f>IFERROR(TRANSACTIONS!$F2990+TRANSACTIONS!$G2990,"")</f>
        <v>240000</v>
      </c>
      <c r="I2990" s="118" t="s">
        <v>41</v>
      </c>
    </row>
    <row r="2991" spans="1:9" x14ac:dyDescent="0.25">
      <c r="A2991" s="41">
        <v>45359.757726157404</v>
      </c>
      <c r="B2991" s="48">
        <f>IF(A2991&lt;&gt;"",DATE(YEAR(TRANSACTIONS!$A2991),MONTH(TRANSACTIONS!$A2991),DAY(TRANSACTIONS!$A2991)),"")</f>
        <v>45359</v>
      </c>
      <c r="C2991" s="49">
        <f>IF(A2991&lt;&gt;"",TIME(HOUR(TRANSACTIONS!$A2991),MINUTE(TRANSACTIONS!$A2991),SECOND(TRANSACTIONS!$A2991)),"")</f>
        <v>0.75773148148148151</v>
      </c>
      <c r="D2991" s="82" t="s">
        <v>25</v>
      </c>
      <c r="E2991" s="82" t="s">
        <v>6</v>
      </c>
      <c r="F2991" s="85">
        <v>500</v>
      </c>
      <c r="G2991" s="46"/>
      <c r="H2991" s="46">
        <f>IFERROR(TRANSACTIONS!$F2991+TRANSACTIONS!$G2991,"")</f>
        <v>500</v>
      </c>
      <c r="I2991" s="40" t="s">
        <v>41</v>
      </c>
    </row>
    <row r="2992" spans="1:9" x14ac:dyDescent="0.25">
      <c r="A2992" s="41">
        <v>45359.757733101855</v>
      </c>
      <c r="B2992" s="48">
        <f>IF(A2992&lt;&gt;"",DATE(YEAR(TRANSACTIONS!$A2992),MONTH(TRANSACTIONS!$A2992),DAY(TRANSACTIONS!$A2992)),"")</f>
        <v>45359</v>
      </c>
      <c r="C2992" s="49">
        <f>IF(A2992&lt;&gt;"",TIME(HOUR(TRANSACTIONS!$A2992),MINUTE(TRANSACTIONS!$A2992),SECOND(TRANSACTIONS!$A2992)),"")</f>
        <v>0.75773148148148151</v>
      </c>
      <c r="D2992" s="82" t="s">
        <v>25</v>
      </c>
      <c r="E2992" s="82" t="s">
        <v>6</v>
      </c>
      <c r="F2992" s="85">
        <v>2000</v>
      </c>
      <c r="G2992" s="46"/>
      <c r="H2992" s="46">
        <f>IFERROR(TRANSACTIONS!$F2992+TRANSACTIONS!$G2992,"")</f>
        <v>2000</v>
      </c>
      <c r="I2992" s="40" t="s">
        <v>41</v>
      </c>
    </row>
    <row r="2993" spans="1:9" x14ac:dyDescent="0.25">
      <c r="A2993" s="41">
        <v>45359.757740972222</v>
      </c>
      <c r="B2993" s="48">
        <f>IF(A2993&lt;&gt;"",DATE(YEAR(TRANSACTIONS!$A2993),MONTH(TRANSACTIONS!$A2993),DAY(TRANSACTIONS!$A2993)),"")</f>
        <v>45359</v>
      </c>
      <c r="C2993" s="49">
        <f>IF(A2993&lt;&gt;"",TIME(HOUR(TRANSACTIONS!$A2993),MINUTE(TRANSACTIONS!$A2993),SECOND(TRANSACTIONS!$A2993)),"")</f>
        <v>0.75774305555555566</v>
      </c>
      <c r="D2993" s="82" t="s">
        <v>25</v>
      </c>
      <c r="E2993" s="82" t="s">
        <v>7</v>
      </c>
      <c r="F2993" s="85">
        <v>70000</v>
      </c>
      <c r="G2993" s="46"/>
      <c r="H2993" s="46">
        <f>IFERROR(TRANSACTIONS!$F2993+TRANSACTIONS!$G2993,"")</f>
        <v>70000</v>
      </c>
      <c r="I2993" s="40" t="s">
        <v>41</v>
      </c>
    </row>
    <row r="2994" spans="1:9" x14ac:dyDescent="0.25">
      <c r="A2994" s="41">
        <v>45359.757748495373</v>
      </c>
      <c r="B2994" s="48">
        <f>IF(A2994&lt;&gt;"",DATE(YEAR(TRANSACTIONS!$A2994),MONTH(TRANSACTIONS!$A2994),DAY(TRANSACTIONS!$A2994)),"")</f>
        <v>45359</v>
      </c>
      <c r="C2994" s="49">
        <f>IF(A2994&lt;&gt;"",TIME(HOUR(TRANSACTIONS!$A2994),MINUTE(TRANSACTIONS!$A2994),SECOND(TRANSACTIONS!$A2994)),"")</f>
        <v>0.75774305555555566</v>
      </c>
      <c r="D2994" s="82" t="s">
        <v>25</v>
      </c>
      <c r="E2994" s="82" t="s">
        <v>6</v>
      </c>
      <c r="F2994" s="85">
        <v>15000</v>
      </c>
      <c r="G2994" s="46"/>
      <c r="H2994" s="46">
        <f>IFERROR(TRANSACTIONS!$F2994+TRANSACTIONS!$G2994,"")</f>
        <v>15000</v>
      </c>
      <c r="I2994" s="40" t="s">
        <v>41</v>
      </c>
    </row>
    <row r="2995" spans="1:9" x14ac:dyDescent="0.25">
      <c r="A2995" s="41">
        <v>45359.765675578703</v>
      </c>
      <c r="B2995" s="48">
        <f>IF(A2995&lt;&gt;"",DATE(YEAR(TRANSACTIONS!$A2995),MONTH(TRANSACTIONS!$A2995),DAY(TRANSACTIONS!$A2995)),"")</f>
        <v>45359</v>
      </c>
      <c r="C2995" s="49">
        <f>IF(A2995&lt;&gt;"",TIME(HOUR(TRANSACTIONS!$A2995),MINUTE(TRANSACTIONS!$A2995),SECOND(TRANSACTIONS!$A2995)),"")</f>
        <v>0.76567129629629627</v>
      </c>
      <c r="D2995" s="82" t="s">
        <v>25</v>
      </c>
      <c r="E2995" s="82" t="s">
        <v>7</v>
      </c>
      <c r="F2995" s="85">
        <v>5000</v>
      </c>
      <c r="G2995" s="46"/>
      <c r="H2995" s="46">
        <f>IFERROR(TRANSACTIONS!$F2995+TRANSACTIONS!$G2995,"")</f>
        <v>5000</v>
      </c>
      <c r="I2995" s="40" t="s">
        <v>41</v>
      </c>
    </row>
    <row r="2996" spans="1:9" x14ac:dyDescent="0.25">
      <c r="A2996" s="41">
        <v>45359.765715740738</v>
      </c>
      <c r="B2996" s="48">
        <f>IF(A2996&lt;&gt;"",DATE(YEAR(TRANSACTIONS!$A2996),MONTH(TRANSACTIONS!$A2996),DAY(TRANSACTIONS!$A2996)),"")</f>
        <v>45359</v>
      </c>
      <c r="C2996" s="49">
        <f>IF(A2996&lt;&gt;"",TIME(HOUR(TRANSACTIONS!$A2996),MINUTE(TRANSACTIONS!$A2996),SECOND(TRANSACTIONS!$A2996)),"")</f>
        <v>0.76571759259259264</v>
      </c>
      <c r="D2996" s="82" t="s">
        <v>25</v>
      </c>
      <c r="E2996" s="82" t="s">
        <v>7</v>
      </c>
      <c r="F2996" s="85">
        <v>7000</v>
      </c>
      <c r="G2996" s="46"/>
      <c r="H2996" s="46">
        <f>IFERROR(TRANSACTIONS!$F2996+TRANSACTIONS!$G2996,"")</f>
        <v>7000</v>
      </c>
      <c r="I2996" s="40" t="s">
        <v>41</v>
      </c>
    </row>
    <row r="2997" spans="1:9" x14ac:dyDescent="0.25">
      <c r="A2997" s="41">
        <v>45359.765724999997</v>
      </c>
      <c r="B2997" s="48">
        <f>IF(A2997&lt;&gt;"",DATE(YEAR(TRANSACTIONS!$A2997),MONTH(TRANSACTIONS!$A2997),DAY(TRANSACTIONS!$A2997)),"")</f>
        <v>45359</v>
      </c>
      <c r="C2997" s="49">
        <f>IF(A2997&lt;&gt;"",TIME(HOUR(TRANSACTIONS!$A2997),MINUTE(TRANSACTIONS!$A2997),SECOND(TRANSACTIONS!$A2997)),"")</f>
        <v>0.76572916666666668</v>
      </c>
      <c r="D2997" s="82" t="s">
        <v>62</v>
      </c>
      <c r="E2997" s="82" t="s">
        <v>6</v>
      </c>
      <c r="F2997" s="85">
        <v>2000</v>
      </c>
      <c r="G2997" s="46"/>
      <c r="H2997" s="46">
        <f>IFERROR(TRANSACTIONS!$F2997+TRANSACTIONS!$G2997,"")</f>
        <v>2000</v>
      </c>
      <c r="I2997" s="40" t="s">
        <v>41</v>
      </c>
    </row>
    <row r="2998" spans="1:9" x14ac:dyDescent="0.25">
      <c r="A2998" s="41">
        <v>45359.765759606482</v>
      </c>
      <c r="B2998" s="48">
        <f>IF(A2998&lt;&gt;"",DATE(YEAR(TRANSACTIONS!$A2998),MONTH(TRANSACTIONS!$A2998),DAY(TRANSACTIONS!$A2998)),"")</f>
        <v>45359</v>
      </c>
      <c r="C2998" s="49">
        <f>IF(A2998&lt;&gt;"",TIME(HOUR(TRANSACTIONS!$A2998),MINUTE(TRANSACTIONS!$A2998),SECOND(TRANSACTIONS!$A2998)),"")</f>
        <v>0.76576388888888891</v>
      </c>
      <c r="D2998" s="82" t="s">
        <v>62</v>
      </c>
      <c r="E2998" s="82" t="s">
        <v>6</v>
      </c>
      <c r="F2998" s="85">
        <v>25000</v>
      </c>
      <c r="G2998" s="46"/>
      <c r="H2998" s="46">
        <f>IFERROR(TRANSACTIONS!$F2998+TRANSACTIONS!$G2998,"")</f>
        <v>25000</v>
      </c>
      <c r="I2998" s="40" t="s">
        <v>41</v>
      </c>
    </row>
    <row r="2999" spans="1:9" x14ac:dyDescent="0.25">
      <c r="A2999" s="41">
        <v>45359.765800694448</v>
      </c>
      <c r="B2999" s="48">
        <f>IF(A2999&lt;&gt;"",DATE(YEAR(TRANSACTIONS!$A2999),MONTH(TRANSACTIONS!$A2999),DAY(TRANSACTIONS!$A2999)),"")</f>
        <v>45359</v>
      </c>
      <c r="C2999" s="49">
        <f>IF(A2999&lt;&gt;"",TIME(HOUR(TRANSACTIONS!$A2999),MINUTE(TRANSACTIONS!$A2999),SECOND(TRANSACTIONS!$A2999)),"")</f>
        <v>0.76579861111111114</v>
      </c>
      <c r="D2999" s="82" t="s">
        <v>62</v>
      </c>
      <c r="E2999" s="82" t="s">
        <v>7</v>
      </c>
      <c r="F2999" s="85">
        <v>1000</v>
      </c>
      <c r="G2999" s="46"/>
      <c r="H2999" s="46">
        <f>IFERROR(TRANSACTIONS!$F2999+TRANSACTIONS!$G2999,"")</f>
        <v>1000</v>
      </c>
      <c r="I2999" s="40" t="s">
        <v>41</v>
      </c>
    </row>
    <row r="3000" spans="1:9" x14ac:dyDescent="0.25">
      <c r="A3000" s="81">
        <v>45359.765807986114</v>
      </c>
      <c r="B3000" s="83">
        <f>IF(A3000&lt;&gt;"",DATE(YEAR(TRANSACTIONS!$A3000),MONTH(TRANSACTIONS!$A3000),DAY(TRANSACTIONS!$A3000)),"")</f>
        <v>45359</v>
      </c>
      <c r="C3000" s="84">
        <f>IF(A3000&lt;&gt;"",TIME(HOUR(TRANSACTIONS!$A3000),MINUTE(TRANSACTIONS!$A3000),SECOND(TRANSACTIONS!$A3000)),"")</f>
        <v>0.76581018518518518</v>
      </c>
      <c r="D3000" s="82" t="s">
        <v>62</v>
      </c>
      <c r="E3000" s="82" t="s">
        <v>7</v>
      </c>
      <c r="F3000" s="85">
        <v>1000</v>
      </c>
      <c r="G3000" s="86"/>
      <c r="H3000" s="86">
        <f>IFERROR(TRANSACTIONS!$F3000+TRANSACTIONS!$G3000,"")</f>
        <v>1000</v>
      </c>
      <c r="I3000" s="88" t="s">
        <v>41</v>
      </c>
    </row>
    <row r="3001" spans="1:9" x14ac:dyDescent="0.25">
      <c r="A3001" s="41">
        <v>45359.765815509258</v>
      </c>
      <c r="B3001" s="48">
        <f>IF(A3001&lt;&gt;"",DATE(YEAR(TRANSACTIONS!$A3001),MONTH(TRANSACTIONS!$A3001),DAY(TRANSACTIONS!$A3001)),"")</f>
        <v>45359</v>
      </c>
      <c r="C3001" s="49">
        <f>IF(A3001&lt;&gt;"",TIME(HOUR(TRANSACTIONS!$A3001),MINUTE(TRANSACTIONS!$A3001),SECOND(TRANSACTIONS!$A3001)),"")</f>
        <v>0.76581018518518518</v>
      </c>
      <c r="D3001" s="82" t="s">
        <v>62</v>
      </c>
      <c r="E3001" s="82" t="s">
        <v>7</v>
      </c>
      <c r="F3001" s="85">
        <v>60000</v>
      </c>
      <c r="G3001" s="46"/>
      <c r="H3001" s="46">
        <f>IFERROR(TRANSACTIONS!$F3001+TRANSACTIONS!$G3001,"")</f>
        <v>60000</v>
      </c>
      <c r="I3001" s="40" t="s">
        <v>41</v>
      </c>
    </row>
    <row r="3002" spans="1:9" x14ac:dyDescent="0.25">
      <c r="A3002" s="41">
        <v>45359.76582291667</v>
      </c>
      <c r="B3002" s="48">
        <f>IF(A3002&lt;&gt;"",DATE(YEAR(TRANSACTIONS!$A3002),MONTH(TRANSACTIONS!$A3002),DAY(TRANSACTIONS!$A3002)),"")</f>
        <v>45359</v>
      </c>
      <c r="C3002" s="49">
        <f>IF(A3002&lt;&gt;"",TIME(HOUR(TRANSACTIONS!$A3002),MINUTE(TRANSACTIONS!$A3002),SECOND(TRANSACTIONS!$A3002)),"")</f>
        <v>0.76582175925925933</v>
      </c>
      <c r="D3002" s="82" t="s">
        <v>62</v>
      </c>
      <c r="E3002" s="82" t="s">
        <v>7</v>
      </c>
      <c r="F3002" s="181">
        <v>10000</v>
      </c>
      <c r="G3002" s="46"/>
      <c r="H3002" s="46">
        <f>IFERROR(TRANSACTIONS!$F3002+TRANSACTIONS!$G3002,"")</f>
        <v>10000</v>
      </c>
      <c r="I3002" s="40" t="s">
        <v>41</v>
      </c>
    </row>
    <row r="3003" spans="1:9" ht="17.25" customHeight="1" x14ac:dyDescent="0.25">
      <c r="A3003" s="41">
        <v>45359.765830208336</v>
      </c>
      <c r="B3003" s="48">
        <f>IF(A3003&lt;&gt;"",DATE(YEAR(TRANSACTIONS!$A3003),MONTH(TRANSACTIONS!$A3003),DAY(TRANSACTIONS!$A3003)),"")</f>
        <v>45359</v>
      </c>
      <c r="C3003" s="49">
        <f>IF(A3003&lt;&gt;"",TIME(HOUR(TRANSACTIONS!$A3003),MINUTE(TRANSACTIONS!$A3003),SECOND(TRANSACTIONS!$A3003)),"")</f>
        <v>0.76583333333333325</v>
      </c>
      <c r="D3003" s="82" t="s">
        <v>62</v>
      </c>
      <c r="E3003" s="82" t="s">
        <v>6</v>
      </c>
      <c r="F3003" s="85">
        <v>35000</v>
      </c>
      <c r="G3003" s="46"/>
      <c r="H3003" s="46">
        <f>IFERROR(TRANSACTIONS!$F3003+TRANSACTIONS!$G3003,"")</f>
        <v>35000</v>
      </c>
      <c r="I3003" s="40" t="s">
        <v>41</v>
      </c>
    </row>
    <row r="3004" spans="1:9" x14ac:dyDescent="0.25">
      <c r="A3004" s="41">
        <v>45359.765838888889</v>
      </c>
      <c r="B3004" s="48">
        <f>IF(A3004&lt;&gt;"",DATE(YEAR(TRANSACTIONS!$A3004),MONTH(TRANSACTIONS!$A3004),DAY(TRANSACTIONS!$A3004)),"")</f>
        <v>45359</v>
      </c>
      <c r="C3004" s="49">
        <f>IF(A3004&lt;&gt;"",TIME(HOUR(TRANSACTIONS!$A3004),MINUTE(TRANSACTIONS!$A3004),SECOND(TRANSACTIONS!$A3004)),"")</f>
        <v>0.76583333333333325</v>
      </c>
      <c r="D3004" s="82" t="s">
        <v>62</v>
      </c>
      <c r="E3004" s="82" t="s">
        <v>6</v>
      </c>
      <c r="F3004" s="85">
        <v>75000</v>
      </c>
      <c r="G3004" s="46"/>
      <c r="H3004" s="46">
        <f>IFERROR(TRANSACTIONS!$F3004+TRANSACTIONS!$G3004,"")</f>
        <v>75000</v>
      </c>
      <c r="I3004" s="40" t="s">
        <v>41</v>
      </c>
    </row>
    <row r="3005" spans="1:9" x14ac:dyDescent="0.25">
      <c r="A3005" s="41">
        <v>45359.76584699074</v>
      </c>
      <c r="B3005" s="48">
        <f>IF(A3005&lt;&gt;"",DATE(YEAR(TRANSACTIONS!$A3005),MONTH(TRANSACTIONS!$A3005),DAY(TRANSACTIONS!$A3005)),"")</f>
        <v>45359</v>
      </c>
      <c r="C3005" s="49">
        <f>IF(A3005&lt;&gt;"",TIME(HOUR(TRANSACTIONS!$A3005),MINUTE(TRANSACTIONS!$A3005),SECOND(TRANSACTIONS!$A3005)),"")</f>
        <v>0.7658449074074074</v>
      </c>
      <c r="D3005" s="82" t="s">
        <v>62</v>
      </c>
      <c r="E3005" s="82" t="s">
        <v>6</v>
      </c>
      <c r="F3005" s="85">
        <v>25000</v>
      </c>
      <c r="G3005" s="46"/>
      <c r="H3005" s="46">
        <f>IFERROR(TRANSACTIONS!$F3005+TRANSACTIONS!$G3005,"")</f>
        <v>25000</v>
      </c>
      <c r="I3005" s="40" t="s">
        <v>41</v>
      </c>
    </row>
    <row r="3006" spans="1:9" x14ac:dyDescent="0.25">
      <c r="A3006" s="41">
        <v>45359.772209143521</v>
      </c>
      <c r="B3006" s="48">
        <f>IF(A3006&lt;&gt;"",DATE(YEAR(TRANSACTIONS!$A3006),MONTH(TRANSACTIONS!$A3006),DAY(TRANSACTIONS!$A3006)),"")</f>
        <v>45359</v>
      </c>
      <c r="C3006" s="49">
        <f>IF(A3006&lt;&gt;"",TIME(HOUR(TRANSACTIONS!$A3006),MINUTE(TRANSACTIONS!$A3006),SECOND(TRANSACTIONS!$A3006)),"")</f>
        <v>0.77221064814814822</v>
      </c>
      <c r="D3006" s="82" t="s">
        <v>62</v>
      </c>
      <c r="E3006" s="82" t="s">
        <v>6</v>
      </c>
      <c r="F3006" s="85">
        <v>13000</v>
      </c>
      <c r="G3006" s="46"/>
      <c r="H3006" s="46">
        <f>IFERROR(TRANSACTIONS!$F3006+TRANSACTIONS!$G3006,"")</f>
        <v>13000</v>
      </c>
      <c r="I3006" s="40" t="s">
        <v>41</v>
      </c>
    </row>
    <row r="3007" spans="1:9" x14ac:dyDescent="0.25">
      <c r="A3007" s="41">
        <v>45359.772213194447</v>
      </c>
      <c r="B3007" s="48">
        <f>IF(A3007&lt;&gt;"",DATE(YEAR(TRANSACTIONS!$A3007),MONTH(TRANSACTIONS!$A3007),DAY(TRANSACTIONS!$A3007)),"")</f>
        <v>45359</v>
      </c>
      <c r="C3007" s="49">
        <f>IF(A3007&lt;&gt;"",TIME(HOUR(TRANSACTIONS!$A3007),MINUTE(TRANSACTIONS!$A3007),SECOND(TRANSACTIONS!$A3007)),"")</f>
        <v>0.77221064814814822</v>
      </c>
      <c r="D3007" s="82" t="s">
        <v>62</v>
      </c>
      <c r="E3007" s="82" t="s">
        <v>7</v>
      </c>
      <c r="F3007" s="85">
        <v>10000</v>
      </c>
      <c r="G3007" s="46"/>
      <c r="H3007" s="46">
        <f>IFERROR(TRANSACTIONS!$F3007+TRANSACTIONS!$G3007,"")</f>
        <v>10000</v>
      </c>
      <c r="I3007" s="40" t="s">
        <v>41</v>
      </c>
    </row>
    <row r="3008" spans="1:9" x14ac:dyDescent="0.25">
      <c r="A3008" s="113">
        <v>45359.772263773149</v>
      </c>
      <c r="B3008" s="114">
        <f>IF(A3008&lt;&gt;"",DATE(YEAR(TRANSACTIONS!$A3008),MONTH(TRANSACTIONS!$A3008),DAY(TRANSACTIONS!$A3008)),"")</f>
        <v>45359</v>
      </c>
      <c r="C3008" s="115">
        <f>IF(A3008&lt;&gt;"",TIME(HOUR(TRANSACTIONS!$A3008),MINUTE(TRANSACTIONS!$A3008),SECOND(TRANSACTIONS!$A3008)),"")</f>
        <v>0.77226851851851863</v>
      </c>
      <c r="D3008" s="82" t="s">
        <v>62</v>
      </c>
      <c r="E3008" s="82" t="s">
        <v>6</v>
      </c>
      <c r="F3008" s="85">
        <v>47000</v>
      </c>
      <c r="G3008" s="117"/>
      <c r="H3008" s="117">
        <f>IFERROR(TRANSACTIONS!$F3008+TRANSACTIONS!$G3008,"")</f>
        <v>47000</v>
      </c>
      <c r="I3008" s="118" t="s">
        <v>41</v>
      </c>
    </row>
    <row r="3009" spans="1:9" x14ac:dyDescent="0.25">
      <c r="A3009" s="41">
        <v>45359.772272569448</v>
      </c>
      <c r="B3009" s="48">
        <f>IF(A3009&lt;&gt;"",DATE(YEAR(TRANSACTIONS!$A3009),MONTH(TRANSACTIONS!$A3009),DAY(TRANSACTIONS!$A3009)),"")</f>
        <v>45359</v>
      </c>
      <c r="C3009" s="49">
        <f>IF(A3009&lt;&gt;"",TIME(HOUR(TRANSACTIONS!$A3009),MINUTE(TRANSACTIONS!$A3009),SECOND(TRANSACTIONS!$A3009)),"")</f>
        <v>0.77226851851851863</v>
      </c>
      <c r="D3009" s="82" t="s">
        <v>62</v>
      </c>
      <c r="E3009" s="82" t="s">
        <v>6</v>
      </c>
      <c r="F3009" s="85">
        <v>4000</v>
      </c>
      <c r="G3009" s="46"/>
      <c r="H3009" s="46">
        <f>IFERROR(TRANSACTIONS!$F3009+TRANSACTIONS!$G3009,"")</f>
        <v>4000</v>
      </c>
      <c r="I3009" s="40" t="s">
        <v>41</v>
      </c>
    </row>
    <row r="3010" spans="1:9" x14ac:dyDescent="0.25">
      <c r="A3010" s="41">
        <v>45359.772299305558</v>
      </c>
      <c r="B3010" s="48">
        <f>IF(A3010&lt;&gt;"",DATE(YEAR(TRANSACTIONS!$A3010),MONTH(TRANSACTIONS!$A3010),DAY(TRANSACTIONS!$A3010)),"")</f>
        <v>45359</v>
      </c>
      <c r="C3010" s="49">
        <f>IF(A3010&lt;&gt;"",TIME(HOUR(TRANSACTIONS!$A3010),MINUTE(TRANSACTIONS!$A3010),SECOND(TRANSACTIONS!$A3010)),"")</f>
        <v>0.77230324074074075</v>
      </c>
      <c r="D3010" s="82" t="s">
        <v>62</v>
      </c>
      <c r="E3010" s="82" t="s">
        <v>6</v>
      </c>
      <c r="F3010" s="85">
        <v>10000</v>
      </c>
      <c r="G3010" s="46"/>
      <c r="H3010" s="46">
        <f>IFERROR(TRANSACTIONS!$F3010+TRANSACTIONS!$G3010,"")</f>
        <v>10000</v>
      </c>
      <c r="I3010" s="40" t="s">
        <v>41</v>
      </c>
    </row>
    <row r="3011" spans="1:9" x14ac:dyDescent="0.25">
      <c r="A3011" s="41">
        <v>45359.772306828701</v>
      </c>
      <c r="B3011" s="48">
        <f>IF(A3011&lt;&gt;"",DATE(YEAR(TRANSACTIONS!$A3011),MONTH(TRANSACTIONS!$A3011),DAY(TRANSACTIONS!$A3011)),"")</f>
        <v>45359</v>
      </c>
      <c r="C3011" s="49">
        <f>IF(A3011&lt;&gt;"",TIME(HOUR(TRANSACTIONS!$A3011),MINUTE(TRANSACTIONS!$A3011),SECOND(TRANSACTIONS!$A3011)),"")</f>
        <v>0.77230324074074075</v>
      </c>
      <c r="D3011" s="82" t="s">
        <v>62</v>
      </c>
      <c r="E3011" s="82" t="s">
        <v>6</v>
      </c>
      <c r="F3011" s="85">
        <v>10000</v>
      </c>
      <c r="G3011" s="46"/>
      <c r="H3011" s="46">
        <f>IFERROR(TRANSACTIONS!$F3011+TRANSACTIONS!$G3011,"")</f>
        <v>10000</v>
      </c>
      <c r="I3011" s="40" t="s">
        <v>41</v>
      </c>
    </row>
    <row r="3012" spans="1:9" x14ac:dyDescent="0.25">
      <c r="A3012" s="41">
        <v>45359.772322916666</v>
      </c>
      <c r="B3012" s="48">
        <f>IF(A3012&lt;&gt;"",DATE(YEAR(TRANSACTIONS!$A3012),MONTH(TRANSACTIONS!$A3012),DAY(TRANSACTIONS!$A3012)),"")</f>
        <v>45359</v>
      </c>
      <c r="C3012" s="49">
        <f>IF(A3012&lt;&gt;"",TIME(HOUR(TRANSACTIONS!$A3012),MINUTE(TRANSACTIONS!$A3012),SECOND(TRANSACTIONS!$A3012)),"")</f>
        <v>0.77232638888888883</v>
      </c>
      <c r="D3012" s="82" t="s">
        <v>62</v>
      </c>
      <c r="E3012" s="82" t="s">
        <v>7</v>
      </c>
      <c r="F3012" s="85">
        <v>7000</v>
      </c>
      <c r="G3012" s="46"/>
      <c r="H3012" s="46">
        <f>IFERROR(TRANSACTIONS!$F3012+TRANSACTIONS!$G3012,"")</f>
        <v>7000</v>
      </c>
      <c r="I3012" s="40" t="s">
        <v>41</v>
      </c>
    </row>
    <row r="3013" spans="1:9" x14ac:dyDescent="0.25">
      <c r="A3013" s="41">
        <v>45359.772329976855</v>
      </c>
      <c r="B3013" s="48">
        <f>IF(A3013&lt;&gt;"",DATE(YEAR(TRANSACTIONS!$A3013),MONTH(TRANSACTIONS!$A3013),DAY(TRANSACTIONS!$A3013)),"")</f>
        <v>45359</v>
      </c>
      <c r="C3013" s="49">
        <f>IF(A3013&lt;&gt;"",TIME(HOUR(TRANSACTIONS!$A3013),MINUTE(TRANSACTIONS!$A3013),SECOND(TRANSACTIONS!$A3013)),"")</f>
        <v>0.77232638888888883</v>
      </c>
      <c r="D3013" s="82" t="s">
        <v>62</v>
      </c>
      <c r="E3013" s="82" t="s">
        <v>7</v>
      </c>
      <c r="F3013" s="85">
        <v>40000</v>
      </c>
      <c r="G3013" s="46"/>
      <c r="H3013" s="46">
        <f>IFERROR(TRANSACTIONS!$F3013+TRANSACTIONS!$G3013,"")</f>
        <v>40000</v>
      </c>
      <c r="I3013" s="40" t="s">
        <v>41</v>
      </c>
    </row>
    <row r="3014" spans="1:9" x14ac:dyDescent="0.25">
      <c r="A3014" s="41">
        <v>45359.772342245371</v>
      </c>
      <c r="B3014" s="48">
        <f>IF(A3014&lt;&gt;"",DATE(YEAR(TRANSACTIONS!$A3014),MONTH(TRANSACTIONS!$A3014),DAY(TRANSACTIONS!$A3014)),"")</f>
        <v>45359</v>
      </c>
      <c r="C3014" s="49">
        <f>IF(A3014&lt;&gt;"",TIME(HOUR(TRANSACTIONS!$A3014),MINUTE(TRANSACTIONS!$A3014),SECOND(TRANSACTIONS!$A3014)),"")</f>
        <v>0.77233796296296298</v>
      </c>
      <c r="D3014" s="82" t="s">
        <v>62</v>
      </c>
      <c r="E3014" s="82" t="s">
        <v>7</v>
      </c>
      <c r="F3014" s="85">
        <v>500</v>
      </c>
      <c r="G3014" s="46"/>
      <c r="H3014" s="46">
        <f>IFERROR(TRANSACTIONS!$F3014+TRANSACTIONS!$G3014,"")</f>
        <v>500</v>
      </c>
      <c r="I3014" s="40" t="s">
        <v>41</v>
      </c>
    </row>
    <row r="3015" spans="1:9" x14ac:dyDescent="0.25">
      <c r="A3015" s="41">
        <v>45359.772401273149</v>
      </c>
      <c r="B3015" s="48">
        <f>IF(A3015&lt;&gt;"",DATE(YEAR(TRANSACTIONS!$A3015),MONTH(TRANSACTIONS!$A3015),DAY(TRANSACTIONS!$A3015)),"")</f>
        <v>45359</v>
      </c>
      <c r="C3015" s="49">
        <f>IF(A3015&lt;&gt;"",TIME(HOUR(TRANSACTIONS!$A3015),MINUTE(TRANSACTIONS!$A3015),SECOND(TRANSACTIONS!$A3015)),"")</f>
        <v>0.77239583333333339</v>
      </c>
      <c r="D3015" s="82" t="s">
        <v>62</v>
      </c>
      <c r="E3015" s="82" t="s">
        <v>7</v>
      </c>
      <c r="F3015" s="85">
        <v>5000</v>
      </c>
      <c r="G3015" s="46"/>
      <c r="H3015" s="46">
        <f>IFERROR(TRANSACTIONS!$F3015+TRANSACTIONS!$G3015,"")</f>
        <v>5000</v>
      </c>
      <c r="I3015" s="40" t="s">
        <v>41</v>
      </c>
    </row>
    <row r="3016" spans="1:9" x14ac:dyDescent="0.25">
      <c r="A3016" s="41">
        <v>45359.772410532409</v>
      </c>
      <c r="B3016" s="48">
        <f>IF(A3016&lt;&gt;"",DATE(YEAR(TRANSACTIONS!$A3016),MONTH(TRANSACTIONS!$A3016),DAY(TRANSACTIONS!$A3016)),"")</f>
        <v>45359</v>
      </c>
      <c r="C3016" s="49">
        <f>IF(A3016&lt;&gt;"",TIME(HOUR(TRANSACTIONS!$A3016),MINUTE(TRANSACTIONS!$A3016),SECOND(TRANSACTIONS!$A3016)),"")</f>
        <v>0.77240740740740732</v>
      </c>
      <c r="D3016" s="82" t="s">
        <v>62</v>
      </c>
      <c r="E3016" s="82" t="s">
        <v>7</v>
      </c>
      <c r="F3016" s="85">
        <v>3800</v>
      </c>
      <c r="G3016" s="46"/>
      <c r="H3016" s="46">
        <f>IFERROR(TRANSACTIONS!$F3016+TRANSACTIONS!$G3016,"")</f>
        <v>3800</v>
      </c>
      <c r="I3016" s="40" t="s">
        <v>41</v>
      </c>
    </row>
    <row r="3017" spans="1:9" x14ac:dyDescent="0.25">
      <c r="A3017" s="41">
        <v>45359.772418981483</v>
      </c>
      <c r="B3017" s="48">
        <f>IF(A3017&lt;&gt;"",DATE(YEAR(TRANSACTIONS!$A3017),MONTH(TRANSACTIONS!$A3017),DAY(TRANSACTIONS!$A3017)),"")</f>
        <v>45359</v>
      </c>
      <c r="C3017" s="49">
        <f>IF(A3017&lt;&gt;"",TIME(HOUR(TRANSACTIONS!$A3017),MINUTE(TRANSACTIONS!$A3017),SECOND(TRANSACTIONS!$A3017)),"")</f>
        <v>0.77241898148148147</v>
      </c>
      <c r="D3017" s="82" t="s">
        <v>62</v>
      </c>
      <c r="E3017" s="82" t="s">
        <v>7</v>
      </c>
      <c r="F3017" s="85">
        <v>10000</v>
      </c>
      <c r="G3017" s="46"/>
      <c r="H3017" s="46">
        <f>IFERROR(TRANSACTIONS!$F3017+TRANSACTIONS!$G3017,"")</f>
        <v>10000</v>
      </c>
      <c r="I3017" s="40" t="s">
        <v>41</v>
      </c>
    </row>
    <row r="3018" spans="1:9" x14ac:dyDescent="0.25">
      <c r="A3018" s="41">
        <v>45359.772435069448</v>
      </c>
      <c r="B3018" s="48">
        <f>IF(A3018&lt;&gt;"",DATE(YEAR(TRANSACTIONS!$A3018),MONTH(TRANSACTIONS!$A3018),DAY(TRANSACTIONS!$A3018)),"")</f>
        <v>45359</v>
      </c>
      <c r="C3018" s="49">
        <f>IF(A3018&lt;&gt;"",TIME(HOUR(TRANSACTIONS!$A3018),MINUTE(TRANSACTIONS!$A3018),SECOND(TRANSACTIONS!$A3018)),"")</f>
        <v>0.77243055555555562</v>
      </c>
      <c r="D3018" s="82" t="s">
        <v>62</v>
      </c>
      <c r="E3018" s="82" t="s">
        <v>6</v>
      </c>
      <c r="F3018" s="85">
        <v>2000</v>
      </c>
      <c r="G3018" s="46"/>
      <c r="H3018" s="46">
        <f>IFERROR(TRANSACTIONS!$F3018+TRANSACTIONS!$G3018,"")</f>
        <v>2000</v>
      </c>
      <c r="I3018" s="40" t="s">
        <v>41</v>
      </c>
    </row>
    <row r="3019" spans="1:9" x14ac:dyDescent="0.25">
      <c r="A3019" s="41">
        <v>45359.77245138889</v>
      </c>
      <c r="B3019" s="48">
        <f>IF(A3019&lt;&gt;"",DATE(YEAR(TRANSACTIONS!$A3019),MONTH(TRANSACTIONS!$A3019),DAY(TRANSACTIONS!$A3019)),"")</f>
        <v>45359</v>
      </c>
      <c r="C3019" s="49">
        <f>IF(A3019&lt;&gt;"",TIME(HOUR(TRANSACTIONS!$A3019),MINUTE(TRANSACTIONS!$A3019),SECOND(TRANSACTIONS!$A3019)),"")</f>
        <v>0.7724537037037037</v>
      </c>
      <c r="D3019" s="82" t="s">
        <v>62</v>
      </c>
      <c r="E3019" s="82" t="s">
        <v>6</v>
      </c>
      <c r="F3019" s="85">
        <v>20150</v>
      </c>
      <c r="G3019" s="46"/>
      <c r="H3019" s="46">
        <f>IFERROR(TRANSACTIONS!$F3019+TRANSACTIONS!$G3019,"")</f>
        <v>20150</v>
      </c>
      <c r="I3019" s="40" t="s">
        <v>41</v>
      </c>
    </row>
    <row r="3020" spans="1:9" x14ac:dyDescent="0.25">
      <c r="A3020" s="41">
        <v>45359.772480092593</v>
      </c>
      <c r="B3020" s="48">
        <f>IF(A3020&lt;&gt;"",DATE(YEAR(TRANSACTIONS!$A3020),MONTH(TRANSACTIONS!$A3020),DAY(TRANSACTIONS!$A3020)),"")</f>
        <v>45359</v>
      </c>
      <c r="C3020" s="49">
        <f>IF(A3020&lt;&gt;"",TIME(HOUR(TRANSACTIONS!$A3020),MINUTE(TRANSACTIONS!$A3020),SECOND(TRANSACTIONS!$A3020)),"")</f>
        <v>0.77247685185185189</v>
      </c>
      <c r="D3020" s="82" t="s">
        <v>62</v>
      </c>
      <c r="E3020" s="82" t="s">
        <v>7</v>
      </c>
      <c r="F3020" s="85">
        <v>2000</v>
      </c>
      <c r="G3020" s="46"/>
      <c r="H3020" s="46">
        <f>IFERROR(TRANSACTIONS!$F3020+TRANSACTIONS!$G3020,"")</f>
        <v>2000</v>
      </c>
      <c r="I3020" s="40" t="s">
        <v>41</v>
      </c>
    </row>
    <row r="3021" spans="1:9" x14ac:dyDescent="0.25">
      <c r="A3021" s="41">
        <v>45359.772493865741</v>
      </c>
      <c r="B3021" s="48">
        <f>IF(A3021&lt;&gt;"",DATE(YEAR(TRANSACTIONS!$A3021),MONTH(TRANSACTIONS!$A3021),DAY(TRANSACTIONS!$A3021)),"")</f>
        <v>45359</v>
      </c>
      <c r="C3021" s="49">
        <f>IF(A3021&lt;&gt;"",TIME(HOUR(TRANSACTIONS!$A3021),MINUTE(TRANSACTIONS!$A3021),SECOND(TRANSACTIONS!$A3021)),"")</f>
        <v>0.77248842592592604</v>
      </c>
      <c r="D3021" s="82" t="s">
        <v>62</v>
      </c>
      <c r="E3021" s="82" t="s">
        <v>7</v>
      </c>
      <c r="F3021" s="85">
        <v>500</v>
      </c>
      <c r="G3021" s="46"/>
      <c r="H3021" s="46">
        <f>IFERROR(TRANSACTIONS!$F3021+TRANSACTIONS!$G3021,"")</f>
        <v>500</v>
      </c>
      <c r="I3021" s="40" t="s">
        <v>41</v>
      </c>
    </row>
    <row r="3022" spans="1:9" x14ac:dyDescent="0.25">
      <c r="A3022" s="41">
        <v>45359.772524189815</v>
      </c>
      <c r="B3022" s="48">
        <f>IF(A3022&lt;&gt;"",DATE(YEAR(TRANSACTIONS!$A3022),MONTH(TRANSACTIONS!$A3022),DAY(TRANSACTIONS!$A3022)),"")</f>
        <v>45359</v>
      </c>
      <c r="C3022" s="49">
        <f>IF(A3022&lt;&gt;"",TIME(HOUR(TRANSACTIONS!$A3022),MINUTE(TRANSACTIONS!$A3022),SECOND(TRANSACTIONS!$A3022)),"")</f>
        <v>0.77252314814814815</v>
      </c>
      <c r="D3022" s="82" t="s">
        <v>62</v>
      </c>
      <c r="E3022" s="82" t="s">
        <v>7</v>
      </c>
      <c r="F3022" s="85">
        <v>5000</v>
      </c>
      <c r="G3022" s="46"/>
      <c r="H3022" s="46">
        <f>IFERROR(TRANSACTIONS!$F3022+TRANSACTIONS!$G3022,"")</f>
        <v>5000</v>
      </c>
      <c r="I3022" s="40" t="s">
        <v>41</v>
      </c>
    </row>
    <row r="3023" spans="1:9" x14ac:dyDescent="0.25">
      <c r="A3023" s="41">
        <v>45359.772540393518</v>
      </c>
      <c r="B3023" s="48">
        <f>IF(A3023&lt;&gt;"",DATE(YEAR(TRANSACTIONS!$A3023),MONTH(TRANSACTIONS!$A3023),DAY(TRANSACTIONS!$A3023)),"")</f>
        <v>45359</v>
      </c>
      <c r="C3023" s="49">
        <f>IF(A3023&lt;&gt;"",TIME(HOUR(TRANSACTIONS!$A3023),MINUTE(TRANSACTIONS!$A3023),SECOND(TRANSACTIONS!$A3023)),"")</f>
        <v>0.77253472222222219</v>
      </c>
      <c r="D3023" s="82" t="s">
        <v>62</v>
      </c>
      <c r="E3023" s="82" t="s">
        <v>6</v>
      </c>
      <c r="F3023" s="85">
        <v>260000</v>
      </c>
      <c r="G3023" s="46"/>
      <c r="H3023" s="46">
        <f>IFERROR(TRANSACTIONS!$F3023+TRANSACTIONS!$G3023,"")</f>
        <v>260000</v>
      </c>
      <c r="I3023" s="40" t="s">
        <v>41</v>
      </c>
    </row>
    <row r="3024" spans="1:9" x14ac:dyDescent="0.25">
      <c r="A3024" s="41">
        <v>45359.772554050927</v>
      </c>
      <c r="B3024" s="48">
        <f>IF(A3024&lt;&gt;"",DATE(YEAR(TRANSACTIONS!$A3024),MONTH(TRANSACTIONS!$A3024),DAY(TRANSACTIONS!$A3024)),"")</f>
        <v>45359</v>
      </c>
      <c r="C3024" s="49">
        <f>IF(A3024&lt;&gt;"",TIME(HOUR(TRANSACTIONS!$A3024),MINUTE(TRANSACTIONS!$A3024),SECOND(TRANSACTIONS!$A3024)),"")</f>
        <v>0.77255787037037038</v>
      </c>
      <c r="D3024" s="82" t="s">
        <v>62</v>
      </c>
      <c r="E3024" s="82" t="s">
        <v>6</v>
      </c>
      <c r="F3024" s="85">
        <v>70000</v>
      </c>
      <c r="G3024" s="46"/>
      <c r="H3024" s="46">
        <f>IFERROR(TRANSACTIONS!$F3024+TRANSACTIONS!$G3024,"")</f>
        <v>70000</v>
      </c>
      <c r="I3024" s="40" t="s">
        <v>41</v>
      </c>
    </row>
    <row r="3025" spans="1:11" x14ac:dyDescent="0.25">
      <c r="A3025" s="41">
        <v>45359.772598842595</v>
      </c>
      <c r="B3025" s="48">
        <f>IF(A3025&lt;&gt;"",DATE(YEAR(TRANSACTIONS!$A3025),MONTH(TRANSACTIONS!$A3025),DAY(TRANSACTIONS!$A3025)),"")</f>
        <v>45359</v>
      </c>
      <c r="C3025" s="49">
        <f>IF(A3025&lt;&gt;"",TIME(HOUR(TRANSACTIONS!$A3025),MINUTE(TRANSACTIONS!$A3025),SECOND(TRANSACTIONS!$A3025)),"")</f>
        <v>0.77260416666666665</v>
      </c>
      <c r="D3025" s="82" t="s">
        <v>62</v>
      </c>
      <c r="E3025" s="82" t="s">
        <v>7</v>
      </c>
      <c r="F3025" s="85">
        <v>2000</v>
      </c>
      <c r="G3025" s="46"/>
      <c r="H3025" s="46">
        <f>IFERROR(TRANSACTIONS!$F3025+TRANSACTIONS!$G3025,"")</f>
        <v>2000</v>
      </c>
      <c r="I3025" s="40" t="s">
        <v>41</v>
      </c>
    </row>
    <row r="3026" spans="1:11" x14ac:dyDescent="0.25">
      <c r="A3026" s="41">
        <v>45359.772607523148</v>
      </c>
      <c r="B3026" s="48">
        <f>IF(A3026&lt;&gt;"",DATE(YEAR(TRANSACTIONS!$A3026),MONTH(TRANSACTIONS!$A3026),DAY(TRANSACTIONS!$A3026)),"")</f>
        <v>45359</v>
      </c>
      <c r="C3026" s="49">
        <f>IF(A3026&lt;&gt;"",TIME(HOUR(TRANSACTIONS!$A3026),MINUTE(TRANSACTIONS!$A3026),SECOND(TRANSACTIONS!$A3026)),"")</f>
        <v>0.77260416666666665</v>
      </c>
      <c r="D3026" s="82" t="s">
        <v>62</v>
      </c>
      <c r="E3026" s="82" t="s">
        <v>7</v>
      </c>
      <c r="F3026" s="85">
        <v>4000</v>
      </c>
      <c r="G3026" s="46"/>
      <c r="H3026" s="46">
        <f>IFERROR(TRANSACTIONS!$F3026+TRANSACTIONS!$G3026,"")</f>
        <v>4000</v>
      </c>
      <c r="I3026" s="40" t="s">
        <v>41</v>
      </c>
    </row>
    <row r="3027" spans="1:11" x14ac:dyDescent="0.25">
      <c r="A3027" s="81">
        <v>45359.772628356484</v>
      </c>
      <c r="B3027" s="83">
        <f>IF(A3027&lt;&gt;"",DATE(YEAR(TRANSACTIONS!$A3027),MONTH(TRANSACTIONS!$A3027),DAY(TRANSACTIONS!$A3027)),"")</f>
        <v>45359</v>
      </c>
      <c r="C3027" s="84">
        <f>IF(A3027&lt;&gt;"",TIME(HOUR(TRANSACTIONS!$A3027),MINUTE(TRANSACTIONS!$A3027),SECOND(TRANSACTIONS!$A3027)),"")</f>
        <v>0.77262731481481473</v>
      </c>
      <c r="D3027" s="82" t="s">
        <v>62</v>
      </c>
      <c r="E3027" s="116" t="s">
        <v>7</v>
      </c>
      <c r="F3027" s="186">
        <v>11000</v>
      </c>
      <c r="G3027" s="117"/>
      <c r="H3027" s="117">
        <f>IFERROR(TRANSACTIONS!$F3027+TRANSACTIONS!$G3027,"")</f>
        <v>11000</v>
      </c>
      <c r="I3027" s="118" t="s">
        <v>41</v>
      </c>
      <c r="J3027" s="118"/>
      <c r="K3027" s="118"/>
    </row>
    <row r="3028" spans="1:11" x14ac:dyDescent="0.25">
      <c r="A3028" s="41">
        <v>45359.772639467592</v>
      </c>
      <c r="B3028" s="48">
        <f>IF(A3028&lt;&gt;"",DATE(YEAR(TRANSACTIONS!$A3028),MONTH(TRANSACTIONS!$A3028),DAY(TRANSACTIONS!$A3028)),"")</f>
        <v>45359</v>
      </c>
      <c r="C3028" s="49">
        <f>IF(A3028&lt;&gt;"",TIME(HOUR(TRANSACTIONS!$A3028),MINUTE(TRANSACTIONS!$A3028),SECOND(TRANSACTIONS!$A3028)),"")</f>
        <v>0.77263888888888888</v>
      </c>
      <c r="D3028" s="116" t="s">
        <v>62</v>
      </c>
      <c r="E3028" s="116" t="s">
        <v>6</v>
      </c>
      <c r="F3028" s="186">
        <v>5000</v>
      </c>
      <c r="G3028" s="117"/>
      <c r="H3028" s="117">
        <f>IFERROR(TRANSACTIONS!$F3028+TRANSACTIONS!$G3028,"")</f>
        <v>5000</v>
      </c>
      <c r="I3028" s="118" t="s">
        <v>41</v>
      </c>
      <c r="J3028" s="118"/>
      <c r="K3028" s="118"/>
    </row>
    <row r="3029" spans="1:11" x14ac:dyDescent="0.25">
      <c r="A3029" s="41">
        <v>45359.772988078701</v>
      </c>
      <c r="B3029" s="48">
        <f>IF(A3029&lt;&gt;"",DATE(YEAR(TRANSACTIONS!$A3029),MONTH(TRANSACTIONS!$A3029),DAY(TRANSACTIONS!$A3029)),"")</f>
        <v>45359</v>
      </c>
      <c r="C3029" s="49">
        <f>IF(A3029&lt;&gt;"",TIME(HOUR(TRANSACTIONS!$A3029),MINUTE(TRANSACTIONS!$A3029),SECOND(TRANSACTIONS!$A3029)),"")</f>
        <v>0.77298611111111104</v>
      </c>
      <c r="D3029" s="116" t="s">
        <v>62</v>
      </c>
      <c r="E3029" s="116" t="s">
        <v>7</v>
      </c>
      <c r="F3029" s="186">
        <v>5000</v>
      </c>
      <c r="G3029" s="117"/>
      <c r="H3029" s="117">
        <f>IFERROR(TRANSACTIONS!$F3029+TRANSACTIONS!$G3029,"")</f>
        <v>5000</v>
      </c>
      <c r="I3029" s="118" t="s">
        <v>41</v>
      </c>
      <c r="J3029" s="118"/>
      <c r="K3029" s="118"/>
    </row>
    <row r="3030" spans="1:11" x14ac:dyDescent="0.25">
      <c r="A3030" s="41">
        <v>45359.772979398149</v>
      </c>
      <c r="B3030" s="48">
        <f>IF(A3030&lt;&gt;"",DATE(YEAR(TRANSACTIONS!$A3030),MONTH(TRANSACTIONS!$A3030),DAY(TRANSACTIONS!$A3030)),"")</f>
        <v>45359</v>
      </c>
      <c r="C3030" s="49">
        <f>IF(A3030&lt;&gt;"",TIME(HOUR(TRANSACTIONS!$A3030),MINUTE(TRANSACTIONS!$A3030),SECOND(TRANSACTIONS!$A3030)),"")</f>
        <v>0.772974537037037</v>
      </c>
      <c r="D3030" s="82" t="s">
        <v>62</v>
      </c>
      <c r="E3030" s="82" t="s">
        <v>6</v>
      </c>
      <c r="F3030" s="85">
        <v>7000</v>
      </c>
      <c r="G3030" s="46"/>
      <c r="H3030" s="46">
        <f>IFERROR(TRANSACTIONS!$F3030+TRANSACTIONS!$G3030,"")</f>
        <v>7000</v>
      </c>
      <c r="I3030" s="40" t="s">
        <v>41</v>
      </c>
    </row>
    <row r="3031" spans="1:11" x14ac:dyDescent="0.25">
      <c r="A3031" s="41">
        <v>45359.773011226855</v>
      </c>
      <c r="B3031" s="48">
        <f>IF(A3031&lt;&gt;"",DATE(YEAR(TRANSACTIONS!$A3031),MONTH(TRANSACTIONS!$A3031),DAY(TRANSACTIONS!$A3031)),"")</f>
        <v>45359</v>
      </c>
      <c r="C3031" s="49">
        <f>IF(A3031&lt;&gt;"",TIME(HOUR(TRANSACTIONS!$A3031),MINUTE(TRANSACTIONS!$A3031),SECOND(TRANSACTIONS!$A3031)),"")</f>
        <v>0.77300925925925934</v>
      </c>
      <c r="D3031" s="82" t="s">
        <v>62</v>
      </c>
      <c r="E3031" s="82" t="s">
        <v>7</v>
      </c>
      <c r="F3031" s="85">
        <v>37000</v>
      </c>
      <c r="G3031" s="46"/>
      <c r="H3031" s="46">
        <f>IFERROR(TRANSACTIONS!$F3031+TRANSACTIONS!$G3031,"")</f>
        <v>37000</v>
      </c>
      <c r="I3031" s="40" t="s">
        <v>41</v>
      </c>
    </row>
    <row r="3032" spans="1:11" x14ac:dyDescent="0.25">
      <c r="A3032" s="41">
        <v>45359.773034606478</v>
      </c>
      <c r="B3032" s="48">
        <f>IF(A3032&lt;&gt;"",DATE(YEAR(TRANSACTIONS!$A3032),MONTH(TRANSACTIONS!$A3032),DAY(TRANSACTIONS!$A3032)),"")</f>
        <v>45359</v>
      </c>
      <c r="C3032" s="49">
        <f>IF(A3032&lt;&gt;"",TIME(HOUR(TRANSACTIONS!$A3032),MINUTE(TRANSACTIONS!$A3032),SECOND(TRANSACTIONS!$A3032)),"")</f>
        <v>0.77303240740740742</v>
      </c>
      <c r="D3032" s="82" t="s">
        <v>62</v>
      </c>
      <c r="E3032" s="82" t="s">
        <v>6</v>
      </c>
      <c r="F3032" s="85">
        <v>5000</v>
      </c>
      <c r="G3032" s="46"/>
      <c r="H3032" s="46">
        <f>IFERROR(TRANSACTIONS!$F3032+TRANSACTIONS!$G3032,"")</f>
        <v>5000</v>
      </c>
      <c r="I3032" s="40" t="s">
        <v>41</v>
      </c>
    </row>
    <row r="3033" spans="1:11" x14ac:dyDescent="0.25">
      <c r="A3033" s="41">
        <v>45359.773043634261</v>
      </c>
      <c r="B3033" s="48">
        <f>IF(A3033&lt;&gt;"",DATE(YEAR(TRANSACTIONS!$A3033),MONTH(TRANSACTIONS!$A3033),DAY(TRANSACTIONS!$A3033)),"")</f>
        <v>45359</v>
      </c>
      <c r="C3033" s="49">
        <f>IF(A3033&lt;&gt;"",TIME(HOUR(TRANSACTIONS!$A3033),MINUTE(TRANSACTIONS!$A3033),SECOND(TRANSACTIONS!$A3033)),"")</f>
        <v>0.77304398148148146</v>
      </c>
      <c r="D3033" s="82" t="s">
        <v>62</v>
      </c>
      <c r="E3033" s="82" t="s">
        <v>6</v>
      </c>
      <c r="F3033" s="85">
        <v>2000</v>
      </c>
      <c r="G3033" s="46"/>
      <c r="H3033" s="46">
        <f>IFERROR(TRANSACTIONS!$F3033+TRANSACTIONS!$G3033,"")</f>
        <v>2000</v>
      </c>
      <c r="I3033" s="40" t="s">
        <v>41</v>
      </c>
    </row>
    <row r="3034" spans="1:11" x14ac:dyDescent="0.25">
      <c r="A3034" s="41">
        <v>45359.773422453705</v>
      </c>
      <c r="B3034" s="48">
        <f>IF(A3034&lt;&gt;"",DATE(YEAR(TRANSACTIONS!$A3034),MONTH(TRANSACTIONS!$A3034),DAY(TRANSACTIONS!$A3034)),"")</f>
        <v>45359</v>
      </c>
      <c r="C3034" s="49">
        <f>IF(A3034&lt;&gt;"",TIME(HOUR(TRANSACTIONS!$A3034),MINUTE(TRANSACTIONS!$A3034),SECOND(TRANSACTIONS!$A3034)),"")</f>
        <v>0.77342592592592585</v>
      </c>
      <c r="D3034" s="82" t="s">
        <v>62</v>
      </c>
      <c r="E3034" s="82" t="s">
        <v>6</v>
      </c>
      <c r="F3034" s="85">
        <v>14000</v>
      </c>
      <c r="G3034" s="46"/>
      <c r="H3034" s="46">
        <f>IFERROR(TRANSACTIONS!$F3034+TRANSACTIONS!$G3034,"")</f>
        <v>14000</v>
      </c>
      <c r="I3034" s="40" t="s">
        <v>41</v>
      </c>
    </row>
    <row r="3035" spans="1:11" x14ac:dyDescent="0.25">
      <c r="A3035" s="41">
        <v>45359.773432291666</v>
      </c>
      <c r="B3035" s="48">
        <f>IF(A3035&lt;&gt;"",DATE(YEAR(TRANSACTIONS!$A3035),MONTH(TRANSACTIONS!$A3035),DAY(TRANSACTIONS!$A3035)),"")</f>
        <v>45359</v>
      </c>
      <c r="C3035" s="49">
        <f>IF(A3035&lt;&gt;"",TIME(HOUR(TRANSACTIONS!$A3035),MINUTE(TRANSACTIONS!$A3035),SECOND(TRANSACTIONS!$A3035)),"")</f>
        <v>0.7734375</v>
      </c>
      <c r="D3035" s="82" t="s">
        <v>64</v>
      </c>
      <c r="E3035" s="82" t="s">
        <v>7</v>
      </c>
      <c r="F3035" s="85">
        <v>500000</v>
      </c>
      <c r="G3035" s="46"/>
      <c r="H3035" s="46">
        <f>IFERROR(TRANSACTIONS!$F3035+TRANSACTIONS!$G3035,"")</f>
        <v>500000</v>
      </c>
      <c r="I3035" s="40" t="s">
        <v>41</v>
      </c>
    </row>
    <row r="3036" spans="1:11" x14ac:dyDescent="0.25">
      <c r="A3036" s="71">
        <v>45359.773440046294</v>
      </c>
      <c r="B3036" s="73">
        <f>IF(A3036&lt;&gt;"",DATE(YEAR(TRANSACTIONS!$A3036),MONTH(TRANSACTIONS!$A3036),DAY(TRANSACTIONS!$A3036)),"")</f>
        <v>45359</v>
      </c>
      <c r="C3036" s="74">
        <f>IF(A3036&lt;&gt;"",TIME(HOUR(TRANSACTIONS!$A3036),MINUTE(TRANSACTIONS!$A3036),SECOND(TRANSACTIONS!$A3036)),"")</f>
        <v>0.7734375</v>
      </c>
      <c r="D3036" s="82" t="s">
        <v>64</v>
      </c>
      <c r="E3036" s="82" t="s">
        <v>7</v>
      </c>
      <c r="F3036" s="85">
        <v>1000000</v>
      </c>
      <c r="G3036" s="75"/>
      <c r="H3036" s="75">
        <f>IFERROR(TRANSACTIONS!$F3036+TRANSACTIONS!$G3036,"")</f>
        <v>1000000</v>
      </c>
      <c r="I3036" s="76" t="s">
        <v>41</v>
      </c>
    </row>
    <row r="3037" spans="1:11" x14ac:dyDescent="0.25">
      <c r="A3037" s="41">
        <v>45359.773449305554</v>
      </c>
      <c r="B3037" s="48">
        <f>IF(A3037&lt;&gt;"",DATE(YEAR(TRANSACTIONS!$A3037),MONTH(TRANSACTIONS!$A3037),DAY(TRANSACTIONS!$A3037)),"")</f>
        <v>45359</v>
      </c>
      <c r="C3037" s="49">
        <f>IF(A3037&lt;&gt;"",TIME(HOUR(TRANSACTIONS!$A3037),MINUTE(TRANSACTIONS!$A3037),SECOND(TRANSACTIONS!$A3037)),"")</f>
        <v>0.77344907407407415</v>
      </c>
      <c r="D3037" s="82" t="s">
        <v>62</v>
      </c>
      <c r="E3037" s="82" t="s">
        <v>6</v>
      </c>
      <c r="F3037" s="85">
        <v>1000000</v>
      </c>
      <c r="G3037" s="46"/>
      <c r="H3037" s="46">
        <f>IFERROR(TRANSACTIONS!$F3037+TRANSACTIONS!$G3037,"")</f>
        <v>1000000</v>
      </c>
      <c r="I3037" s="40" t="s">
        <v>41</v>
      </c>
    </row>
    <row r="3038" spans="1:11" x14ac:dyDescent="0.25">
      <c r="A3038" s="41">
        <v>45359.773458101852</v>
      </c>
      <c r="B3038" s="48">
        <f>IF(A3038&lt;&gt;"",DATE(YEAR(TRANSACTIONS!$A3038),MONTH(TRANSACTIONS!$A3038),DAY(TRANSACTIONS!$A3038)),"")</f>
        <v>45359</v>
      </c>
      <c r="C3038" s="49">
        <f>IF(A3038&lt;&gt;"",TIME(HOUR(TRANSACTIONS!$A3038),MINUTE(TRANSACTIONS!$A3038),SECOND(TRANSACTIONS!$A3038)),"")</f>
        <v>0.77346064814814808</v>
      </c>
      <c r="D3038" s="82" t="s">
        <v>62</v>
      </c>
      <c r="E3038" s="82" t="s">
        <v>7</v>
      </c>
      <c r="F3038" s="85">
        <v>4000</v>
      </c>
      <c r="G3038" s="46"/>
      <c r="H3038" s="46">
        <f>IFERROR(TRANSACTIONS!$F3038+TRANSACTIONS!$G3038,"")</f>
        <v>4000</v>
      </c>
      <c r="I3038" s="40" t="s">
        <v>41</v>
      </c>
    </row>
    <row r="3039" spans="1:11" x14ac:dyDescent="0.25">
      <c r="A3039" s="41">
        <v>45359.773492476852</v>
      </c>
      <c r="B3039" s="48">
        <f>IF(A3039&lt;&gt;"",DATE(YEAR(TRANSACTIONS!$A3039),MONTH(TRANSACTIONS!$A3039),DAY(TRANSACTIONS!$A3039)),"")</f>
        <v>45359</v>
      </c>
      <c r="C3039" s="49">
        <f>IF(A3039&lt;&gt;"",TIME(HOUR(TRANSACTIONS!$A3039),MINUTE(TRANSACTIONS!$A3039),SECOND(TRANSACTIONS!$A3039)),"")</f>
        <v>0.77349537037037042</v>
      </c>
      <c r="D3039" s="82" t="s">
        <v>62</v>
      </c>
      <c r="E3039" s="82" t="s">
        <v>6</v>
      </c>
      <c r="F3039" s="85">
        <v>40000</v>
      </c>
      <c r="G3039" s="46"/>
      <c r="H3039" s="46">
        <f>IFERROR(TRANSACTIONS!$F3039+TRANSACTIONS!$G3039,"")</f>
        <v>40000</v>
      </c>
      <c r="I3039" s="40" t="s">
        <v>41</v>
      </c>
    </row>
    <row r="3040" spans="1:11" x14ac:dyDescent="0.25">
      <c r="A3040" s="105">
        <v>45359.77516701389</v>
      </c>
      <c r="B3040" s="106">
        <f>IF(A3040&lt;&gt;"",DATE(YEAR(TRANSACTIONS!$A3040),MONTH(TRANSACTIONS!$A3040),DAY(TRANSACTIONS!$A3040)),"")</f>
        <v>45359</v>
      </c>
      <c r="C3040" s="107">
        <f>IF(A3040&lt;&gt;"",TIME(HOUR(TRANSACTIONS!$A3040),MINUTE(TRANSACTIONS!$A3040),SECOND(TRANSACTIONS!$A3040)),"")</f>
        <v>0.77516203703703701</v>
      </c>
      <c r="D3040" s="93" t="s">
        <v>62</v>
      </c>
      <c r="E3040" s="93" t="s">
        <v>7</v>
      </c>
      <c r="F3040" s="94">
        <v>17500</v>
      </c>
      <c r="G3040" s="108"/>
      <c r="H3040" s="108">
        <f>IFERROR(TRANSACTIONS!$F3040+TRANSACTIONS!$G3040,"")</f>
        <v>17500</v>
      </c>
      <c r="I3040" s="109" t="s">
        <v>41</v>
      </c>
    </row>
    <row r="3041" spans="1:9" x14ac:dyDescent="0.25">
      <c r="A3041" s="41">
        <v>45359.77517627315</v>
      </c>
      <c r="B3041" s="48">
        <f>IF(A3041&lt;&gt;"",DATE(YEAR(TRANSACTIONS!$A3041),MONTH(TRANSACTIONS!$A3041),DAY(TRANSACTIONS!$A3041)),"")</f>
        <v>45359</v>
      </c>
      <c r="C3041" s="49">
        <f>IF(A3041&lt;&gt;"",TIME(HOUR(TRANSACTIONS!$A3041),MINUTE(TRANSACTIONS!$A3041),SECOND(TRANSACTIONS!$A3041)),"")</f>
        <v>0.77517361111111116</v>
      </c>
      <c r="D3041" s="82" t="s">
        <v>62</v>
      </c>
      <c r="E3041" s="82" t="s">
        <v>6</v>
      </c>
      <c r="F3041" s="85">
        <v>19000</v>
      </c>
      <c r="G3041" s="46"/>
      <c r="H3041" s="46">
        <f>IFERROR(TRANSACTIONS!$F3041+TRANSACTIONS!$G3041,"")</f>
        <v>19000</v>
      </c>
      <c r="I3041" s="40" t="s">
        <v>41</v>
      </c>
    </row>
    <row r="3042" spans="1:9" x14ac:dyDescent="0.25">
      <c r="A3042" s="41">
        <v>45359.775184027778</v>
      </c>
      <c r="B3042" s="48">
        <f>IF(A3042&lt;&gt;"",DATE(YEAR(TRANSACTIONS!$A3042),MONTH(TRANSACTIONS!$A3042),DAY(TRANSACTIONS!$A3042)),"")</f>
        <v>45359</v>
      </c>
      <c r="C3042" s="49">
        <f>IF(A3042&lt;&gt;"",TIME(HOUR(TRANSACTIONS!$A3042),MINUTE(TRANSACTIONS!$A3042),SECOND(TRANSACTIONS!$A3042)),"")</f>
        <v>0.77518518518518509</v>
      </c>
      <c r="D3042" s="82" t="s">
        <v>62</v>
      </c>
      <c r="E3042" s="82" t="s">
        <v>7</v>
      </c>
      <c r="F3042" s="85">
        <v>1000</v>
      </c>
      <c r="G3042" s="46"/>
      <c r="H3042" s="46">
        <f>IFERROR(TRANSACTIONS!$F3042+TRANSACTIONS!$G3042,"")</f>
        <v>1000</v>
      </c>
      <c r="I3042" s="40" t="s">
        <v>41</v>
      </c>
    </row>
    <row r="3043" spans="1:9" x14ac:dyDescent="0.25">
      <c r="A3043" s="41">
        <v>45359.775193402776</v>
      </c>
      <c r="B3043" s="48">
        <f>IF(A3043&lt;&gt;"",DATE(YEAR(TRANSACTIONS!$A3043),MONTH(TRANSACTIONS!$A3043),DAY(TRANSACTIONS!$A3043)),"")</f>
        <v>45359</v>
      </c>
      <c r="C3043" s="49">
        <f>IF(A3043&lt;&gt;"",TIME(HOUR(TRANSACTIONS!$A3043),MINUTE(TRANSACTIONS!$A3043),SECOND(TRANSACTIONS!$A3043)),"")</f>
        <v>0.77519675925925924</v>
      </c>
      <c r="D3043" s="82" t="s">
        <v>62</v>
      </c>
      <c r="E3043" s="82" t="s">
        <v>7</v>
      </c>
      <c r="F3043" s="85">
        <v>1500</v>
      </c>
      <c r="G3043" s="46"/>
      <c r="H3043" s="46">
        <f>IFERROR(TRANSACTIONS!$F3043+TRANSACTIONS!$G3043,"")</f>
        <v>1500</v>
      </c>
      <c r="I3043" s="40" t="s">
        <v>41</v>
      </c>
    </row>
    <row r="3044" spans="1:9" x14ac:dyDescent="0.25">
      <c r="A3044" s="41">
        <v>45359.775201157405</v>
      </c>
      <c r="B3044" s="48">
        <f>IF(A3044&lt;&gt;"",DATE(YEAR(TRANSACTIONS!$A3044),MONTH(TRANSACTIONS!$A3044),DAY(TRANSACTIONS!$A3044)),"")</f>
        <v>45359</v>
      </c>
      <c r="C3044" s="49">
        <f>IF(A3044&lt;&gt;"",TIME(HOUR(TRANSACTIONS!$A3044),MINUTE(TRANSACTIONS!$A3044),SECOND(TRANSACTIONS!$A3044)),"")</f>
        <v>0.77519675925925924</v>
      </c>
      <c r="D3044" s="82" t="s">
        <v>62</v>
      </c>
      <c r="E3044" s="82" t="s">
        <v>7</v>
      </c>
      <c r="F3044" s="85">
        <v>20000</v>
      </c>
      <c r="G3044" s="46"/>
      <c r="H3044" s="46">
        <f>IFERROR(TRANSACTIONS!$F3044+TRANSACTIONS!$G3044,"")</f>
        <v>20000</v>
      </c>
      <c r="I3044" s="40" t="s">
        <v>41</v>
      </c>
    </row>
    <row r="3045" spans="1:9" x14ac:dyDescent="0.25">
      <c r="A3045" s="41">
        <v>45359.775209143518</v>
      </c>
      <c r="B3045" s="48">
        <f>IF(A3045&lt;&gt;"",DATE(YEAR(TRANSACTIONS!$A3045),MONTH(TRANSACTIONS!$A3045),DAY(TRANSACTIONS!$A3045)),"")</f>
        <v>45359</v>
      </c>
      <c r="C3045" s="49">
        <f>IF(A3045&lt;&gt;"",TIME(HOUR(TRANSACTIONS!$A3045),MINUTE(TRANSACTIONS!$A3045),SECOND(TRANSACTIONS!$A3045)),"")</f>
        <v>0.77520833333333339</v>
      </c>
      <c r="D3045" s="82" t="s">
        <v>62</v>
      </c>
      <c r="E3045" s="82" t="s">
        <v>7</v>
      </c>
      <c r="F3045" s="85">
        <v>1000</v>
      </c>
      <c r="G3045" s="46"/>
      <c r="H3045" s="46">
        <f>IFERROR(TRANSACTIONS!$F3045+TRANSACTIONS!$G3045,"")</f>
        <v>1000</v>
      </c>
      <c r="I3045" s="40" t="s">
        <v>41</v>
      </c>
    </row>
    <row r="3046" spans="1:9" x14ac:dyDescent="0.25">
      <c r="A3046" s="182">
        <v>45359.775219097224</v>
      </c>
      <c r="B3046" s="114">
        <f>IF(A3046&lt;&gt;"",DATE(YEAR(TRANSACTIONS!$A3046),MONTH(TRANSACTIONS!$A3046),DAY(TRANSACTIONS!$A3046)),"")</f>
        <v>45359</v>
      </c>
      <c r="C3046" s="115">
        <f>IF(A3046&lt;&gt;"",TIME(HOUR(TRANSACTIONS!$A3046),MINUTE(TRANSACTIONS!$A3046),SECOND(TRANSACTIONS!$A3046)),"")</f>
        <v>0.77521990740740743</v>
      </c>
      <c r="D3046" s="82" t="s">
        <v>62</v>
      </c>
      <c r="E3046" s="82" t="s">
        <v>7</v>
      </c>
      <c r="F3046" s="85">
        <v>5000</v>
      </c>
      <c r="G3046" s="117"/>
      <c r="H3046" s="117">
        <f>IFERROR(TRANSACTIONS!$F3046+TRANSACTIONS!$G3046,"")</f>
        <v>5000</v>
      </c>
      <c r="I3046" s="118" t="s">
        <v>41</v>
      </c>
    </row>
    <row r="3047" spans="1:9" x14ac:dyDescent="0.25">
      <c r="A3047" s="41">
        <v>45359.775226620368</v>
      </c>
      <c r="B3047" s="48">
        <f>IF(A3047&lt;&gt;"",DATE(YEAR(TRANSACTIONS!$A3047),MONTH(TRANSACTIONS!$A3047),DAY(TRANSACTIONS!$A3047)),"")</f>
        <v>45359</v>
      </c>
      <c r="C3047" s="49">
        <f>IF(A3047&lt;&gt;"",TIME(HOUR(TRANSACTIONS!$A3047),MINUTE(TRANSACTIONS!$A3047),SECOND(TRANSACTIONS!$A3047)),"")</f>
        <v>0.77523148148148147</v>
      </c>
      <c r="D3047" s="82" t="s">
        <v>62</v>
      </c>
      <c r="E3047" s="82" t="s">
        <v>7</v>
      </c>
      <c r="F3047" s="85">
        <v>1000</v>
      </c>
      <c r="G3047" s="46"/>
      <c r="H3047" s="46">
        <f>IFERROR(TRANSACTIONS!$F3047+TRANSACTIONS!$G3047,"")</f>
        <v>1000</v>
      </c>
      <c r="I3047" s="40" t="s">
        <v>41</v>
      </c>
    </row>
    <row r="3048" spans="1:9" x14ac:dyDescent="0.25">
      <c r="A3048" s="41">
        <v>45359.775268981481</v>
      </c>
      <c r="B3048" s="48">
        <f>IF(A3048&lt;&gt;"",DATE(YEAR(TRANSACTIONS!$A3048),MONTH(TRANSACTIONS!$A3048),DAY(TRANSACTIONS!$A3048)),"")</f>
        <v>45359</v>
      </c>
      <c r="C3048" s="49">
        <f>IF(A3048&lt;&gt;"",TIME(HOUR(TRANSACTIONS!$A3048),MINUTE(TRANSACTIONS!$A3048),SECOND(TRANSACTIONS!$A3048)),"")</f>
        <v>0.7752662037037038</v>
      </c>
      <c r="D3048" s="82" t="s">
        <v>62</v>
      </c>
      <c r="E3048" s="82" t="s">
        <v>7</v>
      </c>
      <c r="F3048" s="85">
        <v>7000</v>
      </c>
      <c r="G3048" s="46"/>
      <c r="H3048" s="46">
        <f>IFERROR(TRANSACTIONS!$F3048+TRANSACTIONS!$G3048,"")</f>
        <v>7000</v>
      </c>
      <c r="I3048" s="40" t="s">
        <v>41</v>
      </c>
    </row>
    <row r="3049" spans="1:9" x14ac:dyDescent="0.25">
      <c r="A3049" s="41">
        <v>45359.775277893517</v>
      </c>
      <c r="B3049" s="48">
        <f>IF(A3049&lt;&gt;"",DATE(YEAR(TRANSACTIONS!$A3049),MONTH(TRANSACTIONS!$A3049),DAY(TRANSACTIONS!$A3049)),"")</f>
        <v>45359</v>
      </c>
      <c r="C3049" s="49">
        <f>IF(A3049&lt;&gt;"",TIME(HOUR(TRANSACTIONS!$A3049),MINUTE(TRANSACTIONS!$A3049),SECOND(TRANSACTIONS!$A3049)),"")</f>
        <v>0.77527777777777773</v>
      </c>
      <c r="D3049" s="82" t="s">
        <v>62</v>
      </c>
      <c r="E3049" s="82" t="s">
        <v>6</v>
      </c>
      <c r="F3049" s="85">
        <v>3000</v>
      </c>
      <c r="G3049" s="46"/>
      <c r="H3049" s="46">
        <f>IFERROR(TRANSACTIONS!$F3049+TRANSACTIONS!$G3049,"")</f>
        <v>3000</v>
      </c>
      <c r="I3049" s="40" t="s">
        <v>41</v>
      </c>
    </row>
    <row r="3050" spans="1:9" x14ac:dyDescent="0.25">
      <c r="A3050" s="41">
        <v>45359.77528587963</v>
      </c>
      <c r="B3050" s="48">
        <f>IF(A3050&lt;&gt;"",DATE(YEAR(TRANSACTIONS!$A3050),MONTH(TRANSACTIONS!$A3050),DAY(TRANSACTIONS!$A3050)),"")</f>
        <v>45359</v>
      </c>
      <c r="C3050" s="49">
        <f>IF(A3050&lt;&gt;"",TIME(HOUR(TRANSACTIONS!$A3050),MINUTE(TRANSACTIONS!$A3050),SECOND(TRANSACTIONS!$A3050)),"")</f>
        <v>0.77528935185185188</v>
      </c>
      <c r="D3050" s="82" t="s">
        <v>62</v>
      </c>
      <c r="E3050" s="82" t="s">
        <v>6</v>
      </c>
      <c r="F3050" s="85">
        <v>5050</v>
      </c>
      <c r="G3050" s="46"/>
      <c r="H3050" s="46">
        <f>IFERROR(TRANSACTIONS!$F3050+TRANSACTIONS!$G3050,"")</f>
        <v>5050</v>
      </c>
      <c r="I3050" s="40" t="s">
        <v>41</v>
      </c>
    </row>
    <row r="3051" spans="1:9" x14ac:dyDescent="0.25">
      <c r="A3051" s="41">
        <v>45359.775293402781</v>
      </c>
      <c r="B3051" s="48">
        <f>IF(A3051&lt;&gt;"",DATE(YEAR(TRANSACTIONS!$A3051),MONTH(TRANSACTIONS!$A3051),DAY(TRANSACTIONS!$A3051)),"")</f>
        <v>45359</v>
      </c>
      <c r="C3051" s="49">
        <f>IF(A3051&lt;&gt;"",TIME(HOUR(TRANSACTIONS!$A3051),MINUTE(TRANSACTIONS!$A3051),SECOND(TRANSACTIONS!$A3051)),"")</f>
        <v>0.77528935185185188</v>
      </c>
      <c r="D3051" s="82" t="s">
        <v>62</v>
      </c>
      <c r="E3051" s="82" t="s">
        <v>6</v>
      </c>
      <c r="F3051" s="85">
        <v>8000</v>
      </c>
      <c r="G3051" s="46"/>
      <c r="H3051" s="46">
        <f>IFERROR(TRANSACTIONS!$F3051+TRANSACTIONS!$G3051,"")</f>
        <v>8000</v>
      </c>
      <c r="I3051" s="40" t="s">
        <v>41</v>
      </c>
    </row>
    <row r="3052" spans="1:9" x14ac:dyDescent="0.25">
      <c r="A3052" s="41">
        <v>45359.775301851849</v>
      </c>
      <c r="B3052" s="48">
        <f>IF(A3052&lt;&gt;"",DATE(YEAR(TRANSACTIONS!$A3052),MONTH(TRANSACTIONS!$A3052),DAY(TRANSACTIONS!$A3052)),"")</f>
        <v>45359</v>
      </c>
      <c r="C3052" s="49">
        <f>IF(A3052&lt;&gt;"",TIME(HOUR(TRANSACTIONS!$A3052),MINUTE(TRANSACTIONS!$A3052),SECOND(TRANSACTIONS!$A3052)),"")</f>
        <v>0.77530092592592592</v>
      </c>
      <c r="D3052" s="82" t="s">
        <v>62</v>
      </c>
      <c r="E3052" s="82" t="s">
        <v>7</v>
      </c>
      <c r="F3052" s="85">
        <v>2000</v>
      </c>
      <c r="G3052" s="46"/>
      <c r="H3052" s="46">
        <f>IFERROR(TRANSACTIONS!$F3052+TRANSACTIONS!$G3052,"")</f>
        <v>2000</v>
      </c>
      <c r="I3052" s="40" t="s">
        <v>41</v>
      </c>
    </row>
    <row r="3053" spans="1:9" x14ac:dyDescent="0.25">
      <c r="A3053" s="41">
        <v>45359.775309259261</v>
      </c>
      <c r="B3053" s="48">
        <f>IF(A3053&lt;&gt;"",DATE(YEAR(TRANSACTIONS!$A3053),MONTH(TRANSACTIONS!$A3053),DAY(TRANSACTIONS!$A3053)),"")</f>
        <v>45359</v>
      </c>
      <c r="C3053" s="49">
        <f>IF(A3053&lt;&gt;"",TIME(HOUR(TRANSACTIONS!$A3053),MINUTE(TRANSACTIONS!$A3053),SECOND(TRANSACTIONS!$A3053)),"")</f>
        <v>0.77531250000000007</v>
      </c>
      <c r="D3053" s="82" t="s">
        <v>62</v>
      </c>
      <c r="E3053" s="82" t="s">
        <v>6</v>
      </c>
      <c r="F3053" s="85">
        <v>16000</v>
      </c>
      <c r="G3053" s="46"/>
      <c r="H3053" s="46">
        <f>IFERROR(TRANSACTIONS!$F3053+TRANSACTIONS!$G3053,"")</f>
        <v>16000</v>
      </c>
      <c r="I3053" s="40" t="s">
        <v>41</v>
      </c>
    </row>
    <row r="3054" spans="1:9" x14ac:dyDescent="0.25">
      <c r="A3054" s="41">
        <v>45359.775316435182</v>
      </c>
      <c r="B3054" s="48">
        <f>IF(A3054&lt;&gt;"",DATE(YEAR(TRANSACTIONS!$A3054),MONTH(TRANSACTIONS!$A3054),DAY(TRANSACTIONS!$A3054)),"")</f>
        <v>45359</v>
      </c>
      <c r="C3054" s="49">
        <f>IF(A3054&lt;&gt;"",TIME(HOUR(TRANSACTIONS!$A3054),MINUTE(TRANSACTIONS!$A3054),SECOND(TRANSACTIONS!$A3054)),"")</f>
        <v>0.77531250000000007</v>
      </c>
      <c r="D3054" s="82" t="s">
        <v>62</v>
      </c>
      <c r="E3054" s="82" t="s">
        <v>6</v>
      </c>
      <c r="F3054" s="85">
        <v>4000</v>
      </c>
      <c r="G3054" s="46"/>
      <c r="H3054" s="46">
        <f>IFERROR(TRANSACTIONS!$F3054+TRANSACTIONS!$G3054,"")</f>
        <v>4000</v>
      </c>
      <c r="I3054" s="40" t="s">
        <v>41</v>
      </c>
    </row>
    <row r="3055" spans="1:9" x14ac:dyDescent="0.25">
      <c r="A3055" s="41">
        <v>45359.775323611109</v>
      </c>
      <c r="B3055" s="48">
        <f>IF(A3055&lt;&gt;"",DATE(YEAR(TRANSACTIONS!$A3055),MONTH(TRANSACTIONS!$A3055),DAY(TRANSACTIONS!$A3055)),"")</f>
        <v>45359</v>
      </c>
      <c r="C3055" s="49">
        <f>IF(A3055&lt;&gt;"",TIME(HOUR(TRANSACTIONS!$A3055),MINUTE(TRANSACTIONS!$A3055),SECOND(TRANSACTIONS!$A3055)),"")</f>
        <v>0.775324074074074</v>
      </c>
      <c r="D3055" s="82" t="s">
        <v>62</v>
      </c>
      <c r="E3055" s="82" t="s">
        <v>6</v>
      </c>
      <c r="F3055" s="85">
        <v>25000</v>
      </c>
      <c r="G3055" s="46"/>
      <c r="H3055" s="46">
        <f>IFERROR(TRANSACTIONS!$F3055+TRANSACTIONS!$G3055,"")</f>
        <v>25000</v>
      </c>
      <c r="I3055" s="40" t="s">
        <v>41</v>
      </c>
    </row>
    <row r="3056" spans="1:9" x14ac:dyDescent="0.25">
      <c r="A3056" s="41">
        <v>45359.775339814812</v>
      </c>
      <c r="B3056" s="48">
        <f>IF(A3056&lt;&gt;"",DATE(YEAR(TRANSACTIONS!$A3056),MONTH(TRANSACTIONS!$A3056),DAY(TRANSACTIONS!$A3056)),"")</f>
        <v>45359</v>
      </c>
      <c r="C3056" s="49">
        <f>IF(A3056&lt;&gt;"",TIME(HOUR(TRANSACTIONS!$A3056),MINUTE(TRANSACTIONS!$A3056),SECOND(TRANSACTIONS!$A3056)),"")</f>
        <v>0.77533564814814815</v>
      </c>
      <c r="D3056" s="82" t="s">
        <v>62</v>
      </c>
      <c r="E3056" s="82" t="s">
        <v>7</v>
      </c>
      <c r="F3056" s="85">
        <v>22000</v>
      </c>
      <c r="G3056" s="46"/>
      <c r="H3056" s="46">
        <f>IFERROR(TRANSACTIONS!$F3056+TRANSACTIONS!$G3056,"")</f>
        <v>22000</v>
      </c>
      <c r="I3056" s="40" t="s">
        <v>41</v>
      </c>
    </row>
    <row r="3057" spans="1:9" x14ac:dyDescent="0.25">
      <c r="A3057" s="41">
        <v>45359.775352662036</v>
      </c>
      <c r="B3057" s="48">
        <f>IF(A3057&lt;&gt;"",DATE(YEAR(TRANSACTIONS!$A3057),MONTH(TRANSACTIONS!$A3057),DAY(TRANSACTIONS!$A3057)),"")</f>
        <v>45359</v>
      </c>
      <c r="C3057" s="49">
        <f>IF(A3057&lt;&gt;"",TIME(HOUR(TRANSACTIONS!$A3057),MINUTE(TRANSACTIONS!$A3057),SECOND(TRANSACTIONS!$A3057)),"")</f>
        <v>0.7753472222222223</v>
      </c>
      <c r="D3057" s="82" t="s">
        <v>62</v>
      </c>
      <c r="E3057" s="82" t="s">
        <v>7</v>
      </c>
      <c r="F3057" s="85">
        <v>2200</v>
      </c>
      <c r="G3057" s="46"/>
      <c r="H3057" s="46">
        <f>IFERROR(TRANSACTIONS!$F3057+TRANSACTIONS!$G3057,"")</f>
        <v>2200</v>
      </c>
      <c r="I3057" s="40" t="s">
        <v>41</v>
      </c>
    </row>
    <row r="3058" spans="1:9" x14ac:dyDescent="0.25">
      <c r="A3058" s="41">
        <v>45359.775372337965</v>
      </c>
      <c r="B3058" s="48">
        <f>IF(A3058&lt;&gt;"",DATE(YEAR(TRANSACTIONS!$A3058),MONTH(TRANSACTIONS!$A3058),DAY(TRANSACTIONS!$A3058)),"")</f>
        <v>45359</v>
      </c>
      <c r="C3058" s="49">
        <f>IF(A3058&lt;&gt;"",TIME(HOUR(TRANSACTIONS!$A3058),MINUTE(TRANSACTIONS!$A3058),SECOND(TRANSACTIONS!$A3058)),"")</f>
        <v>0.77537037037037038</v>
      </c>
      <c r="D3058" s="82" t="s">
        <v>62</v>
      </c>
      <c r="E3058" s="82" t="s">
        <v>6</v>
      </c>
      <c r="F3058" s="85">
        <v>5000</v>
      </c>
      <c r="G3058" s="46"/>
      <c r="H3058" s="46">
        <f>IFERROR(TRANSACTIONS!$F3058+TRANSACTIONS!$G3058,"")</f>
        <v>5000</v>
      </c>
      <c r="I3058" s="40" t="s">
        <v>41</v>
      </c>
    </row>
    <row r="3059" spans="1:9" x14ac:dyDescent="0.25">
      <c r="A3059" s="41">
        <v>45359.775388425929</v>
      </c>
      <c r="B3059" s="48">
        <f>IF(A3059&lt;&gt;"",DATE(YEAR(TRANSACTIONS!$A3059),MONTH(TRANSACTIONS!$A3059),DAY(TRANSACTIONS!$A3059)),"")</f>
        <v>45359</v>
      </c>
      <c r="C3059" s="49">
        <f>IF(A3059&lt;&gt;"",TIME(HOUR(TRANSACTIONS!$A3059),MINUTE(TRANSACTIONS!$A3059),SECOND(TRANSACTIONS!$A3059)),"")</f>
        <v>0.77539351851851857</v>
      </c>
      <c r="D3059" s="82" t="s">
        <v>62</v>
      </c>
      <c r="E3059" s="82" t="s">
        <v>7</v>
      </c>
      <c r="F3059" s="85">
        <v>1000</v>
      </c>
      <c r="G3059" s="46"/>
      <c r="H3059" s="46">
        <f>IFERROR(TRANSACTIONS!$F3059+TRANSACTIONS!$G3059,"")</f>
        <v>1000</v>
      </c>
      <c r="I3059" s="40" t="s">
        <v>41</v>
      </c>
    </row>
    <row r="3060" spans="1:9" x14ac:dyDescent="0.25">
      <c r="A3060" s="41">
        <v>45359.775380671294</v>
      </c>
      <c r="B3060" s="48">
        <f>IF(A3060&lt;&gt;"",DATE(YEAR(TRANSACTIONS!$A3060),MONTH(TRANSACTIONS!$A3060),DAY(TRANSACTIONS!$A3060)),"")</f>
        <v>45359</v>
      </c>
      <c r="C3060" s="49">
        <f>IF(A3060&lt;&gt;"",TIME(HOUR(TRANSACTIONS!$A3060),MINUTE(TRANSACTIONS!$A3060),SECOND(TRANSACTIONS!$A3060)),"")</f>
        <v>0.77538194444444442</v>
      </c>
      <c r="D3060" s="82" t="s">
        <v>62</v>
      </c>
      <c r="E3060" s="82" t="s">
        <v>7</v>
      </c>
      <c r="F3060" s="85">
        <v>1000</v>
      </c>
      <c r="G3060" s="46"/>
      <c r="H3060" s="46">
        <f>IFERROR(TRANSACTIONS!$F3060+TRANSACTIONS!$G3060,"")</f>
        <v>1000</v>
      </c>
      <c r="I3060" s="40" t="s">
        <v>41</v>
      </c>
    </row>
    <row r="3061" spans="1:9" x14ac:dyDescent="0.25">
      <c r="A3061" s="41">
        <v>45359.775428125002</v>
      </c>
      <c r="B3061" s="48">
        <f>IF(A3061&lt;&gt;"",DATE(YEAR(TRANSACTIONS!$A3061),MONTH(TRANSACTIONS!$A3061),DAY(TRANSACTIONS!$A3061)),"")</f>
        <v>45359</v>
      </c>
      <c r="C3061" s="49">
        <f>IF(A3061&lt;&gt;"",TIME(HOUR(TRANSACTIONS!$A3061),MINUTE(TRANSACTIONS!$A3061),SECOND(TRANSACTIONS!$A3061)),"")</f>
        <v>0.77542824074074079</v>
      </c>
      <c r="D3061" s="82" t="s">
        <v>62</v>
      </c>
      <c r="E3061" s="82" t="s">
        <v>7</v>
      </c>
      <c r="F3061" s="85">
        <v>15000</v>
      </c>
      <c r="G3061" s="46"/>
      <c r="H3061" s="46">
        <f>IFERROR(TRANSACTIONS!$F3061+TRANSACTIONS!$G3061,"")</f>
        <v>15000</v>
      </c>
      <c r="I3061" s="40" t="s">
        <v>41</v>
      </c>
    </row>
    <row r="3062" spans="1:9" x14ac:dyDescent="0.25">
      <c r="A3062" s="41">
        <v>45359.77576365741</v>
      </c>
      <c r="B3062" s="48">
        <f>IF(A3062&lt;&gt;"",DATE(YEAR(TRANSACTIONS!$A3062),MONTH(TRANSACTIONS!$A3062),DAY(TRANSACTIONS!$A3062)),"")</f>
        <v>45359</v>
      </c>
      <c r="C3062" s="49">
        <f>IF(A3062&lt;&gt;"",TIME(HOUR(TRANSACTIONS!$A3062),MINUTE(TRANSACTIONS!$A3062),SECOND(TRANSACTIONS!$A3062)),"")</f>
        <v>0.77576388888888881</v>
      </c>
      <c r="D3062" s="82" t="s">
        <v>62</v>
      </c>
      <c r="E3062" s="82" t="s">
        <v>6</v>
      </c>
      <c r="F3062" s="85">
        <v>83000</v>
      </c>
      <c r="G3062" s="46"/>
      <c r="H3062" s="46">
        <f>IFERROR(TRANSACTIONS!$F3062+TRANSACTIONS!$G3062,"")</f>
        <v>83000</v>
      </c>
      <c r="I3062" s="40" t="s">
        <v>41</v>
      </c>
    </row>
    <row r="3063" spans="1:9" x14ac:dyDescent="0.25">
      <c r="A3063" s="41">
        <v>45359.775802777775</v>
      </c>
      <c r="B3063" s="48">
        <f>IF(A3063&lt;&gt;"",DATE(YEAR(TRANSACTIONS!$A3063),MONTH(TRANSACTIONS!$A3063),DAY(TRANSACTIONS!$A3063)),"")</f>
        <v>45359</v>
      </c>
      <c r="C3063" s="49">
        <f>IF(A3063&lt;&gt;"",TIME(HOUR(TRANSACTIONS!$A3063),MINUTE(TRANSACTIONS!$A3063),SECOND(TRANSACTIONS!$A3063)),"")</f>
        <v>0.77579861111111104</v>
      </c>
      <c r="D3063" s="82" t="s">
        <v>25</v>
      </c>
      <c r="E3063" s="82" t="s">
        <v>6</v>
      </c>
      <c r="F3063" s="85">
        <v>60000</v>
      </c>
      <c r="G3063" s="46"/>
      <c r="H3063" s="46">
        <f>IFERROR(TRANSACTIONS!$F3063+TRANSACTIONS!$G3063,"")</f>
        <v>60000</v>
      </c>
      <c r="I3063" s="40" t="s">
        <v>41</v>
      </c>
    </row>
    <row r="3064" spans="1:9" x14ac:dyDescent="0.25">
      <c r="A3064" s="41">
        <v>45359.775811921296</v>
      </c>
      <c r="B3064" s="48">
        <f>IF(A3064&lt;&gt;"",DATE(YEAR(TRANSACTIONS!$A3064),MONTH(TRANSACTIONS!$A3064),DAY(TRANSACTIONS!$A3064)),"")</f>
        <v>45359</v>
      </c>
      <c r="C3064" s="49">
        <f>IF(A3064&lt;&gt;"",TIME(HOUR(TRANSACTIONS!$A3064),MINUTE(TRANSACTIONS!$A3064),SECOND(TRANSACTIONS!$A3064)),"")</f>
        <v>0.77581018518518519</v>
      </c>
      <c r="D3064" s="82" t="s">
        <v>25</v>
      </c>
      <c r="E3064" s="82" t="s">
        <v>7</v>
      </c>
      <c r="F3064" s="85">
        <v>23500</v>
      </c>
      <c r="G3064" s="46"/>
      <c r="H3064" s="46">
        <f>IFERROR(TRANSACTIONS!$F3064+TRANSACTIONS!$G3064,"")</f>
        <v>23500</v>
      </c>
      <c r="I3064" s="110" t="s">
        <v>41</v>
      </c>
    </row>
    <row r="3065" spans="1:9" x14ac:dyDescent="0.25">
      <c r="A3065" s="41">
        <v>45359.812057870367</v>
      </c>
      <c r="B3065" s="48">
        <f>IF(A3065&lt;&gt;"",DATE(YEAR(TRANSACTIONS!$A3065),MONTH(TRANSACTIONS!$A3065),DAY(TRANSACTIONS!$A3065)),"")</f>
        <v>45359</v>
      </c>
      <c r="C3065" s="49">
        <f>IF(A3065&lt;&gt;"",TIME(HOUR(TRANSACTIONS!$A3065),MINUTE(TRANSACTIONS!$A3065),SECOND(TRANSACTIONS!$A3065)),"")</f>
        <v>0.81206018518518519</v>
      </c>
      <c r="D3065" s="82" t="s">
        <v>25</v>
      </c>
      <c r="E3065" s="82"/>
      <c r="F3065" s="85"/>
      <c r="G3065" s="46"/>
      <c r="H3065" s="46">
        <f>IFERROR(TRANSACTIONS!$F3065+TRANSACTIONS!$G3065,"")</f>
        <v>0</v>
      </c>
      <c r="I3065" s="40" t="s">
        <v>41</v>
      </c>
    </row>
    <row r="3066" spans="1:9" x14ac:dyDescent="0.25">
      <c r="A3066" s="41">
        <v>45359.812519791667</v>
      </c>
      <c r="B3066" s="48">
        <f>IF(A3066&lt;&gt;"",DATE(YEAR(TRANSACTIONS!$A3066),MONTH(TRANSACTIONS!$A3066),DAY(TRANSACTIONS!$A3066)),"")</f>
        <v>45359</v>
      </c>
      <c r="C3066" s="49">
        <f>IF(A3066&lt;&gt;"",TIME(HOUR(TRANSACTIONS!$A3066),MINUTE(TRANSACTIONS!$A3066),SECOND(TRANSACTIONS!$A3066)),"")</f>
        <v>0.81252314814814808</v>
      </c>
      <c r="D3066" s="82" t="s">
        <v>25</v>
      </c>
      <c r="E3066" s="82" t="s">
        <v>7</v>
      </c>
      <c r="F3066" s="85">
        <v>22000</v>
      </c>
      <c r="G3066" s="46"/>
      <c r="H3066" s="46">
        <f>IFERROR(TRANSACTIONS!$F3066+TRANSACTIONS!$G3066,"")</f>
        <v>22000</v>
      </c>
      <c r="I3066" s="40" t="s">
        <v>41</v>
      </c>
    </row>
    <row r="3067" spans="1:9" x14ac:dyDescent="0.25">
      <c r="A3067" s="41">
        <v>45359.812525462963</v>
      </c>
      <c r="B3067" s="48">
        <f>IF(A3067&lt;&gt;"",DATE(YEAR(TRANSACTIONS!$A3067),MONTH(TRANSACTIONS!$A3067),DAY(TRANSACTIONS!$A3067)),"")</f>
        <v>45359</v>
      </c>
      <c r="C3067" s="49">
        <f>IF(A3067&lt;&gt;"",TIME(HOUR(TRANSACTIONS!$A3067),MINUTE(TRANSACTIONS!$A3067),SECOND(TRANSACTIONS!$A3067)),"")</f>
        <v>0.81252314814814808</v>
      </c>
      <c r="D3067" s="82" t="s">
        <v>25</v>
      </c>
      <c r="E3067" s="82" t="s">
        <v>6</v>
      </c>
      <c r="F3067" s="85">
        <v>40000</v>
      </c>
      <c r="G3067" s="46"/>
      <c r="H3067" s="46">
        <f>IFERROR(TRANSACTIONS!$F3067+TRANSACTIONS!$G3067,"")</f>
        <v>40000</v>
      </c>
      <c r="I3067" s="40" t="s">
        <v>41</v>
      </c>
    </row>
    <row r="3068" spans="1:9" x14ac:dyDescent="0.25">
      <c r="A3068" s="41">
        <v>45359.812544791668</v>
      </c>
      <c r="B3068" s="48">
        <f>IF(A3068&lt;&gt;"",DATE(YEAR(TRANSACTIONS!$A3068),MONTH(TRANSACTIONS!$A3068),DAY(TRANSACTIONS!$A3068)),"")</f>
        <v>45359</v>
      </c>
      <c r="C3068" s="49">
        <f>IF(A3068&lt;&gt;"",TIME(HOUR(TRANSACTIONS!$A3068),MINUTE(TRANSACTIONS!$A3068),SECOND(TRANSACTIONS!$A3068)),"")</f>
        <v>0.81254629629629627</v>
      </c>
      <c r="D3068" s="82" t="s">
        <v>25</v>
      </c>
      <c r="E3068" s="82" t="s">
        <v>6</v>
      </c>
      <c r="F3068" s="85">
        <v>10500</v>
      </c>
      <c r="G3068" s="46"/>
      <c r="H3068" s="46">
        <f>IFERROR(TRANSACTIONS!$F3068+TRANSACTIONS!$G3068,"")</f>
        <v>10500</v>
      </c>
      <c r="I3068" s="40" t="s">
        <v>41</v>
      </c>
    </row>
    <row r="3069" spans="1:9" x14ac:dyDescent="0.25">
      <c r="A3069" s="113">
        <v>45359.812583101855</v>
      </c>
      <c r="B3069" s="114">
        <f>IF(A3069&lt;&gt;"",DATE(YEAR(TRANSACTIONS!$A3069),MONTH(TRANSACTIONS!$A3069),DAY(TRANSACTIONS!$A3069)),"")</f>
        <v>45359</v>
      </c>
      <c r="C3069" s="115">
        <f>IF(A3069&lt;&gt;"",TIME(HOUR(TRANSACTIONS!$A3069),MINUTE(TRANSACTIONS!$A3069),SECOND(TRANSACTIONS!$A3069)),"")</f>
        <v>0.81258101851851849</v>
      </c>
      <c r="D3069" s="82" t="s">
        <v>62</v>
      </c>
      <c r="E3069" s="82" t="s">
        <v>7</v>
      </c>
      <c r="F3069" s="85">
        <v>11000</v>
      </c>
      <c r="G3069" s="117"/>
      <c r="H3069" s="117">
        <f>IFERROR(TRANSACTIONS!$F3069+TRANSACTIONS!$G3069,"")</f>
        <v>11000</v>
      </c>
      <c r="I3069" s="118" t="s">
        <v>41</v>
      </c>
    </row>
    <row r="3070" spans="1:9" x14ac:dyDescent="0.25">
      <c r="A3070" s="41">
        <v>45359.812591782407</v>
      </c>
      <c r="B3070" s="48">
        <f>IF(A3070&lt;&gt;"",DATE(YEAR(TRANSACTIONS!$A3070),MONTH(TRANSACTIONS!$A3070),DAY(TRANSACTIONS!$A3070)),"")</f>
        <v>45359</v>
      </c>
      <c r="C3070" s="49">
        <f>IF(A3070&lt;&gt;"",TIME(HOUR(TRANSACTIONS!$A3070),MINUTE(TRANSACTIONS!$A3070),SECOND(TRANSACTIONS!$A3070)),"")</f>
        <v>0.81259259259259264</v>
      </c>
      <c r="D3070" s="82" t="s">
        <v>62</v>
      </c>
      <c r="E3070" s="82" t="s">
        <v>7</v>
      </c>
      <c r="F3070" s="85">
        <v>12000</v>
      </c>
      <c r="G3070" s="46"/>
      <c r="H3070" s="46">
        <f>IFERROR(TRANSACTIONS!$F3070+TRANSACTIONS!$G3070,"")</f>
        <v>12000</v>
      </c>
      <c r="I3070" s="40" t="s">
        <v>41</v>
      </c>
    </row>
    <row r="3071" spans="1:9" x14ac:dyDescent="0.25">
      <c r="A3071" s="41">
        <v>45359.812600694444</v>
      </c>
      <c r="B3071" s="48">
        <f>IF(A3071&lt;&gt;"",DATE(YEAR(TRANSACTIONS!$A3071),MONTH(TRANSACTIONS!$A3071),DAY(TRANSACTIONS!$A3071)),"")</f>
        <v>45359</v>
      </c>
      <c r="C3071" s="49">
        <f>IF(A3071&lt;&gt;"",TIME(HOUR(TRANSACTIONS!$A3071),MINUTE(TRANSACTIONS!$A3071),SECOND(TRANSACTIONS!$A3071)),"")</f>
        <v>0.81260416666666668</v>
      </c>
      <c r="D3071" s="82" t="s">
        <v>62</v>
      </c>
      <c r="E3071" s="82" t="s">
        <v>7</v>
      </c>
      <c r="F3071" s="85">
        <v>50000</v>
      </c>
      <c r="G3071" s="46"/>
      <c r="H3071" s="46">
        <f>IFERROR(TRANSACTIONS!$F3071+TRANSACTIONS!$G3071,"")</f>
        <v>50000</v>
      </c>
      <c r="I3071" s="40" t="s">
        <v>41</v>
      </c>
    </row>
    <row r="3072" spans="1:9" x14ac:dyDescent="0.25">
      <c r="A3072" s="41">
        <v>45359.814617013886</v>
      </c>
      <c r="B3072" s="48">
        <f>IF(A3072&lt;&gt;"",DATE(YEAR(TRANSACTIONS!$A3072),MONTH(TRANSACTIONS!$A3072),DAY(TRANSACTIONS!$A3072)),"")</f>
        <v>45359</v>
      </c>
      <c r="C3072" s="49">
        <f>IF(A3072&lt;&gt;"",TIME(HOUR(TRANSACTIONS!$A3072),MINUTE(TRANSACTIONS!$A3072),SECOND(TRANSACTIONS!$A3072)),"")</f>
        <v>0.81461805555555555</v>
      </c>
      <c r="D3072" s="82" t="s">
        <v>62</v>
      </c>
      <c r="E3072" s="82" t="s">
        <v>6</v>
      </c>
      <c r="F3072" s="85">
        <v>5000</v>
      </c>
      <c r="G3072" s="46"/>
      <c r="H3072" s="46">
        <f>IFERROR(TRANSACTIONS!$F3072+TRANSACTIONS!$G3072,"")</f>
        <v>5000</v>
      </c>
      <c r="I3072" s="40" t="s">
        <v>41</v>
      </c>
    </row>
    <row r="3073" spans="1:9" x14ac:dyDescent="0.25">
      <c r="A3073" s="41">
        <v>45359.814647222222</v>
      </c>
      <c r="B3073" s="48">
        <f>IF(A3073&lt;&gt;"",DATE(YEAR(TRANSACTIONS!$A3073),MONTH(TRANSACTIONS!$A3073),DAY(TRANSACTIONS!$A3073)),"")</f>
        <v>45359</v>
      </c>
      <c r="C3073" s="49">
        <f>IF(A3073&lt;&gt;"",TIME(HOUR(TRANSACTIONS!$A3073),MINUTE(TRANSACTIONS!$A3073),SECOND(TRANSACTIONS!$A3073)),"")</f>
        <v>0.81465277777777778</v>
      </c>
      <c r="D3073" s="82" t="s">
        <v>62</v>
      </c>
      <c r="E3073" s="82" t="s">
        <v>7</v>
      </c>
      <c r="F3073" s="85">
        <v>3300</v>
      </c>
      <c r="G3073" s="46"/>
      <c r="H3073" s="46">
        <f>IFERROR(TRANSACTIONS!$F3073+TRANSACTIONS!$G3073,"")</f>
        <v>3300</v>
      </c>
      <c r="I3073" s="40" t="s">
        <v>41</v>
      </c>
    </row>
    <row r="3074" spans="1:9" x14ac:dyDescent="0.25">
      <c r="A3074" s="41">
        <v>45359.814659722222</v>
      </c>
      <c r="B3074" s="48">
        <f>IF(A3074&lt;&gt;"",DATE(YEAR(TRANSACTIONS!$A3074),MONTH(TRANSACTIONS!$A3074),DAY(TRANSACTIONS!$A3074)),"")</f>
        <v>45359</v>
      </c>
      <c r="C3074" s="49">
        <f>IF(A3074&lt;&gt;"",TIME(HOUR(TRANSACTIONS!$A3074),MINUTE(TRANSACTIONS!$A3074),SECOND(TRANSACTIONS!$A3074)),"")</f>
        <v>0.81466435185185182</v>
      </c>
      <c r="D3074" s="82" t="s">
        <v>62</v>
      </c>
      <c r="E3074" s="82" t="s">
        <v>6</v>
      </c>
      <c r="F3074" s="85">
        <v>412500</v>
      </c>
      <c r="G3074" s="46"/>
      <c r="H3074" s="46">
        <f>IFERROR(TRANSACTIONS!$F3074+TRANSACTIONS!$G3074,"")</f>
        <v>412500</v>
      </c>
      <c r="I3074" s="40" t="s">
        <v>41</v>
      </c>
    </row>
    <row r="3075" spans="1:9" x14ac:dyDescent="0.25">
      <c r="A3075" s="41">
        <v>45359.814671527776</v>
      </c>
      <c r="B3075" s="48">
        <f>IF(A3075&lt;&gt;"",DATE(YEAR(TRANSACTIONS!$A3075),MONTH(TRANSACTIONS!$A3075),DAY(TRANSACTIONS!$A3075)),"")</f>
        <v>45359</v>
      </c>
      <c r="C3075" s="49">
        <f>IF(A3075&lt;&gt;"",TIME(HOUR(TRANSACTIONS!$A3075),MINUTE(TRANSACTIONS!$A3075),SECOND(TRANSACTIONS!$A3075)),"")</f>
        <v>0.81467592592592597</v>
      </c>
      <c r="D3075" s="82" t="s">
        <v>62</v>
      </c>
      <c r="E3075" s="82" t="s">
        <v>7</v>
      </c>
      <c r="F3075" s="85">
        <v>5000</v>
      </c>
      <c r="G3075" s="46"/>
      <c r="H3075" s="46">
        <f>IFERROR(TRANSACTIONS!$F3075+TRANSACTIONS!$G3075,"")</f>
        <v>5000</v>
      </c>
      <c r="I3075" s="40" t="s">
        <v>41</v>
      </c>
    </row>
    <row r="3076" spans="1:9" x14ac:dyDescent="0.25">
      <c r="A3076" s="41">
        <v>45359.814679050927</v>
      </c>
      <c r="B3076" s="48">
        <f>IF(A3076&lt;&gt;"",DATE(YEAR(TRANSACTIONS!$A3076),MONTH(TRANSACTIONS!$A3076),DAY(TRANSACTIONS!$A3076)),"")</f>
        <v>45359</v>
      </c>
      <c r="C3076" s="49">
        <f>IF(A3076&lt;&gt;"",TIME(HOUR(TRANSACTIONS!$A3076),MINUTE(TRANSACTIONS!$A3076),SECOND(TRANSACTIONS!$A3076)),"")</f>
        <v>0.81467592592592597</v>
      </c>
      <c r="D3076" s="82" t="s">
        <v>62</v>
      </c>
      <c r="E3076" s="82" t="s">
        <v>7</v>
      </c>
      <c r="F3076" s="85">
        <v>3000</v>
      </c>
      <c r="G3076" s="46"/>
      <c r="H3076" s="46">
        <f>IFERROR(TRANSACTIONS!$F3076+TRANSACTIONS!$G3076,"")</f>
        <v>3000</v>
      </c>
      <c r="I3076" s="40" t="s">
        <v>41</v>
      </c>
    </row>
    <row r="3077" spans="1:9" x14ac:dyDescent="0.25">
      <c r="A3077" s="41">
        <v>45359.814686458332</v>
      </c>
      <c r="B3077" s="48">
        <f>IF(A3077&lt;&gt;"",DATE(YEAR(TRANSACTIONS!$A3077),MONTH(TRANSACTIONS!$A3077),DAY(TRANSACTIONS!$A3077)),"")</f>
        <v>45359</v>
      </c>
      <c r="C3077" s="49">
        <f>IF(A3077&lt;&gt;"",TIME(HOUR(TRANSACTIONS!$A3077),MINUTE(TRANSACTIONS!$A3077),SECOND(TRANSACTIONS!$A3077)),"")</f>
        <v>0.8146874999999999</v>
      </c>
      <c r="D3077" s="82" t="s">
        <v>62</v>
      </c>
      <c r="E3077" s="82" t="s">
        <v>6</v>
      </c>
      <c r="F3077" s="85">
        <v>9000</v>
      </c>
      <c r="G3077" s="46"/>
      <c r="H3077" s="46">
        <f>IFERROR(TRANSACTIONS!$F3077+TRANSACTIONS!$G3077,"")</f>
        <v>9000</v>
      </c>
      <c r="I3077" s="40" t="s">
        <v>41</v>
      </c>
    </row>
    <row r="3078" spans="1:9" x14ac:dyDescent="0.25">
      <c r="A3078" s="41"/>
      <c r="B3078" s="48" t="str">
        <f>IF(A3078&lt;&gt;"",DATE(YEAR(TRANSACTIONS!$A3078),MONTH(TRANSACTIONS!$A3078),DAY(TRANSACTIONS!$A3078)),"")</f>
        <v/>
      </c>
      <c r="C3078" s="49" t="str">
        <f>IF(A3078&lt;&gt;"",TIME(HOUR(TRANSACTIONS!$A3078),MINUTE(TRANSACTIONS!$A3078),SECOND(TRANSACTIONS!$A3078)),"")</f>
        <v/>
      </c>
      <c r="D3078" s="82"/>
      <c r="E3078" s="82"/>
      <c r="F3078" s="85"/>
      <c r="G3078" s="46"/>
      <c r="H3078" s="46">
        <f>IFERROR(TRANSACTIONS!$F3078+TRANSACTIONS!$G3078,"")</f>
        <v>0</v>
      </c>
      <c r="I3078" s="40" t="s">
        <v>41</v>
      </c>
    </row>
    <row r="3079" spans="1:9" x14ac:dyDescent="0.25">
      <c r="A3079" s="41">
        <v>45360.395778124999</v>
      </c>
      <c r="B3079" s="48">
        <f>IF(A3079&lt;&gt;"",DATE(YEAR(TRANSACTIONS!$A3079),MONTH(TRANSACTIONS!$A3079),DAY(TRANSACTIONS!$A3079)),"")</f>
        <v>45360</v>
      </c>
      <c r="C3079" s="49">
        <f>IF(A3079&lt;&gt;"",TIME(HOUR(TRANSACTIONS!$A3079),MINUTE(TRANSACTIONS!$A3079),SECOND(TRANSACTIONS!$A3079)),"")</f>
        <v>0.39577546296296301</v>
      </c>
      <c r="D3079" s="82" t="s">
        <v>62</v>
      </c>
      <c r="E3079" s="82"/>
      <c r="F3079" s="85" t="s">
        <v>40</v>
      </c>
      <c r="G3079" s="46"/>
      <c r="H3079" s="46" t="str">
        <f>IFERROR(TRANSACTIONS!$F3079+TRANSACTIONS!$G3079,"")</f>
        <v/>
      </c>
      <c r="I3079" s="40" t="s">
        <v>41</v>
      </c>
    </row>
    <row r="3080" spans="1:9" x14ac:dyDescent="0.25">
      <c r="A3080" s="41">
        <v>45360.395787847221</v>
      </c>
      <c r="B3080" s="48">
        <f>IF(A3080&lt;&gt;"",DATE(YEAR(TRANSACTIONS!$A3080),MONTH(TRANSACTIONS!$A3080),DAY(TRANSACTIONS!$A3080)),"")</f>
        <v>45360</v>
      </c>
      <c r="C3080" s="49">
        <f>IF(A3080&lt;&gt;"",TIME(HOUR(TRANSACTIONS!$A3080),MINUTE(TRANSACTIONS!$A3080),SECOND(TRANSACTIONS!$A3080)),"")</f>
        <v>0.39578703703703705</v>
      </c>
      <c r="D3080" s="82" t="s">
        <v>62</v>
      </c>
      <c r="E3080" s="82" t="s">
        <v>6</v>
      </c>
      <c r="F3080" s="85">
        <v>10000</v>
      </c>
      <c r="G3080" s="46"/>
      <c r="H3080" s="46">
        <f>IFERROR(TRANSACTIONS!$F3080+TRANSACTIONS!$G3080,"")</f>
        <v>10000</v>
      </c>
      <c r="I3080" s="40" t="s">
        <v>41</v>
      </c>
    </row>
    <row r="3081" spans="1:9" x14ac:dyDescent="0.25">
      <c r="A3081" s="41">
        <v>45360.395831250004</v>
      </c>
      <c r="B3081" s="48">
        <f>IF(A3081&lt;&gt;"",DATE(YEAR(TRANSACTIONS!$A3081),MONTH(TRANSACTIONS!$A3081),DAY(TRANSACTIONS!$A3081)),"")</f>
        <v>45360</v>
      </c>
      <c r="C3081" s="49">
        <f>IF(A3081&lt;&gt;"",TIME(HOUR(TRANSACTIONS!$A3081),MINUTE(TRANSACTIONS!$A3081),SECOND(TRANSACTIONS!$A3081)),"")</f>
        <v>0.39583333333333331</v>
      </c>
      <c r="D3081" s="82" t="s">
        <v>62</v>
      </c>
      <c r="E3081" s="82" t="s">
        <v>6</v>
      </c>
      <c r="F3081" s="85">
        <v>2500</v>
      </c>
      <c r="G3081" s="46"/>
      <c r="H3081" s="46">
        <f>IFERROR(TRANSACTIONS!$F3081+TRANSACTIONS!$G3081,"")</f>
        <v>2500</v>
      </c>
      <c r="I3081" s="40" t="s">
        <v>41</v>
      </c>
    </row>
    <row r="3082" spans="1:9" x14ac:dyDescent="0.25">
      <c r="A3082" s="41">
        <v>45360.395855439812</v>
      </c>
      <c r="B3082" s="48">
        <f>IF(A3082&lt;&gt;"",DATE(YEAR(TRANSACTIONS!$A3082),MONTH(TRANSACTIONS!$A3082),DAY(TRANSACTIONS!$A3082)),"")</f>
        <v>45360</v>
      </c>
      <c r="C3082" s="49">
        <f>IF(A3082&lt;&gt;"",TIME(HOUR(TRANSACTIONS!$A3082),MINUTE(TRANSACTIONS!$A3082),SECOND(TRANSACTIONS!$A3082)),"")</f>
        <v>0.3958564814814815</v>
      </c>
      <c r="D3082" s="82" t="s">
        <v>62</v>
      </c>
      <c r="E3082" s="82" t="s">
        <v>6</v>
      </c>
      <c r="F3082" s="85">
        <v>80000</v>
      </c>
      <c r="G3082" s="46"/>
      <c r="H3082" s="46">
        <f>IFERROR(TRANSACTIONS!$F3082+TRANSACTIONS!$G3082,"")</f>
        <v>80000</v>
      </c>
      <c r="I3082" s="40" t="s">
        <v>41</v>
      </c>
    </row>
    <row r="3083" spans="1:9" x14ac:dyDescent="0.25">
      <c r="A3083" s="41">
        <v>45360.395864120372</v>
      </c>
      <c r="B3083" s="48">
        <f>IF(A3083&lt;&gt;"",DATE(YEAR(TRANSACTIONS!$A3083),MONTH(TRANSACTIONS!$A3083),DAY(TRANSACTIONS!$A3083)),"")</f>
        <v>45360</v>
      </c>
      <c r="C3083" s="49">
        <f>IF(A3083&lt;&gt;"",TIME(HOUR(TRANSACTIONS!$A3083),MINUTE(TRANSACTIONS!$A3083),SECOND(TRANSACTIONS!$A3083)),"")</f>
        <v>0.39586805555555554</v>
      </c>
      <c r="D3083" s="82" t="s">
        <v>62</v>
      </c>
      <c r="E3083" s="82" t="s">
        <v>6</v>
      </c>
      <c r="F3083" s="85">
        <v>1000</v>
      </c>
      <c r="G3083" s="46"/>
      <c r="H3083" s="46">
        <f>IFERROR(TRANSACTIONS!$F3083+TRANSACTIONS!$G3083,"")</f>
        <v>1000</v>
      </c>
      <c r="I3083" s="40" t="s">
        <v>41</v>
      </c>
    </row>
    <row r="3084" spans="1:9" x14ac:dyDescent="0.25">
      <c r="A3084" s="41">
        <v>45360.395872106485</v>
      </c>
      <c r="B3084" s="48">
        <f>IF(A3084&lt;&gt;"",DATE(YEAR(TRANSACTIONS!$A3084),MONTH(TRANSACTIONS!$A3084),DAY(TRANSACTIONS!$A3084)),"")</f>
        <v>45360</v>
      </c>
      <c r="C3084" s="49">
        <f>IF(A3084&lt;&gt;"",TIME(HOUR(TRANSACTIONS!$A3084),MINUTE(TRANSACTIONS!$A3084),SECOND(TRANSACTIONS!$A3084)),"")</f>
        <v>0.39586805555555554</v>
      </c>
      <c r="D3084" s="82" t="s">
        <v>62</v>
      </c>
      <c r="E3084" s="82" t="s">
        <v>7</v>
      </c>
      <c r="F3084" s="85">
        <v>150000</v>
      </c>
      <c r="G3084" s="46"/>
      <c r="H3084" s="46">
        <f>IFERROR(TRANSACTIONS!$F3084+TRANSACTIONS!$G3084,"")</f>
        <v>150000</v>
      </c>
      <c r="I3084" s="40" t="s">
        <v>41</v>
      </c>
    </row>
    <row r="3085" spans="1:9" x14ac:dyDescent="0.25">
      <c r="A3085" s="41">
        <v>45360.440464930558</v>
      </c>
      <c r="B3085" s="48">
        <f>IF(A3085&lt;&gt;"",DATE(YEAR(TRANSACTIONS!$A3085),MONTH(TRANSACTIONS!$A3085),DAY(TRANSACTIONS!$A3085)),"")</f>
        <v>45360</v>
      </c>
      <c r="C3085" s="49">
        <f>IF(A3085&lt;&gt;"",TIME(HOUR(TRANSACTIONS!$A3085),MINUTE(TRANSACTIONS!$A3085),SECOND(TRANSACTIONS!$A3085)),"")</f>
        <v>0.440462962962963</v>
      </c>
      <c r="D3085" s="82" t="s">
        <v>62</v>
      </c>
      <c r="E3085" s="82" t="s">
        <v>7</v>
      </c>
      <c r="F3085" s="85">
        <v>400000</v>
      </c>
      <c r="G3085" s="46"/>
      <c r="H3085" s="46">
        <f>IFERROR(TRANSACTIONS!$F3085+TRANSACTIONS!$G3085,"")</f>
        <v>400000</v>
      </c>
      <c r="I3085" s="40" t="s">
        <v>41</v>
      </c>
    </row>
    <row r="3086" spans="1:9" x14ac:dyDescent="0.25">
      <c r="A3086" s="41">
        <v>45360.440467824075</v>
      </c>
      <c r="B3086" s="48">
        <f>IF(A3086&lt;&gt;"",DATE(YEAR(TRANSACTIONS!$A3086),MONTH(TRANSACTIONS!$A3086),DAY(TRANSACTIONS!$A3086)),"")</f>
        <v>45360</v>
      </c>
      <c r="C3086" s="49">
        <f>IF(A3086&lt;&gt;"",TIME(HOUR(TRANSACTIONS!$A3086),MINUTE(TRANSACTIONS!$A3086),SECOND(TRANSACTIONS!$A3086)),"")</f>
        <v>0.440462962962963</v>
      </c>
      <c r="D3086" s="82" t="s">
        <v>62</v>
      </c>
      <c r="E3086" s="82" t="s">
        <v>6</v>
      </c>
      <c r="F3086" s="85">
        <v>300000</v>
      </c>
      <c r="G3086" s="46"/>
      <c r="H3086" s="46">
        <f>IFERROR(TRANSACTIONS!$F3086+TRANSACTIONS!$G3086,"")</f>
        <v>300000</v>
      </c>
      <c r="I3086" s="40" t="s">
        <v>41</v>
      </c>
    </row>
    <row r="3087" spans="1:9" x14ac:dyDescent="0.25">
      <c r="A3087" s="41">
        <v>45360.44048125</v>
      </c>
      <c r="B3087" s="48">
        <f>IF(A3087&lt;&gt;"",DATE(YEAR(TRANSACTIONS!$A3087),MONTH(TRANSACTIONS!$A3087),DAY(TRANSACTIONS!$A3087)),"")</f>
        <v>45360</v>
      </c>
      <c r="C3087" s="49">
        <f>IF(A3087&lt;&gt;"",TIME(HOUR(TRANSACTIONS!$A3087),MINUTE(TRANSACTIONS!$A3087),SECOND(TRANSACTIONS!$A3087)),"")</f>
        <v>0.44048611111111113</v>
      </c>
      <c r="D3087" s="82" t="s">
        <v>62</v>
      </c>
      <c r="E3087" s="82" t="s">
        <v>6</v>
      </c>
      <c r="F3087" s="85">
        <v>2000</v>
      </c>
      <c r="G3087" s="46"/>
      <c r="H3087" s="46">
        <f>IFERROR(TRANSACTIONS!$F3087+TRANSACTIONS!$G3087,"")</f>
        <v>2000</v>
      </c>
      <c r="I3087" s="40" t="s">
        <v>41</v>
      </c>
    </row>
    <row r="3088" spans="1:9" x14ac:dyDescent="0.25">
      <c r="A3088" s="41">
        <v>45360.441400462965</v>
      </c>
      <c r="B3088" s="48">
        <f>IF(A3088&lt;&gt;"",DATE(YEAR(TRANSACTIONS!$A3088),MONTH(TRANSACTIONS!$A3088),DAY(TRANSACTIONS!$A3088)),"")</f>
        <v>45360</v>
      </c>
      <c r="C3088" s="49">
        <f>IF(A3088&lt;&gt;"",TIME(HOUR(TRANSACTIONS!$A3088),MINUTE(TRANSACTIONS!$A3088),SECOND(TRANSACTIONS!$A3088)),"")</f>
        <v>0.44140046296296293</v>
      </c>
      <c r="D3088" s="82" t="s">
        <v>62</v>
      </c>
      <c r="E3088" s="82" t="s">
        <v>7</v>
      </c>
      <c r="F3088" s="85">
        <v>3000</v>
      </c>
      <c r="G3088" s="46"/>
      <c r="H3088" s="46">
        <f>IFERROR(TRANSACTIONS!$F3088+TRANSACTIONS!$G3088,"")</f>
        <v>3000</v>
      </c>
      <c r="I3088" s="40" t="s">
        <v>41</v>
      </c>
    </row>
    <row r="3089" spans="1:10" x14ac:dyDescent="0.25">
      <c r="A3089" s="41">
        <v>45360.44144386574</v>
      </c>
      <c r="B3089" s="48">
        <f>IF(A3089&lt;&gt;"",DATE(YEAR(TRANSACTIONS!$A3089),MONTH(TRANSACTIONS!$A3089),DAY(TRANSACTIONS!$A3089)),"")</f>
        <v>45360</v>
      </c>
      <c r="C3089" s="49">
        <f>IF(A3089&lt;&gt;"",TIME(HOUR(TRANSACTIONS!$A3089),MINUTE(TRANSACTIONS!$A3089),SECOND(TRANSACTIONS!$A3089)),"")</f>
        <v>0.44144675925925925</v>
      </c>
      <c r="D3089" s="82" t="s">
        <v>25</v>
      </c>
      <c r="E3089" s="82" t="s">
        <v>7</v>
      </c>
      <c r="F3089" s="85">
        <v>1000</v>
      </c>
      <c r="G3089" s="46"/>
      <c r="H3089" s="46">
        <f>IFERROR(TRANSACTIONS!$F3089+TRANSACTIONS!$G3089,"")</f>
        <v>1000</v>
      </c>
      <c r="I3089" s="40" t="s">
        <v>41</v>
      </c>
    </row>
    <row r="3090" spans="1:10" x14ac:dyDescent="0.25">
      <c r="A3090" s="41">
        <v>45360.441455324071</v>
      </c>
      <c r="B3090" s="48">
        <f>IF(A3090&lt;&gt;"",DATE(YEAR(TRANSACTIONS!$A3090),MONTH(TRANSACTIONS!$A3090),DAY(TRANSACTIONS!$A3090)),"")</f>
        <v>45360</v>
      </c>
      <c r="C3090" s="49">
        <f>IF(A3090&lt;&gt;"",TIME(HOUR(TRANSACTIONS!$A3090),MINUTE(TRANSACTIONS!$A3090),SECOND(TRANSACTIONS!$A3090)),"")</f>
        <v>0.44145833333333334</v>
      </c>
      <c r="D3090" s="82" t="s">
        <v>25</v>
      </c>
      <c r="E3090" s="82" t="s">
        <v>6</v>
      </c>
      <c r="F3090" s="85">
        <v>7000</v>
      </c>
      <c r="G3090" s="46"/>
      <c r="H3090" s="46">
        <f>IFERROR(TRANSACTIONS!$F3090+TRANSACTIONS!$G3090,"")</f>
        <v>7000</v>
      </c>
      <c r="I3090" s="40" t="s">
        <v>41</v>
      </c>
    </row>
    <row r="3091" spans="1:10" x14ac:dyDescent="0.25">
      <c r="A3091" s="41">
        <v>45360.616792361114</v>
      </c>
      <c r="B3091" s="48">
        <f>IF(A3091&lt;&gt;"",DATE(YEAR(TRANSACTIONS!$A3091),MONTH(TRANSACTIONS!$A3091),DAY(TRANSACTIONS!$A3091)),"")</f>
        <v>45360</v>
      </c>
      <c r="C3091" s="49">
        <f>IF(A3091&lt;&gt;"",TIME(HOUR(TRANSACTIONS!$A3091),MINUTE(TRANSACTIONS!$A3091),SECOND(TRANSACTIONS!$A3091)),"")</f>
        <v>0.61679398148148146</v>
      </c>
      <c r="D3091" s="82" t="s">
        <v>25</v>
      </c>
      <c r="E3091" s="82" t="s">
        <v>6</v>
      </c>
      <c r="F3091" s="85">
        <v>500</v>
      </c>
      <c r="G3091" s="46"/>
      <c r="H3091" s="46">
        <f>IFERROR(TRANSACTIONS!$F3091+TRANSACTIONS!$G3091,"")</f>
        <v>500</v>
      </c>
      <c r="I3091" s="40" t="s">
        <v>41</v>
      </c>
    </row>
    <row r="3092" spans="1:10" x14ac:dyDescent="0.25">
      <c r="A3092" s="41">
        <v>45360.616795486108</v>
      </c>
      <c r="B3092" s="48">
        <f>IF(A3092&lt;&gt;"",DATE(YEAR(TRANSACTIONS!$A3092),MONTH(TRANSACTIONS!$A3092),DAY(TRANSACTIONS!$A3092)),"")</f>
        <v>45360</v>
      </c>
      <c r="C3092" s="49">
        <f>IF(A3092&lt;&gt;"",TIME(HOUR(TRANSACTIONS!$A3092),MINUTE(TRANSACTIONS!$A3092),SECOND(TRANSACTIONS!$A3092)),"")</f>
        <v>0.61679398148148146</v>
      </c>
      <c r="D3092" s="82" t="s">
        <v>25</v>
      </c>
      <c r="E3092" s="82" t="s">
        <v>7</v>
      </c>
      <c r="F3092" s="85">
        <v>100000</v>
      </c>
      <c r="G3092" s="46"/>
      <c r="H3092" s="46">
        <f>IFERROR(TRANSACTIONS!$F3092+TRANSACTIONS!$G3092,"")</f>
        <v>100000</v>
      </c>
      <c r="I3092" s="40" t="s">
        <v>41</v>
      </c>
    </row>
    <row r="3093" spans="1:10" x14ac:dyDescent="0.25">
      <c r="A3093" s="41">
        <v>45360.616868171295</v>
      </c>
      <c r="B3093" s="48">
        <f>IF(A3093&lt;&gt;"",DATE(YEAR(TRANSACTIONS!$A3093),MONTH(TRANSACTIONS!$A3093),DAY(TRANSACTIONS!$A3093)),"")</f>
        <v>45360</v>
      </c>
      <c r="C3093" s="49">
        <f>IF(A3093&lt;&gt;"",TIME(HOUR(TRANSACTIONS!$A3093),MINUTE(TRANSACTIONS!$A3093),SECOND(TRANSACTIONS!$A3093)),"")</f>
        <v>0.61686342592592591</v>
      </c>
      <c r="D3093" s="82" t="s">
        <v>25</v>
      </c>
      <c r="E3093" s="82" t="s">
        <v>7</v>
      </c>
      <c r="F3093" s="85">
        <v>5000</v>
      </c>
      <c r="G3093" s="46"/>
      <c r="H3093" s="46">
        <f>IFERROR(TRANSACTIONS!$F3093+TRANSACTIONS!$G3093,"")</f>
        <v>5000</v>
      </c>
      <c r="I3093" s="40" t="s">
        <v>41</v>
      </c>
    </row>
    <row r="3094" spans="1:10" x14ac:dyDescent="0.25">
      <c r="A3094" s="113">
        <v>45360.616915972219</v>
      </c>
      <c r="B3094" s="114">
        <f>IF(A3094&lt;&gt;"",DATE(YEAR(TRANSACTIONS!$A3094),MONTH(TRANSACTIONS!$A3094),DAY(TRANSACTIONS!$A3094)),"")</f>
        <v>45360</v>
      </c>
      <c r="C3094" s="115">
        <f>IF(A3094&lt;&gt;"",TIME(HOUR(TRANSACTIONS!$A3094),MINUTE(TRANSACTIONS!$A3094),SECOND(TRANSACTIONS!$A3094)),"")</f>
        <v>0.61692129629629633</v>
      </c>
      <c r="D3094" s="82" t="s">
        <v>25</v>
      </c>
      <c r="E3094" s="82" t="s">
        <v>6</v>
      </c>
      <c r="F3094" s="85">
        <v>1000</v>
      </c>
      <c r="G3094" s="117"/>
      <c r="H3094" s="117">
        <f>IFERROR(TRANSACTIONS!$F3094+TRANSACTIONS!$G3094,"")</f>
        <v>1000</v>
      </c>
      <c r="I3094" s="118" t="s">
        <v>41</v>
      </c>
      <c r="J3094" s="118"/>
    </row>
    <row r="3095" spans="1:10" x14ac:dyDescent="0.25">
      <c r="A3095" s="41">
        <v>45360.616937847219</v>
      </c>
      <c r="B3095" s="48">
        <f>IF(A3095&lt;&gt;"",DATE(YEAR(TRANSACTIONS!$A3095),MONTH(TRANSACTIONS!$A3095),DAY(TRANSACTIONS!$A3095)),"")</f>
        <v>45360</v>
      </c>
      <c r="C3095" s="49">
        <f>IF(A3095&lt;&gt;"",TIME(HOUR(TRANSACTIONS!$A3095),MINUTE(TRANSACTIONS!$A3095),SECOND(TRANSACTIONS!$A3095)),"")</f>
        <v>0.61693287037037037</v>
      </c>
      <c r="D3095" s="82" t="s">
        <v>25</v>
      </c>
      <c r="E3095" s="82" t="s">
        <v>7</v>
      </c>
      <c r="F3095" s="85">
        <v>2000</v>
      </c>
      <c r="G3095" s="46"/>
      <c r="H3095" s="46">
        <f>IFERROR(TRANSACTIONS!$F3095+TRANSACTIONS!$G3095,"")</f>
        <v>2000</v>
      </c>
      <c r="I3095" s="40" t="s">
        <v>41</v>
      </c>
    </row>
    <row r="3096" spans="1:10" x14ac:dyDescent="0.25">
      <c r="A3096" s="41">
        <v>45360.616945717593</v>
      </c>
      <c r="B3096" s="48">
        <f>IF(A3096&lt;&gt;"",DATE(YEAR(TRANSACTIONS!$A3096),MONTH(TRANSACTIONS!$A3096),DAY(TRANSACTIONS!$A3096)),"")</f>
        <v>45360</v>
      </c>
      <c r="C3096" s="49">
        <f>IF(A3096&lt;&gt;"",TIME(HOUR(TRANSACTIONS!$A3096),MINUTE(TRANSACTIONS!$A3096),SECOND(TRANSACTIONS!$A3096)),"")</f>
        <v>0.61694444444444441</v>
      </c>
      <c r="D3096" s="82" t="s">
        <v>25</v>
      </c>
      <c r="E3096" s="82" t="s">
        <v>6</v>
      </c>
      <c r="F3096" s="85">
        <v>500</v>
      </c>
      <c r="G3096" s="46"/>
      <c r="H3096" s="46">
        <f>IFERROR(TRANSACTIONS!$F3096+TRANSACTIONS!$G3096,"")</f>
        <v>500</v>
      </c>
      <c r="I3096" s="40" t="s">
        <v>41</v>
      </c>
    </row>
    <row r="3097" spans="1:10" x14ac:dyDescent="0.25">
      <c r="A3097" s="41">
        <v>45360.616953356483</v>
      </c>
      <c r="B3097" s="48">
        <f>IF(A3097&lt;&gt;"",DATE(YEAR(TRANSACTIONS!$A3097),MONTH(TRANSACTIONS!$A3097),DAY(TRANSACTIONS!$A3097)),"")</f>
        <v>45360</v>
      </c>
      <c r="C3097" s="49">
        <f>IF(A3097&lt;&gt;"",TIME(HOUR(TRANSACTIONS!$A3097),MINUTE(TRANSACTIONS!$A3097),SECOND(TRANSACTIONS!$A3097)),"")</f>
        <v>0.61695601851851845</v>
      </c>
      <c r="D3097" s="82" t="s">
        <v>62</v>
      </c>
      <c r="E3097" s="82" t="s">
        <v>7</v>
      </c>
      <c r="F3097" s="85">
        <v>110900</v>
      </c>
      <c r="G3097" s="46"/>
      <c r="H3097" s="46">
        <f>IFERROR(TRANSACTIONS!$F3097+TRANSACTIONS!$G3097,"")</f>
        <v>110900</v>
      </c>
      <c r="I3097" s="40" t="s">
        <v>41</v>
      </c>
    </row>
    <row r="3098" spans="1:10" x14ac:dyDescent="0.25">
      <c r="A3098" s="41">
        <v>45360.616961921296</v>
      </c>
      <c r="B3098" s="48">
        <f>IF(A3098&lt;&gt;"",DATE(YEAR(TRANSACTIONS!$A3098),MONTH(TRANSACTIONS!$A3098),DAY(TRANSACTIONS!$A3098)),"")</f>
        <v>45360</v>
      </c>
      <c r="C3098" s="49">
        <f>IF(A3098&lt;&gt;"",TIME(HOUR(TRANSACTIONS!$A3098),MINUTE(TRANSACTIONS!$A3098),SECOND(TRANSACTIONS!$A3098)),"")</f>
        <v>0.6169675925925926</v>
      </c>
      <c r="D3098" s="82" t="s">
        <v>62</v>
      </c>
      <c r="E3098" s="82" t="s">
        <v>7</v>
      </c>
      <c r="F3098" s="85">
        <v>50000</v>
      </c>
      <c r="G3098" s="46"/>
      <c r="H3098" s="46">
        <f>IFERROR(TRANSACTIONS!$F3098+TRANSACTIONS!$G3098,"")</f>
        <v>50000</v>
      </c>
      <c r="I3098" s="40" t="s">
        <v>41</v>
      </c>
    </row>
    <row r="3099" spans="1:10" x14ac:dyDescent="0.25">
      <c r="A3099" s="41">
        <v>45360.616968750001</v>
      </c>
      <c r="B3099" s="48">
        <f>IF(A3099&lt;&gt;"",DATE(YEAR(TRANSACTIONS!$A3099),MONTH(TRANSACTIONS!$A3099),DAY(TRANSACTIONS!$A3099)),"")</f>
        <v>45360</v>
      </c>
      <c r="C3099" s="49">
        <f>IF(A3099&lt;&gt;"",TIME(HOUR(TRANSACTIONS!$A3099),MINUTE(TRANSACTIONS!$A3099),SECOND(TRANSACTIONS!$A3099)),"")</f>
        <v>0.6169675925925926</v>
      </c>
      <c r="D3099" s="82" t="s">
        <v>62</v>
      </c>
      <c r="E3099" s="82" t="s">
        <v>6</v>
      </c>
      <c r="F3099" s="85">
        <v>2000</v>
      </c>
      <c r="G3099" s="46"/>
      <c r="H3099" s="46">
        <f>IFERROR(TRANSACTIONS!$F3099+TRANSACTIONS!$G3099,"")</f>
        <v>2000</v>
      </c>
      <c r="I3099" s="40" t="s">
        <v>41</v>
      </c>
    </row>
    <row r="3100" spans="1:10" x14ac:dyDescent="0.25">
      <c r="A3100" s="41">
        <v>45360.616981597224</v>
      </c>
      <c r="B3100" s="48">
        <f>IF(A3100&lt;&gt;"",DATE(YEAR(TRANSACTIONS!$A3100),MONTH(TRANSACTIONS!$A3100),DAY(TRANSACTIONS!$A3100)),"")</f>
        <v>45360</v>
      </c>
      <c r="C3100" s="49">
        <f>IF(A3100&lt;&gt;"",TIME(HOUR(TRANSACTIONS!$A3100),MINUTE(TRANSACTIONS!$A3100),SECOND(TRANSACTIONS!$A3100)),"")</f>
        <v>0.61697916666666663</v>
      </c>
      <c r="D3100" s="82" t="s">
        <v>62</v>
      </c>
      <c r="E3100" s="82" t="s">
        <v>6</v>
      </c>
      <c r="F3100" s="85">
        <v>10000</v>
      </c>
      <c r="G3100" s="46"/>
      <c r="H3100" s="46">
        <f>IFERROR(TRANSACTIONS!$F3100+TRANSACTIONS!$G3100,"")</f>
        <v>10000</v>
      </c>
      <c r="I3100" s="40" t="s">
        <v>41</v>
      </c>
    </row>
    <row r="3101" spans="1:10" x14ac:dyDescent="0.25">
      <c r="A3101" s="41">
        <v>45360.616989699076</v>
      </c>
      <c r="B3101" s="48">
        <f>IF(A3101&lt;&gt;"",DATE(YEAR(TRANSACTIONS!$A3101),MONTH(TRANSACTIONS!$A3101),DAY(TRANSACTIONS!$A3101)),"")</f>
        <v>45360</v>
      </c>
      <c r="C3101" s="49">
        <f>IF(A3101&lt;&gt;"",TIME(HOUR(TRANSACTIONS!$A3101),MINUTE(TRANSACTIONS!$A3101),SECOND(TRANSACTIONS!$A3101)),"")</f>
        <v>0.61699074074074078</v>
      </c>
      <c r="D3101" s="82" t="s">
        <v>62</v>
      </c>
      <c r="E3101" s="82" t="s">
        <v>7</v>
      </c>
      <c r="F3101" s="85">
        <v>5000</v>
      </c>
      <c r="G3101" s="46"/>
      <c r="H3101" s="46">
        <f>IFERROR(TRANSACTIONS!$F3101+TRANSACTIONS!$G3101,"")</f>
        <v>5000</v>
      </c>
      <c r="I3101" s="40" t="s">
        <v>41</v>
      </c>
    </row>
    <row r="3102" spans="1:10" x14ac:dyDescent="0.25">
      <c r="A3102" s="41">
        <v>45360.616997337966</v>
      </c>
      <c r="B3102" s="48">
        <f>IF(A3102&lt;&gt;"",DATE(YEAR(TRANSACTIONS!$A3102),MONTH(TRANSACTIONS!$A3102),DAY(TRANSACTIONS!$A3102)),"")</f>
        <v>45360</v>
      </c>
      <c r="C3102" s="49">
        <f>IF(A3102&lt;&gt;"",TIME(HOUR(TRANSACTIONS!$A3102),MINUTE(TRANSACTIONS!$A3102),SECOND(TRANSACTIONS!$A3102)),"")</f>
        <v>0.61700231481481482</v>
      </c>
      <c r="D3102" s="82" t="s">
        <v>62</v>
      </c>
      <c r="E3102" s="82" t="s">
        <v>7</v>
      </c>
      <c r="F3102" s="85">
        <v>30000</v>
      </c>
      <c r="G3102" s="46"/>
      <c r="H3102" s="46">
        <f>IFERROR(TRANSACTIONS!$F3102+TRANSACTIONS!$G3102,"")</f>
        <v>30000</v>
      </c>
      <c r="I3102" s="40" t="s">
        <v>41</v>
      </c>
    </row>
    <row r="3103" spans="1:10" x14ac:dyDescent="0.25">
      <c r="A3103" s="41">
        <v>45360.625762268515</v>
      </c>
      <c r="B3103" s="48">
        <f>IF(A3103&lt;&gt;"",DATE(YEAR(TRANSACTIONS!$A3103),MONTH(TRANSACTIONS!$A3103),DAY(TRANSACTIONS!$A3103)),"")</f>
        <v>45360</v>
      </c>
      <c r="C3103" s="49">
        <f>IF(A3103&lt;&gt;"",TIME(HOUR(TRANSACTIONS!$A3103),MINUTE(TRANSACTIONS!$A3103),SECOND(TRANSACTIONS!$A3103)),"")</f>
        <v>0.6257638888888889</v>
      </c>
      <c r="D3103" s="82" t="s">
        <v>62</v>
      </c>
      <c r="E3103" s="82" t="s">
        <v>6</v>
      </c>
      <c r="F3103" s="85">
        <v>7000</v>
      </c>
      <c r="G3103" s="46"/>
      <c r="H3103" s="46">
        <f>IFERROR(TRANSACTIONS!$F3103+TRANSACTIONS!$G3103,"")</f>
        <v>7000</v>
      </c>
      <c r="I3103" s="40" t="s">
        <v>41</v>
      </c>
    </row>
    <row r="3104" spans="1:10" x14ac:dyDescent="0.25">
      <c r="A3104" s="41">
        <v>45360.625805787036</v>
      </c>
      <c r="B3104" s="48">
        <f>IF(A3104&lt;&gt;"",DATE(YEAR(TRANSACTIONS!$A3104),MONTH(TRANSACTIONS!$A3104),DAY(TRANSACTIONS!$A3104)),"")</f>
        <v>45360</v>
      </c>
      <c r="C3104" s="49">
        <f>IF(A3104&lt;&gt;"",TIME(HOUR(TRANSACTIONS!$A3104),MINUTE(TRANSACTIONS!$A3104),SECOND(TRANSACTIONS!$A3104)),"")</f>
        <v>0.62581018518518516</v>
      </c>
      <c r="D3104" s="82" t="s">
        <v>62</v>
      </c>
      <c r="E3104" s="82" t="s">
        <v>7</v>
      </c>
      <c r="F3104" s="85">
        <v>4000</v>
      </c>
      <c r="G3104" s="46"/>
      <c r="H3104" s="46">
        <f>IFERROR(TRANSACTIONS!$F3104+TRANSACTIONS!$G3104,"")</f>
        <v>4000</v>
      </c>
      <c r="I3104" s="40" t="s">
        <v>41</v>
      </c>
    </row>
    <row r="3105" spans="1:9" x14ac:dyDescent="0.25">
      <c r="A3105" s="41">
        <v>45360.625819212961</v>
      </c>
      <c r="B3105" s="48">
        <f>IF(A3105&lt;&gt;"",DATE(YEAR(TRANSACTIONS!$A3105),MONTH(TRANSACTIONS!$A3105),DAY(TRANSACTIONS!$A3105)),"")</f>
        <v>45360</v>
      </c>
      <c r="C3105" s="49">
        <f>IF(A3105&lt;&gt;"",TIME(HOUR(TRANSACTIONS!$A3105),MINUTE(TRANSACTIONS!$A3105),SECOND(TRANSACTIONS!$A3105)),"")</f>
        <v>0.62582175925925931</v>
      </c>
      <c r="D3105" s="82" t="s">
        <v>62</v>
      </c>
      <c r="E3105" s="40" t="s">
        <v>7</v>
      </c>
      <c r="F3105" s="85">
        <v>8000</v>
      </c>
      <c r="G3105" s="46"/>
      <c r="H3105" s="46">
        <f>IFERROR(TRANSACTIONS!$F3105+TRANSACTIONS!$G3105,"")</f>
        <v>8000</v>
      </c>
      <c r="I3105" s="40" t="s">
        <v>41</v>
      </c>
    </row>
    <row r="3106" spans="1:9" x14ac:dyDescent="0.25">
      <c r="A3106" s="41">
        <v>45360.62582789352</v>
      </c>
      <c r="B3106" s="48">
        <f>IF(A3106&lt;&gt;"",DATE(YEAR(TRANSACTIONS!$A3106),MONTH(TRANSACTIONS!$A3106),DAY(TRANSACTIONS!$A3106)),"")</f>
        <v>45360</v>
      </c>
      <c r="C3106" s="49">
        <f>IF(A3106&lt;&gt;"",TIME(HOUR(TRANSACTIONS!$A3106),MINUTE(TRANSACTIONS!$A3106),SECOND(TRANSACTIONS!$A3106)),"")</f>
        <v>0.62583333333333335</v>
      </c>
      <c r="D3106" s="82" t="s">
        <v>62</v>
      </c>
      <c r="E3106" s="40" t="s">
        <v>6</v>
      </c>
      <c r="F3106" s="85">
        <v>35000</v>
      </c>
      <c r="G3106" s="46"/>
      <c r="H3106" s="46">
        <f>IFERROR(TRANSACTIONS!$F3106+TRANSACTIONS!$G3106,"")</f>
        <v>35000</v>
      </c>
      <c r="I3106" s="40" t="s">
        <v>41</v>
      </c>
    </row>
    <row r="3107" spans="1:9" x14ac:dyDescent="0.25">
      <c r="A3107" s="41">
        <v>45360.62583553241</v>
      </c>
      <c r="B3107" s="48">
        <f>IF(A3107&lt;&gt;"",DATE(YEAR(TRANSACTIONS!$A3107),MONTH(TRANSACTIONS!$A3107),DAY(TRANSACTIONS!$A3107)),"")</f>
        <v>45360</v>
      </c>
      <c r="C3107" s="49">
        <f>IF(A3107&lt;&gt;"",TIME(HOUR(TRANSACTIONS!$A3107),MINUTE(TRANSACTIONS!$A3107),SECOND(TRANSACTIONS!$A3107)),"")</f>
        <v>0.62583333333333335</v>
      </c>
      <c r="D3107" s="82" t="s">
        <v>62</v>
      </c>
      <c r="E3107" s="82" t="s">
        <v>6</v>
      </c>
      <c r="F3107" s="85">
        <v>5000</v>
      </c>
      <c r="G3107" s="46"/>
      <c r="H3107" s="46">
        <f>IFERROR(TRANSACTIONS!$F3107+TRANSACTIONS!$G3107,"")</f>
        <v>5000</v>
      </c>
      <c r="I3107" s="40" t="s">
        <v>41</v>
      </c>
    </row>
    <row r="3108" spans="1:9" x14ac:dyDescent="0.25">
      <c r="A3108" s="41">
        <v>45360.625852199075</v>
      </c>
      <c r="B3108" s="48">
        <f>IF(A3108&lt;&gt;"",DATE(YEAR(TRANSACTIONS!$A3108),MONTH(TRANSACTIONS!$A3108),DAY(TRANSACTIONS!$A3108)),"")</f>
        <v>45360</v>
      </c>
      <c r="C3108" s="49">
        <f>IF(A3108&lt;&gt;"",TIME(HOUR(TRANSACTIONS!$A3108),MINUTE(TRANSACTIONS!$A3108),SECOND(TRANSACTIONS!$A3108)),"")</f>
        <v>0.62585648148148143</v>
      </c>
      <c r="D3108" s="82" t="s">
        <v>62</v>
      </c>
      <c r="E3108" s="40" t="s">
        <v>7</v>
      </c>
      <c r="F3108" s="85">
        <v>10000</v>
      </c>
      <c r="G3108" s="46"/>
      <c r="H3108" s="46">
        <f>IFERROR(TRANSACTIONS!$F3108+TRANSACTIONS!$G3108,"")</f>
        <v>10000</v>
      </c>
      <c r="I3108" s="40" t="s">
        <v>41</v>
      </c>
    </row>
    <row r="3109" spans="1:9" x14ac:dyDescent="0.25">
      <c r="A3109" s="41">
        <v>45360.62585960648</v>
      </c>
      <c r="B3109" s="48">
        <f>IF(A3109&lt;&gt;"",DATE(YEAR(TRANSACTIONS!$A3109),MONTH(TRANSACTIONS!$A3109),DAY(TRANSACTIONS!$A3109)),"")</f>
        <v>45360</v>
      </c>
      <c r="C3109" s="49">
        <f>IF(A3109&lt;&gt;"",TIME(HOUR(TRANSACTIONS!$A3109),MINUTE(TRANSACTIONS!$A3109),SECOND(TRANSACTIONS!$A3109)),"")</f>
        <v>0.62585648148148143</v>
      </c>
      <c r="D3109" s="82" t="s">
        <v>62</v>
      </c>
      <c r="E3109" s="40" t="s">
        <v>7</v>
      </c>
      <c r="F3109" s="85">
        <v>11000</v>
      </c>
      <c r="G3109" s="46"/>
      <c r="H3109" s="46">
        <f>IFERROR(TRANSACTIONS!$F3109+TRANSACTIONS!$G3109,"")</f>
        <v>11000</v>
      </c>
      <c r="I3109" s="40" t="s">
        <v>41</v>
      </c>
    </row>
    <row r="3110" spans="1:9" x14ac:dyDescent="0.25">
      <c r="A3110" s="41">
        <v>45360.625866666669</v>
      </c>
      <c r="B3110" s="48">
        <f>IF(A3110&lt;&gt;"",DATE(YEAR(TRANSACTIONS!$A3110),MONTH(TRANSACTIONS!$A3110),DAY(TRANSACTIONS!$A3110)),"")</f>
        <v>45360</v>
      </c>
      <c r="C3110" s="49">
        <f>IF(A3110&lt;&gt;"",TIME(HOUR(TRANSACTIONS!$A3110),MINUTE(TRANSACTIONS!$A3110),SECOND(TRANSACTIONS!$A3110)),"")</f>
        <v>0.62586805555555558</v>
      </c>
      <c r="D3110" s="82" t="s">
        <v>62</v>
      </c>
      <c r="F3110" s="82"/>
      <c r="G3110" s="46"/>
      <c r="H3110" s="46" t="str">
        <f>IFERROR(TRANSACTIONS!#REF!+TRANSACTIONS!$G3110,"")</f>
        <v/>
      </c>
      <c r="I3110" s="40" t="s">
        <v>41</v>
      </c>
    </row>
    <row r="3111" spans="1:9" x14ac:dyDescent="0.25">
      <c r="A3111" s="41">
        <v>45360.625891782409</v>
      </c>
      <c r="B3111" s="48">
        <f>IF(A3111&lt;&gt;"",DATE(YEAR(TRANSACTIONS!$A3111),MONTH(TRANSACTIONS!$A3111),DAY(TRANSACTIONS!$A3111)),"")</f>
        <v>45360</v>
      </c>
      <c r="C3111" s="49">
        <f>IF(A3111&lt;&gt;"",TIME(HOUR(TRANSACTIONS!$A3111),MINUTE(TRANSACTIONS!$A3111),SECOND(TRANSACTIONS!$A3111)),"")</f>
        <v>0.62589120370370377</v>
      </c>
      <c r="D3111" s="82" t="s">
        <v>62</v>
      </c>
      <c r="F3111" s="82"/>
      <c r="G3111" s="46"/>
      <c r="H3111" s="46" t="str">
        <f>IFERROR(TRANSACTIONS!#REF!+TRANSACTIONS!$G3111,"")</f>
        <v/>
      </c>
      <c r="I3111" s="40" t="s">
        <v>41</v>
      </c>
    </row>
    <row r="3112" spans="1:9" x14ac:dyDescent="0.25">
      <c r="A3112" s="41">
        <v>45360.625908564813</v>
      </c>
      <c r="B3112" s="48">
        <f>IF(A3112&lt;&gt;"",DATE(YEAR(TRANSACTIONS!$A3112),MONTH(TRANSACTIONS!$A3112),DAY(TRANSACTIONS!$A3112)),"")</f>
        <v>45360</v>
      </c>
      <c r="C3112" s="49">
        <f>IF(A3112&lt;&gt;"",TIME(HOUR(TRANSACTIONS!$A3112),MINUTE(TRANSACTIONS!$A3112),SECOND(TRANSACTIONS!$A3112)),"")</f>
        <v>0.62590277777777781</v>
      </c>
      <c r="D3112" s="82"/>
      <c r="F3112" s="82"/>
      <c r="G3112" s="46"/>
      <c r="H3112" s="46" t="str">
        <f>IFERROR(TRANSACTIONS!#REF!+TRANSACTIONS!$G3112,"")</f>
        <v/>
      </c>
      <c r="I3112" s="40" t="s">
        <v>41</v>
      </c>
    </row>
    <row r="3113" spans="1:9" x14ac:dyDescent="0.25">
      <c r="A3113" s="41">
        <v>45360.625917592595</v>
      </c>
      <c r="B3113" s="48">
        <f>IF(A3113&lt;&gt;"",DATE(YEAR(TRANSACTIONS!$A3113),MONTH(TRANSACTIONS!$A3113),DAY(TRANSACTIONS!$A3113)),"")</f>
        <v>45360</v>
      </c>
      <c r="C3113" s="49">
        <f>IF(A3113&lt;&gt;"",TIME(HOUR(TRANSACTIONS!$A3113),MINUTE(TRANSACTIONS!$A3113),SECOND(TRANSACTIONS!$A3113)),"")</f>
        <v>0.62591435185185185</v>
      </c>
      <c r="D3113" s="82"/>
      <c r="F3113" s="82"/>
      <c r="G3113" s="46"/>
      <c r="H3113" s="46" t="str">
        <f>IFERROR(TRANSACTIONS!#REF!+TRANSACTIONS!$G3113,"")</f>
        <v/>
      </c>
      <c r="I3113" s="40" t="s">
        <v>41</v>
      </c>
    </row>
    <row r="3114" spans="1:9" x14ac:dyDescent="0.25">
      <c r="A3114" s="41">
        <v>45360.625925925924</v>
      </c>
      <c r="B3114" s="48">
        <f>IF(A3114&lt;&gt;"",DATE(YEAR(TRANSACTIONS!$A3114),MONTH(TRANSACTIONS!$A3114),DAY(TRANSACTIONS!$A3114)),"")</f>
        <v>45360</v>
      </c>
      <c r="C3114" s="49">
        <f>IF(A3114&lt;&gt;"",TIME(HOUR(TRANSACTIONS!$A3114),MINUTE(TRANSACTIONS!$A3114),SECOND(TRANSACTIONS!$A3114)),"")</f>
        <v>0.62592592592592589</v>
      </c>
      <c r="D3114" s="82"/>
      <c r="F3114" s="82"/>
      <c r="G3114" s="46"/>
      <c r="H3114" s="46" t="str">
        <f>IFERROR(TRANSACTIONS!#REF!+TRANSACTIONS!$G3114,"")</f>
        <v/>
      </c>
      <c r="I3114" s="40" t="s">
        <v>41</v>
      </c>
    </row>
    <row r="3115" spans="1:9" x14ac:dyDescent="0.25">
      <c r="A3115" s="41"/>
      <c r="B3115" s="48" t="str">
        <f>IF(A3115&lt;&gt;"",DATE(YEAR(TRANSACTIONS!$A3115),MONTH(TRANSACTIONS!$A3115),DAY(TRANSACTIONS!$A3115)),"")</f>
        <v/>
      </c>
      <c r="C3115" s="49" t="str">
        <f>IF(A3115&lt;&gt;"",TIME(HOUR(TRANSACTIONS!$A3115),MINUTE(TRANSACTIONS!$A3115),SECOND(TRANSACTIONS!$A3115)),"")</f>
        <v/>
      </c>
      <c r="D3115" s="82"/>
      <c r="F3115" s="82"/>
      <c r="G3115" s="46"/>
      <c r="H3115" s="46" t="str">
        <f>IFERROR(TRANSACTIONS!#REF!+TRANSACTIONS!$G3115,"")</f>
        <v/>
      </c>
      <c r="I3115" s="40" t="s">
        <v>41</v>
      </c>
    </row>
    <row r="3116" spans="1:9" x14ac:dyDescent="0.25">
      <c r="A3116" s="41"/>
      <c r="B3116" s="48" t="str">
        <f>IF(A3116&lt;&gt;"",DATE(YEAR(TRANSACTIONS!$A3116),MONTH(TRANSACTIONS!$A3116),DAY(TRANSACTIONS!$A3116)),"")</f>
        <v/>
      </c>
      <c r="C3116" s="49" t="str">
        <f>IF(A3116&lt;&gt;"",TIME(HOUR(TRANSACTIONS!$A3116),MINUTE(TRANSACTIONS!$A3116),SECOND(TRANSACTIONS!$A3116)),"")</f>
        <v/>
      </c>
      <c r="D3116" s="82"/>
      <c r="E3116" s="82"/>
      <c r="F3116" s="82"/>
      <c r="G3116" s="46"/>
      <c r="H3116" s="46" t="str">
        <f>IFERROR(TRANSACTIONS!#REF!+TRANSACTIONS!$G3116,"")</f>
        <v/>
      </c>
      <c r="I3116" s="40" t="s">
        <v>41</v>
      </c>
    </row>
    <row r="3117" spans="1:9" x14ac:dyDescent="0.25">
      <c r="A3117" s="41"/>
      <c r="B3117" s="48" t="str">
        <f>IF(A3117&lt;&gt;"",DATE(YEAR(TRANSACTIONS!$A3117),MONTH(TRANSACTIONS!$A3117),DAY(TRANSACTIONS!$A3117)),"")</f>
        <v/>
      </c>
      <c r="C3117" s="49" t="str">
        <f>IF(A3117&lt;&gt;"",TIME(HOUR(TRANSACTIONS!$A3117),MINUTE(TRANSACTIONS!$A3117),SECOND(TRANSACTIONS!$A3117)),"")</f>
        <v/>
      </c>
      <c r="D3117" s="82"/>
      <c r="E3117" s="82"/>
      <c r="F3117" s="82"/>
      <c r="G3117" s="46"/>
      <c r="H3117" s="46" t="str">
        <f>IFERROR(TRANSACTIONS!#REF!+TRANSACTIONS!$G3117,"")</f>
        <v/>
      </c>
      <c r="I3117" s="40" t="s">
        <v>41</v>
      </c>
    </row>
    <row r="3118" spans="1:9" x14ac:dyDescent="0.25">
      <c r="A3118" s="41"/>
      <c r="B3118" s="48" t="str">
        <f>IF(A3118&lt;&gt;"",DATE(YEAR(TRANSACTIONS!$A3118),MONTH(TRANSACTIONS!$A3118),DAY(TRANSACTIONS!$A3118)),"")</f>
        <v/>
      </c>
      <c r="C3118" s="49" t="str">
        <f>IF(A3118&lt;&gt;"",TIME(HOUR(TRANSACTIONS!$A3118),MINUTE(TRANSACTIONS!$A3118),SECOND(TRANSACTIONS!$A3118)),"")</f>
        <v/>
      </c>
      <c r="D3118" s="82"/>
      <c r="E3118" s="82"/>
      <c r="F3118" s="82"/>
      <c r="G3118" s="46"/>
      <c r="H3118" s="46" t="str">
        <f>IFERROR(TRANSACTIONS!#REF!+TRANSACTIONS!$G3118,"")</f>
        <v/>
      </c>
      <c r="I3118" s="40" t="s">
        <v>41</v>
      </c>
    </row>
    <row r="3119" spans="1:9" x14ac:dyDescent="0.25">
      <c r="A3119" s="41"/>
      <c r="B3119" s="48" t="str">
        <f>IF(A3119&lt;&gt;"",DATE(YEAR(TRANSACTIONS!$A3119),MONTH(TRANSACTIONS!$A3119),DAY(TRANSACTIONS!$A3119)),"")</f>
        <v/>
      </c>
      <c r="C3119" s="49" t="str">
        <f>IF(A3119&lt;&gt;"",TIME(HOUR(TRANSACTIONS!$A3119),MINUTE(TRANSACTIONS!$A3119),SECOND(TRANSACTIONS!$A3119)),"")</f>
        <v/>
      </c>
      <c r="D3119" s="82"/>
      <c r="E3119" s="82"/>
      <c r="F3119" s="82"/>
      <c r="G3119" s="46"/>
      <c r="H3119" s="46" t="str">
        <f>IFERROR(TRANSACTIONS!#REF!+TRANSACTIONS!$G3119,"")</f>
        <v/>
      </c>
      <c r="I3119" s="40" t="s">
        <v>41</v>
      </c>
    </row>
    <row r="3120" spans="1:9" x14ac:dyDescent="0.25">
      <c r="A3120" s="41"/>
      <c r="B3120" s="48" t="str">
        <f>IF(A3120&lt;&gt;"",DATE(YEAR(TRANSACTIONS!$A3120),MONTH(TRANSACTIONS!$A3120),DAY(TRANSACTIONS!$A3120)),"")</f>
        <v/>
      </c>
      <c r="C3120" s="49" t="str">
        <f>IF(A3120&lt;&gt;"",TIME(HOUR(TRANSACTIONS!$A3120),MINUTE(TRANSACTIONS!$A3120),SECOND(TRANSACTIONS!$A3120)),"")</f>
        <v/>
      </c>
      <c r="D3120" s="82"/>
      <c r="E3120" s="82"/>
      <c r="F3120" s="82"/>
      <c r="G3120" s="46"/>
      <c r="H3120" s="46" t="str">
        <f>IFERROR(TRANSACTIONS!#REF!+TRANSACTIONS!$G3120,"")</f>
        <v/>
      </c>
      <c r="I3120" s="40" t="s">
        <v>41</v>
      </c>
    </row>
    <row r="3121" spans="1:10" x14ac:dyDescent="0.25">
      <c r="A3121" s="41">
        <v>45360.626022337965</v>
      </c>
      <c r="B3121" s="48">
        <f>IF(A3121&lt;&gt;"",DATE(YEAR(TRANSACTIONS!$A3121),MONTH(TRANSACTIONS!$A3121),DAY(TRANSACTIONS!$A3121)),"")</f>
        <v>45360</v>
      </c>
      <c r="C3121" s="49">
        <f>IF(A3121&lt;&gt;"",TIME(HOUR(TRANSACTIONS!$A3121),MINUTE(TRANSACTIONS!$A3121),SECOND(TRANSACTIONS!$A3121)),"")</f>
        <v>0.62601851851851853</v>
      </c>
      <c r="D3121" s="82" t="s">
        <v>62</v>
      </c>
      <c r="E3121" s="82" t="s">
        <v>7</v>
      </c>
      <c r="F3121" s="85">
        <v>2500</v>
      </c>
      <c r="G3121" s="46"/>
      <c r="H3121" s="46">
        <f>IFERROR(TRANSACTIONS!$F3121+TRANSACTIONS!$G3121,"")</f>
        <v>2500</v>
      </c>
      <c r="I3121" s="40" t="s">
        <v>41</v>
      </c>
    </row>
    <row r="3122" spans="1:10" x14ac:dyDescent="0.25">
      <c r="A3122" s="41">
        <v>45360.626605671299</v>
      </c>
      <c r="B3122" s="48">
        <f>IF(A3122&lt;&gt;"",DATE(YEAR(TRANSACTIONS!$A3122),MONTH(TRANSACTIONS!$A3122),DAY(TRANSACTIONS!$A3122)),"")</f>
        <v>45360</v>
      </c>
      <c r="C3122" s="49">
        <f>IF(A3122&lt;&gt;"",TIME(HOUR(TRANSACTIONS!$A3122),MINUTE(TRANSACTIONS!$A3122),SECOND(TRANSACTIONS!$A3122)),"")</f>
        <v>0.62660879629629629</v>
      </c>
      <c r="D3122" s="82" t="s">
        <v>62</v>
      </c>
      <c r="E3122" s="82" t="s">
        <v>7</v>
      </c>
      <c r="F3122" s="85">
        <v>10000</v>
      </c>
      <c r="G3122" s="46"/>
      <c r="H3122" s="46">
        <f>IFERROR(TRANSACTIONS!$F3122+TRANSACTIONS!$G3122,"")</f>
        <v>10000</v>
      </c>
      <c r="I3122" s="40" t="s">
        <v>41</v>
      </c>
    </row>
    <row r="3123" spans="1:10" x14ac:dyDescent="0.25">
      <c r="A3123" s="41">
        <v>45360.626669675927</v>
      </c>
      <c r="B3123" s="48">
        <f>IF(A3123&lt;&gt;"",DATE(YEAR(TRANSACTIONS!$A3123),MONTH(TRANSACTIONS!$A3123),DAY(TRANSACTIONS!$A3123)),"")</f>
        <v>45360</v>
      </c>
      <c r="C3123" s="49">
        <f>IF(A3123&lt;&gt;"",TIME(HOUR(TRANSACTIONS!$A3123),MINUTE(TRANSACTIONS!$A3123),SECOND(TRANSACTIONS!$A3123)),"")</f>
        <v>0.62666666666666659</v>
      </c>
      <c r="D3123" s="82" t="s">
        <v>62</v>
      </c>
      <c r="E3123" s="82" t="s">
        <v>7</v>
      </c>
      <c r="F3123" s="85">
        <v>1000</v>
      </c>
      <c r="G3123" s="46"/>
      <c r="H3123" s="46">
        <f>IFERROR(TRANSACTIONS!$F3123+TRANSACTIONS!$G3123,"")</f>
        <v>1000</v>
      </c>
      <c r="I3123" s="40" t="s">
        <v>41</v>
      </c>
    </row>
    <row r="3124" spans="1:10" x14ac:dyDescent="0.25">
      <c r="A3124" s="41">
        <v>45360.626678125001</v>
      </c>
      <c r="B3124" s="48">
        <f>IF(A3124&lt;&gt;"",DATE(YEAR(TRANSACTIONS!$A3124),MONTH(TRANSACTIONS!$A3124),DAY(TRANSACTIONS!$A3124)),"")</f>
        <v>45360</v>
      </c>
      <c r="C3124" s="49">
        <f>IF(A3124&lt;&gt;"",TIME(HOUR(TRANSACTIONS!$A3124),MINUTE(TRANSACTIONS!$A3124),SECOND(TRANSACTIONS!$A3124)),"")</f>
        <v>0.62667824074074074</v>
      </c>
      <c r="D3124" s="82" t="s">
        <v>62</v>
      </c>
      <c r="E3124" s="82" t="s">
        <v>6</v>
      </c>
      <c r="F3124" s="85">
        <v>550</v>
      </c>
      <c r="G3124" s="46"/>
      <c r="H3124" s="46">
        <f>IFERROR(TRANSACTIONS!$F3124+TRANSACTIONS!$G3124,"")</f>
        <v>550</v>
      </c>
      <c r="I3124" s="40" t="s">
        <v>41</v>
      </c>
    </row>
    <row r="3125" spans="1:10" x14ac:dyDescent="0.25">
      <c r="A3125" s="41">
        <v>45360.626688773147</v>
      </c>
      <c r="B3125" s="48">
        <f>IF(A3125&lt;&gt;"",DATE(YEAR(TRANSACTIONS!$A3125),MONTH(TRANSACTIONS!$A3125),DAY(TRANSACTIONS!$A3125)),"")</f>
        <v>45360</v>
      </c>
      <c r="C3125" s="49">
        <f>IF(A3125&lt;&gt;"",TIME(HOUR(TRANSACTIONS!$A3125),MINUTE(TRANSACTIONS!$A3125),SECOND(TRANSACTIONS!$A3125)),"")</f>
        <v>0.62668981481481478</v>
      </c>
      <c r="D3125" s="82" t="s">
        <v>62</v>
      </c>
      <c r="E3125" s="82" t="s">
        <v>7</v>
      </c>
      <c r="F3125" s="85">
        <v>9900</v>
      </c>
      <c r="G3125" s="46"/>
      <c r="H3125" s="46">
        <f>IFERROR(TRANSACTIONS!$F3125+TRANSACTIONS!$G3125,"")</f>
        <v>9900</v>
      </c>
      <c r="I3125" s="40" t="s">
        <v>41</v>
      </c>
    </row>
    <row r="3126" spans="1:10" x14ac:dyDescent="0.25">
      <c r="A3126" s="41">
        <v>45360.626696412037</v>
      </c>
      <c r="B3126" s="48">
        <f>IF(A3126&lt;&gt;"",DATE(YEAR(TRANSACTIONS!$A3126),MONTH(TRANSACTIONS!$A3126),DAY(TRANSACTIONS!$A3126)),"")</f>
        <v>45360</v>
      </c>
      <c r="C3126" s="49">
        <f>IF(A3126&lt;&gt;"",TIME(HOUR(TRANSACTIONS!$A3126),MINUTE(TRANSACTIONS!$A3126),SECOND(TRANSACTIONS!$A3126)),"")</f>
        <v>0.62670138888888893</v>
      </c>
      <c r="D3126" s="82" t="s">
        <v>62</v>
      </c>
      <c r="E3126" s="82" t="s">
        <v>7</v>
      </c>
      <c r="F3126" s="85">
        <v>17000</v>
      </c>
      <c r="G3126" s="46"/>
      <c r="H3126" s="46">
        <f>IFERROR(TRANSACTIONS!$F3126+TRANSACTIONS!$G3126,"")</f>
        <v>17000</v>
      </c>
      <c r="I3126" s="40" t="s">
        <v>41</v>
      </c>
    </row>
    <row r="3127" spans="1:10" x14ac:dyDescent="0.25">
      <c r="A3127" s="88"/>
      <c r="B3127" s="83">
        <f>IF(E3127&lt;&gt;"",DATE(YEAR(TRANSACTIONS!$E3127),MONTH(TRANSACTIONS!$E3127),DAY(TRANSACTIONS!$E3127)),"")</f>
        <v>45360</v>
      </c>
      <c r="C3127" s="84">
        <f>IF(E3127&lt;&gt;"",TIME(HOUR(TRANSACTIONS!$E3127),MINUTE(TRANSACTIONS!$E3127),SECOND(TRANSACTIONS!$E3127)),"")</f>
        <v>0.62489583333333332</v>
      </c>
      <c r="D3127" s="82" t="s">
        <v>62</v>
      </c>
      <c r="E3127" s="82">
        <v>45360.624890624997</v>
      </c>
      <c r="F3127" s="85">
        <v>1000</v>
      </c>
      <c r="G3127" s="86"/>
      <c r="H3127" s="86">
        <f>IFERROR(TRANSACTIONS!$F3127+TRANSACTIONS!$G3127,"")</f>
        <v>1000</v>
      </c>
      <c r="I3127" s="88" t="s">
        <v>41</v>
      </c>
    </row>
    <row r="3128" spans="1:10" x14ac:dyDescent="0.25">
      <c r="A3128" s="41">
        <v>45360.626756597223</v>
      </c>
      <c r="B3128" s="48">
        <f>IF(A3128&lt;&gt;"",DATE(YEAR(TRANSACTIONS!$A3128),MONTH(TRANSACTIONS!$A3128),DAY(TRANSACTIONS!$A3128)),"")</f>
        <v>45360</v>
      </c>
      <c r="C3128" s="49">
        <f>IF(A3128&lt;&gt;"",TIME(HOUR(TRANSACTIONS!$A3128),MINUTE(TRANSACTIONS!$A3128),SECOND(TRANSACTIONS!$A3128)),"")</f>
        <v>0.62675925925925924</v>
      </c>
      <c r="D3128" s="82" t="s">
        <v>62</v>
      </c>
      <c r="E3128" s="82" t="s">
        <v>7</v>
      </c>
      <c r="F3128" s="85">
        <v>2000</v>
      </c>
      <c r="G3128" s="46"/>
      <c r="H3128" s="46">
        <f>IFERROR(TRANSACTIONS!$F3128+TRANSACTIONS!$G3128,"")</f>
        <v>2000</v>
      </c>
      <c r="I3128" s="40" t="s">
        <v>41</v>
      </c>
    </row>
    <row r="3129" spans="1:10" x14ac:dyDescent="0.25">
      <c r="A3129" s="41">
        <v>45360.62675949074</v>
      </c>
      <c r="B3129" s="48">
        <f>IF(A3129&lt;&gt;"",DATE(YEAR(TRANSACTIONS!$A3129),MONTH(TRANSACTIONS!$A3129),DAY(TRANSACTIONS!$A3129)),"")</f>
        <v>45360</v>
      </c>
      <c r="C3129" s="49">
        <f>IF(A3129&lt;&gt;"",TIME(HOUR(TRANSACTIONS!$A3129),MINUTE(TRANSACTIONS!$A3129),SECOND(TRANSACTIONS!$A3129)),"")</f>
        <v>0.62675925925925924</v>
      </c>
      <c r="D3129" s="82" t="s">
        <v>62</v>
      </c>
      <c r="E3129" s="82" t="s">
        <v>6</v>
      </c>
      <c r="F3129" s="85">
        <v>1000</v>
      </c>
      <c r="G3129" s="46"/>
      <c r="H3129" s="46">
        <f>IFERROR(TRANSACTIONS!$F3129+TRANSACTIONS!$G3129,"")</f>
        <v>1000</v>
      </c>
      <c r="I3129" s="40" t="s">
        <v>41</v>
      </c>
    </row>
    <row r="3130" spans="1:10" x14ac:dyDescent="0.25">
      <c r="A3130" s="41">
        <v>45360.626766898145</v>
      </c>
      <c r="B3130" s="48">
        <f>IF(A3130&lt;&gt;"",DATE(YEAR(TRANSACTIONS!$A3130),MONTH(TRANSACTIONS!$A3130),DAY(TRANSACTIONS!$A3130)),"")</f>
        <v>45360</v>
      </c>
      <c r="C3130" s="49">
        <f>IF(A3130&lt;&gt;"",TIME(HOUR(TRANSACTIONS!$A3130),MINUTE(TRANSACTIONS!$A3130),SECOND(TRANSACTIONS!$A3130)),"")</f>
        <v>0.62677083333333339</v>
      </c>
      <c r="D3130" s="82" t="s">
        <v>62</v>
      </c>
      <c r="E3130" s="82" t="s">
        <v>6</v>
      </c>
      <c r="F3130" s="85">
        <v>2000</v>
      </c>
      <c r="G3130" s="46"/>
      <c r="H3130" s="46">
        <f>IFERROR(TRANSACTIONS!$F3130+TRANSACTIONS!$G3130,"")</f>
        <v>2000</v>
      </c>
      <c r="I3130" s="40" t="s">
        <v>41</v>
      </c>
    </row>
    <row r="3131" spans="1:10" x14ac:dyDescent="0.25">
      <c r="A3131" s="81">
        <v>45360.626794212963</v>
      </c>
      <c r="B3131" s="83">
        <f>IF(A3131&lt;&gt;"",DATE(YEAR(TRANSACTIONS!$A3131),MONTH(TRANSACTIONS!$A3131),DAY(TRANSACTIONS!$A3131)),"")</f>
        <v>45360</v>
      </c>
      <c r="C3131" s="84">
        <f>IF(A3131&lt;&gt;"",TIME(HOUR(TRANSACTIONS!$A3131),MINUTE(TRANSACTIONS!$A3131),SECOND(TRANSACTIONS!$A3131)),"")</f>
        <v>0.62679398148148147</v>
      </c>
      <c r="D3131" s="82" t="s">
        <v>62</v>
      </c>
      <c r="E3131" s="82" t="s">
        <v>7</v>
      </c>
      <c r="F3131" s="85">
        <v>30000</v>
      </c>
      <c r="G3131" s="86"/>
      <c r="H3131" s="86">
        <f>IFERROR(TRANSACTIONS!$F3131+TRANSACTIONS!$G3131,"")</f>
        <v>30000</v>
      </c>
      <c r="I3131" s="88" t="s">
        <v>41</v>
      </c>
      <c r="J3131" s="88"/>
    </row>
    <row r="3132" spans="1:10" x14ac:dyDescent="0.25">
      <c r="A3132" s="81">
        <v>45360.626802893516</v>
      </c>
      <c r="B3132" s="83">
        <f>IF(A3132&lt;&gt;"",DATE(YEAR(TRANSACTIONS!$A3132),MONTH(TRANSACTIONS!$A3132),DAY(TRANSACTIONS!$A3132)),"")</f>
        <v>45360</v>
      </c>
      <c r="C3132" s="84">
        <f>IF(A3132&lt;&gt;"",TIME(HOUR(TRANSACTIONS!$A3132),MINUTE(TRANSACTIONS!$A3132),SECOND(TRANSACTIONS!$A3132)),"")</f>
        <v>0.6268055555555555</v>
      </c>
      <c r="D3132" s="82" t="s">
        <v>62</v>
      </c>
      <c r="E3132" s="82" t="s">
        <v>6</v>
      </c>
      <c r="F3132" s="85">
        <v>10000</v>
      </c>
      <c r="G3132" s="86"/>
      <c r="H3132" s="86">
        <f>IFERROR(TRANSACTIONS!$F3132+TRANSACTIONS!$G3132,"")</f>
        <v>10000</v>
      </c>
      <c r="I3132" s="88" t="s">
        <v>41</v>
      </c>
    </row>
    <row r="3133" spans="1:10" x14ac:dyDescent="0.25">
      <c r="A3133" s="41">
        <v>45360.626811689814</v>
      </c>
      <c r="B3133" s="48">
        <f>IF(A3133&lt;&gt;"",DATE(YEAR(TRANSACTIONS!$A3133),MONTH(TRANSACTIONS!$A3133),DAY(TRANSACTIONS!$A3133)),"")</f>
        <v>45360</v>
      </c>
      <c r="C3133" s="49">
        <f>IF(A3133&lt;&gt;"",TIME(HOUR(TRANSACTIONS!$A3133),MINUTE(TRANSACTIONS!$A3133),SECOND(TRANSACTIONS!$A3133)),"")</f>
        <v>0.62681712962962965</v>
      </c>
      <c r="D3133" s="82" t="s">
        <v>62</v>
      </c>
      <c r="E3133" s="82" t="s">
        <v>6</v>
      </c>
      <c r="F3133" s="85">
        <v>3000</v>
      </c>
      <c r="G3133" s="46"/>
      <c r="H3133" s="46">
        <f>IFERROR(TRANSACTIONS!$F3133+TRANSACTIONS!$G3133,"")</f>
        <v>3000</v>
      </c>
      <c r="I3133" s="40" t="s">
        <v>41</v>
      </c>
    </row>
    <row r="3134" spans="1:10" x14ac:dyDescent="0.25">
      <c r="A3134" s="113">
        <v>45360.626825694446</v>
      </c>
      <c r="B3134" s="114">
        <f>IF(A3134&lt;&gt;"",DATE(YEAR(TRANSACTIONS!$A3134),MONTH(TRANSACTIONS!$A3134),DAY(TRANSACTIONS!$A3134)),"")</f>
        <v>45360</v>
      </c>
      <c r="C3134" s="115">
        <f>IF(A3134&lt;&gt;"",TIME(HOUR(TRANSACTIONS!$A3134),MINUTE(TRANSACTIONS!$A3134),SECOND(TRANSACTIONS!$A3134)),"")</f>
        <v>0.62682870370370369</v>
      </c>
      <c r="D3134" s="82" t="s">
        <v>62</v>
      </c>
      <c r="E3134" s="82" t="s">
        <v>7</v>
      </c>
      <c r="F3134" s="85">
        <v>5000</v>
      </c>
      <c r="G3134" s="117"/>
      <c r="H3134" s="117">
        <f>IFERROR(TRANSACTIONS!$F3134+TRANSACTIONS!$G3134,"")</f>
        <v>5000</v>
      </c>
      <c r="I3134" s="118" t="s">
        <v>41</v>
      </c>
      <c r="J3134" s="118"/>
    </row>
    <row r="3135" spans="1:10" x14ac:dyDescent="0.25">
      <c r="A3135" s="41">
        <v>45360.626834374998</v>
      </c>
      <c r="B3135" s="48">
        <f>IF(A3135&lt;&gt;"",DATE(YEAR(TRANSACTIONS!$A3135),MONTH(TRANSACTIONS!$A3135),DAY(TRANSACTIONS!$A3135)),"")</f>
        <v>45360</v>
      </c>
      <c r="C3135" s="49">
        <f>IF(A3135&lt;&gt;"",TIME(HOUR(TRANSACTIONS!$A3135),MINUTE(TRANSACTIONS!$A3135),SECOND(TRANSACTIONS!$A3135)),"")</f>
        <v>0.62682870370370369</v>
      </c>
      <c r="D3135" s="82" t="s">
        <v>62</v>
      </c>
      <c r="E3135" s="82" t="s">
        <v>6</v>
      </c>
      <c r="F3135" s="85">
        <v>3000</v>
      </c>
      <c r="G3135" s="46"/>
      <c r="H3135" s="46">
        <f>IFERROR(TRANSACTIONS!$F3135+TRANSACTIONS!$G3135,"")</f>
        <v>3000</v>
      </c>
      <c r="I3135" s="40" t="s">
        <v>41</v>
      </c>
    </row>
    <row r="3136" spans="1:10" x14ac:dyDescent="0.25">
      <c r="A3136" s="41">
        <v>45360.626862384262</v>
      </c>
      <c r="B3136" s="48">
        <f>IF(A3136&lt;&gt;"",DATE(YEAR(TRANSACTIONS!$A3136),MONTH(TRANSACTIONS!$A3136),DAY(TRANSACTIONS!$A3136)),"")</f>
        <v>45360</v>
      </c>
      <c r="C3136" s="49">
        <f>IF(A3136&lt;&gt;"",TIME(HOUR(TRANSACTIONS!$A3136),MINUTE(TRANSACTIONS!$A3136),SECOND(TRANSACTIONS!$A3136)),"")</f>
        <v>0.62686342592592592</v>
      </c>
      <c r="D3136" s="82" t="s">
        <v>62</v>
      </c>
      <c r="E3136" s="82" t="s">
        <v>7</v>
      </c>
      <c r="F3136" s="85">
        <v>6000</v>
      </c>
      <c r="G3136" s="46"/>
      <c r="H3136" s="46">
        <f>IFERROR(TRANSACTIONS!$F3136+TRANSACTIONS!$G3136,"")</f>
        <v>6000</v>
      </c>
      <c r="I3136" s="40" t="s">
        <v>41</v>
      </c>
    </row>
    <row r="3137" spans="1:9" x14ac:dyDescent="0.25">
      <c r="A3137" s="41">
        <v>45360.62687083333</v>
      </c>
      <c r="B3137" s="48">
        <f>IF(A3137&lt;&gt;"",DATE(YEAR(TRANSACTIONS!$A3137),MONTH(TRANSACTIONS!$A3137),DAY(TRANSACTIONS!$A3137)),"")</f>
        <v>45360</v>
      </c>
      <c r="C3137" s="49">
        <f>IF(A3137&lt;&gt;"",TIME(HOUR(TRANSACTIONS!$A3137),MINUTE(TRANSACTIONS!$A3137),SECOND(TRANSACTIONS!$A3137)),"")</f>
        <v>0.62687499999999996</v>
      </c>
      <c r="D3137" s="82" t="s">
        <v>62</v>
      </c>
      <c r="E3137" s="82" t="s">
        <v>7</v>
      </c>
      <c r="F3137" s="85">
        <v>5000</v>
      </c>
      <c r="G3137" s="46"/>
      <c r="H3137" s="46">
        <f>IFERROR(TRANSACTIONS!$F3137+TRANSACTIONS!$G3137,"")</f>
        <v>5000</v>
      </c>
      <c r="I3137" s="40" t="s">
        <v>41</v>
      </c>
    </row>
    <row r="3138" spans="1:9" x14ac:dyDescent="0.25">
      <c r="A3138" s="81">
        <v>45360.626879398151</v>
      </c>
      <c r="B3138" s="83">
        <f>IF(A3138&lt;&gt;"",DATE(YEAR(TRANSACTIONS!$A3138),MONTH(TRANSACTIONS!$A3138),DAY(TRANSACTIONS!$A3138)),"")</f>
        <v>45360</v>
      </c>
      <c r="C3138" s="84">
        <f>IF(A3138&lt;&gt;"",TIME(HOUR(TRANSACTIONS!$A3138),MINUTE(TRANSACTIONS!$A3138),SECOND(TRANSACTIONS!$A3138)),"")</f>
        <v>0.62687499999999996</v>
      </c>
      <c r="D3138" s="82" t="s">
        <v>62</v>
      </c>
      <c r="E3138" s="82" t="s">
        <v>7</v>
      </c>
      <c r="F3138" s="85">
        <v>1500</v>
      </c>
      <c r="G3138" s="86"/>
      <c r="H3138" s="86">
        <f>IFERROR(TRANSACTIONS!$F3138+TRANSACTIONS!$G3138,"")</f>
        <v>1500</v>
      </c>
      <c r="I3138" s="88" t="s">
        <v>41</v>
      </c>
    </row>
    <row r="3139" spans="1:9" x14ac:dyDescent="0.25">
      <c r="A3139" s="41">
        <v>45360.626886921294</v>
      </c>
      <c r="B3139" s="48">
        <f>IF(A3139&lt;&gt;"",DATE(YEAR(TRANSACTIONS!$A3139),MONTH(TRANSACTIONS!$A3139),DAY(TRANSACTIONS!$A3139)),"")</f>
        <v>45360</v>
      </c>
      <c r="C3139" s="49">
        <f>IF(A3139&lt;&gt;"",TIME(HOUR(TRANSACTIONS!$A3139),MINUTE(TRANSACTIONS!$A3139),SECOND(TRANSACTIONS!$A3139)),"")</f>
        <v>0.62688657407407411</v>
      </c>
      <c r="D3139" s="82" t="s">
        <v>62</v>
      </c>
      <c r="E3139" s="82" t="s">
        <v>6</v>
      </c>
      <c r="F3139" s="85">
        <v>3000</v>
      </c>
      <c r="G3139" s="46"/>
      <c r="H3139" s="46">
        <f>IFERROR(TRANSACTIONS!$F3139+TRANSACTIONS!$G3139,"")</f>
        <v>3000</v>
      </c>
      <c r="I3139" s="40" t="s">
        <v>41</v>
      </c>
    </row>
    <row r="3140" spans="1:9" x14ac:dyDescent="0.25">
      <c r="A3140" s="41">
        <v>45360.626898379633</v>
      </c>
      <c r="B3140" s="48">
        <f>IF(A3140&lt;&gt;"",DATE(YEAR(TRANSACTIONS!$A3140),MONTH(TRANSACTIONS!$A3140),DAY(TRANSACTIONS!$A3140)),"")</f>
        <v>45360</v>
      </c>
      <c r="C3140" s="49">
        <f>IF(A3140&lt;&gt;"",TIME(HOUR(TRANSACTIONS!$A3140),MINUTE(TRANSACTIONS!$A3140),SECOND(TRANSACTIONS!$A3140)),"")</f>
        <v>0.62689814814814815</v>
      </c>
      <c r="D3140" s="82" t="s">
        <v>62</v>
      </c>
      <c r="E3140" s="82" t="s">
        <v>7</v>
      </c>
      <c r="F3140" s="85">
        <v>15000</v>
      </c>
      <c r="G3140" s="46"/>
      <c r="H3140" s="46">
        <f>IFERROR(TRANSACTIONS!$F3140+TRANSACTIONS!$G3140,"")</f>
        <v>15000</v>
      </c>
      <c r="I3140" s="40" t="s">
        <v>41</v>
      </c>
    </row>
    <row r="3141" spans="1:9" x14ac:dyDescent="0.25">
      <c r="A3141" s="41">
        <v>45360.626913194443</v>
      </c>
      <c r="B3141" s="48">
        <f>IF(A3141&lt;&gt;"",DATE(YEAR(TRANSACTIONS!$A3141),MONTH(TRANSACTIONS!$A3141),DAY(TRANSACTIONS!$A3141)),"")</f>
        <v>45360</v>
      </c>
      <c r="C3141" s="49">
        <f>IF(A3141&lt;&gt;"",TIME(HOUR(TRANSACTIONS!$A3141),MINUTE(TRANSACTIONS!$A3141),SECOND(TRANSACTIONS!$A3141)),"")</f>
        <v>0.62690972222222219</v>
      </c>
      <c r="D3141" s="82" t="s">
        <v>62</v>
      </c>
      <c r="E3141" s="82" t="s">
        <v>6</v>
      </c>
      <c r="F3141" s="85">
        <v>10000</v>
      </c>
      <c r="G3141" s="46"/>
      <c r="H3141" s="46">
        <f>IFERROR(TRANSACTIONS!$F3141+TRANSACTIONS!$G3141,"")</f>
        <v>10000</v>
      </c>
      <c r="I3141" s="40" t="s">
        <v>41</v>
      </c>
    </row>
    <row r="3142" spans="1:9" x14ac:dyDescent="0.25">
      <c r="A3142" s="41">
        <v>45360.626922800926</v>
      </c>
      <c r="B3142" s="48">
        <f>IF(A3142&lt;&gt;"",DATE(YEAR(TRANSACTIONS!$A3142),MONTH(TRANSACTIONS!$A3142),DAY(TRANSACTIONS!$A3142)),"")</f>
        <v>45360</v>
      </c>
      <c r="C3142" s="49">
        <f>IF(A3142&lt;&gt;"",TIME(HOUR(TRANSACTIONS!$A3142),MINUTE(TRANSACTIONS!$A3142),SECOND(TRANSACTIONS!$A3142)),"")</f>
        <v>0.62692129629629634</v>
      </c>
      <c r="D3142" s="82" t="s">
        <v>62</v>
      </c>
      <c r="E3142" s="82" t="s">
        <v>7</v>
      </c>
      <c r="F3142" s="85">
        <v>2000</v>
      </c>
      <c r="G3142" s="46"/>
      <c r="H3142" s="46">
        <f>IFERROR(TRANSACTIONS!$F3142+TRANSACTIONS!$G3142,"")</f>
        <v>2000</v>
      </c>
      <c r="I3142" s="40" t="s">
        <v>41</v>
      </c>
    </row>
    <row r="3143" spans="1:9" x14ac:dyDescent="0.25">
      <c r="A3143" s="41">
        <v>45360.626931250001</v>
      </c>
      <c r="B3143" s="48">
        <f>IF(A3143&lt;&gt;"",DATE(YEAR(TRANSACTIONS!$A3143),MONTH(TRANSACTIONS!$A3143),DAY(TRANSACTIONS!$A3143)),"")</f>
        <v>45360</v>
      </c>
      <c r="C3143" s="49">
        <f>IF(A3143&lt;&gt;"",TIME(HOUR(TRANSACTIONS!$A3143),MINUTE(TRANSACTIONS!$A3143),SECOND(TRANSACTIONS!$A3143)),"")</f>
        <v>0.62693287037037038</v>
      </c>
      <c r="D3143" s="82" t="s">
        <v>62</v>
      </c>
      <c r="E3143" s="82" t="s">
        <v>6</v>
      </c>
      <c r="F3143" s="85">
        <v>7000</v>
      </c>
      <c r="G3143" s="46"/>
      <c r="H3143" s="46">
        <f>IFERROR(TRANSACTIONS!$F3143+TRANSACTIONS!$G3143,"")</f>
        <v>7000</v>
      </c>
      <c r="I3143" s="40" t="s">
        <v>41</v>
      </c>
    </row>
    <row r="3144" spans="1:9" x14ac:dyDescent="0.25">
      <c r="A3144" s="41">
        <v>45360.626939351852</v>
      </c>
      <c r="B3144" s="48">
        <f>IF(A3144&lt;&gt;"",DATE(YEAR(TRANSACTIONS!$A3144),MONTH(TRANSACTIONS!$A3144),DAY(TRANSACTIONS!$A3144)),"")</f>
        <v>45360</v>
      </c>
      <c r="C3144" s="49">
        <f>IF(A3144&lt;&gt;"",TIME(HOUR(TRANSACTIONS!$A3144),MINUTE(TRANSACTIONS!$A3144),SECOND(TRANSACTIONS!$A3144)),"")</f>
        <v>0.62694444444444442</v>
      </c>
      <c r="D3144" s="82" t="s">
        <v>62</v>
      </c>
      <c r="E3144" s="82" t="s">
        <v>6</v>
      </c>
      <c r="F3144" s="85">
        <v>2000</v>
      </c>
      <c r="G3144" s="46"/>
      <c r="H3144" s="46">
        <f>IFERROR(TRANSACTIONS!$F3144+TRANSACTIONS!$G3144,"")</f>
        <v>2000</v>
      </c>
      <c r="I3144" s="40" t="s">
        <v>41</v>
      </c>
    </row>
    <row r="3145" spans="1:9" x14ac:dyDescent="0.25">
      <c r="A3145" s="41">
        <v>45360.626947685188</v>
      </c>
      <c r="B3145" s="48">
        <f>IF(A3145&lt;&gt;"",DATE(YEAR(TRANSACTIONS!$A3145),MONTH(TRANSACTIONS!$A3145),DAY(TRANSACTIONS!$A3145)),"")</f>
        <v>45360</v>
      </c>
      <c r="C3145" s="49">
        <f>IF(A3145&lt;&gt;"",TIME(HOUR(TRANSACTIONS!$A3145),MINUTE(TRANSACTIONS!$A3145),SECOND(TRANSACTIONS!$A3145)),"")</f>
        <v>0.62694444444444442</v>
      </c>
      <c r="D3145" s="82" t="s">
        <v>62</v>
      </c>
      <c r="E3145" s="82" t="s">
        <v>7</v>
      </c>
      <c r="F3145" s="94">
        <v>5000</v>
      </c>
      <c r="G3145" s="46"/>
      <c r="H3145" s="46">
        <f>IFERROR(TRANSACTIONS!$F3145+TRANSACTIONS!$G3145,"")</f>
        <v>5000</v>
      </c>
      <c r="I3145" s="40" t="s">
        <v>41</v>
      </c>
    </row>
    <row r="3146" spans="1:9" x14ac:dyDescent="0.25">
      <c r="A3146" s="41">
        <v>45360.626956250002</v>
      </c>
      <c r="B3146" s="48">
        <f>IF(A3146&lt;&gt;"",DATE(YEAR(TRANSACTIONS!$A3146),MONTH(TRANSACTIONS!$A3146),DAY(TRANSACTIONS!$A3146)),"")</f>
        <v>45360</v>
      </c>
      <c r="C3146" s="49">
        <f>IF(A3146&lt;&gt;"",TIME(HOUR(TRANSACTIONS!$A3146),MINUTE(TRANSACTIONS!$A3146),SECOND(TRANSACTIONS!$A3146)),"")</f>
        <v>0.62695601851851845</v>
      </c>
      <c r="D3146" s="82" t="s">
        <v>62</v>
      </c>
      <c r="E3146" s="82" t="s">
        <v>6</v>
      </c>
      <c r="F3146" s="94">
        <v>1000</v>
      </c>
      <c r="G3146" s="46"/>
      <c r="H3146" s="46">
        <f>IFERROR(TRANSACTIONS!$F3146+TRANSACTIONS!$G3146,"")</f>
        <v>1000</v>
      </c>
      <c r="I3146" s="40" t="s">
        <v>41</v>
      </c>
    </row>
    <row r="3147" spans="1:9" x14ac:dyDescent="0.25">
      <c r="A3147" s="41">
        <v>45360.626967824071</v>
      </c>
      <c r="B3147" s="48">
        <f>IF(A3147&lt;&gt;"",DATE(YEAR(TRANSACTIONS!$A3147),MONTH(TRANSACTIONS!$A3147),DAY(TRANSACTIONS!$A3147)),"")</f>
        <v>45360</v>
      </c>
      <c r="C3147" s="49">
        <f>IF(A3147&lt;&gt;"",TIME(HOUR(TRANSACTIONS!$A3147),MINUTE(TRANSACTIONS!$A3147),SECOND(TRANSACTIONS!$A3147)),"")</f>
        <v>0.6269675925925926</v>
      </c>
      <c r="D3147" s="82" t="s">
        <v>62</v>
      </c>
      <c r="E3147" s="82" t="s">
        <v>6</v>
      </c>
      <c r="F3147" s="94">
        <v>7500</v>
      </c>
      <c r="G3147" s="46"/>
      <c r="H3147" s="46">
        <f>IFERROR(TRANSACTIONS!$F3147+TRANSACTIONS!$G3147,"")</f>
        <v>7500</v>
      </c>
      <c r="I3147" s="40" t="s">
        <v>41</v>
      </c>
    </row>
    <row r="3148" spans="1:9" x14ac:dyDescent="0.25">
      <c r="A3148" s="41">
        <v>45360.626974768522</v>
      </c>
      <c r="B3148" s="48">
        <f>IF(A3148&lt;&gt;"",DATE(YEAR(TRANSACTIONS!$A3148),MONTH(TRANSACTIONS!$A3148),DAY(TRANSACTIONS!$A3148)),"")</f>
        <v>45360</v>
      </c>
      <c r="C3148" s="49">
        <f>IF(A3148&lt;&gt;"",TIME(HOUR(TRANSACTIONS!$A3148),MINUTE(TRANSACTIONS!$A3148),SECOND(TRANSACTIONS!$A3148)),"")</f>
        <v>0.62697916666666664</v>
      </c>
      <c r="D3148" s="82" t="s">
        <v>62</v>
      </c>
      <c r="E3148" s="82" t="s">
        <v>6</v>
      </c>
      <c r="F3148" s="85">
        <v>2000</v>
      </c>
      <c r="G3148" s="46"/>
      <c r="H3148" s="46">
        <f>IFERROR(TRANSACTIONS!$F3148+TRANSACTIONS!$G3148,"")</f>
        <v>2000</v>
      </c>
      <c r="I3148" s="40" t="s">
        <v>41</v>
      </c>
    </row>
    <row r="3149" spans="1:9" x14ac:dyDescent="0.25">
      <c r="A3149" s="41">
        <v>45360.626983912036</v>
      </c>
      <c r="B3149" s="48">
        <f>IF(A3149&lt;&gt;"",DATE(YEAR(TRANSACTIONS!$A3149),MONTH(TRANSACTIONS!$A3149),DAY(TRANSACTIONS!$A3149)),"")</f>
        <v>45360</v>
      </c>
      <c r="C3149" s="49">
        <f>IF(A3149&lt;&gt;"",TIME(HOUR(TRANSACTIONS!$A3149),MINUTE(TRANSACTIONS!$A3149),SECOND(TRANSACTIONS!$A3149)),"")</f>
        <v>0.62697916666666664</v>
      </c>
      <c r="D3149" s="82" t="s">
        <v>62</v>
      </c>
      <c r="E3149" s="82" t="s">
        <v>7</v>
      </c>
      <c r="F3149" s="85">
        <v>4000</v>
      </c>
      <c r="G3149" s="46"/>
      <c r="H3149" s="46">
        <f>IFERROR(TRANSACTIONS!$F3149+TRANSACTIONS!$G3149,"")</f>
        <v>4000</v>
      </c>
      <c r="I3149" s="40" t="s">
        <v>41</v>
      </c>
    </row>
    <row r="3150" spans="1:9" x14ac:dyDescent="0.25">
      <c r="A3150" s="41">
        <v>45360.626991319441</v>
      </c>
      <c r="B3150" s="48">
        <f>IF(A3150&lt;&gt;"",DATE(YEAR(TRANSACTIONS!$A3150),MONTH(TRANSACTIONS!$A3150),DAY(TRANSACTIONS!$A3150)),"")</f>
        <v>45360</v>
      </c>
      <c r="C3150" s="49">
        <f>IF(A3150&lt;&gt;"",TIME(HOUR(TRANSACTIONS!$A3150),MINUTE(TRANSACTIONS!$A3150),SECOND(TRANSACTIONS!$A3150)),"")</f>
        <v>0.62699074074074079</v>
      </c>
      <c r="D3150" s="82" t="s">
        <v>62</v>
      </c>
      <c r="E3150" s="82" t="s">
        <v>6</v>
      </c>
      <c r="F3150" s="85">
        <v>15000</v>
      </c>
      <c r="G3150" s="46"/>
      <c r="H3150" s="46">
        <f>IFERROR(TRANSACTIONS!$F3150+TRANSACTIONS!$G3150,"")</f>
        <v>15000</v>
      </c>
      <c r="I3150" s="40" t="s">
        <v>41</v>
      </c>
    </row>
    <row r="3151" spans="1:9" x14ac:dyDescent="0.25">
      <c r="A3151" s="41">
        <v>45360.627019328706</v>
      </c>
      <c r="B3151" s="48">
        <f>IF(A3151&lt;&gt;"",DATE(YEAR(TRANSACTIONS!$A3151),MONTH(TRANSACTIONS!$A3151),DAY(TRANSACTIONS!$A3151)),"")</f>
        <v>45360</v>
      </c>
      <c r="C3151" s="49">
        <f>IF(A3151&lt;&gt;"",TIME(HOUR(TRANSACTIONS!$A3151),MINUTE(TRANSACTIONS!$A3151),SECOND(TRANSACTIONS!$A3151)),"")</f>
        <v>0.62701388888888887</v>
      </c>
      <c r="D3151" s="82" t="s">
        <v>62</v>
      </c>
      <c r="E3151" s="82" t="s">
        <v>6</v>
      </c>
      <c r="F3151" s="94">
        <v>25000</v>
      </c>
      <c r="G3151" s="46"/>
      <c r="H3151" s="46">
        <f>IFERROR(TRANSACTIONS!$F3151+TRANSACTIONS!$G3151,"")</f>
        <v>25000</v>
      </c>
      <c r="I3151" s="40" t="s">
        <v>41</v>
      </c>
    </row>
    <row r="3152" spans="1:9" x14ac:dyDescent="0.25">
      <c r="A3152" s="41">
        <v>45360.627028125004</v>
      </c>
      <c r="B3152" s="48">
        <f>IF(A3152&lt;&gt;"",DATE(YEAR(TRANSACTIONS!$A3152),MONTH(TRANSACTIONS!$A3152),DAY(TRANSACTIONS!$A3152)),"")</f>
        <v>45360</v>
      </c>
      <c r="C3152" s="49">
        <f>IF(A3152&lt;&gt;"",TIME(HOUR(TRANSACTIONS!$A3152),MINUTE(TRANSACTIONS!$A3152),SECOND(TRANSACTIONS!$A3152)),"")</f>
        <v>0.62702546296296291</v>
      </c>
      <c r="D3152" s="82" t="s">
        <v>25</v>
      </c>
      <c r="E3152" s="82" t="s">
        <v>7</v>
      </c>
      <c r="F3152" s="85">
        <v>15000</v>
      </c>
      <c r="G3152" s="46"/>
      <c r="H3152" s="46">
        <f>IFERROR(TRANSACTIONS!$F3152+TRANSACTIONS!$G3152,"")</f>
        <v>15000</v>
      </c>
      <c r="I3152" s="40" t="s">
        <v>41</v>
      </c>
    </row>
    <row r="3153" spans="1:9" x14ac:dyDescent="0.25">
      <c r="A3153" s="41">
        <v>45360.627295023151</v>
      </c>
      <c r="B3153" s="48">
        <f>IF(A3153&lt;&gt;"",DATE(YEAR(TRANSACTIONS!$A3153),MONTH(TRANSACTIONS!$A3153),DAY(TRANSACTIONS!$A3153)),"")</f>
        <v>45360</v>
      </c>
      <c r="C3153" s="49">
        <f>IF(A3153&lt;&gt;"",TIME(HOUR(TRANSACTIONS!$A3153),MINUTE(TRANSACTIONS!$A3153),SECOND(TRANSACTIONS!$A3153)),"")</f>
        <v>0.62729166666666669</v>
      </c>
      <c r="D3153" s="82" t="s">
        <v>62</v>
      </c>
      <c r="E3153" s="82" t="s">
        <v>6</v>
      </c>
      <c r="F3153" s="85">
        <v>160000</v>
      </c>
      <c r="G3153" s="46"/>
      <c r="H3153" s="46">
        <f>IFERROR(TRANSACTIONS!$F3153+TRANSACTIONS!$G3153,"")</f>
        <v>160000</v>
      </c>
      <c r="I3153" s="40" t="s">
        <v>41</v>
      </c>
    </row>
    <row r="3154" spans="1:9" x14ac:dyDescent="0.25">
      <c r="A3154" s="41">
        <v>45360.627316550926</v>
      </c>
      <c r="B3154" s="48">
        <f>IF(A3154&lt;&gt;"",DATE(YEAR(TRANSACTIONS!$A3154),MONTH(TRANSACTIONS!$A3154),DAY(TRANSACTIONS!$A3154)),"")</f>
        <v>45360</v>
      </c>
      <c r="C3154" s="49">
        <f>IF(A3154&lt;&gt;"",TIME(HOUR(TRANSACTIONS!$A3154),MINUTE(TRANSACTIONS!$A3154),SECOND(TRANSACTIONS!$A3154)),"")</f>
        <v>0.62731481481481477</v>
      </c>
      <c r="D3154" s="82" t="s">
        <v>62</v>
      </c>
      <c r="E3154" s="82" t="s">
        <v>7</v>
      </c>
      <c r="F3154" s="85">
        <v>1000</v>
      </c>
      <c r="G3154" s="46"/>
      <c r="H3154" s="46">
        <f>IFERROR(TRANSACTIONS!$F3154+TRANSACTIONS!$G3154,"")</f>
        <v>1000</v>
      </c>
      <c r="I3154" s="40" t="s">
        <v>41</v>
      </c>
    </row>
    <row r="3155" spans="1:9" x14ac:dyDescent="0.25">
      <c r="A3155" s="41">
        <v>45360.627324074077</v>
      </c>
      <c r="B3155" s="48">
        <f>IF(A3155&lt;&gt;"",DATE(YEAR(TRANSACTIONS!$A3155),MONTH(TRANSACTIONS!$A3155),DAY(TRANSACTIONS!$A3155)),"")</f>
        <v>45360</v>
      </c>
      <c r="C3155" s="49">
        <f>IF(A3155&lt;&gt;"",TIME(HOUR(TRANSACTIONS!$A3155),MINUTE(TRANSACTIONS!$A3155),SECOND(TRANSACTIONS!$A3155)),"")</f>
        <v>0.62732638888888892</v>
      </c>
      <c r="D3155" s="82" t="s">
        <v>62</v>
      </c>
      <c r="E3155" s="82" t="s">
        <v>6</v>
      </c>
      <c r="F3155" s="85">
        <v>24000</v>
      </c>
      <c r="G3155" s="46"/>
      <c r="H3155" s="46">
        <f>IFERROR(TRANSACTIONS!$F3155+TRANSACTIONS!$G3155,"")</f>
        <v>24000</v>
      </c>
      <c r="I3155" s="40" t="s">
        <v>41</v>
      </c>
    </row>
    <row r="3156" spans="1:9" x14ac:dyDescent="0.25">
      <c r="A3156" s="41">
        <v>45360.627331944444</v>
      </c>
      <c r="B3156" s="48">
        <f>IF(A3156&lt;&gt;"",DATE(YEAR(TRANSACTIONS!$A3156),MONTH(TRANSACTIONS!$A3156),DAY(TRANSACTIONS!$A3156)),"")</f>
        <v>45360</v>
      </c>
      <c r="C3156" s="49">
        <f>IF(A3156&lt;&gt;"",TIME(HOUR(TRANSACTIONS!$A3156),MINUTE(TRANSACTIONS!$A3156),SECOND(TRANSACTIONS!$A3156)),"")</f>
        <v>0.62732638888888892</v>
      </c>
      <c r="D3156" s="82" t="s">
        <v>25</v>
      </c>
      <c r="E3156" s="82" t="s">
        <v>6</v>
      </c>
      <c r="F3156" s="85">
        <v>2000</v>
      </c>
      <c r="G3156" s="46"/>
      <c r="H3156" s="46">
        <f>IFERROR(TRANSACTIONS!$F3156+TRANSACTIONS!$G3156,"")</f>
        <v>2000</v>
      </c>
      <c r="I3156" s="40" t="s">
        <v>41</v>
      </c>
    </row>
    <row r="3157" spans="1:9" x14ac:dyDescent="0.25">
      <c r="A3157" s="41"/>
      <c r="B3157" s="48" t="str">
        <f>IF(A3157&lt;&gt;"",DATE(YEAR(TRANSACTIONS!$A3157),MONTH(TRANSACTIONS!$A3157),DAY(TRANSACTIONS!$A3157)),"")</f>
        <v/>
      </c>
      <c r="C3157" s="49" t="str">
        <f>IF(A3157&lt;&gt;"",TIME(HOUR(TRANSACTIONS!$A3157),MINUTE(TRANSACTIONS!$A3157),SECOND(TRANSACTIONS!$A3157)),"")</f>
        <v/>
      </c>
      <c r="D3157" s="82"/>
      <c r="E3157" s="82"/>
      <c r="G3157" s="46"/>
      <c r="H3157" s="46">
        <f>IFERROR(TRANSACTIONS!$F3161+TRANSACTIONS!$G3157,"")</f>
        <v>0</v>
      </c>
      <c r="I3157" s="40" t="s">
        <v>41</v>
      </c>
    </row>
    <row r="3158" spans="1:9" x14ac:dyDescent="0.25">
      <c r="A3158" s="41">
        <v>45362.413088773152</v>
      </c>
      <c r="B3158" s="48">
        <f>IF(A3158&lt;&gt;"",DATE(YEAR(TRANSACTIONS!$A3158),MONTH(TRANSACTIONS!$A3158),DAY(TRANSACTIONS!$A3158)),"")</f>
        <v>45362</v>
      </c>
      <c r="C3158" s="49">
        <f>IF(A3158&lt;&gt;"",TIME(HOUR(TRANSACTIONS!$A3158),MINUTE(TRANSACTIONS!$A3158),SECOND(TRANSACTIONS!$A3158)),"")</f>
        <v>0.41309027777777779</v>
      </c>
      <c r="D3158" s="82" t="s">
        <v>62</v>
      </c>
      <c r="E3158" s="82" t="s">
        <v>6</v>
      </c>
      <c r="F3158" s="85">
        <v>300000</v>
      </c>
      <c r="G3158" s="46"/>
      <c r="H3158" s="46">
        <f>IFERROR(TRANSACTIONS!$F3158+TRANSACTIONS!$G3158,"")</f>
        <v>300000</v>
      </c>
      <c r="I3158" s="40" t="s">
        <v>41</v>
      </c>
    </row>
    <row r="3159" spans="1:9" x14ac:dyDescent="0.25">
      <c r="A3159" s="41">
        <v>45362.413155439812</v>
      </c>
      <c r="B3159" s="48">
        <f>IF(A3159&lt;&gt;"",DATE(YEAR(TRANSACTIONS!$A3159),MONTH(TRANSACTIONS!$A3159),DAY(TRANSACTIONS!$A3159)),"")</f>
        <v>45362</v>
      </c>
      <c r="C3159" s="49">
        <f>IF(A3159&lt;&gt;"",TIME(HOUR(TRANSACTIONS!$A3159),MINUTE(TRANSACTIONS!$A3159),SECOND(TRANSACTIONS!$A3159)),"")</f>
        <v>0.41315972222222225</v>
      </c>
      <c r="D3159" s="82" t="s">
        <v>62</v>
      </c>
      <c r="E3159" s="82" t="s">
        <v>6</v>
      </c>
      <c r="F3159" s="85">
        <v>30000</v>
      </c>
      <c r="G3159" s="46"/>
      <c r="H3159" s="46">
        <f>IFERROR(TRANSACTIONS!$F3159+TRANSACTIONS!$G3159,"")</f>
        <v>30000</v>
      </c>
      <c r="I3159" s="40" t="s">
        <v>41</v>
      </c>
    </row>
    <row r="3160" spans="1:9" x14ac:dyDescent="0.25">
      <c r="A3160" s="41">
        <v>45362.413163425925</v>
      </c>
      <c r="B3160" s="48">
        <f>IF(A3160&lt;&gt;"",DATE(YEAR(TRANSACTIONS!$A3160),MONTH(TRANSACTIONS!$A3160),DAY(TRANSACTIONS!$A3160)),"")</f>
        <v>45362</v>
      </c>
      <c r="C3160" s="49">
        <f>IF(A3160&lt;&gt;"",TIME(HOUR(TRANSACTIONS!$A3160),MINUTE(TRANSACTIONS!$A3160),SECOND(TRANSACTIONS!$A3160)),"")</f>
        <v>0.41315972222222225</v>
      </c>
      <c r="D3160" s="82" t="s">
        <v>62</v>
      </c>
      <c r="E3160" s="82" t="s">
        <v>7</v>
      </c>
      <c r="F3160" s="85">
        <v>20000</v>
      </c>
      <c r="G3160" s="46"/>
      <c r="H3160" s="46">
        <f>IFERROR(TRANSACTIONS!$F3160+TRANSACTIONS!$G3160,"")</f>
        <v>20000</v>
      </c>
      <c r="I3160" s="40" t="s">
        <v>41</v>
      </c>
    </row>
    <row r="3161" spans="1:9" x14ac:dyDescent="0.25">
      <c r="A3161" s="41">
        <v>45362.413171759261</v>
      </c>
      <c r="B3161" s="48">
        <f>IF(A3161&lt;&gt;"",DATE(YEAR(TRANSACTIONS!$A3161),MONTH(TRANSACTIONS!$A3161),DAY(TRANSACTIONS!$A3161)),"")</f>
        <v>45362</v>
      </c>
      <c r="C3161" s="49">
        <f>IF(A3161&lt;&gt;"",TIME(HOUR(TRANSACTIONS!$A3161),MINUTE(TRANSACTIONS!$A3161),SECOND(TRANSACTIONS!$A3161)),"")</f>
        <v>0.41317129629629629</v>
      </c>
      <c r="D3161" s="82" t="s">
        <v>62</v>
      </c>
      <c r="E3161" s="82"/>
      <c r="F3161" s="85"/>
      <c r="G3161" s="46"/>
      <c r="H3161" s="46" t="str">
        <f>IFERROR(TRANSACTIONS!#REF!+TRANSACTIONS!$G3161,"")</f>
        <v/>
      </c>
      <c r="I3161" s="40" t="s">
        <v>41</v>
      </c>
    </row>
    <row r="3162" spans="1:9" x14ac:dyDescent="0.25">
      <c r="A3162" s="41">
        <v>45362.413189236111</v>
      </c>
      <c r="B3162" s="48">
        <f>IF(A3162&lt;&gt;"",DATE(YEAR(TRANSACTIONS!$A3162),MONTH(TRANSACTIONS!$A3162),DAY(TRANSACTIONS!$A3162)),"")</f>
        <v>45362</v>
      </c>
      <c r="C3162" s="49">
        <f>IF(A3162&lt;&gt;"",TIME(HOUR(TRANSACTIONS!$A3162),MINUTE(TRANSACTIONS!$A3162),SECOND(TRANSACTIONS!$A3162)),"")</f>
        <v>0.41319444444444442</v>
      </c>
      <c r="D3162" s="82" t="s">
        <v>62</v>
      </c>
      <c r="E3162" s="82" t="s">
        <v>7</v>
      </c>
      <c r="F3162" s="85">
        <v>3000</v>
      </c>
      <c r="G3162" s="46"/>
      <c r="H3162" s="46">
        <f>IFERROR(TRANSACTIONS!$F3162+TRANSACTIONS!$G3162,"")</f>
        <v>3000</v>
      </c>
      <c r="I3162" s="40" t="s">
        <v>41</v>
      </c>
    </row>
    <row r="3163" spans="1:9" x14ac:dyDescent="0.25">
      <c r="A3163" s="41">
        <v>45362.413198379632</v>
      </c>
      <c r="B3163" s="48">
        <f>IF(A3163&lt;&gt;"",DATE(YEAR(TRANSACTIONS!$A3163),MONTH(TRANSACTIONS!$A3163),DAY(TRANSACTIONS!$A3163)),"")</f>
        <v>45362</v>
      </c>
      <c r="C3163" s="49">
        <f>IF(A3163&lt;&gt;"",TIME(HOUR(TRANSACTIONS!$A3163),MINUTE(TRANSACTIONS!$A3163),SECOND(TRANSACTIONS!$A3163)),"")</f>
        <v>0.41319444444444442</v>
      </c>
      <c r="D3163" s="82" t="s">
        <v>62</v>
      </c>
      <c r="E3163" s="82" t="s">
        <v>7</v>
      </c>
      <c r="F3163" s="85">
        <v>5000</v>
      </c>
      <c r="G3163" s="46"/>
      <c r="H3163" s="46">
        <f>IFERROR(TRANSACTIONS!$F3163+TRANSACTIONS!$G3163,"")</f>
        <v>5000</v>
      </c>
      <c r="I3163" s="40" t="s">
        <v>41</v>
      </c>
    </row>
    <row r="3164" spans="1:9" x14ac:dyDescent="0.25">
      <c r="A3164" s="41">
        <v>45362.413205324076</v>
      </c>
      <c r="B3164" s="48">
        <f>IF(A3164&lt;&gt;"",DATE(YEAR(TRANSACTIONS!$A3164),MONTH(TRANSACTIONS!$A3164),DAY(TRANSACTIONS!$A3164)),"")</f>
        <v>45362</v>
      </c>
      <c r="C3164" s="49">
        <f>IF(A3164&lt;&gt;"",TIME(HOUR(TRANSACTIONS!$A3164),MINUTE(TRANSACTIONS!$A3164),SECOND(TRANSACTIONS!$A3164)),"")</f>
        <v>0.41320601851851851</v>
      </c>
      <c r="D3164" s="82" t="s">
        <v>62</v>
      </c>
      <c r="E3164" s="82" t="s">
        <v>6</v>
      </c>
      <c r="F3164" s="85">
        <v>63500</v>
      </c>
      <c r="G3164" s="46"/>
      <c r="H3164" s="46">
        <f>IFERROR(TRANSACTIONS!$F3164+TRANSACTIONS!$G3164,"")</f>
        <v>63500</v>
      </c>
      <c r="I3164" s="40" t="s">
        <v>41</v>
      </c>
    </row>
    <row r="3165" spans="1:9" x14ac:dyDescent="0.25">
      <c r="A3165" s="41">
        <v>45362.413212268519</v>
      </c>
      <c r="B3165" s="48">
        <f>IF(A3165&lt;&gt;"",DATE(YEAR(TRANSACTIONS!$A3165),MONTH(TRANSACTIONS!$A3165),DAY(TRANSACTIONS!$A3165)),"")</f>
        <v>45362</v>
      </c>
      <c r="C3165" s="49">
        <f>IF(A3165&lt;&gt;"",TIME(HOUR(TRANSACTIONS!$A3165),MINUTE(TRANSACTIONS!$A3165),SECOND(TRANSACTIONS!$A3165)),"")</f>
        <v>0.41321759259259255</v>
      </c>
      <c r="D3165" s="82" t="s">
        <v>62</v>
      </c>
      <c r="E3165" s="82" t="s">
        <v>6</v>
      </c>
      <c r="F3165" s="85">
        <v>30000</v>
      </c>
      <c r="G3165" s="46"/>
      <c r="H3165" s="46">
        <f>IFERROR(TRANSACTIONS!$F3165+TRANSACTIONS!$G3165,"")</f>
        <v>30000</v>
      </c>
      <c r="I3165" s="40" t="s">
        <v>41</v>
      </c>
    </row>
    <row r="3166" spans="1:9" x14ac:dyDescent="0.25">
      <c r="A3166" s="41">
        <v>45362.413218981485</v>
      </c>
      <c r="B3166" s="48">
        <f>IF(A3166&lt;&gt;"",DATE(YEAR(TRANSACTIONS!$A3166),MONTH(TRANSACTIONS!$A3166),DAY(TRANSACTIONS!$A3166)),"")</f>
        <v>45362</v>
      </c>
      <c r="C3166" s="49">
        <f>IF(A3166&lt;&gt;"",TIME(HOUR(TRANSACTIONS!$A3166),MINUTE(TRANSACTIONS!$A3166),SECOND(TRANSACTIONS!$A3166)),"")</f>
        <v>0.41321759259259255</v>
      </c>
      <c r="D3166" s="82" t="s">
        <v>62</v>
      </c>
      <c r="E3166" s="82" t="s">
        <v>7</v>
      </c>
      <c r="F3166" s="85">
        <v>5000</v>
      </c>
      <c r="G3166" s="46"/>
      <c r="H3166" s="46">
        <f>IFERROR(TRANSACTIONS!$F3166+TRANSACTIONS!$G3166,"")</f>
        <v>5000</v>
      </c>
      <c r="I3166" s="40" t="s">
        <v>41</v>
      </c>
    </row>
    <row r="3167" spans="1:9" x14ac:dyDescent="0.25">
      <c r="A3167" s="41">
        <v>45362.413225578704</v>
      </c>
      <c r="B3167" s="48">
        <f>IF(A3167&lt;&gt;"",DATE(YEAR(TRANSACTIONS!$A3167),MONTH(TRANSACTIONS!$A3167),DAY(TRANSACTIONS!$A3167)),"")</f>
        <v>45362</v>
      </c>
      <c r="C3167" s="49">
        <f>IF(A3167&lt;&gt;"",TIME(HOUR(TRANSACTIONS!$A3167),MINUTE(TRANSACTIONS!$A3167),SECOND(TRANSACTIONS!$A3167)),"")</f>
        <v>0.4132291666666667</v>
      </c>
      <c r="D3167" s="82" t="s">
        <v>62</v>
      </c>
      <c r="E3167" s="82" t="s">
        <v>6</v>
      </c>
      <c r="F3167" s="94">
        <v>9000</v>
      </c>
      <c r="G3167" s="46"/>
      <c r="H3167" s="46">
        <f>IFERROR(TRANSACTIONS!$F3167+TRANSACTIONS!$G3167,"")</f>
        <v>9000</v>
      </c>
      <c r="I3167" s="40" t="s">
        <v>41</v>
      </c>
    </row>
    <row r="3168" spans="1:9" x14ac:dyDescent="0.25">
      <c r="A3168" s="41">
        <v>45362.413233449071</v>
      </c>
      <c r="B3168" s="48">
        <f>IF(A3168&lt;&gt;"",DATE(YEAR(TRANSACTIONS!$A3168),MONTH(TRANSACTIONS!$A3168),DAY(TRANSACTIONS!$A3168)),"")</f>
        <v>45362</v>
      </c>
      <c r="C3168" s="49">
        <f>IF(A3168&lt;&gt;"",TIME(HOUR(TRANSACTIONS!$A3168),MINUTE(TRANSACTIONS!$A3168),SECOND(TRANSACTIONS!$A3168)),"")</f>
        <v>0.4132291666666667</v>
      </c>
      <c r="D3168" s="82" t="s">
        <v>62</v>
      </c>
      <c r="E3168" s="82" t="s">
        <v>6</v>
      </c>
      <c r="F3168" s="85">
        <v>5000</v>
      </c>
      <c r="G3168" s="46"/>
      <c r="H3168" s="46">
        <f>IFERROR(TRANSACTIONS!$F3168+TRANSACTIONS!$G3168,"")</f>
        <v>5000</v>
      </c>
      <c r="I3168" s="40" t="s">
        <v>41</v>
      </c>
    </row>
    <row r="3169" spans="1:9" x14ac:dyDescent="0.25">
      <c r="A3169" s="41">
        <v>45362.413240277776</v>
      </c>
      <c r="B3169" s="48">
        <f>IF(A3169&lt;&gt;"",DATE(YEAR(TRANSACTIONS!$A3169),MONTH(TRANSACTIONS!$A3169),DAY(TRANSACTIONS!$A3169)),"")</f>
        <v>45362</v>
      </c>
      <c r="C3169" s="49">
        <f>IF(A3169&lt;&gt;"",TIME(HOUR(TRANSACTIONS!$A3169),MINUTE(TRANSACTIONS!$A3169),SECOND(TRANSACTIONS!$A3169)),"")</f>
        <v>0.41324074074074074</v>
      </c>
      <c r="D3169" s="82" t="s">
        <v>62</v>
      </c>
      <c r="E3169" s="82" t="s">
        <v>6</v>
      </c>
      <c r="F3169" s="94">
        <v>10500</v>
      </c>
      <c r="G3169" s="46"/>
      <c r="H3169" s="46">
        <f>IFERROR(TRANSACTIONS!$F3169+TRANSACTIONS!$G3169,"")</f>
        <v>10500</v>
      </c>
      <c r="I3169" s="40" t="s">
        <v>41</v>
      </c>
    </row>
    <row r="3170" spans="1:9" x14ac:dyDescent="0.25">
      <c r="A3170" s="41">
        <v>45362.413247453704</v>
      </c>
      <c r="B3170" s="48">
        <f>IF(A3170&lt;&gt;"",DATE(YEAR(TRANSACTIONS!$A3170),MONTH(TRANSACTIONS!$A3170),DAY(TRANSACTIONS!$A3170)),"")</f>
        <v>45362</v>
      </c>
      <c r="C3170" s="49">
        <f>IF(A3170&lt;&gt;"",TIME(HOUR(TRANSACTIONS!$A3170),MINUTE(TRANSACTIONS!$A3170),SECOND(TRANSACTIONS!$A3170)),"")</f>
        <v>0.41325231481481484</v>
      </c>
      <c r="D3170" s="82" t="s">
        <v>62</v>
      </c>
      <c r="E3170" s="82" t="s">
        <v>6</v>
      </c>
      <c r="F3170" s="94">
        <v>83500</v>
      </c>
      <c r="G3170" s="46"/>
      <c r="H3170" s="46">
        <f>IFERROR(TRANSACTIONS!$F3170+TRANSACTIONS!$G3170,"")</f>
        <v>83500</v>
      </c>
      <c r="I3170" s="40" t="s">
        <v>41</v>
      </c>
    </row>
    <row r="3171" spans="1:9" x14ac:dyDescent="0.25">
      <c r="A3171" s="41">
        <v>45362.413254398147</v>
      </c>
      <c r="B3171" s="48">
        <f>IF(A3171&lt;&gt;"",DATE(YEAR(TRANSACTIONS!$A3171),MONTH(TRANSACTIONS!$A3171),DAY(TRANSACTIONS!$A3171)),"")</f>
        <v>45362</v>
      </c>
      <c r="C3171" s="49">
        <f>IF(A3171&lt;&gt;"",TIME(HOUR(TRANSACTIONS!$A3171),MINUTE(TRANSACTIONS!$A3171),SECOND(TRANSACTIONS!$A3171)),"")</f>
        <v>0.41325231481481484</v>
      </c>
      <c r="D3171" s="82" t="s">
        <v>62</v>
      </c>
      <c r="E3171" s="82" t="s">
        <v>7</v>
      </c>
      <c r="F3171" s="85">
        <v>20000</v>
      </c>
      <c r="G3171" s="46"/>
      <c r="H3171" s="46">
        <f>IFERROR(TRANSACTIONS!$F3171+TRANSACTIONS!$G3171,"")</f>
        <v>20000</v>
      </c>
      <c r="I3171" s="40" t="s">
        <v>41</v>
      </c>
    </row>
    <row r="3172" spans="1:9" x14ac:dyDescent="0.25">
      <c r="A3172" s="41">
        <v>45362.413261458336</v>
      </c>
      <c r="B3172" s="48">
        <f>IF(A3172&lt;&gt;"",DATE(YEAR(TRANSACTIONS!$A3172),MONTH(TRANSACTIONS!$A3172),DAY(TRANSACTIONS!$A3172)),"")</f>
        <v>45362</v>
      </c>
      <c r="C3172" s="49">
        <f>IF(A3172&lt;&gt;"",TIME(HOUR(TRANSACTIONS!$A3172),MINUTE(TRANSACTIONS!$A3172),SECOND(TRANSACTIONS!$A3172)),"")</f>
        <v>0.41326388888888888</v>
      </c>
      <c r="D3172" s="82" t="s">
        <v>62</v>
      </c>
      <c r="E3172" s="82" t="s">
        <v>7</v>
      </c>
      <c r="F3172" s="85">
        <v>2000</v>
      </c>
      <c r="G3172" s="46"/>
      <c r="H3172" s="46">
        <f>IFERROR(TRANSACTIONS!$F3172+TRANSACTIONS!$G3172,"")</f>
        <v>2000</v>
      </c>
      <c r="I3172" s="40" t="s">
        <v>41</v>
      </c>
    </row>
    <row r="3173" spans="1:9" x14ac:dyDescent="0.25">
      <c r="A3173" s="41">
        <v>45362.41326828704</v>
      </c>
      <c r="B3173" s="48">
        <f>IF(A3173&lt;&gt;"",DATE(YEAR(TRANSACTIONS!$A3173),MONTH(TRANSACTIONS!$A3173),DAY(TRANSACTIONS!$A3173)),"")</f>
        <v>45362</v>
      </c>
      <c r="C3173" s="49">
        <f>IF(A3173&lt;&gt;"",TIME(HOUR(TRANSACTIONS!$A3173),MINUTE(TRANSACTIONS!$A3173),SECOND(TRANSACTIONS!$A3173)),"")</f>
        <v>0.41326388888888888</v>
      </c>
      <c r="D3173" s="82" t="s">
        <v>62</v>
      </c>
      <c r="E3173" s="82" t="s">
        <v>6</v>
      </c>
      <c r="F3173" s="85">
        <v>17500</v>
      </c>
      <c r="G3173" s="46"/>
      <c r="H3173" s="46">
        <f>IFERROR(TRANSACTIONS!$F3173+TRANSACTIONS!$G3173,"")</f>
        <v>17500</v>
      </c>
      <c r="I3173" s="40" t="s">
        <v>41</v>
      </c>
    </row>
    <row r="3174" spans="1:9" x14ac:dyDescent="0.25">
      <c r="A3174" s="41">
        <v>45362.413275347222</v>
      </c>
      <c r="B3174" s="48">
        <f>IF(A3174&lt;&gt;"",DATE(YEAR(TRANSACTIONS!$A3174),MONTH(TRANSACTIONS!$A3174),DAY(TRANSACTIONS!$A3174)),"")</f>
        <v>45362</v>
      </c>
      <c r="C3174" s="49">
        <f>IF(A3174&lt;&gt;"",TIME(HOUR(TRANSACTIONS!$A3174),MINUTE(TRANSACTIONS!$A3174),SECOND(TRANSACTIONS!$A3174)),"")</f>
        <v>0.41327546296296297</v>
      </c>
      <c r="D3174" s="82" t="s">
        <v>62</v>
      </c>
      <c r="E3174" s="82" t="s">
        <v>7</v>
      </c>
      <c r="F3174" s="85">
        <v>21000</v>
      </c>
      <c r="G3174" s="46"/>
      <c r="H3174" s="46">
        <f>IFERROR(TRANSACTIONS!$F3174+TRANSACTIONS!$G3174,"")</f>
        <v>21000</v>
      </c>
      <c r="I3174" s="40" t="s">
        <v>41</v>
      </c>
    </row>
    <row r="3175" spans="1:9" x14ac:dyDescent="0.25">
      <c r="A3175" s="41">
        <v>45362.413281828703</v>
      </c>
      <c r="B3175" s="48">
        <f>IF(A3175&lt;&gt;"",DATE(YEAR(TRANSACTIONS!$A3175),MONTH(TRANSACTIONS!$A3175),DAY(TRANSACTIONS!$A3175)),"")</f>
        <v>45362</v>
      </c>
      <c r="C3175" s="49">
        <f>IF(A3175&lt;&gt;"",TIME(HOUR(TRANSACTIONS!$A3175),MINUTE(TRANSACTIONS!$A3175),SECOND(TRANSACTIONS!$A3175)),"")</f>
        <v>0.41328703703703701</v>
      </c>
      <c r="D3175" s="82" t="s">
        <v>62</v>
      </c>
      <c r="E3175" s="82" t="s">
        <v>7</v>
      </c>
      <c r="F3175" s="85">
        <v>5000</v>
      </c>
      <c r="G3175" s="46"/>
      <c r="H3175" s="46">
        <f>IFERROR(TRANSACTIONS!$F3175+TRANSACTIONS!$G3175,"")</f>
        <v>5000</v>
      </c>
      <c r="I3175" s="40" t="s">
        <v>41</v>
      </c>
    </row>
    <row r="3176" spans="1:9" x14ac:dyDescent="0.25">
      <c r="A3176" s="41">
        <v>45362.413296296298</v>
      </c>
      <c r="B3176" s="48">
        <f>IF(A3176&lt;&gt;"",DATE(YEAR(TRANSACTIONS!$A3176),MONTH(TRANSACTIONS!$A3176),DAY(TRANSACTIONS!$A3176)),"")</f>
        <v>45362</v>
      </c>
      <c r="C3176" s="49">
        <f>IF(A3176&lt;&gt;"",TIME(HOUR(TRANSACTIONS!$A3176),MINUTE(TRANSACTIONS!$A3176),SECOND(TRANSACTIONS!$A3176)),"")</f>
        <v>0.41329861111111116</v>
      </c>
      <c r="D3176" s="82" t="s">
        <v>62</v>
      </c>
      <c r="E3176" s="82" t="s">
        <v>7</v>
      </c>
      <c r="F3176" s="94">
        <v>1000</v>
      </c>
      <c r="G3176" s="46"/>
      <c r="H3176" s="46">
        <f>IFERROR(TRANSACTIONS!$F3176+TRANSACTIONS!$G3176,"")</f>
        <v>1000</v>
      </c>
      <c r="I3176" s="40" t="s">
        <v>41</v>
      </c>
    </row>
    <row r="3177" spans="1:9" x14ac:dyDescent="0.25">
      <c r="A3177" s="41">
        <v>45362.413308449075</v>
      </c>
      <c r="B3177" s="48">
        <f>IF(A3177&lt;&gt;"",DATE(YEAR(TRANSACTIONS!$A3177),MONTH(TRANSACTIONS!$A3177),DAY(TRANSACTIONS!$A3177)),"")</f>
        <v>45362</v>
      </c>
      <c r="C3177" s="49">
        <f>IF(A3177&lt;&gt;"",TIME(HOUR(TRANSACTIONS!$A3177),MINUTE(TRANSACTIONS!$A3177),SECOND(TRANSACTIONS!$A3177)),"")</f>
        <v>0.4133101851851852</v>
      </c>
      <c r="D3177" s="82" t="s">
        <v>25</v>
      </c>
      <c r="E3177" s="82" t="s">
        <v>7</v>
      </c>
      <c r="F3177" s="85">
        <v>300000</v>
      </c>
      <c r="G3177" s="46"/>
      <c r="H3177" s="46">
        <f>IFERROR(TRANSACTIONS!$F3177+TRANSACTIONS!$G3177,"")</f>
        <v>300000</v>
      </c>
      <c r="I3177" s="40" t="s">
        <v>41</v>
      </c>
    </row>
    <row r="3178" spans="1:9" x14ac:dyDescent="0.25">
      <c r="A3178" s="41">
        <v>45362.413323032408</v>
      </c>
      <c r="B3178" s="48">
        <f>IF(A3178&lt;&gt;"",DATE(YEAR(TRANSACTIONS!$A3178),MONTH(TRANSACTIONS!$A3178),DAY(TRANSACTIONS!$A3178)),"")</f>
        <v>45362</v>
      </c>
      <c r="C3178" s="49">
        <f>IF(A3178&lt;&gt;"",TIME(HOUR(TRANSACTIONS!$A3178),MINUTE(TRANSACTIONS!$A3178),SECOND(TRANSACTIONS!$A3178)),"")</f>
        <v>0.41332175925925929</v>
      </c>
      <c r="D3178" s="82" t="s">
        <v>25</v>
      </c>
      <c r="E3178" s="82" t="s">
        <v>6</v>
      </c>
      <c r="F3178" s="85">
        <v>25000</v>
      </c>
      <c r="G3178" s="46"/>
      <c r="H3178" s="46">
        <f>IFERROR(TRANSACTIONS!$F3178+TRANSACTIONS!$G3178,"")</f>
        <v>25000</v>
      </c>
      <c r="I3178" s="40" t="s">
        <v>41</v>
      </c>
    </row>
    <row r="3179" spans="1:9" x14ac:dyDescent="0.25">
      <c r="A3179" s="81">
        <v>45362.413330671297</v>
      </c>
      <c r="B3179" s="83">
        <f>IF(A3179&lt;&gt;"",DATE(YEAR(TRANSACTIONS!$A3179),MONTH(TRANSACTIONS!$A3179),DAY(TRANSACTIONS!$A3179)),"")</f>
        <v>45362</v>
      </c>
      <c r="C3179" s="84">
        <f>IF(A3179&lt;&gt;"",TIME(HOUR(TRANSACTIONS!$A3179),MINUTE(TRANSACTIONS!$A3179),SECOND(TRANSACTIONS!$A3179)),"")</f>
        <v>0.41333333333333333</v>
      </c>
      <c r="D3179" s="82" t="s">
        <v>25</v>
      </c>
      <c r="E3179" s="82" t="s">
        <v>6</v>
      </c>
      <c r="F3179" s="85">
        <v>10000</v>
      </c>
      <c r="G3179" s="86"/>
      <c r="H3179" s="86">
        <f>IFERROR(TRANSACTIONS!$F3179+TRANSACTIONS!$G3179,"")</f>
        <v>10000</v>
      </c>
      <c r="I3179" s="88" t="s">
        <v>41</v>
      </c>
    </row>
    <row r="3180" spans="1:9" x14ac:dyDescent="0.25">
      <c r="A3180" s="41">
        <v>45362.413343287037</v>
      </c>
      <c r="B3180" s="48">
        <f>IF(A3180&lt;&gt;"",DATE(YEAR(TRANSACTIONS!$A3180),MONTH(TRANSACTIONS!$A3180),DAY(TRANSACTIONS!$A3180)),"")</f>
        <v>45362</v>
      </c>
      <c r="C3180" s="49">
        <f>IF(A3180&lt;&gt;"",TIME(HOUR(TRANSACTIONS!$A3180),MINUTE(TRANSACTIONS!$A3180),SECOND(TRANSACTIONS!$A3180)),"")</f>
        <v>0.41334490740740742</v>
      </c>
      <c r="D3180" s="82" t="s">
        <v>25</v>
      </c>
      <c r="E3180" s="82" t="s">
        <v>6</v>
      </c>
      <c r="F3180" s="85">
        <v>10000</v>
      </c>
      <c r="G3180" s="46"/>
      <c r="H3180" s="46">
        <f>IFERROR(TRANSACTIONS!$F3180+TRANSACTIONS!$G3180,"")</f>
        <v>10000</v>
      </c>
      <c r="I3180" s="40" t="s">
        <v>41</v>
      </c>
    </row>
    <row r="3181" spans="1:9" x14ac:dyDescent="0.25">
      <c r="A3181" s="41">
        <v>45362.413390624999</v>
      </c>
      <c r="B3181" s="48">
        <f>IF(A3181&lt;&gt;"",DATE(YEAR(TRANSACTIONS!$A3181),MONTH(TRANSACTIONS!$A3181),DAY(TRANSACTIONS!$A3181)),"")</f>
        <v>45362</v>
      </c>
      <c r="C3181" s="49">
        <f>IF(A3181&lt;&gt;"",TIME(HOUR(TRANSACTIONS!$A3181),MINUTE(TRANSACTIONS!$A3181),SECOND(TRANSACTIONS!$A3181)),"")</f>
        <v>0.41339120370370369</v>
      </c>
      <c r="D3181" s="82" t="s">
        <v>25</v>
      </c>
      <c r="E3181" s="82" t="s">
        <v>6</v>
      </c>
      <c r="F3181" s="85">
        <v>100</v>
      </c>
      <c r="G3181" s="46"/>
      <c r="H3181" s="46">
        <f>IFERROR(TRANSACTIONS!$F3181+TRANSACTIONS!$G3181,"")</f>
        <v>100</v>
      </c>
      <c r="I3181" s="40" t="s">
        <v>41</v>
      </c>
    </row>
    <row r="3182" spans="1:9" x14ac:dyDescent="0.25">
      <c r="A3182" s="41">
        <v>45362.413399652774</v>
      </c>
      <c r="B3182" s="48">
        <f>IF(A3182&lt;&gt;"",DATE(YEAR(TRANSACTIONS!$A3182),MONTH(TRANSACTIONS!$A3182),DAY(TRANSACTIONS!$A3182)),"")</f>
        <v>45362</v>
      </c>
      <c r="C3182" s="49">
        <f>IF(A3182&lt;&gt;"",TIME(HOUR(TRANSACTIONS!$A3182),MINUTE(TRANSACTIONS!$A3182),SECOND(TRANSACTIONS!$A3182)),"")</f>
        <v>0.41340277777777779</v>
      </c>
      <c r="D3182" s="82" t="s">
        <v>25</v>
      </c>
      <c r="E3182" s="82" t="s">
        <v>7</v>
      </c>
      <c r="F3182" s="85">
        <v>7500</v>
      </c>
      <c r="G3182" s="46"/>
      <c r="H3182" s="46">
        <f>IFERROR(TRANSACTIONS!$F3182+TRANSACTIONS!$G3182,"")</f>
        <v>7500</v>
      </c>
      <c r="I3182" s="40" t="s">
        <v>41</v>
      </c>
    </row>
    <row r="3183" spans="1:9" x14ac:dyDescent="0.25">
      <c r="A3183" s="41">
        <v>45362.41396539352</v>
      </c>
      <c r="B3183" s="48">
        <f>IF(A3183&lt;&gt;"",DATE(YEAR(TRANSACTIONS!$A3183),MONTH(TRANSACTIONS!$A3183),DAY(TRANSACTIONS!$A3183)),"")</f>
        <v>45362</v>
      </c>
      <c r="C3183" s="49">
        <f>IF(A3183&lt;&gt;"",TIME(HOUR(TRANSACTIONS!$A3183),MINUTE(TRANSACTIONS!$A3183),SECOND(TRANSACTIONS!$A3183)),"")</f>
        <v>0.41396990740740741</v>
      </c>
      <c r="D3183" s="82" t="s">
        <v>25</v>
      </c>
      <c r="E3183" s="82" t="s">
        <v>6</v>
      </c>
      <c r="F3183" s="85">
        <v>190000</v>
      </c>
      <c r="G3183" s="46"/>
      <c r="H3183" s="46">
        <f>IFERROR(TRANSACTIONS!$F3183+TRANSACTIONS!$G3183,"")</f>
        <v>190000</v>
      </c>
      <c r="I3183" s="40" t="s">
        <v>41</v>
      </c>
    </row>
    <row r="3184" spans="1:9" x14ac:dyDescent="0.25">
      <c r="A3184" s="41">
        <v>45362.41706886574</v>
      </c>
      <c r="B3184" s="48">
        <f>IF(A3184&lt;&gt;"",DATE(YEAR(TRANSACTIONS!$A3184),MONTH(TRANSACTIONS!$A3184),DAY(TRANSACTIONS!$A3184)),"")</f>
        <v>45362</v>
      </c>
      <c r="C3184" s="49">
        <f>IF(A3184&lt;&gt;"",TIME(HOUR(TRANSACTIONS!$A3184),MINUTE(TRANSACTIONS!$A3184),SECOND(TRANSACTIONS!$A3184)),"")</f>
        <v>0.41707175925925927</v>
      </c>
      <c r="D3184" s="82" t="s">
        <v>62</v>
      </c>
      <c r="E3184" s="82" t="s">
        <v>7</v>
      </c>
      <c r="F3184" s="85">
        <v>90000</v>
      </c>
      <c r="G3184" s="46"/>
      <c r="H3184" s="46">
        <f>IFERROR(TRANSACTIONS!$F3184+TRANSACTIONS!$G3184,"")</f>
        <v>90000</v>
      </c>
      <c r="I3184" s="40" t="s">
        <v>41</v>
      </c>
    </row>
    <row r="3185" spans="1:10" x14ac:dyDescent="0.25">
      <c r="A3185" s="81">
        <v>45362.417095138888</v>
      </c>
      <c r="B3185" s="83">
        <f>IF(A3185&lt;&gt;"",DATE(YEAR(TRANSACTIONS!$A3185),MONTH(TRANSACTIONS!$A3185),DAY(TRANSACTIONS!$A3185)),"")</f>
        <v>45362</v>
      </c>
      <c r="C3185" s="84">
        <f>IF(A3185&lt;&gt;"",TIME(HOUR(TRANSACTIONS!$A3185),MINUTE(TRANSACTIONS!$A3185),SECOND(TRANSACTIONS!$A3185)),"")</f>
        <v>0.41709490740740746</v>
      </c>
      <c r="D3185" s="82" t="s">
        <v>62</v>
      </c>
      <c r="E3185" s="82" t="s">
        <v>7</v>
      </c>
      <c r="F3185" s="85">
        <v>200000</v>
      </c>
      <c r="G3185" s="86"/>
      <c r="H3185" s="86">
        <f>IFERROR(TRANSACTIONS!$F3185+TRANSACTIONS!$G3185,"")</f>
        <v>200000</v>
      </c>
      <c r="I3185" s="88" t="s">
        <v>41</v>
      </c>
      <c r="J3185" s="88"/>
    </row>
    <row r="3186" spans="1:10" x14ac:dyDescent="0.25">
      <c r="A3186" s="113">
        <v>45362.426132291665</v>
      </c>
      <c r="B3186" s="114">
        <f>IF(A3186&lt;&gt;"",DATE(YEAR(TRANSACTIONS!$A3186),MONTH(TRANSACTIONS!$A3186),DAY(TRANSACTIONS!$A3186)),"")</f>
        <v>45362</v>
      </c>
      <c r="C3186" s="115">
        <f>IF(A3186&lt;&gt;"",TIME(HOUR(TRANSACTIONS!$A3186),MINUTE(TRANSACTIONS!$A3186),SECOND(TRANSACTIONS!$A3186)),"")</f>
        <v>0.42613425925925924</v>
      </c>
      <c r="D3186" s="82" t="s">
        <v>62</v>
      </c>
      <c r="E3186" s="82" t="s">
        <v>7</v>
      </c>
      <c r="F3186" s="85">
        <v>800</v>
      </c>
      <c r="G3186" s="117"/>
      <c r="H3186" s="117">
        <f>IFERROR(TRANSACTIONS!$F3186+TRANSACTIONS!$G3186,"")</f>
        <v>800</v>
      </c>
      <c r="I3186" s="118" t="s">
        <v>41</v>
      </c>
    </row>
    <row r="3187" spans="1:10" x14ac:dyDescent="0.25">
      <c r="A3187" s="113">
        <v>45362.426174074077</v>
      </c>
      <c r="B3187" s="114">
        <f>IF(A3187&lt;&gt;"",DATE(YEAR(TRANSACTIONS!$A3187),MONTH(TRANSACTIONS!$A3187),DAY(TRANSACTIONS!$A3187)),"")</f>
        <v>45362</v>
      </c>
      <c r="C3187" s="115">
        <f>IF(A3187&lt;&gt;"",TIME(HOUR(TRANSACTIONS!$A3187),MINUTE(TRANSACTIONS!$A3187),SECOND(TRANSACTIONS!$A3187)),"")</f>
        <v>0.42616898148148147</v>
      </c>
      <c r="D3187" s="82" t="s">
        <v>62</v>
      </c>
      <c r="E3187" s="82" t="s">
        <v>6</v>
      </c>
      <c r="F3187" s="85">
        <v>200000</v>
      </c>
      <c r="G3187" s="117"/>
      <c r="H3187" s="117">
        <f>IFERROR(TRANSACTIONS!$F3187+TRANSACTIONS!$G3187,"")</f>
        <v>200000</v>
      </c>
      <c r="I3187" s="118" t="s">
        <v>41</v>
      </c>
    </row>
    <row r="3188" spans="1:10" x14ac:dyDescent="0.25">
      <c r="A3188" s="41">
        <v>45362.426182175928</v>
      </c>
      <c r="B3188" s="48">
        <f>IF(A3188&lt;&gt;"",DATE(YEAR(TRANSACTIONS!$A3188),MONTH(TRANSACTIONS!$A3188),DAY(TRANSACTIONS!$A3188)),"")</f>
        <v>45362</v>
      </c>
      <c r="C3188" s="49">
        <f>IF(A3188&lt;&gt;"",TIME(HOUR(TRANSACTIONS!$A3188),MINUTE(TRANSACTIONS!$A3188),SECOND(TRANSACTIONS!$A3188)),"")</f>
        <v>0.42618055555555556</v>
      </c>
      <c r="D3188" s="82" t="s">
        <v>62</v>
      </c>
      <c r="E3188" s="82" t="s">
        <v>7</v>
      </c>
      <c r="F3188" s="85">
        <v>10000</v>
      </c>
      <c r="G3188" s="46"/>
      <c r="H3188" s="46">
        <f>IFERROR(TRANSACTIONS!$F3188+TRANSACTIONS!$G3188,"")</f>
        <v>10000</v>
      </c>
      <c r="I3188" s="40" t="s">
        <v>41</v>
      </c>
    </row>
    <row r="3189" spans="1:10" x14ac:dyDescent="0.25">
      <c r="A3189" s="41">
        <v>45362.426189120371</v>
      </c>
      <c r="B3189" s="48">
        <f>IF(A3189&lt;&gt;"",DATE(YEAR(TRANSACTIONS!$A3189),MONTH(TRANSACTIONS!$A3189),DAY(TRANSACTIONS!$A3189)),"")</f>
        <v>45362</v>
      </c>
      <c r="C3189" s="49">
        <f>IF(A3189&lt;&gt;"",TIME(HOUR(TRANSACTIONS!$A3189),MINUTE(TRANSACTIONS!$A3189),SECOND(TRANSACTIONS!$A3189)),"")</f>
        <v>0.4261921296296296</v>
      </c>
      <c r="D3189" s="82" t="s">
        <v>25</v>
      </c>
      <c r="E3189" s="82" t="s">
        <v>6</v>
      </c>
      <c r="F3189" s="85">
        <v>100800</v>
      </c>
      <c r="G3189" s="46"/>
      <c r="H3189" s="46">
        <f>IFERROR(TRANSACTIONS!$F3189+TRANSACTIONS!$G3189,"")</f>
        <v>100800</v>
      </c>
      <c r="I3189" s="40" t="s">
        <v>41</v>
      </c>
    </row>
    <row r="3190" spans="1:10" x14ac:dyDescent="0.25">
      <c r="A3190" s="41">
        <v>45362.426195717591</v>
      </c>
      <c r="B3190" s="48">
        <f>IF(A3190&lt;&gt;"",DATE(YEAR(TRANSACTIONS!$A3190),MONTH(TRANSACTIONS!$A3190),DAY(TRANSACTIONS!$A3190)),"")</f>
        <v>45362</v>
      </c>
      <c r="C3190" s="49">
        <f>IF(A3190&lt;&gt;"",TIME(HOUR(TRANSACTIONS!$A3190),MINUTE(TRANSACTIONS!$A3190),SECOND(TRANSACTIONS!$A3190)),"")</f>
        <v>0.4261921296296296</v>
      </c>
      <c r="D3190" s="82" t="s">
        <v>25</v>
      </c>
      <c r="E3190" s="82" t="s">
        <v>6</v>
      </c>
      <c r="F3190" s="85">
        <v>5050</v>
      </c>
      <c r="G3190" s="46"/>
      <c r="H3190" s="46">
        <f>IFERROR(TRANSACTIONS!$F3190+TRANSACTIONS!$G3190,"")</f>
        <v>5050</v>
      </c>
      <c r="I3190" s="40" t="s">
        <v>41</v>
      </c>
    </row>
    <row r="3191" spans="1:10" x14ac:dyDescent="0.25">
      <c r="A3191" s="41">
        <v>45362.500831249999</v>
      </c>
      <c r="B3191" s="48">
        <f>IF(A3191&lt;&gt;"",DATE(YEAR(TRANSACTIONS!$A3191),MONTH(TRANSACTIONS!$A3191),DAY(TRANSACTIONS!$A3191)),"")</f>
        <v>45362</v>
      </c>
      <c r="C3191" s="49">
        <f>IF(A3191&lt;&gt;"",TIME(HOUR(TRANSACTIONS!$A3191),MINUTE(TRANSACTIONS!$A3191),SECOND(TRANSACTIONS!$A3191)),"")</f>
        <v>0.50083333333333335</v>
      </c>
      <c r="D3191" s="82" t="s">
        <v>25</v>
      </c>
      <c r="E3191" s="82" t="s">
        <v>7</v>
      </c>
      <c r="F3191" s="85">
        <v>5000</v>
      </c>
      <c r="G3191" s="46"/>
      <c r="H3191" s="46">
        <f>IFERROR(TRANSACTIONS!$F3191+TRANSACTIONS!$G3191,"")</f>
        <v>5000</v>
      </c>
      <c r="I3191" s="40" t="s">
        <v>41</v>
      </c>
    </row>
    <row r="3192" spans="1:10" x14ac:dyDescent="0.25">
      <c r="A3192" s="41">
        <v>45362.502560879628</v>
      </c>
      <c r="B3192" s="48">
        <f>IF(A3192&lt;&gt;"",DATE(YEAR(TRANSACTIONS!$A3192),MONTH(TRANSACTIONS!$A3192),DAY(TRANSACTIONS!$A3192)),"")</f>
        <v>45362</v>
      </c>
      <c r="C3192" s="49">
        <f>IF(A3192&lt;&gt;"",TIME(HOUR(TRANSACTIONS!$A3192),MINUTE(TRANSACTIONS!$A3192),SECOND(TRANSACTIONS!$A3192)),"")</f>
        <v>0.50255787037037036</v>
      </c>
      <c r="D3192" s="82" t="s">
        <v>25</v>
      </c>
      <c r="E3192" s="82" t="s">
        <v>7</v>
      </c>
      <c r="F3192" s="85">
        <v>15000</v>
      </c>
      <c r="G3192" s="46"/>
      <c r="H3192" s="46">
        <f>IFERROR(TRANSACTIONS!$F3192+TRANSACTIONS!$G3192,"")</f>
        <v>15000</v>
      </c>
      <c r="I3192" s="40" t="s">
        <v>41</v>
      </c>
    </row>
    <row r="3193" spans="1:10" x14ac:dyDescent="0.25">
      <c r="A3193" s="41">
        <v>45362.502585995368</v>
      </c>
      <c r="B3193" s="48">
        <f>IF(A3193&lt;&gt;"",DATE(YEAR(TRANSACTIONS!$A3193),MONTH(TRANSACTIONS!$A3193),DAY(TRANSACTIONS!$A3193)),"")</f>
        <v>45362</v>
      </c>
      <c r="C3193" s="49">
        <f>IF(A3193&lt;&gt;"",TIME(HOUR(TRANSACTIONS!$A3193),MINUTE(TRANSACTIONS!$A3193),SECOND(TRANSACTIONS!$A3193)),"")</f>
        <v>0.50258101851851855</v>
      </c>
      <c r="D3193" s="82" t="s">
        <v>25</v>
      </c>
      <c r="E3193" s="82" t="s">
        <v>7</v>
      </c>
      <c r="F3193" s="85">
        <v>50000</v>
      </c>
      <c r="G3193" s="46"/>
      <c r="H3193" s="46">
        <f>IFERROR(TRANSACTIONS!$F3193+TRANSACTIONS!$G3193,"")</f>
        <v>50000</v>
      </c>
      <c r="I3193" s="40" t="s">
        <v>41</v>
      </c>
    </row>
    <row r="3194" spans="1:10" x14ac:dyDescent="0.25">
      <c r="A3194" s="41">
        <v>45362.502568750002</v>
      </c>
      <c r="B3194" s="48">
        <f>IF(A3194&lt;&gt;"",DATE(YEAR(TRANSACTIONS!$A3194),MONTH(TRANSACTIONS!$A3194),DAY(TRANSACTIONS!$A3194)),"")</f>
        <v>45362</v>
      </c>
      <c r="C3194" s="49">
        <f>IF(A3194&lt;&gt;"",TIME(HOUR(TRANSACTIONS!$A3194),MINUTE(TRANSACTIONS!$A3194),SECOND(TRANSACTIONS!$A3194)),"")</f>
        <v>0.50256944444444451</v>
      </c>
      <c r="D3194" s="82" t="s">
        <v>25</v>
      </c>
      <c r="E3194" s="82" t="s">
        <v>7</v>
      </c>
      <c r="F3194" s="85">
        <v>5000</v>
      </c>
      <c r="G3194" s="46"/>
      <c r="H3194" s="46">
        <f>IFERROR(TRANSACTIONS!$F3194+TRANSACTIONS!$G3194,"")</f>
        <v>5000</v>
      </c>
      <c r="I3194" s="40" t="s">
        <v>41</v>
      </c>
    </row>
    <row r="3195" spans="1:10" x14ac:dyDescent="0.25">
      <c r="A3195" s="41">
        <v>45362.502602430555</v>
      </c>
      <c r="B3195" s="48">
        <f>IF(A3195&lt;&gt;"",DATE(YEAR(TRANSACTIONS!$A3195),MONTH(TRANSACTIONS!$A3195),DAY(TRANSACTIONS!$A3195)),"")</f>
        <v>45362</v>
      </c>
      <c r="C3195" s="49">
        <f>IF(A3195&lt;&gt;"",TIME(HOUR(TRANSACTIONS!$A3195),MINUTE(TRANSACTIONS!$A3195),SECOND(TRANSACTIONS!$A3195)),"")</f>
        <v>0.50260416666666663</v>
      </c>
      <c r="D3195" s="82" t="s">
        <v>25</v>
      </c>
      <c r="E3195" s="82" t="s">
        <v>6</v>
      </c>
      <c r="F3195" s="85">
        <v>50000</v>
      </c>
      <c r="G3195" s="46"/>
      <c r="H3195" s="46">
        <f>IFERROR(TRANSACTIONS!$F3195+TRANSACTIONS!$G3195,"")</f>
        <v>50000</v>
      </c>
      <c r="I3195" s="40" t="s">
        <v>41</v>
      </c>
    </row>
    <row r="3196" spans="1:10" x14ac:dyDescent="0.25">
      <c r="A3196" s="41">
        <v>45362.503509837959</v>
      </c>
      <c r="B3196" s="48">
        <f>IF(A3196&lt;&gt;"",DATE(YEAR(TRANSACTIONS!$A3196),MONTH(TRANSACTIONS!$A3196),DAY(TRANSACTIONS!$A3196)),"")</f>
        <v>45362</v>
      </c>
      <c r="C3196" s="49">
        <f>IF(A3196&lt;&gt;"",TIME(HOUR(TRANSACTIONS!$A3196),MINUTE(TRANSACTIONS!$A3196),SECOND(TRANSACTIONS!$A3196)),"")</f>
        <v>0.50350694444444444</v>
      </c>
      <c r="D3196" s="82" t="s">
        <v>25</v>
      </c>
      <c r="E3196" s="82" t="s">
        <v>7</v>
      </c>
      <c r="F3196" s="85">
        <v>25000</v>
      </c>
      <c r="G3196" s="46"/>
      <c r="H3196" s="46">
        <f>IFERROR(TRANSACTIONS!$F3196+TRANSACTIONS!$G3196,"")</f>
        <v>25000</v>
      </c>
      <c r="I3196" s="40" t="s">
        <v>41</v>
      </c>
    </row>
    <row r="3197" spans="1:10" x14ac:dyDescent="0.25">
      <c r="A3197" s="41">
        <v>45362.503522106483</v>
      </c>
      <c r="B3197" s="48">
        <f>IF(A3197&lt;&gt;"",DATE(YEAR(TRANSACTIONS!$A3197),MONTH(TRANSACTIONS!$A3197),DAY(TRANSACTIONS!$A3197)),"")</f>
        <v>45362</v>
      </c>
      <c r="C3197" s="49">
        <f>IF(A3197&lt;&gt;"",TIME(HOUR(TRANSACTIONS!$A3197),MINUTE(TRANSACTIONS!$A3197),SECOND(TRANSACTIONS!$A3197)),"")</f>
        <v>0.50351851851851859</v>
      </c>
      <c r="D3197" s="82" t="s">
        <v>64</v>
      </c>
      <c r="E3197" s="82" t="s">
        <v>6</v>
      </c>
      <c r="F3197" s="85">
        <v>15500</v>
      </c>
      <c r="G3197" s="46"/>
      <c r="H3197" s="46">
        <f>IFERROR(TRANSACTIONS!$F3197+TRANSACTIONS!$G3197,"")</f>
        <v>15500</v>
      </c>
      <c r="I3197" s="40" t="s">
        <v>41</v>
      </c>
    </row>
    <row r="3198" spans="1:10" x14ac:dyDescent="0.25">
      <c r="A3198" s="41">
        <v>45362.503560648147</v>
      </c>
      <c r="B3198" s="48">
        <f>IF(A3198&lt;&gt;"",DATE(YEAR(TRANSACTIONS!$A3198),MONTH(TRANSACTIONS!$A3198),DAY(TRANSACTIONS!$A3198)),"")</f>
        <v>45362</v>
      </c>
      <c r="C3198" s="49">
        <f>IF(A3198&lt;&gt;"",TIME(HOUR(TRANSACTIONS!$A3198),MINUTE(TRANSACTIONS!$A3198),SECOND(TRANSACTIONS!$A3198)),"")</f>
        <v>0.50356481481481474</v>
      </c>
      <c r="D3198" s="82" t="s">
        <v>62</v>
      </c>
      <c r="E3198" s="82" t="s">
        <v>7</v>
      </c>
      <c r="F3198" s="85">
        <v>10000</v>
      </c>
      <c r="G3198" s="46"/>
      <c r="H3198" s="46">
        <f>IFERROR(TRANSACTIONS!$F3198+TRANSACTIONS!$G3198,"")</f>
        <v>10000</v>
      </c>
      <c r="I3198" s="40" t="s">
        <v>41</v>
      </c>
    </row>
    <row r="3199" spans="1:10" x14ac:dyDescent="0.25">
      <c r="A3199" s="41">
        <v>45362.503579629629</v>
      </c>
      <c r="B3199" s="48">
        <f>IF(A3199&lt;&gt;"",DATE(YEAR(TRANSACTIONS!$A3199),MONTH(TRANSACTIONS!$A3199),DAY(TRANSACTIONS!$A3199)),"")</f>
        <v>45362</v>
      </c>
      <c r="C3199" s="49">
        <f>IF(A3199&lt;&gt;"",TIME(HOUR(TRANSACTIONS!$A3199),MINUTE(TRANSACTIONS!$A3199),SECOND(TRANSACTIONS!$A3199)),"")</f>
        <v>0.50357638888888889</v>
      </c>
      <c r="D3199" s="82" t="s">
        <v>62</v>
      </c>
      <c r="E3199" s="82" t="s">
        <v>7</v>
      </c>
      <c r="F3199" s="85">
        <v>5000</v>
      </c>
      <c r="G3199" s="46"/>
      <c r="H3199" s="46">
        <f>IFERROR(TRANSACTIONS!$F3199+TRANSACTIONS!$G3199,"")</f>
        <v>5000</v>
      </c>
      <c r="I3199" s="40" t="s">
        <v>41</v>
      </c>
    </row>
    <row r="3200" spans="1:10" x14ac:dyDescent="0.25">
      <c r="A3200" s="113">
        <v>45362.503587962965</v>
      </c>
      <c r="B3200" s="114">
        <f>IF(A3200&lt;&gt;"",DATE(YEAR(TRANSACTIONS!$A3200),MONTH(TRANSACTIONS!$A3200),DAY(TRANSACTIONS!$A3200)),"")</f>
        <v>45362</v>
      </c>
      <c r="C3200" s="115">
        <f>IF(A3200&lt;&gt;"",TIME(HOUR(TRANSACTIONS!$A3200),MINUTE(TRANSACTIONS!$A3200),SECOND(TRANSACTIONS!$A3200)),"")</f>
        <v>0.50358796296296293</v>
      </c>
      <c r="D3200" s="82" t="s">
        <v>62</v>
      </c>
      <c r="E3200" s="82" t="s">
        <v>6</v>
      </c>
      <c r="F3200" s="85">
        <v>15000</v>
      </c>
      <c r="G3200" s="117"/>
      <c r="H3200" s="117">
        <f>IFERROR(TRANSACTIONS!$F3200+TRANSACTIONS!$G3200,"")</f>
        <v>15000</v>
      </c>
      <c r="I3200" s="118" t="s">
        <v>41</v>
      </c>
    </row>
    <row r="3201" spans="1:10" x14ac:dyDescent="0.25">
      <c r="A3201" s="41">
        <v>45362.503595717593</v>
      </c>
      <c r="B3201" s="48">
        <f>IF(A3201&lt;&gt;"",DATE(YEAR(TRANSACTIONS!$A3201),MONTH(TRANSACTIONS!$A3201),DAY(TRANSACTIONS!$A3201)),"")</f>
        <v>45362</v>
      </c>
      <c r="C3201" s="49">
        <f>IF(A3201&lt;&gt;"",TIME(HOUR(TRANSACTIONS!$A3201),MINUTE(TRANSACTIONS!$A3201),SECOND(TRANSACTIONS!$A3201)),"")</f>
        <v>0.50359953703703708</v>
      </c>
      <c r="D3201" s="82" t="s">
        <v>62</v>
      </c>
      <c r="E3201" s="82" t="s">
        <v>6</v>
      </c>
      <c r="F3201" s="85">
        <v>500</v>
      </c>
      <c r="G3201" s="46"/>
      <c r="H3201" s="46">
        <f>IFERROR(TRANSACTIONS!$F3201+TRANSACTIONS!$G3201,"")</f>
        <v>500</v>
      </c>
      <c r="I3201" s="40" t="s">
        <v>41</v>
      </c>
    </row>
    <row r="3202" spans="1:10" x14ac:dyDescent="0.25">
      <c r="A3202" s="41">
        <v>45362.507953935186</v>
      </c>
      <c r="B3202" s="48">
        <f>IF(A3202&lt;&gt;"",DATE(YEAR(TRANSACTIONS!$A3202),MONTH(TRANSACTIONS!$A3202),DAY(TRANSACTIONS!$A3202)),"")</f>
        <v>45362</v>
      </c>
      <c r="C3202" s="49">
        <f>IF(A3202&lt;&gt;"",TIME(HOUR(TRANSACTIONS!$A3202),MINUTE(TRANSACTIONS!$A3202),SECOND(TRANSACTIONS!$A3202)),"")</f>
        <v>0.50795138888888891</v>
      </c>
      <c r="D3202" s="82" t="s">
        <v>62</v>
      </c>
      <c r="E3202" s="82" t="s">
        <v>6</v>
      </c>
      <c r="F3202" s="85">
        <v>2000</v>
      </c>
      <c r="G3202" s="46"/>
      <c r="H3202" s="46">
        <f>IFERROR(TRANSACTIONS!$F3202+TRANSACTIONS!$G3202,"")</f>
        <v>2000</v>
      </c>
      <c r="I3202" s="40" t="s">
        <v>41</v>
      </c>
    </row>
    <row r="3203" spans="1:10" x14ac:dyDescent="0.25">
      <c r="A3203" s="41">
        <v>45362.507985879631</v>
      </c>
      <c r="B3203" s="48">
        <f>IF(A3203&lt;&gt;"",DATE(YEAR(TRANSACTIONS!$A3203),MONTH(TRANSACTIONS!$A3203),DAY(TRANSACTIONS!$A3203)),"")</f>
        <v>45362</v>
      </c>
      <c r="C3203" s="49">
        <f>IF(A3203&lt;&gt;"",TIME(HOUR(TRANSACTIONS!$A3203),MINUTE(TRANSACTIONS!$A3203),SECOND(TRANSACTIONS!$A3203)),"")</f>
        <v>0.50798611111111114</v>
      </c>
      <c r="D3203" s="82" t="s">
        <v>62</v>
      </c>
      <c r="E3203" s="82" t="s">
        <v>7</v>
      </c>
      <c r="F3203" s="85">
        <v>40000</v>
      </c>
      <c r="G3203" s="46"/>
      <c r="H3203" s="46">
        <f>IFERROR(TRANSACTIONS!$F3203+TRANSACTIONS!$G3203,"")</f>
        <v>40000</v>
      </c>
      <c r="I3203" s="40" t="s">
        <v>41</v>
      </c>
    </row>
    <row r="3204" spans="1:10" x14ac:dyDescent="0.25">
      <c r="A3204" s="90">
        <v>45362.50799421296</v>
      </c>
      <c r="B3204" s="91">
        <f>IF(A3204&lt;&gt;"",DATE(YEAR(TRANSACTIONS!$A3204),MONTH(TRANSACTIONS!$A3204),DAY(TRANSACTIONS!$A3204)),"")</f>
        <v>45362</v>
      </c>
      <c r="C3204" s="92">
        <f>IF(A3204&lt;&gt;"",TIME(HOUR(TRANSACTIONS!$A3204),MINUTE(TRANSACTIONS!$A3204),SECOND(TRANSACTIONS!$A3204)),"")</f>
        <v>0.50799768518518518</v>
      </c>
      <c r="D3204" s="93" t="s">
        <v>62</v>
      </c>
      <c r="E3204" s="93" t="s">
        <v>7</v>
      </c>
      <c r="F3204" s="94">
        <v>10000</v>
      </c>
      <c r="G3204" s="95"/>
      <c r="H3204" s="95">
        <f>IFERROR(TRANSACTIONS!$F3204+TRANSACTIONS!$G3204,"")</f>
        <v>10000</v>
      </c>
      <c r="I3204" s="112" t="s">
        <v>41</v>
      </c>
    </row>
    <row r="3205" spans="1:10" x14ac:dyDescent="0.25">
      <c r="A3205" s="41">
        <v>45362.508001504626</v>
      </c>
      <c r="B3205" s="48">
        <f>IF(A3205&lt;&gt;"",DATE(YEAR(TRANSACTIONS!$A3205),MONTH(TRANSACTIONS!$A3205),DAY(TRANSACTIONS!$A3205)),"")</f>
        <v>45362</v>
      </c>
      <c r="C3205" s="49">
        <f>IF(A3205&lt;&gt;"",TIME(HOUR(TRANSACTIONS!$A3205),MINUTE(TRANSACTIONS!$A3205),SECOND(TRANSACTIONS!$A3205)),"")</f>
        <v>0.50799768518518518</v>
      </c>
      <c r="D3205" s="82" t="s">
        <v>62</v>
      </c>
      <c r="E3205" s="82" t="s">
        <v>7</v>
      </c>
      <c r="F3205" s="85">
        <v>25000</v>
      </c>
      <c r="G3205" s="46"/>
      <c r="H3205" s="46">
        <f>IFERROR(TRANSACTIONS!$F3205+TRANSACTIONS!$G3205,"")</f>
        <v>25000</v>
      </c>
      <c r="I3205" s="40" t="s">
        <v>41</v>
      </c>
    </row>
    <row r="3206" spans="1:10" x14ac:dyDescent="0.25">
      <c r="A3206" s="81">
        <v>45362.508008333331</v>
      </c>
      <c r="B3206" s="83">
        <f>IF(A3206&lt;&gt;"",DATE(YEAR(TRANSACTIONS!$A3206),MONTH(TRANSACTIONS!$A3206),DAY(TRANSACTIONS!$A3206)),"")</f>
        <v>45362</v>
      </c>
      <c r="C3206" s="84">
        <f>IF(A3206&lt;&gt;"",TIME(HOUR(TRANSACTIONS!$A3206),MINUTE(TRANSACTIONS!$A3206),SECOND(TRANSACTIONS!$A3206)),"")</f>
        <v>0.50800925925925922</v>
      </c>
      <c r="D3206" s="82" t="s">
        <v>62</v>
      </c>
      <c r="E3206" s="82" t="s">
        <v>6</v>
      </c>
      <c r="F3206" s="85">
        <v>50000</v>
      </c>
      <c r="G3206" s="46"/>
      <c r="H3206" s="46">
        <f>IFERROR(TRANSACTIONS!$F3206+TRANSACTIONS!$G3206,"")</f>
        <v>50000</v>
      </c>
      <c r="I3206" s="40" t="s">
        <v>41</v>
      </c>
    </row>
    <row r="3207" spans="1:10" x14ac:dyDescent="0.25">
      <c r="A3207" s="81">
        <v>45362.508016319443</v>
      </c>
      <c r="B3207" s="83">
        <f>IF(A3207&lt;&gt;"",DATE(YEAR(TRANSACTIONS!$A3207),MONTH(TRANSACTIONS!$A3207),DAY(TRANSACTIONS!$A3207)),"")</f>
        <v>45362</v>
      </c>
      <c r="C3207" s="84">
        <f>IF(A3207&lt;&gt;"",TIME(HOUR(TRANSACTIONS!$A3207),MINUTE(TRANSACTIONS!$A3207),SECOND(TRANSACTIONS!$A3207)),"")</f>
        <v>0.50802083333333337</v>
      </c>
      <c r="D3207" s="82" t="s">
        <v>62</v>
      </c>
      <c r="E3207" s="82" t="s">
        <v>7</v>
      </c>
      <c r="F3207" s="85">
        <v>5000</v>
      </c>
      <c r="G3207" s="86"/>
      <c r="H3207" s="86">
        <f>IFERROR(TRANSACTIONS!$F3207+TRANSACTIONS!$G3207,"")</f>
        <v>5000</v>
      </c>
      <c r="I3207" s="88" t="s">
        <v>41</v>
      </c>
      <c r="J3207" s="88"/>
    </row>
    <row r="3208" spans="1:10" x14ac:dyDescent="0.25">
      <c r="A3208" s="81">
        <v>45362.508023148148</v>
      </c>
      <c r="B3208" s="83">
        <f>IF(A3208&lt;&gt;"",DATE(YEAR(TRANSACTIONS!$A3208),MONTH(TRANSACTIONS!$A3208),DAY(TRANSACTIONS!$A3208)),"")</f>
        <v>45362</v>
      </c>
      <c r="C3208" s="84">
        <f>IF(A3208&lt;&gt;"",TIME(HOUR(TRANSACTIONS!$A3208),MINUTE(TRANSACTIONS!$A3208),SECOND(TRANSACTIONS!$A3208)),"")</f>
        <v>0.50802083333333337</v>
      </c>
      <c r="D3208" s="82" t="s">
        <v>62</v>
      </c>
      <c r="E3208" s="82" t="s">
        <v>7</v>
      </c>
      <c r="F3208" s="85">
        <v>5000</v>
      </c>
      <c r="G3208" s="86"/>
      <c r="H3208" s="86">
        <f>IFERROR(TRANSACTIONS!$F3208+TRANSACTIONS!$G3208,"")</f>
        <v>5000</v>
      </c>
      <c r="I3208" s="88" t="s">
        <v>41</v>
      </c>
    </row>
    <row r="3209" spans="1:10" x14ac:dyDescent="0.25">
      <c r="A3209" s="81">
        <v>45362.508031481484</v>
      </c>
      <c r="B3209" s="83">
        <f>IF(A3209&lt;&gt;"",DATE(YEAR(TRANSACTIONS!$A3209),MONTH(TRANSACTIONS!$A3209),DAY(TRANSACTIONS!$A3209)),"")</f>
        <v>45362</v>
      </c>
      <c r="C3209" s="84">
        <f>IF(A3209&lt;&gt;"",TIME(HOUR(TRANSACTIONS!$A3209),MINUTE(TRANSACTIONS!$A3209),SECOND(TRANSACTIONS!$A3209)),"")</f>
        <v>0.5080324074074074</v>
      </c>
      <c r="D3209" s="82" t="s">
        <v>62</v>
      </c>
      <c r="E3209" s="82" t="s">
        <v>6</v>
      </c>
      <c r="F3209" s="85">
        <v>13125</v>
      </c>
      <c r="G3209" s="86"/>
      <c r="H3209" s="86">
        <f>IFERROR(TRANSACTIONS!$F3209+TRANSACTIONS!$G3209,"")</f>
        <v>13125</v>
      </c>
      <c r="I3209" s="88" t="s">
        <v>41</v>
      </c>
    </row>
    <row r="3210" spans="1:10" x14ac:dyDescent="0.25">
      <c r="A3210" s="41">
        <v>45362.508039120374</v>
      </c>
      <c r="B3210" s="48">
        <f>IF(A3210&lt;&gt;"",DATE(YEAR(TRANSACTIONS!$A3210),MONTH(TRANSACTIONS!$A3210),DAY(TRANSACTIONS!$A3210)),"")</f>
        <v>45362</v>
      </c>
      <c r="C3210" s="49">
        <f>IF(A3210&lt;&gt;"",TIME(HOUR(TRANSACTIONS!$A3210),MINUTE(TRANSACTIONS!$A3210),SECOND(TRANSACTIONS!$A3210)),"")</f>
        <v>0.50804398148148155</v>
      </c>
      <c r="D3210" s="82" t="s">
        <v>62</v>
      </c>
      <c r="E3210" s="82" t="s">
        <v>7</v>
      </c>
      <c r="F3210" s="85">
        <v>4000</v>
      </c>
      <c r="G3210" s="46"/>
      <c r="H3210" s="46">
        <f>IFERROR(TRANSACTIONS!$F3210+TRANSACTIONS!$G3210,"")</f>
        <v>4000</v>
      </c>
      <c r="I3210" s="40" t="s">
        <v>41</v>
      </c>
    </row>
    <row r="3211" spans="1:10" x14ac:dyDescent="0.25">
      <c r="A3211" s="41">
        <v>45362.508047569441</v>
      </c>
      <c r="B3211" s="48">
        <f>IF(A3211&lt;&gt;"",DATE(YEAR(TRANSACTIONS!$A3211),MONTH(TRANSACTIONS!$A3211),DAY(TRANSACTIONS!$A3211)),"")</f>
        <v>45362</v>
      </c>
      <c r="C3211" s="49">
        <f>IF(A3211&lt;&gt;"",TIME(HOUR(TRANSACTIONS!$A3211),MINUTE(TRANSACTIONS!$A3211),SECOND(TRANSACTIONS!$A3211)),"")</f>
        <v>0.50804398148148155</v>
      </c>
      <c r="D3211" s="82" t="s">
        <v>62</v>
      </c>
      <c r="E3211" s="82" t="s">
        <v>7</v>
      </c>
      <c r="F3211" s="85">
        <v>80000</v>
      </c>
      <c r="G3211" s="46"/>
      <c r="H3211" s="46">
        <f>IFERROR(TRANSACTIONS!$F3211+TRANSACTIONS!$G3211,"")</f>
        <v>80000</v>
      </c>
      <c r="I3211" s="40" t="s">
        <v>41</v>
      </c>
    </row>
    <row r="3212" spans="1:10" x14ac:dyDescent="0.25">
      <c r="A3212" s="41">
        <v>45362.508068402778</v>
      </c>
      <c r="B3212" s="48">
        <f>IF(A3212&lt;&gt;"",DATE(YEAR(TRANSACTIONS!$A3212),MONTH(TRANSACTIONS!$A3212),DAY(TRANSACTIONS!$A3212)),"")</f>
        <v>45362</v>
      </c>
      <c r="C3212" s="49">
        <f>IF(A3212&lt;&gt;"",TIME(HOUR(TRANSACTIONS!$A3212),MINUTE(TRANSACTIONS!$A3212),SECOND(TRANSACTIONS!$A3212)),"")</f>
        <v>0.50806712962962963</v>
      </c>
      <c r="D3212" s="82" t="s">
        <v>62</v>
      </c>
      <c r="E3212" s="82" t="s">
        <v>6</v>
      </c>
      <c r="F3212" s="85">
        <v>5000</v>
      </c>
      <c r="G3212" s="46"/>
      <c r="H3212" s="46">
        <f>IFERROR(TRANSACTIONS!$F3212+TRANSACTIONS!$G3212,"")</f>
        <v>5000</v>
      </c>
      <c r="I3212" s="40" t="s">
        <v>41</v>
      </c>
    </row>
    <row r="3213" spans="1:10" x14ac:dyDescent="0.25">
      <c r="A3213" s="41">
        <v>45362.508103819448</v>
      </c>
      <c r="B3213" s="48">
        <f>IF(A3213&lt;&gt;"",DATE(YEAR(TRANSACTIONS!$A3213),MONTH(TRANSACTIONS!$A3213),DAY(TRANSACTIONS!$A3213)),"")</f>
        <v>45362</v>
      </c>
      <c r="C3213" s="49">
        <f>IF(A3213&lt;&gt;"",TIME(HOUR(TRANSACTIONS!$A3213),MINUTE(TRANSACTIONS!$A3213),SECOND(TRANSACTIONS!$A3213)),"")</f>
        <v>0.50810185185185186</v>
      </c>
      <c r="D3213" s="82" t="s">
        <v>62</v>
      </c>
      <c r="E3213" s="82" t="s">
        <v>7</v>
      </c>
      <c r="F3213" s="85">
        <v>150000</v>
      </c>
      <c r="G3213" s="46"/>
      <c r="H3213" s="46">
        <f>IFERROR(TRANSACTIONS!$F3213+TRANSACTIONS!$G3213,"")</f>
        <v>150000</v>
      </c>
      <c r="I3213" s="40" t="s">
        <v>41</v>
      </c>
    </row>
    <row r="3214" spans="1:10" x14ac:dyDescent="0.25">
      <c r="A3214" s="41">
        <v>45362.508147800923</v>
      </c>
      <c r="B3214" s="48">
        <f>IF(A3214&lt;&gt;"",DATE(YEAR(TRANSACTIONS!$A3214),MONTH(TRANSACTIONS!$A3214),DAY(TRANSACTIONS!$A3214)),"")</f>
        <v>45362</v>
      </c>
      <c r="C3214" s="49">
        <f>IF(A3214&lt;&gt;"",TIME(HOUR(TRANSACTIONS!$A3214),MINUTE(TRANSACTIONS!$A3214),SECOND(TRANSACTIONS!$A3214)),"")</f>
        <v>0.50814814814814813</v>
      </c>
      <c r="D3214" s="82" t="s">
        <v>62</v>
      </c>
      <c r="E3214" s="82" t="s">
        <v>7</v>
      </c>
      <c r="F3214" s="85">
        <v>19000</v>
      </c>
      <c r="G3214" s="46"/>
      <c r="H3214" s="46">
        <f>IFERROR(TRANSACTIONS!$F3214+TRANSACTIONS!$G3214,"")</f>
        <v>19000</v>
      </c>
      <c r="I3214" s="40" t="s">
        <v>41</v>
      </c>
    </row>
    <row r="3215" spans="1:10" x14ac:dyDescent="0.25">
      <c r="A3215" s="41">
        <v>45362.508155324074</v>
      </c>
      <c r="B3215" s="48">
        <f>IF(A3215&lt;&gt;"",DATE(YEAR(TRANSACTIONS!$A3215),MONTH(TRANSACTIONS!$A3215),DAY(TRANSACTIONS!$A3215)),"")</f>
        <v>45362</v>
      </c>
      <c r="C3215" s="49">
        <f>IF(A3215&lt;&gt;"",TIME(HOUR(TRANSACTIONS!$A3215),MINUTE(TRANSACTIONS!$A3215),SECOND(TRANSACTIONS!$A3215)),"")</f>
        <v>0.50815972222222217</v>
      </c>
      <c r="D3215" s="82" t="s">
        <v>62</v>
      </c>
      <c r="E3215" s="82" t="s">
        <v>7</v>
      </c>
      <c r="F3215" s="85">
        <v>50000</v>
      </c>
      <c r="G3215" s="46"/>
      <c r="H3215" s="46">
        <f>IFERROR(TRANSACTIONS!$F3215+TRANSACTIONS!$G3215,"")</f>
        <v>50000</v>
      </c>
      <c r="I3215" s="40" t="s">
        <v>41</v>
      </c>
    </row>
    <row r="3216" spans="1:10" x14ac:dyDescent="0.25">
      <c r="A3216" s="41">
        <v>45362.508162384256</v>
      </c>
      <c r="B3216" s="48">
        <f>IF(A3216&lt;&gt;"",DATE(YEAR(TRANSACTIONS!$A3216),MONTH(TRANSACTIONS!$A3216),DAY(TRANSACTIONS!$A3216)),"")</f>
        <v>45362</v>
      </c>
      <c r="C3216" s="49">
        <f>IF(A3216&lt;&gt;"",TIME(HOUR(TRANSACTIONS!$A3216),MINUTE(TRANSACTIONS!$A3216),SECOND(TRANSACTIONS!$A3216)),"")</f>
        <v>0.50815972222222217</v>
      </c>
      <c r="D3216" s="82" t="s">
        <v>62</v>
      </c>
      <c r="E3216" s="82" t="s">
        <v>7</v>
      </c>
      <c r="F3216" s="85">
        <v>5000</v>
      </c>
      <c r="G3216" s="46"/>
      <c r="H3216" s="46">
        <f>IFERROR(TRANSACTIONS!$F3216+TRANSACTIONS!$G3216,"")</f>
        <v>5000</v>
      </c>
      <c r="I3216" s="40" t="s">
        <v>41</v>
      </c>
    </row>
    <row r="3217" spans="1:9" x14ac:dyDescent="0.25">
      <c r="A3217" s="41">
        <v>45362.508169675923</v>
      </c>
      <c r="B3217" s="48">
        <f>IF(A3217&lt;&gt;"",DATE(YEAR(TRANSACTIONS!$A3217),MONTH(TRANSACTIONS!$A3217),DAY(TRANSACTIONS!$A3217)),"")</f>
        <v>45362</v>
      </c>
      <c r="C3217" s="49">
        <f>IF(A3217&lt;&gt;"",TIME(HOUR(TRANSACTIONS!$A3217),MINUTE(TRANSACTIONS!$A3217),SECOND(TRANSACTIONS!$A3217)),"")</f>
        <v>0.50817129629629632</v>
      </c>
      <c r="D3217" s="82" t="s">
        <v>62</v>
      </c>
      <c r="E3217" s="82" t="s">
        <v>7</v>
      </c>
      <c r="F3217" s="85">
        <v>5000</v>
      </c>
      <c r="G3217" s="46"/>
      <c r="H3217" s="46">
        <f>IFERROR(TRANSACTIONS!$F3217+TRANSACTIONS!$G3217,"")</f>
        <v>5000</v>
      </c>
      <c r="I3217" s="40" t="s">
        <v>41</v>
      </c>
    </row>
    <row r="3218" spans="1:9" x14ac:dyDescent="0.25">
      <c r="A3218" s="41">
        <v>45362.508177083335</v>
      </c>
      <c r="B3218" s="48">
        <f>IF(A3218&lt;&gt;"",DATE(YEAR(TRANSACTIONS!$A3218),MONTH(TRANSACTIONS!$A3218),DAY(TRANSACTIONS!$A3218)),"")</f>
        <v>45362</v>
      </c>
      <c r="C3218" s="49">
        <f>IF(A3218&lt;&gt;"",TIME(HOUR(TRANSACTIONS!$A3218),MINUTE(TRANSACTIONS!$A3218),SECOND(TRANSACTIONS!$A3218)),"")</f>
        <v>0.50817129629629632</v>
      </c>
      <c r="D3218" s="82" t="s">
        <v>62</v>
      </c>
      <c r="E3218" s="82" t="s">
        <v>6</v>
      </c>
      <c r="F3218" s="85">
        <v>1500</v>
      </c>
      <c r="G3218" s="46"/>
      <c r="H3218" s="46">
        <f>IFERROR(TRANSACTIONS!$F3218+TRANSACTIONS!$G3218,"")</f>
        <v>1500</v>
      </c>
      <c r="I3218" s="40" t="s">
        <v>41</v>
      </c>
    </row>
    <row r="3219" spans="1:9" x14ac:dyDescent="0.25">
      <c r="A3219" s="41">
        <v>45362.508202777775</v>
      </c>
      <c r="B3219" s="48">
        <f>IF(A3219&lt;&gt;"",DATE(YEAR(TRANSACTIONS!$A3219),MONTH(TRANSACTIONS!$A3219),DAY(TRANSACTIONS!$A3219)),"")</f>
        <v>45362</v>
      </c>
      <c r="C3219" s="49">
        <f>IF(A3219&lt;&gt;"",TIME(HOUR(TRANSACTIONS!$A3219),MINUTE(TRANSACTIONS!$A3219),SECOND(TRANSACTIONS!$A3219)),"")</f>
        <v>0.50820601851851854</v>
      </c>
      <c r="D3219" s="82" t="s">
        <v>62</v>
      </c>
      <c r="E3219" s="82" t="s">
        <v>6</v>
      </c>
      <c r="F3219" s="85">
        <v>40000</v>
      </c>
      <c r="G3219" s="46"/>
      <c r="H3219" s="46">
        <f>IFERROR(TRANSACTIONS!$F3219+TRANSACTIONS!$G3219,"")</f>
        <v>40000</v>
      </c>
      <c r="I3219" s="40" t="s">
        <v>41</v>
      </c>
    </row>
    <row r="3220" spans="1:9" x14ac:dyDescent="0.25">
      <c r="A3220" s="41">
        <v>45362.508211574073</v>
      </c>
      <c r="B3220" s="48">
        <f>IF(A3220&lt;&gt;"",DATE(YEAR(TRANSACTIONS!$A3220),MONTH(TRANSACTIONS!$A3220),DAY(TRANSACTIONS!$A3220)),"")</f>
        <v>45362</v>
      </c>
      <c r="C3220" s="49">
        <f>IF(A3220&lt;&gt;"",TIME(HOUR(TRANSACTIONS!$A3220),MINUTE(TRANSACTIONS!$A3220),SECOND(TRANSACTIONS!$A3220)),"")</f>
        <v>0.50820601851851854</v>
      </c>
      <c r="D3220" s="82" t="s">
        <v>62</v>
      </c>
      <c r="E3220" s="82" t="s">
        <v>7</v>
      </c>
      <c r="F3220" s="85">
        <v>3500</v>
      </c>
      <c r="G3220" s="46"/>
      <c r="H3220" s="46">
        <f>IFERROR(TRANSACTIONS!$F3220+TRANSACTIONS!$G3220,"")</f>
        <v>3500</v>
      </c>
      <c r="I3220" s="40" t="s">
        <v>41</v>
      </c>
    </row>
    <row r="3221" spans="1:9" x14ac:dyDescent="0.25">
      <c r="A3221" s="41">
        <v>45362.508219212963</v>
      </c>
      <c r="B3221" s="48">
        <f>IF(A3221&lt;&gt;"",DATE(YEAR(TRANSACTIONS!$A3221),MONTH(TRANSACTIONS!$A3221),DAY(TRANSACTIONS!$A3221)),"")</f>
        <v>45362</v>
      </c>
      <c r="C3221" s="49">
        <f>IF(A3221&lt;&gt;"",TIME(HOUR(TRANSACTIONS!$A3221),MINUTE(TRANSACTIONS!$A3221),SECOND(TRANSACTIONS!$A3221)),"")</f>
        <v>0.50821759259259258</v>
      </c>
      <c r="D3221" s="82" t="s">
        <v>62</v>
      </c>
      <c r="E3221" s="82" t="s">
        <v>7</v>
      </c>
      <c r="F3221" s="85">
        <v>100000</v>
      </c>
      <c r="G3221" s="46"/>
      <c r="H3221" s="46">
        <f>IFERROR(TRANSACTIONS!$F3221+TRANSACTIONS!$G3221,"")</f>
        <v>100000</v>
      </c>
      <c r="I3221" s="40" t="s">
        <v>41</v>
      </c>
    </row>
    <row r="3222" spans="1:9" x14ac:dyDescent="0.25">
      <c r="A3222" s="41">
        <v>45362.508239467592</v>
      </c>
      <c r="B3222" s="48">
        <f>IF(A3222&lt;&gt;"",DATE(YEAR(TRANSACTIONS!$A3222),MONTH(TRANSACTIONS!$A3222),DAY(TRANSACTIONS!$A3222)),"")</f>
        <v>45362</v>
      </c>
      <c r="C3222" s="49">
        <f>IF(A3222&lt;&gt;"",TIME(HOUR(TRANSACTIONS!$A3222),MINUTE(TRANSACTIONS!$A3222),SECOND(TRANSACTIONS!$A3222)),"")</f>
        <v>0.50824074074074077</v>
      </c>
      <c r="D3222" s="82" t="s">
        <v>62</v>
      </c>
      <c r="E3222" s="82" t="s">
        <v>7</v>
      </c>
      <c r="F3222" s="85">
        <v>100000</v>
      </c>
      <c r="G3222" s="46"/>
      <c r="H3222" s="46">
        <f>IFERROR(TRANSACTIONS!$F3222+TRANSACTIONS!$G3222,"")</f>
        <v>100000</v>
      </c>
      <c r="I3222" s="40" t="s">
        <v>41</v>
      </c>
    </row>
    <row r="3223" spans="1:9" x14ac:dyDescent="0.25">
      <c r="A3223" s="41">
        <v>45362.508248611113</v>
      </c>
      <c r="B3223" s="48">
        <f>IF(A3223&lt;&gt;"",DATE(YEAR(TRANSACTIONS!$A3223),MONTH(TRANSACTIONS!$A3223),DAY(TRANSACTIONS!$A3223)),"")</f>
        <v>45362</v>
      </c>
      <c r="C3223" s="49">
        <f>IF(A3223&lt;&gt;"",TIME(HOUR(TRANSACTIONS!$A3223),MINUTE(TRANSACTIONS!$A3223),SECOND(TRANSACTIONS!$A3223)),"")</f>
        <v>0.50825231481481481</v>
      </c>
      <c r="D3223" s="82" t="s">
        <v>62</v>
      </c>
      <c r="E3223" s="82" t="s">
        <v>6</v>
      </c>
      <c r="F3223" s="85">
        <v>3000</v>
      </c>
      <c r="G3223" s="46"/>
      <c r="H3223" s="46">
        <f>IFERROR(TRANSACTIONS!$F3223+TRANSACTIONS!$G3223,"")</f>
        <v>3000</v>
      </c>
      <c r="I3223" s="40" t="s">
        <v>41</v>
      </c>
    </row>
    <row r="3224" spans="1:9" x14ac:dyDescent="0.25">
      <c r="A3224" s="41">
        <v>45362.508256597219</v>
      </c>
      <c r="B3224" s="48">
        <f>IF(A3224&lt;&gt;"",DATE(YEAR(TRANSACTIONS!$A3224),MONTH(TRANSACTIONS!$A3224),DAY(TRANSACTIONS!$A3224)),"")</f>
        <v>45362</v>
      </c>
      <c r="C3224" s="49">
        <f>IF(A3224&lt;&gt;"",TIME(HOUR(TRANSACTIONS!$A3224),MINUTE(TRANSACTIONS!$A3224),SECOND(TRANSACTIONS!$A3224)),"")</f>
        <v>0.50825231481481481</v>
      </c>
      <c r="D3224" s="82" t="s">
        <v>62</v>
      </c>
      <c r="E3224" s="82" t="s">
        <v>7</v>
      </c>
      <c r="F3224" s="85">
        <v>5000</v>
      </c>
      <c r="G3224" s="46"/>
      <c r="H3224" s="46">
        <f>IFERROR(TRANSACTIONS!$F3224+TRANSACTIONS!$G3224,"")</f>
        <v>5000</v>
      </c>
      <c r="I3224" s="40" t="s">
        <v>41</v>
      </c>
    </row>
    <row r="3225" spans="1:9" x14ac:dyDescent="0.25">
      <c r="A3225" s="41">
        <v>45362.508297337961</v>
      </c>
      <c r="B3225" s="48">
        <f>IF(A3225&lt;&gt;"",DATE(YEAR(TRANSACTIONS!$A3225),MONTH(TRANSACTIONS!$A3225),DAY(TRANSACTIONS!$A3225)),"")</f>
        <v>45362</v>
      </c>
      <c r="C3225" s="49">
        <f>IF(A3225&lt;&gt;"",TIME(HOUR(TRANSACTIONS!$A3225),MINUTE(TRANSACTIONS!$A3225),SECOND(TRANSACTIONS!$A3225)),"")</f>
        <v>0.50829861111111108</v>
      </c>
      <c r="D3225" s="82" t="s">
        <v>62</v>
      </c>
      <c r="E3225" s="82" t="s">
        <v>6</v>
      </c>
      <c r="F3225" s="85">
        <v>20000</v>
      </c>
      <c r="G3225" s="46"/>
      <c r="H3225" s="46">
        <f>IFERROR(TRANSACTIONS!$F3225+TRANSACTIONS!$G3225,"")</f>
        <v>20000</v>
      </c>
      <c r="I3225" s="40" t="s">
        <v>41</v>
      </c>
    </row>
    <row r="3226" spans="1:9" x14ac:dyDescent="0.25">
      <c r="A3226" s="41">
        <v>45362.635987499998</v>
      </c>
      <c r="B3226" s="48">
        <f>IF(A3226&lt;&gt;"",DATE(YEAR(TRANSACTIONS!$A3226),MONTH(TRANSACTIONS!$A3226),DAY(TRANSACTIONS!$A3226)),"")</f>
        <v>45362</v>
      </c>
      <c r="C3226" s="49">
        <f>IF(A3226&lt;&gt;"",TIME(HOUR(TRANSACTIONS!$A3226),MINUTE(TRANSACTIONS!$A3226),SECOND(TRANSACTIONS!$A3226)),"")</f>
        <v>0.63598379629629631</v>
      </c>
      <c r="D3226" s="82" t="s">
        <v>62</v>
      </c>
      <c r="E3226" s="82" t="s">
        <v>7</v>
      </c>
      <c r="F3226" s="85">
        <v>11000</v>
      </c>
      <c r="G3226" s="46"/>
      <c r="H3226" s="46">
        <f>IFERROR(TRANSACTIONS!$F3226+TRANSACTIONS!$G3226,"")</f>
        <v>11000</v>
      </c>
      <c r="I3226" s="40" t="s">
        <v>41</v>
      </c>
    </row>
    <row r="3227" spans="1:9" x14ac:dyDescent="0.25">
      <c r="A3227" s="41">
        <v>45362.636001041668</v>
      </c>
      <c r="B3227" s="48">
        <f>IF(A3227&lt;&gt;"",DATE(YEAR(TRANSACTIONS!$A3227),MONTH(TRANSACTIONS!$A3227),DAY(TRANSACTIONS!$A3227)),"")</f>
        <v>45362</v>
      </c>
      <c r="C3227" s="49">
        <f>IF(A3227&lt;&gt;"",TIME(HOUR(TRANSACTIONS!$A3227),MINUTE(TRANSACTIONS!$A3227),SECOND(TRANSACTIONS!$A3227)),"")</f>
        <v>0.63599537037037035</v>
      </c>
      <c r="D3227" s="82" t="s">
        <v>62</v>
      </c>
      <c r="E3227" s="82" t="s">
        <v>6</v>
      </c>
      <c r="F3227" s="85">
        <v>4000</v>
      </c>
      <c r="G3227" s="46"/>
      <c r="H3227" s="46">
        <f>IFERROR(TRANSACTIONS!$F3227+TRANSACTIONS!$G3227,"")</f>
        <v>4000</v>
      </c>
      <c r="I3227" s="40" t="s">
        <v>41</v>
      </c>
    </row>
    <row r="3228" spans="1:9" x14ac:dyDescent="0.25">
      <c r="A3228" s="41">
        <v>45362.63600914352</v>
      </c>
      <c r="B3228" s="48">
        <f>IF(A3228&lt;&gt;"",DATE(YEAR(TRANSACTIONS!$A3228),MONTH(TRANSACTIONS!$A3228),DAY(TRANSACTIONS!$A3228)),"")</f>
        <v>45362</v>
      </c>
      <c r="C3228" s="49">
        <f>IF(A3228&lt;&gt;"",TIME(HOUR(TRANSACTIONS!$A3228),MINUTE(TRANSACTIONS!$A3228),SECOND(TRANSACTIONS!$A3228)),"")</f>
        <v>0.63600694444444439</v>
      </c>
      <c r="D3228" s="82" t="s">
        <v>62</v>
      </c>
      <c r="E3228" s="82" t="s">
        <v>6</v>
      </c>
      <c r="F3228" s="94">
        <v>115000</v>
      </c>
      <c r="G3228" s="46"/>
      <c r="H3228" s="46">
        <f>IFERROR(TRANSACTIONS!$F3228+TRANSACTIONS!$G3228,"")</f>
        <v>115000</v>
      </c>
      <c r="I3228" s="40" t="s">
        <v>41</v>
      </c>
    </row>
    <row r="3229" spans="1:9" x14ac:dyDescent="0.25">
      <c r="A3229" s="41">
        <v>45362.636016319448</v>
      </c>
      <c r="B3229" s="48">
        <f>IF(A3229&lt;&gt;"",DATE(YEAR(TRANSACTIONS!$A3229),MONTH(TRANSACTIONS!$A3229),DAY(TRANSACTIONS!$A3229)),"")</f>
        <v>45362</v>
      </c>
      <c r="C3229" s="49">
        <f>IF(A3229&lt;&gt;"",TIME(HOUR(TRANSACTIONS!$A3229),MINUTE(TRANSACTIONS!$A3229),SECOND(TRANSACTIONS!$A3229)),"")</f>
        <v>0.63601851851851854</v>
      </c>
      <c r="D3229" s="82" t="s">
        <v>62</v>
      </c>
      <c r="E3229" s="82" t="s">
        <v>7</v>
      </c>
      <c r="F3229" s="85">
        <v>1000</v>
      </c>
      <c r="G3229" s="46"/>
      <c r="H3229" s="46">
        <f>IFERROR(TRANSACTIONS!$F3229+TRANSACTIONS!$G3229,"")</f>
        <v>1000</v>
      </c>
      <c r="I3229" s="40" t="s">
        <v>41</v>
      </c>
    </row>
    <row r="3230" spans="1:9" x14ac:dyDescent="0.25">
      <c r="A3230" s="41">
        <v>45362.636023726853</v>
      </c>
      <c r="B3230" s="48">
        <f>IF(A3230&lt;&gt;"",DATE(YEAR(TRANSACTIONS!$A3230),MONTH(TRANSACTIONS!$A3230),DAY(TRANSACTIONS!$A3230)),"")</f>
        <v>45362</v>
      </c>
      <c r="C3230" s="49">
        <f>IF(A3230&lt;&gt;"",TIME(HOUR(TRANSACTIONS!$A3230),MINUTE(TRANSACTIONS!$A3230),SECOND(TRANSACTIONS!$A3230)),"")</f>
        <v>0.63601851851851854</v>
      </c>
      <c r="D3230" s="82" t="s">
        <v>62</v>
      </c>
      <c r="E3230" s="82" t="s">
        <v>7</v>
      </c>
      <c r="F3230" s="85">
        <v>7000</v>
      </c>
      <c r="G3230" s="46"/>
      <c r="H3230" s="46">
        <f>IFERROR(TRANSACTIONS!$F3230+TRANSACTIONS!$G3230,"")</f>
        <v>7000</v>
      </c>
      <c r="I3230" s="40" t="s">
        <v>41</v>
      </c>
    </row>
    <row r="3231" spans="1:9" x14ac:dyDescent="0.25">
      <c r="A3231" s="41">
        <v>45362.63603425926</v>
      </c>
      <c r="B3231" s="48">
        <f>IF(A3231&lt;&gt;"",DATE(YEAR(TRANSACTIONS!$A3231),MONTH(TRANSACTIONS!$A3231),DAY(TRANSACTIONS!$A3231)),"")</f>
        <v>45362</v>
      </c>
      <c r="C3231" s="49">
        <f>IF(A3231&lt;&gt;"",TIME(HOUR(TRANSACTIONS!$A3231),MINUTE(TRANSACTIONS!$A3231),SECOND(TRANSACTIONS!$A3231)),"")</f>
        <v>0.63603009259259258</v>
      </c>
      <c r="D3231" s="82" t="s">
        <v>62</v>
      </c>
      <c r="E3231" s="82" t="s">
        <v>7</v>
      </c>
      <c r="F3231" s="85">
        <v>10000</v>
      </c>
      <c r="G3231" s="46"/>
      <c r="H3231" s="46">
        <f>IFERROR(TRANSACTIONS!$F3231+TRANSACTIONS!$G3231,"")</f>
        <v>10000</v>
      </c>
      <c r="I3231" s="40" t="s">
        <v>41</v>
      </c>
    </row>
    <row r="3232" spans="1:9" x14ac:dyDescent="0.25">
      <c r="A3232" s="41">
        <v>45362.636041666665</v>
      </c>
      <c r="B3232" s="48">
        <f>IF(A3232&lt;&gt;"",DATE(YEAR(TRANSACTIONS!$A3232),MONTH(TRANSACTIONS!$A3232),DAY(TRANSACTIONS!$A3232)),"")</f>
        <v>45362</v>
      </c>
      <c r="C3232" s="49">
        <f>IF(A3232&lt;&gt;"",TIME(HOUR(TRANSACTIONS!$A3232),MINUTE(TRANSACTIONS!$A3232),SECOND(TRANSACTIONS!$A3232)),"")</f>
        <v>0.63604166666666673</v>
      </c>
      <c r="D3232" s="82" t="s">
        <v>62</v>
      </c>
      <c r="E3232" s="82" t="s">
        <v>7</v>
      </c>
      <c r="F3232" s="85">
        <v>2000</v>
      </c>
      <c r="G3232" s="46"/>
      <c r="H3232" s="46">
        <f>IFERROR(TRANSACTIONS!$F3232+TRANSACTIONS!$G3232,"")</f>
        <v>2000</v>
      </c>
      <c r="I3232" s="40" t="s">
        <v>41</v>
      </c>
    </row>
    <row r="3233" spans="1:9" x14ac:dyDescent="0.25">
      <c r="A3233" s="41">
        <v>45362.636048726854</v>
      </c>
      <c r="B3233" s="48">
        <f>IF(A3233&lt;&gt;"",DATE(YEAR(TRANSACTIONS!$A3233),MONTH(TRANSACTIONS!$A3233),DAY(TRANSACTIONS!$A3233)),"")</f>
        <v>45362</v>
      </c>
      <c r="C3233" s="49">
        <f>IF(A3233&lt;&gt;"",TIME(HOUR(TRANSACTIONS!$A3233),MINUTE(TRANSACTIONS!$A3233),SECOND(TRANSACTIONS!$A3233)),"")</f>
        <v>0.63605324074074077</v>
      </c>
      <c r="D3233" s="82" t="s">
        <v>62</v>
      </c>
      <c r="E3233" s="82" t="s">
        <v>7</v>
      </c>
      <c r="F3233" s="85">
        <v>5000</v>
      </c>
      <c r="G3233" s="46"/>
      <c r="H3233" s="46">
        <f>IFERROR(TRANSACTIONS!$F3233+TRANSACTIONS!$G3233,"")</f>
        <v>5000</v>
      </c>
      <c r="I3233" s="40" t="s">
        <v>41</v>
      </c>
    </row>
    <row r="3234" spans="1:9" x14ac:dyDescent="0.25">
      <c r="A3234" s="41">
        <v>45362.636082870369</v>
      </c>
      <c r="B3234" s="48">
        <f>IF(A3234&lt;&gt;"",DATE(YEAR(TRANSACTIONS!$A3234),MONTH(TRANSACTIONS!$A3234),DAY(TRANSACTIONS!$A3234)),"")</f>
        <v>45362</v>
      </c>
      <c r="C3234" s="49">
        <f>IF(A3234&lt;&gt;"",TIME(HOUR(TRANSACTIONS!$A3234),MINUTE(TRANSACTIONS!$A3234),SECOND(TRANSACTIONS!$A3234)),"")</f>
        <v>0.63608796296296299</v>
      </c>
      <c r="D3234" s="82" t="s">
        <v>62</v>
      </c>
      <c r="E3234" s="82" t="s">
        <v>7</v>
      </c>
      <c r="F3234" s="85">
        <v>310000</v>
      </c>
      <c r="G3234" s="46"/>
      <c r="H3234" s="46">
        <f>IFERROR(TRANSACTIONS!$F3234+TRANSACTIONS!$G3234,"")</f>
        <v>310000</v>
      </c>
      <c r="I3234" s="40" t="s">
        <v>41</v>
      </c>
    </row>
    <row r="3235" spans="1:9" x14ac:dyDescent="0.25">
      <c r="A3235" s="41">
        <v>45362.636091550929</v>
      </c>
      <c r="B3235" s="48">
        <f>IF(A3235&lt;&gt;"",DATE(YEAR(TRANSACTIONS!$A3235),MONTH(TRANSACTIONS!$A3235),DAY(TRANSACTIONS!$A3235)),"")</f>
        <v>45362</v>
      </c>
      <c r="C3235" s="49">
        <f>IF(A3235&lt;&gt;"",TIME(HOUR(TRANSACTIONS!$A3235),MINUTE(TRANSACTIONS!$A3235),SECOND(TRANSACTIONS!$A3235)),"")</f>
        <v>0.63608796296296299</v>
      </c>
      <c r="D3235" s="82" t="s">
        <v>62</v>
      </c>
      <c r="E3235" s="82" t="s">
        <v>7</v>
      </c>
      <c r="F3235" s="85">
        <v>3000</v>
      </c>
      <c r="G3235" s="46"/>
      <c r="H3235" s="46">
        <f>IFERROR(TRANSACTIONS!$F3235+TRANSACTIONS!$G3235,"")</f>
        <v>3000</v>
      </c>
      <c r="I3235" s="40" t="s">
        <v>41</v>
      </c>
    </row>
    <row r="3236" spans="1:9" x14ac:dyDescent="0.25">
      <c r="A3236" s="41">
        <v>45362.636101851851</v>
      </c>
      <c r="B3236" s="48">
        <f>IF(A3236&lt;&gt;"",DATE(YEAR(TRANSACTIONS!$A3236),MONTH(TRANSACTIONS!$A3236),DAY(TRANSACTIONS!$A3236)),"")</f>
        <v>45362</v>
      </c>
      <c r="C3236" s="49">
        <f>IF(A3236&lt;&gt;"",TIME(HOUR(TRANSACTIONS!$A3236),MINUTE(TRANSACTIONS!$A3236),SECOND(TRANSACTIONS!$A3236)),"")</f>
        <v>0.63609953703703703</v>
      </c>
      <c r="D3236" s="82" t="s">
        <v>62</v>
      </c>
      <c r="E3236" s="82" t="s">
        <v>7</v>
      </c>
      <c r="F3236" s="85">
        <v>42000</v>
      </c>
      <c r="G3236" s="46"/>
      <c r="H3236" s="46">
        <f>IFERROR(TRANSACTIONS!$F3236+TRANSACTIONS!$G3236,"")</f>
        <v>42000</v>
      </c>
      <c r="I3236" s="40" t="s">
        <v>41</v>
      </c>
    </row>
    <row r="3237" spans="1:9" x14ac:dyDescent="0.25">
      <c r="A3237" s="41">
        <v>45362.636111458334</v>
      </c>
      <c r="B3237" s="48">
        <f>IF(A3237&lt;&gt;"",DATE(YEAR(TRANSACTIONS!$A3237),MONTH(TRANSACTIONS!$A3237),DAY(TRANSACTIONS!$A3237)),"")</f>
        <v>45362</v>
      </c>
      <c r="C3237" s="49">
        <f>IF(A3237&lt;&gt;"",TIME(HOUR(TRANSACTIONS!$A3237),MINUTE(TRANSACTIONS!$A3237),SECOND(TRANSACTIONS!$A3237)),"")</f>
        <v>0.63611111111111118</v>
      </c>
      <c r="D3237" s="82" t="s">
        <v>62</v>
      </c>
      <c r="E3237" s="82" t="s">
        <v>7</v>
      </c>
      <c r="F3237" s="85">
        <v>37500</v>
      </c>
      <c r="G3237" s="46"/>
      <c r="H3237" s="46">
        <f>IFERROR(TRANSACTIONS!$F3237+TRANSACTIONS!$G3237,"")</f>
        <v>37500</v>
      </c>
      <c r="I3237" s="40" t="s">
        <v>41</v>
      </c>
    </row>
    <row r="3238" spans="1:9" x14ac:dyDescent="0.25">
      <c r="A3238" s="41">
        <v>45362.636118287039</v>
      </c>
      <c r="B3238" s="48">
        <f>IF(A3238&lt;&gt;"",DATE(YEAR(TRANSACTIONS!$A3238),MONTH(TRANSACTIONS!$A3238),DAY(TRANSACTIONS!$A3238)),"")</f>
        <v>45362</v>
      </c>
      <c r="C3238" s="49">
        <f>IF(A3238&lt;&gt;"",TIME(HOUR(TRANSACTIONS!$A3238),MINUTE(TRANSACTIONS!$A3238),SECOND(TRANSACTIONS!$A3238)),"")</f>
        <v>0.63612268518518522</v>
      </c>
      <c r="D3238" s="82" t="s">
        <v>62</v>
      </c>
      <c r="E3238" s="82" t="s">
        <v>6</v>
      </c>
      <c r="F3238" s="85">
        <v>3000</v>
      </c>
      <c r="G3238" s="46"/>
      <c r="H3238" s="46">
        <f>IFERROR(TRANSACTIONS!$F3238+TRANSACTIONS!$G3238,"")</f>
        <v>3000</v>
      </c>
      <c r="I3238" s="40" t="s">
        <v>41</v>
      </c>
    </row>
    <row r="3239" spans="1:9" x14ac:dyDescent="0.25">
      <c r="A3239" s="41">
        <v>45362.638208564815</v>
      </c>
      <c r="B3239" s="48">
        <f>IF(A3239&lt;&gt;"",DATE(YEAR(TRANSACTIONS!$A3239),MONTH(TRANSACTIONS!$A3239),DAY(TRANSACTIONS!$A3239)),"")</f>
        <v>45362</v>
      </c>
      <c r="C3239" s="49">
        <f>IF(A3239&lt;&gt;"",TIME(HOUR(TRANSACTIONS!$A3239),MINUTE(TRANSACTIONS!$A3239),SECOND(TRANSACTIONS!$A3239)),"")</f>
        <v>0.63820601851851855</v>
      </c>
      <c r="D3239" s="82" t="s">
        <v>62</v>
      </c>
      <c r="E3239" s="82" t="s">
        <v>7</v>
      </c>
      <c r="F3239" s="85">
        <v>5000</v>
      </c>
      <c r="G3239" s="46"/>
      <c r="H3239" s="46">
        <f>IFERROR(TRANSACTIONS!$F3239+TRANSACTIONS!$G3239,"")</f>
        <v>5000</v>
      </c>
      <c r="I3239" s="40" t="s">
        <v>41</v>
      </c>
    </row>
    <row r="3240" spans="1:9" x14ac:dyDescent="0.25">
      <c r="A3240" s="41">
        <v>45362.638235532409</v>
      </c>
      <c r="B3240" s="48">
        <f>IF(A3240&lt;&gt;"",DATE(YEAR(TRANSACTIONS!$A3240),MONTH(TRANSACTIONS!$A3240),DAY(TRANSACTIONS!$A3240)),"")</f>
        <v>45362</v>
      </c>
      <c r="C3240" s="49">
        <f>IF(A3240&lt;&gt;"",TIME(HOUR(TRANSACTIONS!$A3240),MINUTE(TRANSACTIONS!$A3240),SECOND(TRANSACTIONS!$A3240)),"")</f>
        <v>0.63824074074074078</v>
      </c>
      <c r="D3240" s="82" t="s">
        <v>62</v>
      </c>
      <c r="E3240" s="82" t="s">
        <v>6</v>
      </c>
      <c r="F3240" s="85">
        <v>7000</v>
      </c>
      <c r="G3240" s="46"/>
      <c r="H3240" s="46">
        <f>IFERROR(TRANSACTIONS!$F3240+TRANSACTIONS!$G3240,"")</f>
        <v>7000</v>
      </c>
      <c r="I3240" s="40" t="s">
        <v>41</v>
      </c>
    </row>
    <row r="3241" spans="1:9" x14ac:dyDescent="0.25">
      <c r="A3241" s="41">
        <v>45362.638243518515</v>
      </c>
      <c r="B3241" s="48">
        <f>IF(A3241&lt;&gt;"",DATE(YEAR(TRANSACTIONS!$A3241),MONTH(TRANSACTIONS!$A3241),DAY(TRANSACTIONS!$A3241)),"")</f>
        <v>45362</v>
      </c>
      <c r="C3241" s="49">
        <f>IF(A3241&lt;&gt;"",TIME(HOUR(TRANSACTIONS!$A3241),MINUTE(TRANSACTIONS!$A3241),SECOND(TRANSACTIONS!$A3241)),"")</f>
        <v>0.63824074074074078</v>
      </c>
      <c r="D3241" s="82" t="s">
        <v>62</v>
      </c>
      <c r="E3241" s="82" t="s">
        <v>7</v>
      </c>
      <c r="F3241" s="85">
        <v>18000</v>
      </c>
      <c r="G3241" s="46"/>
      <c r="H3241" s="46">
        <f>IFERROR(TRANSACTIONS!$F3241+TRANSACTIONS!$G3241,"")</f>
        <v>18000</v>
      </c>
      <c r="I3241" s="40" t="s">
        <v>41</v>
      </c>
    </row>
    <row r="3242" spans="1:9" x14ac:dyDescent="0.25">
      <c r="A3242" s="41">
        <v>45362.638251504628</v>
      </c>
      <c r="B3242" s="48">
        <f>IF(A3242&lt;&gt;"",DATE(YEAR(TRANSACTIONS!$A3242),MONTH(TRANSACTIONS!$A3242),DAY(TRANSACTIONS!$A3242)),"")</f>
        <v>45362</v>
      </c>
      <c r="C3242" s="49">
        <f>IF(A3242&lt;&gt;"",TIME(HOUR(TRANSACTIONS!$A3242),MINUTE(TRANSACTIONS!$A3242),SECOND(TRANSACTIONS!$A3242)),"")</f>
        <v>0.63825231481481481</v>
      </c>
      <c r="D3242" s="82" t="s">
        <v>62</v>
      </c>
      <c r="E3242" s="82" t="s">
        <v>7</v>
      </c>
      <c r="F3242" s="85">
        <v>3000</v>
      </c>
      <c r="G3242" s="46"/>
      <c r="H3242" s="46">
        <f>IFERROR(TRANSACTIONS!$F3242+TRANSACTIONS!$G3242,"")</f>
        <v>3000</v>
      </c>
      <c r="I3242" s="40" t="s">
        <v>41</v>
      </c>
    </row>
    <row r="3243" spans="1:9" x14ac:dyDescent="0.25">
      <c r="A3243" s="41">
        <v>45362.638259837964</v>
      </c>
      <c r="B3243" s="48">
        <f>IF(A3243&lt;&gt;"",DATE(YEAR(TRANSACTIONS!$A3243),MONTH(TRANSACTIONS!$A3243),DAY(TRANSACTIONS!$A3243)),"")</f>
        <v>45362</v>
      </c>
      <c r="C3243" s="49">
        <f>IF(A3243&lt;&gt;"",TIME(HOUR(TRANSACTIONS!$A3243),MINUTE(TRANSACTIONS!$A3243),SECOND(TRANSACTIONS!$A3243)),"")</f>
        <v>0.63826388888888885</v>
      </c>
      <c r="D3243" s="82" t="s">
        <v>25</v>
      </c>
      <c r="E3243" s="82" t="s">
        <v>6</v>
      </c>
      <c r="F3243" s="85">
        <v>3000</v>
      </c>
      <c r="G3243" s="46"/>
      <c r="H3243" s="46">
        <f>IFERROR(TRANSACTIONS!$F3243+TRANSACTIONS!$G3243,"")</f>
        <v>3000</v>
      </c>
      <c r="I3243" s="40" t="s">
        <v>41</v>
      </c>
    </row>
    <row r="3244" spans="1:9" x14ac:dyDescent="0.25">
      <c r="A3244" s="41">
        <v>45362.638266666669</v>
      </c>
      <c r="B3244" s="48">
        <f>IF(A3244&lt;&gt;"",DATE(YEAR(TRANSACTIONS!$A3244),MONTH(TRANSACTIONS!$A3244),DAY(TRANSACTIONS!$A3244)),"")</f>
        <v>45362</v>
      </c>
      <c r="C3244" s="49">
        <f>IF(A3244&lt;&gt;"",TIME(HOUR(TRANSACTIONS!$A3244),MINUTE(TRANSACTIONS!$A3244),SECOND(TRANSACTIONS!$A3244)),"")</f>
        <v>0.63826388888888885</v>
      </c>
      <c r="D3244" s="82" t="s">
        <v>25</v>
      </c>
      <c r="E3244" s="82" t="s">
        <v>6</v>
      </c>
      <c r="F3244" s="85">
        <v>4000</v>
      </c>
      <c r="G3244" s="46"/>
      <c r="H3244" s="46">
        <f>IFERROR(TRANSACTIONS!$F3244+TRANSACTIONS!$G3244,"")</f>
        <v>4000</v>
      </c>
      <c r="I3244" s="40" t="s">
        <v>41</v>
      </c>
    </row>
    <row r="3245" spans="1:9" x14ac:dyDescent="0.25">
      <c r="A3245" s="41">
        <v>45362.638274999998</v>
      </c>
      <c r="B3245" s="48">
        <f>IF(A3245&lt;&gt;"",DATE(YEAR(TRANSACTIONS!$A3245),MONTH(TRANSACTIONS!$A3245),DAY(TRANSACTIONS!$A3245)),"")</f>
        <v>45362</v>
      </c>
      <c r="C3245" s="49">
        <f>IF(A3245&lt;&gt;"",TIME(HOUR(TRANSACTIONS!$A3245),MINUTE(TRANSACTIONS!$A3245),SECOND(TRANSACTIONS!$A3245)),"")</f>
        <v>0.63827546296296289</v>
      </c>
      <c r="D3245" s="82" t="s">
        <v>25</v>
      </c>
      <c r="E3245" s="82" t="s">
        <v>7</v>
      </c>
      <c r="F3245" s="85">
        <v>1500</v>
      </c>
      <c r="G3245" s="46"/>
      <c r="H3245" s="46">
        <f>IFERROR(TRANSACTIONS!$F3245+TRANSACTIONS!$G3245,"")</f>
        <v>1500</v>
      </c>
      <c r="I3245" s="40" t="s">
        <v>41</v>
      </c>
    </row>
    <row r="3246" spans="1:9" x14ac:dyDescent="0.25">
      <c r="A3246" s="41">
        <v>45362.638282060187</v>
      </c>
      <c r="B3246" s="48">
        <f>IF(A3246&lt;&gt;"",DATE(YEAR(TRANSACTIONS!$A3246),MONTH(TRANSACTIONS!$A3246),DAY(TRANSACTIONS!$A3246)),"")</f>
        <v>45362</v>
      </c>
      <c r="C3246" s="49">
        <f>IF(A3246&lt;&gt;"",TIME(HOUR(TRANSACTIONS!$A3246),MINUTE(TRANSACTIONS!$A3246),SECOND(TRANSACTIONS!$A3246)),"")</f>
        <v>0.63828703703703704</v>
      </c>
      <c r="D3246" s="82" t="s">
        <v>25</v>
      </c>
      <c r="E3246" s="82" t="s">
        <v>6</v>
      </c>
      <c r="F3246" s="85">
        <v>1000</v>
      </c>
      <c r="G3246" s="46"/>
      <c r="H3246" s="46">
        <f>IFERROR(TRANSACTIONS!$F3246+TRANSACTIONS!$G3246,"")</f>
        <v>1000</v>
      </c>
      <c r="I3246" s="40" t="s">
        <v>41</v>
      </c>
    </row>
    <row r="3247" spans="1:9" x14ac:dyDescent="0.25">
      <c r="A3247" s="113">
        <v>45362.638290625</v>
      </c>
      <c r="B3247" s="114">
        <f>IF(A3247&lt;&gt;"",DATE(YEAR(TRANSACTIONS!$A3247),MONTH(TRANSACTIONS!$A3247),DAY(TRANSACTIONS!$A3247)),"")</f>
        <v>45362</v>
      </c>
      <c r="C3247" s="115">
        <f>IF(A3247&lt;&gt;"",TIME(HOUR(TRANSACTIONS!$A3247),MINUTE(TRANSACTIONS!$A3247),SECOND(TRANSACTIONS!$A3247)),"")</f>
        <v>0.63828703703703704</v>
      </c>
      <c r="D3247" s="82" t="s">
        <v>25</v>
      </c>
      <c r="E3247" s="82" t="s">
        <v>6</v>
      </c>
      <c r="F3247" s="85">
        <v>20000</v>
      </c>
      <c r="G3247" s="117"/>
      <c r="H3247" s="117">
        <f>IFERROR(TRANSACTIONS!$F3247+TRANSACTIONS!$G3247,"")</f>
        <v>20000</v>
      </c>
      <c r="I3247" s="118" t="s">
        <v>41</v>
      </c>
    </row>
    <row r="3248" spans="1:9" x14ac:dyDescent="0.25">
      <c r="A3248" s="41">
        <v>45362.638297800928</v>
      </c>
      <c r="B3248" s="48">
        <f>IF(A3248&lt;&gt;"",DATE(YEAR(TRANSACTIONS!$A3248),MONTH(TRANSACTIONS!$A3248),DAY(TRANSACTIONS!$A3248)),"")</f>
        <v>45362</v>
      </c>
      <c r="C3248" s="49">
        <f>IF(A3248&lt;&gt;"",TIME(HOUR(TRANSACTIONS!$A3248),MINUTE(TRANSACTIONS!$A3248),SECOND(TRANSACTIONS!$A3248)),"")</f>
        <v>0.63829861111111108</v>
      </c>
      <c r="D3248" s="82" t="s">
        <v>25</v>
      </c>
      <c r="E3248" s="82" t="s">
        <v>6</v>
      </c>
      <c r="F3248" s="85">
        <v>1000</v>
      </c>
      <c r="G3248" s="46"/>
      <c r="H3248" s="46">
        <f>IFERROR(TRANSACTIONS!$F3248+TRANSACTIONS!$G3248,"")</f>
        <v>1000</v>
      </c>
      <c r="I3248" s="40" t="s">
        <v>41</v>
      </c>
    </row>
    <row r="3249" spans="1:9" x14ac:dyDescent="0.25">
      <c r="A3249" s="41">
        <v>45362.638306134257</v>
      </c>
      <c r="B3249" s="48">
        <f>IF(A3249&lt;&gt;"",DATE(YEAR(TRANSACTIONS!$A3249),MONTH(TRANSACTIONS!$A3249),DAY(TRANSACTIONS!$A3249)),"")</f>
        <v>45362</v>
      </c>
      <c r="C3249" s="49">
        <f>IF(A3249&lt;&gt;"",TIME(HOUR(TRANSACTIONS!$A3249),MINUTE(TRANSACTIONS!$A3249),SECOND(TRANSACTIONS!$A3249)),"")</f>
        <v>0.63831018518518523</v>
      </c>
      <c r="D3249" s="82" t="s">
        <v>25</v>
      </c>
      <c r="E3249" s="82" t="s">
        <v>6</v>
      </c>
      <c r="F3249" s="85">
        <v>500</v>
      </c>
      <c r="G3249" s="46"/>
      <c r="H3249" s="46">
        <f>IFERROR(TRANSACTIONS!$F3249+TRANSACTIONS!$G3249,"")</f>
        <v>500</v>
      </c>
      <c r="I3249" s="40" t="s">
        <v>41</v>
      </c>
    </row>
    <row r="3250" spans="1:9" ht="14.25" customHeight="1" x14ac:dyDescent="0.25">
      <c r="A3250" s="41">
        <v>45362.640002893517</v>
      </c>
      <c r="B3250" s="48">
        <f>IF(A3250&lt;&gt;"",DATE(YEAR(TRANSACTIONS!$A3250),MONTH(TRANSACTIONS!$A3250),DAY(TRANSACTIONS!$A3250)),"")</f>
        <v>45362</v>
      </c>
      <c r="C3250" s="49">
        <f>IF(A3250&lt;&gt;"",TIME(HOUR(TRANSACTIONS!$A3250),MINUTE(TRANSACTIONS!$A3250),SECOND(TRANSACTIONS!$A3250)),"")</f>
        <v>0.64</v>
      </c>
      <c r="D3250" s="82" t="s">
        <v>25</v>
      </c>
      <c r="E3250" s="82" t="s">
        <v>6</v>
      </c>
      <c r="F3250" s="85">
        <v>1000</v>
      </c>
      <c r="G3250" s="46"/>
      <c r="H3250" s="46">
        <f>IFERROR(TRANSACTIONS!$F3250+TRANSACTIONS!$G3250,"")</f>
        <v>1000</v>
      </c>
      <c r="I3250" s="40" t="s">
        <v>41</v>
      </c>
    </row>
    <row r="3251" spans="1:9" x14ac:dyDescent="0.25">
      <c r="A3251" s="41">
        <v>45362.640025694447</v>
      </c>
      <c r="B3251" s="48">
        <f>IF(A3251&lt;&gt;"",DATE(YEAR(TRANSACTIONS!$A3251),MONTH(TRANSACTIONS!$A3251),DAY(TRANSACTIONS!$A3251)),"")</f>
        <v>45362</v>
      </c>
      <c r="C3251" s="49">
        <f>IF(A3251&lt;&gt;"",TIME(HOUR(TRANSACTIONS!$A3251),MINUTE(TRANSACTIONS!$A3251),SECOND(TRANSACTIONS!$A3251)),"")</f>
        <v>0.64002314814814809</v>
      </c>
      <c r="D3251" s="82" t="s">
        <v>25</v>
      </c>
      <c r="E3251" s="82" t="s">
        <v>6</v>
      </c>
      <c r="F3251" s="85">
        <v>1000</v>
      </c>
      <c r="G3251" s="46"/>
      <c r="H3251" s="46">
        <f>IFERROR(TRANSACTIONS!$F3251+TRANSACTIONS!$G3251,"")</f>
        <v>1000</v>
      </c>
      <c r="I3251" s="40" t="s">
        <v>41</v>
      </c>
    </row>
    <row r="3252" spans="1:9" x14ac:dyDescent="0.25">
      <c r="A3252" s="41">
        <v>45362.640033912037</v>
      </c>
      <c r="B3252" s="48">
        <f>IF(A3252&lt;&gt;"",DATE(YEAR(TRANSACTIONS!$A3252),MONTH(TRANSACTIONS!$A3252),DAY(TRANSACTIONS!$A3252)),"")</f>
        <v>45362</v>
      </c>
      <c r="C3252" s="49">
        <f>IF(A3252&lt;&gt;"",TIME(HOUR(TRANSACTIONS!$A3252),MINUTE(TRANSACTIONS!$A3252),SECOND(TRANSACTIONS!$A3252)),"")</f>
        <v>0.64003472222222224</v>
      </c>
      <c r="D3252" s="82" t="s">
        <v>25</v>
      </c>
      <c r="E3252" s="82" t="s">
        <v>7</v>
      </c>
      <c r="F3252" s="85">
        <v>6000</v>
      </c>
      <c r="G3252" s="46"/>
      <c r="H3252" s="46">
        <f>IFERROR(TRANSACTIONS!$F3252+TRANSACTIONS!$G3252,"")</f>
        <v>6000</v>
      </c>
      <c r="I3252" s="40" t="s">
        <v>41</v>
      </c>
    </row>
    <row r="3253" spans="1:9" x14ac:dyDescent="0.25">
      <c r="A3253" s="41">
        <v>45362.640041319442</v>
      </c>
      <c r="B3253" s="48">
        <f>IF(A3253&lt;&gt;"",DATE(YEAR(TRANSACTIONS!$A3253),MONTH(TRANSACTIONS!$A3253),DAY(TRANSACTIONS!$A3253)),"")</f>
        <v>45362</v>
      </c>
      <c r="C3253" s="49">
        <f>IF(A3253&lt;&gt;"",TIME(HOUR(TRANSACTIONS!$A3253),MINUTE(TRANSACTIONS!$A3253),SECOND(TRANSACTIONS!$A3253)),"")</f>
        <v>0.64004629629629628</v>
      </c>
      <c r="D3253" s="82" t="s">
        <v>25</v>
      </c>
      <c r="E3253" s="82" t="s">
        <v>6</v>
      </c>
      <c r="F3253" s="85">
        <v>500</v>
      </c>
      <c r="G3253" s="46"/>
      <c r="H3253" s="46">
        <f>IFERROR(TRANSACTIONS!$F3253+TRANSACTIONS!$G3253,"")</f>
        <v>500</v>
      </c>
      <c r="I3253" s="40" t="s">
        <v>41</v>
      </c>
    </row>
    <row r="3254" spans="1:9" x14ac:dyDescent="0.25">
      <c r="A3254" s="41">
        <v>45362.640048958332</v>
      </c>
      <c r="B3254" s="48">
        <f>IF(A3254&lt;&gt;"",DATE(YEAR(TRANSACTIONS!$A3254),MONTH(TRANSACTIONS!$A3254),DAY(TRANSACTIONS!$A3254)),"")</f>
        <v>45362</v>
      </c>
      <c r="C3254" s="49">
        <f>IF(A3254&lt;&gt;"",TIME(HOUR(TRANSACTIONS!$A3254),MINUTE(TRANSACTIONS!$A3254),SECOND(TRANSACTIONS!$A3254)),"")</f>
        <v>0.64004629629629628</v>
      </c>
      <c r="D3254" s="82" t="s">
        <v>25</v>
      </c>
      <c r="E3254" s="82" t="s">
        <v>6</v>
      </c>
      <c r="F3254" s="85">
        <v>15000</v>
      </c>
      <c r="G3254" s="46"/>
      <c r="H3254" s="46">
        <f>IFERROR(TRANSACTIONS!$F3254+TRANSACTIONS!$G3254,"")</f>
        <v>15000</v>
      </c>
      <c r="I3254" s="40" t="s">
        <v>41</v>
      </c>
    </row>
    <row r="3255" spans="1:9" x14ac:dyDescent="0.25">
      <c r="A3255" s="41">
        <v>45362.640057291668</v>
      </c>
      <c r="B3255" s="48">
        <f>IF(A3255&lt;&gt;"",DATE(YEAR(TRANSACTIONS!$A3255),MONTH(TRANSACTIONS!$A3255),DAY(TRANSACTIONS!$A3255)),"")</f>
        <v>45362</v>
      </c>
      <c r="C3255" s="49">
        <f>IF(A3255&lt;&gt;"",TIME(HOUR(TRANSACTIONS!$A3255),MINUTE(TRANSACTIONS!$A3255),SECOND(TRANSACTIONS!$A3255)),"")</f>
        <v>0.64005787037037043</v>
      </c>
      <c r="D3255" s="82" t="s">
        <v>62</v>
      </c>
      <c r="E3255" s="82" t="s">
        <v>7</v>
      </c>
      <c r="F3255" s="85">
        <v>50000</v>
      </c>
      <c r="G3255" s="46"/>
      <c r="H3255" s="46">
        <f>IFERROR(TRANSACTIONS!$F3255+TRANSACTIONS!$G3255,"")</f>
        <v>50000</v>
      </c>
      <c r="I3255" s="40" t="s">
        <v>41</v>
      </c>
    </row>
    <row r="3256" spans="1:9" x14ac:dyDescent="0.25">
      <c r="A3256" s="41">
        <v>45362.640064467596</v>
      </c>
      <c r="B3256" s="48">
        <f>IF(A3256&lt;&gt;"",DATE(YEAR(TRANSACTIONS!$A3256),MONTH(TRANSACTIONS!$A3256),DAY(TRANSACTIONS!$A3256)),"")</f>
        <v>45362</v>
      </c>
      <c r="C3256" s="49">
        <f>IF(A3256&lt;&gt;"",TIME(HOUR(TRANSACTIONS!$A3256),MINUTE(TRANSACTIONS!$A3256),SECOND(TRANSACTIONS!$A3256)),"")</f>
        <v>0.64006944444444447</v>
      </c>
      <c r="D3256" s="82" t="s">
        <v>64</v>
      </c>
      <c r="E3256" s="82" t="s">
        <v>7</v>
      </c>
      <c r="F3256" s="85">
        <v>500000</v>
      </c>
      <c r="G3256" s="46"/>
      <c r="H3256" s="46">
        <f>IFERROR(TRANSACTIONS!$F3256+TRANSACTIONS!$G3256,"")</f>
        <v>500000</v>
      </c>
      <c r="I3256" s="40" t="s">
        <v>41</v>
      </c>
    </row>
    <row r="3257" spans="1:9" x14ac:dyDescent="0.25">
      <c r="A3257" s="41">
        <v>45362.640072685186</v>
      </c>
      <c r="B3257" s="48">
        <f>IF(A3257&lt;&gt;"",DATE(YEAR(TRANSACTIONS!$A3257),MONTH(TRANSACTIONS!$A3257),DAY(TRANSACTIONS!$A3257)),"")</f>
        <v>45362</v>
      </c>
      <c r="C3257" s="49">
        <f>IF(A3257&lt;&gt;"",TIME(HOUR(TRANSACTIONS!$A3257),MINUTE(TRANSACTIONS!$A3257),SECOND(TRANSACTIONS!$A3257)),"")</f>
        <v>0.64006944444444447</v>
      </c>
      <c r="D3257" s="82" t="s">
        <v>64</v>
      </c>
      <c r="E3257" s="82" t="s">
        <v>7</v>
      </c>
      <c r="F3257" s="85">
        <v>100000</v>
      </c>
      <c r="G3257" s="46"/>
      <c r="H3257" s="46">
        <f>IFERROR(TRANSACTIONS!$F3257+TRANSACTIONS!$G3257,"")</f>
        <v>100000</v>
      </c>
      <c r="I3257" s="40" t="s">
        <v>41</v>
      </c>
    </row>
    <row r="3258" spans="1:9" x14ac:dyDescent="0.25">
      <c r="A3258" s="41"/>
      <c r="B3258" s="48" t="str">
        <f>IF(A3258&lt;&gt;"",DATE(YEAR(TRANSACTIONS!$A3258),MONTH(TRANSACTIONS!$A3258),DAY(TRANSACTIONS!$A3258)),"")</f>
        <v/>
      </c>
      <c r="C3258" s="49" t="str">
        <f>IF(A3258&lt;&gt;"",TIME(HOUR(TRANSACTIONS!$A3258),MINUTE(TRANSACTIONS!$A3258),SECOND(TRANSACTIONS!$A3258)),"")</f>
        <v/>
      </c>
      <c r="D3258" s="82"/>
      <c r="E3258" s="82"/>
      <c r="F3258" s="85"/>
      <c r="G3258" s="46"/>
      <c r="H3258" s="46">
        <f>IFERROR(TRANSACTIONS!$F3258+TRANSACTIONS!$G3258,"")</f>
        <v>0</v>
      </c>
      <c r="I3258" s="40" t="s">
        <v>41</v>
      </c>
    </row>
    <row r="3259" spans="1:9" x14ac:dyDescent="0.25">
      <c r="A3259" s="41">
        <v>45363.377968749999</v>
      </c>
      <c r="B3259" s="48">
        <f>IF(A3259&lt;&gt;"",DATE(YEAR(TRANSACTIONS!$A3259),MONTH(TRANSACTIONS!$A3259),DAY(TRANSACTIONS!$A3259)),"")</f>
        <v>45363</v>
      </c>
      <c r="C3259" s="49">
        <f>IF(A3259&lt;&gt;"",TIME(HOUR(TRANSACTIONS!$A3259),MINUTE(TRANSACTIONS!$A3259),SECOND(TRANSACTIONS!$A3259)),"")</f>
        <v>0.377962962962963</v>
      </c>
      <c r="D3259" s="82" t="s">
        <v>62</v>
      </c>
      <c r="E3259" s="82" t="s">
        <v>7</v>
      </c>
      <c r="F3259" s="85">
        <v>17000</v>
      </c>
      <c r="G3259" s="46"/>
      <c r="H3259" s="46">
        <f>IFERROR(TRANSACTIONS!$F3259+TRANSACTIONS!$G3259,"")</f>
        <v>17000</v>
      </c>
      <c r="I3259" s="40" t="s">
        <v>41</v>
      </c>
    </row>
    <row r="3260" spans="1:9" x14ac:dyDescent="0.25">
      <c r="A3260" s="41">
        <v>45363.377985069441</v>
      </c>
      <c r="B3260" s="48">
        <f>IF(A3260&lt;&gt;"",DATE(YEAR(TRANSACTIONS!$A3260),MONTH(TRANSACTIONS!$A3260),DAY(TRANSACTIONS!$A3260)),"")</f>
        <v>45363</v>
      </c>
      <c r="C3260" s="49">
        <f>IF(A3260&lt;&gt;"",TIME(HOUR(TRANSACTIONS!$A3260),MINUTE(TRANSACTIONS!$A3260),SECOND(TRANSACTIONS!$A3260)),"")</f>
        <v>0.37798611111111113</v>
      </c>
      <c r="D3260" s="82" t="s">
        <v>62</v>
      </c>
      <c r="E3260" s="82" t="s">
        <v>7</v>
      </c>
      <c r="F3260" s="85">
        <v>36000</v>
      </c>
      <c r="G3260" s="46"/>
      <c r="H3260" s="46">
        <f>IFERROR(TRANSACTIONS!$F3260+TRANSACTIONS!$G3260,"")</f>
        <v>36000</v>
      </c>
      <c r="I3260" s="40" t="s">
        <v>41</v>
      </c>
    </row>
    <row r="3261" spans="1:9" x14ac:dyDescent="0.25">
      <c r="A3261" s="41">
        <v>45363.377994675924</v>
      </c>
      <c r="B3261" s="48">
        <f>IF(A3261&lt;&gt;"",DATE(YEAR(TRANSACTIONS!$A3261),MONTH(TRANSACTIONS!$A3261),DAY(TRANSACTIONS!$A3261)),"")</f>
        <v>45363</v>
      </c>
      <c r="C3261" s="49">
        <f>IF(A3261&lt;&gt;"",TIME(HOUR(TRANSACTIONS!$A3261),MINUTE(TRANSACTIONS!$A3261),SECOND(TRANSACTIONS!$A3261)),"")</f>
        <v>0.37799768518518517</v>
      </c>
      <c r="D3261" s="82" t="s">
        <v>62</v>
      </c>
      <c r="E3261" s="82" t="s">
        <v>7</v>
      </c>
      <c r="F3261" s="85">
        <v>25000</v>
      </c>
      <c r="G3261" s="46"/>
      <c r="H3261" s="46">
        <f>IFERROR(TRANSACTIONS!$F3261+TRANSACTIONS!$G3261,"")</f>
        <v>25000</v>
      </c>
      <c r="I3261" s="40" t="s">
        <v>41</v>
      </c>
    </row>
    <row r="3262" spans="1:9" x14ac:dyDescent="0.25">
      <c r="A3262" s="41">
        <v>45363.378025231483</v>
      </c>
      <c r="B3262" s="48">
        <f>IF(A3262&lt;&gt;"",DATE(YEAR(TRANSACTIONS!$A3262),MONTH(TRANSACTIONS!$A3262),DAY(TRANSACTIONS!$A3262)),"")</f>
        <v>45363</v>
      </c>
      <c r="C3262" s="49">
        <f>IF(A3262&lt;&gt;"",TIME(HOUR(TRANSACTIONS!$A3262),MINUTE(TRANSACTIONS!$A3262),SECOND(TRANSACTIONS!$A3262)),"")</f>
        <v>0.37802083333333331</v>
      </c>
      <c r="D3262" s="82" t="s">
        <v>62</v>
      </c>
      <c r="E3262" s="82" t="s">
        <v>6</v>
      </c>
      <c r="F3262" s="85">
        <v>7500</v>
      </c>
      <c r="G3262" s="46"/>
      <c r="H3262" s="46">
        <f>IFERROR(TRANSACTIONS!$F3262+TRANSACTIONS!$G3262,"")</f>
        <v>7500</v>
      </c>
      <c r="I3262" s="40" t="s">
        <v>41</v>
      </c>
    </row>
    <row r="3263" spans="1:9" x14ac:dyDescent="0.25">
      <c r="A3263" s="41">
        <v>45363.378009259257</v>
      </c>
      <c r="B3263" s="48">
        <f>IF(A3263&lt;&gt;"",DATE(YEAR(TRANSACTIONS!$A3263),MONTH(TRANSACTIONS!$A3263),DAY(TRANSACTIONS!$A3263)),"")</f>
        <v>45363</v>
      </c>
      <c r="C3263" s="49">
        <f>IF(A3263&lt;&gt;"",TIME(HOUR(TRANSACTIONS!$A3263),MINUTE(TRANSACTIONS!$A3263),SECOND(TRANSACTIONS!$A3263)),"")</f>
        <v>0.37800925925925927</v>
      </c>
      <c r="D3263" s="82" t="s">
        <v>62</v>
      </c>
      <c r="E3263" s="82" t="s">
        <v>6</v>
      </c>
      <c r="F3263" s="85">
        <v>26800</v>
      </c>
      <c r="G3263" s="46"/>
      <c r="H3263" s="46">
        <f>IFERROR(TRANSACTIONS!$F3263+TRANSACTIONS!$G3263,"")</f>
        <v>26800</v>
      </c>
      <c r="I3263" s="40" t="s">
        <v>41</v>
      </c>
    </row>
    <row r="3264" spans="1:9" x14ac:dyDescent="0.25">
      <c r="A3264" s="41">
        <v>45363.378060648145</v>
      </c>
      <c r="B3264" s="48">
        <f>IF(A3264&lt;&gt;"",DATE(YEAR(TRANSACTIONS!$A3264),MONTH(TRANSACTIONS!$A3264),DAY(TRANSACTIONS!$A3264)),"")</f>
        <v>45363</v>
      </c>
      <c r="C3264" s="49">
        <f>IF(A3264&lt;&gt;"",TIME(HOUR(TRANSACTIONS!$A3264),MINUTE(TRANSACTIONS!$A3264),SECOND(TRANSACTIONS!$A3264)),"")</f>
        <v>0.37805555555555559</v>
      </c>
      <c r="D3264" s="82" t="s">
        <v>62</v>
      </c>
      <c r="E3264" s="82" t="s">
        <v>7</v>
      </c>
      <c r="F3264" s="85">
        <v>42000</v>
      </c>
      <c r="G3264" s="46"/>
      <c r="H3264" s="46">
        <f>IFERROR(TRANSACTIONS!$F3264+TRANSACTIONS!$G3264,"")</f>
        <v>42000</v>
      </c>
      <c r="I3264" s="40" t="s">
        <v>41</v>
      </c>
    </row>
    <row r="3265" spans="1:9" x14ac:dyDescent="0.25">
      <c r="A3265" s="41">
        <v>45363.378073611108</v>
      </c>
      <c r="B3265" s="48">
        <f>IF(A3265&lt;&gt;"",DATE(YEAR(TRANSACTIONS!$A3265),MONTH(TRANSACTIONS!$A3265),DAY(TRANSACTIONS!$A3265)),"")</f>
        <v>45363</v>
      </c>
      <c r="C3265" s="49">
        <f>IF(A3265&lt;&gt;"",TIME(HOUR(TRANSACTIONS!$A3265),MINUTE(TRANSACTIONS!$A3265),SECOND(TRANSACTIONS!$A3265)),"")</f>
        <v>0.37807870370370367</v>
      </c>
      <c r="D3265" s="82" t="s">
        <v>62</v>
      </c>
      <c r="E3265" s="82" t="s">
        <v>7</v>
      </c>
      <c r="F3265" s="85">
        <v>6000</v>
      </c>
      <c r="G3265" s="46"/>
      <c r="H3265" s="46">
        <f>IFERROR(TRANSACTIONS!$F3265+TRANSACTIONS!$G3265,"")</f>
        <v>6000</v>
      </c>
      <c r="I3265" s="40" t="s">
        <v>41</v>
      </c>
    </row>
    <row r="3266" spans="1:9" x14ac:dyDescent="0.25">
      <c r="A3266" s="81">
        <v>45363.37808159722</v>
      </c>
      <c r="B3266" s="83">
        <f>IF(A3266&lt;&gt;"",DATE(YEAR(TRANSACTIONS!$A3266),MONTH(TRANSACTIONS!$A3266),DAY(TRANSACTIONS!$A3266)),"")</f>
        <v>45363</v>
      </c>
      <c r="C3266" s="84">
        <f>IF(A3266&lt;&gt;"",TIME(HOUR(TRANSACTIONS!$A3266),MINUTE(TRANSACTIONS!$A3266),SECOND(TRANSACTIONS!$A3266)),"")</f>
        <v>0.37807870370370367</v>
      </c>
      <c r="D3266" s="82" t="s">
        <v>62</v>
      </c>
      <c r="E3266" s="82" t="s">
        <v>7</v>
      </c>
      <c r="F3266" s="85">
        <v>38000</v>
      </c>
      <c r="G3266" s="86"/>
      <c r="H3266" s="86">
        <f>IFERROR(TRANSACTIONS!$F3266+TRANSACTIONS!$G3266,"")</f>
        <v>38000</v>
      </c>
      <c r="I3266" s="88" t="s">
        <v>41</v>
      </c>
    </row>
    <row r="3267" spans="1:9" x14ac:dyDescent="0.25">
      <c r="A3267" s="41">
        <v>45363.37808865741</v>
      </c>
      <c r="B3267" s="48">
        <f>IF(A3267&lt;&gt;"",DATE(YEAR(TRANSACTIONS!$A3267),MONTH(TRANSACTIONS!$A3267),DAY(TRANSACTIONS!$A3267)),"")</f>
        <v>45363</v>
      </c>
      <c r="C3267" s="49">
        <f>IF(A3267&lt;&gt;"",TIME(HOUR(TRANSACTIONS!$A3267),MINUTE(TRANSACTIONS!$A3267),SECOND(TRANSACTIONS!$A3267)),"")</f>
        <v>0.37809027777777776</v>
      </c>
      <c r="D3267" s="82" t="s">
        <v>62</v>
      </c>
      <c r="E3267" s="82" t="s">
        <v>7</v>
      </c>
      <c r="F3267" s="85">
        <v>3000</v>
      </c>
      <c r="G3267" s="46"/>
      <c r="H3267" s="46">
        <f>IFERROR(TRANSACTIONS!$F3267+TRANSACTIONS!$G3267,"")</f>
        <v>3000</v>
      </c>
      <c r="I3267" s="40" t="s">
        <v>41</v>
      </c>
    </row>
    <row r="3268" spans="1:9" x14ac:dyDescent="0.25">
      <c r="A3268" s="41">
        <v>45363.429668055556</v>
      </c>
      <c r="B3268" s="48">
        <f>IF(A3268&lt;&gt;"",DATE(YEAR(TRANSACTIONS!$A3268),MONTH(TRANSACTIONS!$A3268),DAY(TRANSACTIONS!$A3268)),"")</f>
        <v>45363</v>
      </c>
      <c r="C3268" s="49">
        <f>IF(A3268&lt;&gt;"",TIME(HOUR(TRANSACTIONS!$A3268),MINUTE(TRANSACTIONS!$A3268),SECOND(TRANSACTIONS!$A3268)),"")</f>
        <v>0.42966435185185187</v>
      </c>
      <c r="D3268" s="82" t="s">
        <v>62</v>
      </c>
      <c r="E3268" s="82" t="s">
        <v>6</v>
      </c>
      <c r="F3268" s="85">
        <v>6000</v>
      </c>
      <c r="G3268" s="46"/>
      <c r="H3268" s="46">
        <f>IFERROR(TRANSACTIONS!$F3268+TRANSACTIONS!$G3268,"")</f>
        <v>6000</v>
      </c>
      <c r="I3268" s="40" t="s">
        <v>41</v>
      </c>
    </row>
    <row r="3269" spans="1:9" x14ac:dyDescent="0.25">
      <c r="A3269" s="41">
        <v>45363.429683564813</v>
      </c>
      <c r="B3269" s="48">
        <f>IF(A3269&lt;&gt;"",DATE(YEAR(TRANSACTIONS!$A3269),MONTH(TRANSACTIONS!$A3269),DAY(TRANSACTIONS!$A3269)),"")</f>
        <v>45363</v>
      </c>
      <c r="C3269" s="49">
        <f>IF(A3269&lt;&gt;"",TIME(HOUR(TRANSACTIONS!$A3269),MINUTE(TRANSACTIONS!$A3269),SECOND(TRANSACTIONS!$A3269)),"")</f>
        <v>0.4296875</v>
      </c>
      <c r="D3269" s="82" t="s">
        <v>62</v>
      </c>
      <c r="E3269" s="82" t="s">
        <v>7</v>
      </c>
      <c r="F3269" s="85">
        <v>2000</v>
      </c>
      <c r="G3269" s="46"/>
      <c r="H3269" s="46">
        <f>IFERROR(TRANSACTIONS!$F3269+TRANSACTIONS!$G3269,"")</f>
        <v>2000</v>
      </c>
      <c r="I3269" s="40" t="s">
        <v>41</v>
      </c>
    </row>
    <row r="3270" spans="1:9" x14ac:dyDescent="0.25">
      <c r="A3270" s="41">
        <v>45363.42969178241</v>
      </c>
      <c r="B3270" s="48">
        <f>IF(A3270&lt;&gt;"",DATE(YEAR(TRANSACTIONS!$A3270),MONTH(TRANSACTIONS!$A3270),DAY(TRANSACTIONS!$A3270)),"")</f>
        <v>45363</v>
      </c>
      <c r="C3270" s="49">
        <f>IF(A3270&lt;&gt;"",TIME(HOUR(TRANSACTIONS!$A3270),MINUTE(TRANSACTIONS!$A3270),SECOND(TRANSACTIONS!$A3270)),"")</f>
        <v>0.4296875</v>
      </c>
      <c r="D3270" s="82" t="s">
        <v>62</v>
      </c>
      <c r="E3270" s="82" t="s">
        <v>6</v>
      </c>
      <c r="F3270" s="85">
        <v>91000</v>
      </c>
      <c r="G3270" s="46"/>
      <c r="H3270" s="46">
        <f>IFERROR(TRANSACTIONS!$F3270+TRANSACTIONS!$G3270,"")</f>
        <v>91000</v>
      </c>
      <c r="I3270" s="40" t="s">
        <v>41</v>
      </c>
    </row>
    <row r="3271" spans="1:9" x14ac:dyDescent="0.25">
      <c r="A3271" s="41">
        <v>45363.429698611108</v>
      </c>
      <c r="B3271" s="48">
        <f>IF(A3271&lt;&gt;"",DATE(YEAR(TRANSACTIONS!$A3271),MONTH(TRANSACTIONS!$A3271),DAY(TRANSACTIONS!$A3271)),"")</f>
        <v>45363</v>
      </c>
      <c r="C3271" s="49">
        <f>IF(A3271&lt;&gt;"",TIME(HOUR(TRANSACTIONS!$A3271),MINUTE(TRANSACTIONS!$A3271),SECOND(TRANSACTIONS!$A3271)),"")</f>
        <v>0.42969907407407404</v>
      </c>
      <c r="D3271" s="82" t="s">
        <v>62</v>
      </c>
      <c r="E3271" s="82" t="s">
        <v>6</v>
      </c>
      <c r="F3271" s="85">
        <v>10000</v>
      </c>
      <c r="G3271" s="46"/>
      <c r="H3271" s="46">
        <f>IFERROR(TRANSACTIONS!$F3271+TRANSACTIONS!$G3271,"")</f>
        <v>10000</v>
      </c>
      <c r="I3271" s="40" t="s">
        <v>41</v>
      </c>
    </row>
    <row r="3272" spans="1:9" x14ac:dyDescent="0.25">
      <c r="A3272" s="81">
        <v>45363.429705439812</v>
      </c>
      <c r="B3272" s="83">
        <f>IF(A3272&lt;&gt;"",DATE(YEAR(TRANSACTIONS!$A3272),MONTH(TRANSACTIONS!$A3272),DAY(TRANSACTIONS!$A3272)),"")</f>
        <v>45363</v>
      </c>
      <c r="C3272" s="84">
        <f>IF(A3272&lt;&gt;"",TIME(HOUR(TRANSACTIONS!$A3272),MINUTE(TRANSACTIONS!$A3272),SECOND(TRANSACTIONS!$A3272)),"")</f>
        <v>0.42971064814814813</v>
      </c>
      <c r="D3272" s="82" t="s">
        <v>25</v>
      </c>
      <c r="E3272" s="82" t="s">
        <v>7</v>
      </c>
      <c r="F3272" s="85">
        <v>4000</v>
      </c>
      <c r="G3272" s="86"/>
      <c r="H3272" s="86">
        <f>IFERROR(TRANSACTIONS!$F3272+TRANSACTIONS!$G3272,"")</f>
        <v>4000</v>
      </c>
      <c r="I3272" s="88" t="s">
        <v>41</v>
      </c>
    </row>
    <row r="3273" spans="1:9" x14ac:dyDescent="0.25">
      <c r="A3273" s="105">
        <v>45363.429712152778</v>
      </c>
      <c r="B3273" s="106">
        <f>IF(A3273&lt;&gt;"",DATE(YEAR(TRANSACTIONS!$A3273),MONTH(TRANSACTIONS!$A3273),DAY(TRANSACTIONS!$A3273)),"")</f>
        <v>45363</v>
      </c>
      <c r="C3273" s="107">
        <f>IF(A3273&lt;&gt;"",TIME(HOUR(TRANSACTIONS!$A3273),MINUTE(TRANSACTIONS!$A3273),SECOND(TRANSACTIONS!$A3273)),"")</f>
        <v>0.42971064814814813</v>
      </c>
      <c r="D3273" s="93" t="s">
        <v>25</v>
      </c>
      <c r="E3273" s="93" t="s">
        <v>7</v>
      </c>
      <c r="F3273" s="94">
        <v>30000</v>
      </c>
      <c r="G3273" s="108"/>
      <c r="H3273" s="108">
        <f>IFERROR(TRANSACTIONS!$F3273+TRANSACTIONS!$G3273,"")</f>
        <v>30000</v>
      </c>
      <c r="I3273" s="109" t="s">
        <v>41</v>
      </c>
    </row>
    <row r="3274" spans="1:9" x14ac:dyDescent="0.25">
      <c r="A3274" s="113">
        <v>45363.429718865744</v>
      </c>
      <c r="B3274" s="114">
        <f>IF(A3274&lt;&gt;"",DATE(YEAR(TRANSACTIONS!$A3274),MONTH(TRANSACTIONS!$A3274),DAY(TRANSACTIONS!$A3274)),"")</f>
        <v>45363</v>
      </c>
      <c r="C3274" s="115">
        <f>IF(A3274&lt;&gt;"",TIME(HOUR(TRANSACTIONS!$A3274),MINUTE(TRANSACTIONS!$A3274),SECOND(TRANSACTIONS!$A3274)),"")</f>
        <v>0.42972222222222217</v>
      </c>
      <c r="D3274" s="82" t="s">
        <v>25</v>
      </c>
      <c r="E3274" s="82" t="s">
        <v>6</v>
      </c>
      <c r="F3274" s="85">
        <v>7500</v>
      </c>
      <c r="G3274" s="117"/>
      <c r="H3274" s="117">
        <f>IFERROR(TRANSACTIONS!$F3274+TRANSACTIONS!$G3274,"")</f>
        <v>7500</v>
      </c>
      <c r="I3274" s="118" t="s">
        <v>41</v>
      </c>
    </row>
    <row r="3275" spans="1:9" x14ac:dyDescent="0.25">
      <c r="A3275" s="41">
        <v>45363.429725578702</v>
      </c>
      <c r="B3275" s="48">
        <f>IF(A3275&lt;&gt;"",DATE(YEAR(TRANSACTIONS!$A3275),MONTH(TRANSACTIONS!$A3275),DAY(TRANSACTIONS!$A3275)),"")</f>
        <v>45363</v>
      </c>
      <c r="C3275" s="49">
        <f>IF(A3275&lt;&gt;"",TIME(HOUR(TRANSACTIONS!$A3275),MINUTE(TRANSACTIONS!$A3275),SECOND(TRANSACTIONS!$A3275)),"")</f>
        <v>0.42972222222222217</v>
      </c>
      <c r="D3275" s="82" t="s">
        <v>64</v>
      </c>
      <c r="E3275" s="82" t="s">
        <v>6</v>
      </c>
      <c r="F3275" s="85">
        <v>200000</v>
      </c>
      <c r="G3275" s="46"/>
      <c r="H3275" s="46">
        <f>IFERROR(TRANSACTIONS!$F3275+TRANSACTIONS!$G3275,"")</f>
        <v>200000</v>
      </c>
      <c r="I3275" s="40" t="s">
        <v>41</v>
      </c>
    </row>
    <row r="3276" spans="1:9" x14ac:dyDescent="0.25">
      <c r="A3276" s="41">
        <v>45363.429732060184</v>
      </c>
      <c r="B3276" s="48">
        <f>IF(A3276&lt;&gt;"",DATE(YEAR(TRANSACTIONS!$A3276),MONTH(TRANSACTIONS!$A3276),DAY(TRANSACTIONS!$A3276)),"")</f>
        <v>45363</v>
      </c>
      <c r="C3276" s="49">
        <f>IF(A3276&lt;&gt;"",TIME(HOUR(TRANSACTIONS!$A3276),MINUTE(TRANSACTIONS!$A3276),SECOND(TRANSACTIONS!$A3276)),"")</f>
        <v>0.42973379629629632</v>
      </c>
      <c r="D3276" s="82" t="s">
        <v>62</v>
      </c>
      <c r="E3276" s="82" t="s">
        <v>7</v>
      </c>
      <c r="F3276" s="85">
        <v>200000</v>
      </c>
      <c r="G3276" s="46"/>
      <c r="H3276" s="46">
        <f>IFERROR(TRANSACTIONS!$F3276+TRANSACTIONS!$G3276,"")</f>
        <v>200000</v>
      </c>
      <c r="I3276" s="40" t="s">
        <v>41</v>
      </c>
    </row>
    <row r="3277" spans="1:9" x14ac:dyDescent="0.25">
      <c r="A3277" s="41">
        <v>45363.431032175926</v>
      </c>
      <c r="B3277" s="48">
        <f>IF(A3277&lt;&gt;"",DATE(YEAR(TRANSACTIONS!$A3277),MONTH(TRANSACTIONS!$A3277),DAY(TRANSACTIONS!$A3277)),"")</f>
        <v>45363</v>
      </c>
      <c r="C3277" s="49">
        <f>IF(A3277&lt;&gt;"",TIME(HOUR(TRANSACTIONS!$A3277),MINUTE(TRANSACTIONS!$A3277),SECOND(TRANSACTIONS!$A3277)),"")</f>
        <v>0.43103009259259256</v>
      </c>
      <c r="D3277" s="82" t="s">
        <v>62</v>
      </c>
      <c r="E3277" s="82" t="s">
        <v>6</v>
      </c>
      <c r="F3277" s="85">
        <v>900000</v>
      </c>
      <c r="G3277" s="46"/>
      <c r="H3277" s="46">
        <f>IFERROR(TRANSACTIONS!$F3277+TRANSACTIONS!$G3277,"")</f>
        <v>900000</v>
      </c>
      <c r="I3277" s="40" t="s">
        <v>41</v>
      </c>
    </row>
    <row r="3278" spans="1:9" x14ac:dyDescent="0.25">
      <c r="A3278" s="81">
        <v>45363.44404282407</v>
      </c>
      <c r="B3278" s="83">
        <f>IF(A3278&lt;&gt;"",DATE(YEAR(TRANSACTIONS!$A3278),MONTH(TRANSACTIONS!$A3278),DAY(TRANSACTIONS!$A3278)),"")</f>
        <v>45363</v>
      </c>
      <c r="C3278" s="84">
        <f>IF(A3278&lt;&gt;"",TIME(HOUR(TRANSACTIONS!$A3278),MINUTE(TRANSACTIONS!$A3278),SECOND(TRANSACTIONS!$A3278)),"")</f>
        <v>0.44403935185185189</v>
      </c>
      <c r="D3278" s="82" t="s">
        <v>62</v>
      </c>
      <c r="E3278" s="82" t="s">
        <v>7</v>
      </c>
      <c r="F3278" s="85">
        <v>3000</v>
      </c>
      <c r="G3278" s="86"/>
      <c r="H3278" s="86">
        <f>IFERROR(TRANSACTIONS!$F3278+TRANSACTIONS!$G3278,"")</f>
        <v>3000</v>
      </c>
      <c r="I3278" s="88" t="s">
        <v>41</v>
      </c>
    </row>
    <row r="3279" spans="1:9" x14ac:dyDescent="0.25">
      <c r="A3279" s="41">
        <v>45363.444065393516</v>
      </c>
      <c r="B3279" s="48">
        <f>IF(A3279&lt;&gt;"",DATE(YEAR(TRANSACTIONS!$A3279),MONTH(TRANSACTIONS!$A3279),DAY(TRANSACTIONS!$A3279)),"")</f>
        <v>45363</v>
      </c>
      <c r="C3279" s="49">
        <f>IF(A3279&lt;&gt;"",TIME(HOUR(TRANSACTIONS!$A3279),MINUTE(TRANSACTIONS!$A3279),SECOND(TRANSACTIONS!$A3279)),"")</f>
        <v>0.44406250000000003</v>
      </c>
      <c r="D3279" s="82" t="s">
        <v>25</v>
      </c>
      <c r="E3279" s="82" t="s">
        <v>6</v>
      </c>
      <c r="F3279" s="85">
        <v>1000</v>
      </c>
      <c r="G3279" s="46"/>
      <c r="H3279" s="46">
        <f>IFERROR(TRANSACTIONS!$F3279+TRANSACTIONS!$G3279,"")</f>
        <v>1000</v>
      </c>
      <c r="I3279" s="40" t="s">
        <v>41</v>
      </c>
    </row>
    <row r="3280" spans="1:9" x14ac:dyDescent="0.25">
      <c r="A3280" s="41">
        <v>45363.444073379629</v>
      </c>
      <c r="B3280" s="48">
        <f>IF(A3280&lt;&gt;"",DATE(YEAR(TRANSACTIONS!$A3280),MONTH(TRANSACTIONS!$A3280),DAY(TRANSACTIONS!$A3280)),"")</f>
        <v>45363</v>
      </c>
      <c r="C3280" s="49">
        <f>IF(A3280&lt;&gt;"",TIME(HOUR(TRANSACTIONS!$A3280),MINUTE(TRANSACTIONS!$A3280),SECOND(TRANSACTIONS!$A3280)),"")</f>
        <v>0.44407407407407407</v>
      </c>
      <c r="D3280" s="82" t="s">
        <v>25</v>
      </c>
      <c r="E3280" s="82" t="s">
        <v>6</v>
      </c>
      <c r="F3280" s="85">
        <v>500</v>
      </c>
      <c r="G3280" s="46"/>
      <c r="H3280" s="46">
        <f>IFERROR(TRANSACTIONS!$F3280+TRANSACTIONS!$G3280,"")</f>
        <v>500</v>
      </c>
      <c r="I3280" s="40" t="s">
        <v>41</v>
      </c>
    </row>
    <row r="3281" spans="1:9" x14ac:dyDescent="0.25">
      <c r="A3281" s="41">
        <v>45363.444081712965</v>
      </c>
      <c r="B3281" s="48">
        <f>IF(A3281&lt;&gt;"",DATE(YEAR(TRANSACTIONS!$A3281),MONTH(TRANSACTIONS!$A3281),DAY(TRANSACTIONS!$A3281)),"")</f>
        <v>45363</v>
      </c>
      <c r="C3281" s="49">
        <f>IF(A3281&lt;&gt;"",TIME(HOUR(TRANSACTIONS!$A3281),MINUTE(TRANSACTIONS!$A3281),SECOND(TRANSACTIONS!$A3281)),"")</f>
        <v>0.44408564814814816</v>
      </c>
      <c r="D3281" s="82" t="s">
        <v>25</v>
      </c>
      <c r="E3281" s="82" t="s">
        <v>6</v>
      </c>
      <c r="F3281" s="85">
        <v>15000</v>
      </c>
      <c r="G3281" s="46"/>
      <c r="H3281" s="46">
        <f>IFERROR(TRANSACTIONS!$F3281+TRANSACTIONS!$G3281,"")</f>
        <v>15000</v>
      </c>
      <c r="I3281" s="40" t="s">
        <v>41</v>
      </c>
    </row>
    <row r="3282" spans="1:9" x14ac:dyDescent="0.25">
      <c r="A3282" s="41">
        <v>45363.483202430558</v>
      </c>
      <c r="B3282" s="48">
        <f>IF(A3282&lt;&gt;"",DATE(YEAR(TRANSACTIONS!$A3282),MONTH(TRANSACTIONS!$A3282),DAY(TRANSACTIONS!$A3282)),"")</f>
        <v>45363</v>
      </c>
      <c r="C3282" s="49">
        <f>IF(A3282&lt;&gt;"",TIME(HOUR(TRANSACTIONS!$A3282),MINUTE(TRANSACTIONS!$A3282),SECOND(TRANSACTIONS!$A3282)),"")</f>
        <v>0.48320601851851852</v>
      </c>
      <c r="D3282" s="82" t="s">
        <v>25</v>
      </c>
      <c r="E3282" s="82" t="s">
        <v>7</v>
      </c>
      <c r="F3282" s="85">
        <v>7500</v>
      </c>
      <c r="G3282" s="46"/>
      <c r="H3282" s="46">
        <f>IFERROR(TRANSACTIONS!$F3282+TRANSACTIONS!$G3282,"")</f>
        <v>7500</v>
      </c>
      <c r="I3282" s="40" t="s">
        <v>41</v>
      </c>
    </row>
    <row r="3283" spans="1:9" x14ac:dyDescent="0.25">
      <c r="A3283" s="41">
        <v>45363.483206481484</v>
      </c>
      <c r="B3283" s="48">
        <f>IF(A3283&lt;&gt;"",DATE(YEAR(TRANSACTIONS!$A3283),MONTH(TRANSACTIONS!$A3283),DAY(TRANSACTIONS!$A3283)),"")</f>
        <v>45363</v>
      </c>
      <c r="C3283" s="49">
        <f>IF(A3283&lt;&gt;"",TIME(HOUR(TRANSACTIONS!$A3283),MINUTE(TRANSACTIONS!$A3283),SECOND(TRANSACTIONS!$A3283)),"")</f>
        <v>0.48320601851851852</v>
      </c>
      <c r="D3283" s="82" t="s">
        <v>25</v>
      </c>
      <c r="E3283" s="82" t="s">
        <v>7</v>
      </c>
      <c r="F3283" s="85">
        <v>3500</v>
      </c>
      <c r="G3283" s="46"/>
      <c r="H3283" s="46">
        <f>IFERROR(TRANSACTIONS!$F3283+TRANSACTIONS!$G3283,"")</f>
        <v>3500</v>
      </c>
      <c r="I3283" s="40" t="s">
        <v>41</v>
      </c>
    </row>
    <row r="3284" spans="1:9" x14ac:dyDescent="0.25">
      <c r="A3284" s="41">
        <v>45363.48324710648</v>
      </c>
      <c r="B3284" s="48">
        <f>IF(A3284&lt;&gt;"",DATE(YEAR(TRANSACTIONS!$A3284),MONTH(TRANSACTIONS!$A3284),DAY(TRANSACTIONS!$A3284)),"")</f>
        <v>45363</v>
      </c>
      <c r="C3284" s="49">
        <f>IF(A3284&lt;&gt;"",TIME(HOUR(TRANSACTIONS!$A3284),MINUTE(TRANSACTIONS!$A3284),SECOND(TRANSACTIONS!$A3284)),"")</f>
        <v>0.48325231481481484</v>
      </c>
      <c r="D3284" s="82" t="s">
        <v>25</v>
      </c>
      <c r="E3284" s="82" t="s">
        <v>6</v>
      </c>
      <c r="F3284" s="85">
        <v>500</v>
      </c>
      <c r="G3284" s="46"/>
      <c r="H3284" s="46">
        <f>IFERROR(TRANSACTIONS!$F3284+TRANSACTIONS!$G3284,"")</f>
        <v>500</v>
      </c>
      <c r="I3284" s="40" t="s">
        <v>41</v>
      </c>
    </row>
    <row r="3285" spans="1:9" x14ac:dyDescent="0.25">
      <c r="A3285" s="41">
        <v>45363.483254629631</v>
      </c>
      <c r="B3285" s="48">
        <f>IF(A3285&lt;&gt;"",DATE(YEAR(TRANSACTIONS!$A3285),MONTH(TRANSACTIONS!$A3285),DAY(TRANSACTIONS!$A3285)),"")</f>
        <v>45363</v>
      </c>
      <c r="C3285" s="49">
        <f>IF(A3285&lt;&gt;"",TIME(HOUR(TRANSACTIONS!$A3285),MINUTE(TRANSACTIONS!$A3285),SECOND(TRANSACTIONS!$A3285)),"")</f>
        <v>0.48325231481481484</v>
      </c>
      <c r="D3285" s="82" t="s">
        <v>62</v>
      </c>
      <c r="E3285" s="82" t="s">
        <v>7</v>
      </c>
      <c r="F3285" s="85">
        <v>7000</v>
      </c>
      <c r="G3285" s="46"/>
      <c r="H3285" s="46">
        <f>IFERROR(TRANSACTIONS!$F3285+TRANSACTIONS!$G3285,"")</f>
        <v>7000</v>
      </c>
      <c r="I3285" s="40" t="s">
        <v>41</v>
      </c>
    </row>
    <row r="3286" spans="1:9" x14ac:dyDescent="0.25">
      <c r="A3286" s="41">
        <v>45363.483262615744</v>
      </c>
      <c r="B3286" s="48">
        <f>IF(A3286&lt;&gt;"",DATE(YEAR(TRANSACTIONS!$A3286),MONTH(TRANSACTIONS!$A3286),DAY(TRANSACTIONS!$A3286)),"")</f>
        <v>45363</v>
      </c>
      <c r="C3286" s="49">
        <f>IF(A3286&lt;&gt;"",TIME(HOUR(TRANSACTIONS!$A3286),MINUTE(TRANSACTIONS!$A3286),SECOND(TRANSACTIONS!$A3286)),"")</f>
        <v>0.48326388888888888</v>
      </c>
      <c r="D3286" s="82" t="s">
        <v>62</v>
      </c>
      <c r="E3286" s="82" t="s">
        <v>6</v>
      </c>
      <c r="F3286" s="85">
        <v>5000</v>
      </c>
      <c r="G3286" s="46"/>
      <c r="H3286" s="46">
        <f>IFERROR(TRANSACTIONS!$F3286+TRANSACTIONS!$G3286,"")</f>
        <v>5000</v>
      </c>
      <c r="I3286" s="40" t="s">
        <v>41</v>
      </c>
    </row>
    <row r="3287" spans="1:9" x14ac:dyDescent="0.25">
      <c r="A3287" s="41">
        <v>45363.483270717596</v>
      </c>
      <c r="B3287" s="48">
        <f>IF(A3287&lt;&gt;"",DATE(YEAR(TRANSACTIONS!$A3287),MONTH(TRANSACTIONS!$A3287),DAY(TRANSACTIONS!$A3287)),"")</f>
        <v>45363</v>
      </c>
      <c r="C3287" s="49">
        <f>IF(A3287&lt;&gt;"",TIME(HOUR(TRANSACTIONS!$A3287),MINUTE(TRANSACTIONS!$A3287),SECOND(TRANSACTIONS!$A3287)),"")</f>
        <v>0.48327546296296298</v>
      </c>
      <c r="D3287" s="82" t="s">
        <v>62</v>
      </c>
      <c r="E3287" s="82" t="s">
        <v>6</v>
      </c>
      <c r="F3287" s="85">
        <v>1000</v>
      </c>
      <c r="G3287" s="46"/>
      <c r="H3287" s="46">
        <f>IFERROR(TRANSACTIONS!$F3287+TRANSACTIONS!$G3287,"")</f>
        <v>1000</v>
      </c>
      <c r="I3287" s="40" t="s">
        <v>41</v>
      </c>
    </row>
    <row r="3288" spans="1:9" x14ac:dyDescent="0.25">
      <c r="A3288" s="41">
        <v>45363.484407986114</v>
      </c>
      <c r="B3288" s="48">
        <f>IF(A3288&lt;&gt;"",DATE(YEAR(TRANSACTIONS!$A3288),MONTH(TRANSACTIONS!$A3288),DAY(TRANSACTIONS!$A3288)),"")</f>
        <v>45363</v>
      </c>
      <c r="C3288" s="49">
        <f>IF(A3288&lt;&gt;"",TIME(HOUR(TRANSACTIONS!$A3288),MINUTE(TRANSACTIONS!$A3288),SECOND(TRANSACTIONS!$A3288)),"")</f>
        <v>0.48440972222222217</v>
      </c>
      <c r="D3288" s="82" t="s">
        <v>62</v>
      </c>
      <c r="E3288" s="82" t="s">
        <v>6</v>
      </c>
      <c r="F3288" s="85">
        <v>1000</v>
      </c>
      <c r="G3288" s="46"/>
      <c r="H3288" s="46">
        <f>IFERROR(TRANSACTIONS!$F3288+TRANSACTIONS!$G3288,"")</f>
        <v>1000</v>
      </c>
      <c r="I3288" s="40" t="s">
        <v>41</v>
      </c>
    </row>
    <row r="3289" spans="1:9" x14ac:dyDescent="0.25">
      <c r="A3289" s="41">
        <v>45363.484411458332</v>
      </c>
      <c r="B3289" s="48">
        <f>IF(A3289&lt;&gt;"",DATE(YEAR(TRANSACTIONS!$A3289),MONTH(TRANSACTIONS!$A3289),DAY(TRANSACTIONS!$A3289)),"")</f>
        <v>45363</v>
      </c>
      <c r="C3289" s="49">
        <f>IF(A3289&lt;&gt;"",TIME(HOUR(TRANSACTIONS!$A3289),MINUTE(TRANSACTIONS!$A3289),SECOND(TRANSACTIONS!$A3289)),"")</f>
        <v>0.48440972222222217</v>
      </c>
      <c r="D3289" s="82" t="s">
        <v>62</v>
      </c>
      <c r="E3289" s="93" t="s">
        <v>7</v>
      </c>
      <c r="F3289" s="85">
        <v>5000</v>
      </c>
      <c r="G3289" s="46"/>
      <c r="H3289" s="46">
        <f>IFERROR(TRANSACTIONS!$F3289+TRANSACTIONS!$G3289,"")</f>
        <v>5000</v>
      </c>
      <c r="I3289" s="40" t="s">
        <v>41</v>
      </c>
    </row>
    <row r="3290" spans="1:9" x14ac:dyDescent="0.25">
      <c r="A3290" s="41">
        <v>45363.484449074072</v>
      </c>
      <c r="B3290" s="48">
        <f>IF(A3290&lt;&gt;"",DATE(YEAR(TRANSACTIONS!$A3290),MONTH(TRANSACTIONS!$A3290),DAY(TRANSACTIONS!$A3290)),"")</f>
        <v>45363</v>
      </c>
      <c r="C3290" s="49">
        <f>IF(A3290&lt;&gt;"",TIME(HOUR(TRANSACTIONS!$A3290),MINUTE(TRANSACTIONS!$A3290),SECOND(TRANSACTIONS!$A3290)),"")</f>
        <v>0.48444444444444446</v>
      </c>
      <c r="D3290" s="82" t="s">
        <v>62</v>
      </c>
      <c r="E3290" s="82" t="s">
        <v>7</v>
      </c>
      <c r="F3290" s="85">
        <v>100000</v>
      </c>
      <c r="G3290" s="46"/>
      <c r="H3290" s="46">
        <f>IFERROR(TRANSACTIONS!$F3290+TRANSACTIONS!$G3290,"")</f>
        <v>100000</v>
      </c>
      <c r="I3290" s="40" t="s">
        <v>41</v>
      </c>
    </row>
    <row r="3291" spans="1:9" x14ac:dyDescent="0.25">
      <c r="A3291" s="41">
        <v>45363.484457523147</v>
      </c>
      <c r="B3291" s="48">
        <f>IF(A3291&lt;&gt;"",DATE(YEAR(TRANSACTIONS!$A3291),MONTH(TRANSACTIONS!$A3291),DAY(TRANSACTIONS!$A3291)),"")</f>
        <v>45363</v>
      </c>
      <c r="C3291" s="49">
        <f>IF(A3291&lt;&gt;"",TIME(HOUR(TRANSACTIONS!$A3291),MINUTE(TRANSACTIONS!$A3291),SECOND(TRANSACTIONS!$A3291)),"")</f>
        <v>0.48445601851851849</v>
      </c>
      <c r="D3291" s="82" t="s">
        <v>62</v>
      </c>
      <c r="E3291" s="82" t="s">
        <v>7</v>
      </c>
      <c r="F3291" s="85">
        <v>25000</v>
      </c>
      <c r="G3291" s="46"/>
      <c r="H3291" s="46">
        <f>IFERROR(TRANSACTIONS!$F3291+TRANSACTIONS!$G3291,"")</f>
        <v>25000</v>
      </c>
      <c r="I3291" s="40" t="s">
        <v>41</v>
      </c>
    </row>
    <row r="3292" spans="1:9" x14ac:dyDescent="0.25">
      <c r="A3292" s="41">
        <v>45363.484466203707</v>
      </c>
      <c r="B3292" s="48">
        <f>IF(A3292&lt;&gt;"",DATE(YEAR(TRANSACTIONS!$A3292),MONTH(TRANSACTIONS!$A3292),DAY(TRANSACTIONS!$A3292)),"")</f>
        <v>45363</v>
      </c>
      <c r="C3292" s="49">
        <f>IF(A3292&lt;&gt;"",TIME(HOUR(TRANSACTIONS!$A3292),MINUTE(TRANSACTIONS!$A3292),SECOND(TRANSACTIONS!$A3292)),"")</f>
        <v>0.48446759259259259</v>
      </c>
      <c r="D3292" s="82" t="s">
        <v>62</v>
      </c>
      <c r="E3292" s="82" t="s">
        <v>7</v>
      </c>
      <c r="F3292" s="85">
        <v>1000</v>
      </c>
      <c r="G3292" s="46"/>
      <c r="H3292" s="46">
        <f>IFERROR(TRANSACTIONS!$F3292+TRANSACTIONS!$G3292,"")</f>
        <v>1000</v>
      </c>
      <c r="I3292" s="40" t="s">
        <v>41</v>
      </c>
    </row>
    <row r="3293" spans="1:9" x14ac:dyDescent="0.25">
      <c r="A3293" s="41">
        <v>45363.484473495373</v>
      </c>
      <c r="B3293" s="48">
        <f>IF(A3293&lt;&gt;"",DATE(YEAR(TRANSACTIONS!$A3293),MONTH(TRANSACTIONS!$A3293),DAY(TRANSACTIONS!$A3293)),"")</f>
        <v>45363</v>
      </c>
      <c r="C3293" s="49">
        <f>IF(A3293&lt;&gt;"",TIME(HOUR(TRANSACTIONS!$A3293),MINUTE(TRANSACTIONS!$A3293),SECOND(TRANSACTIONS!$A3293)),"")</f>
        <v>0.48447916666666663</v>
      </c>
      <c r="D3293" s="82" t="s">
        <v>62</v>
      </c>
      <c r="E3293" s="82" t="s">
        <v>7</v>
      </c>
      <c r="F3293" s="85">
        <v>96000</v>
      </c>
      <c r="G3293" s="46"/>
      <c r="H3293" s="46">
        <f>IFERROR(TRANSACTIONS!$F3293+TRANSACTIONS!$G3293,"")</f>
        <v>96000</v>
      </c>
      <c r="I3293" s="40" t="s">
        <v>41</v>
      </c>
    </row>
    <row r="3294" spans="1:9" x14ac:dyDescent="0.25">
      <c r="A3294" s="41">
        <v>45363.484480439816</v>
      </c>
      <c r="B3294" s="48">
        <f>IF(A3294&lt;&gt;"",DATE(YEAR(TRANSACTIONS!$A3294),MONTH(TRANSACTIONS!$A3294),DAY(TRANSACTIONS!$A3294)),"")</f>
        <v>45363</v>
      </c>
      <c r="C3294" s="49">
        <f>IF(A3294&lt;&gt;"",TIME(HOUR(TRANSACTIONS!$A3294),MINUTE(TRANSACTIONS!$A3294),SECOND(TRANSACTIONS!$A3294)),"")</f>
        <v>0.48447916666666663</v>
      </c>
      <c r="D3294" s="82" t="s">
        <v>62</v>
      </c>
      <c r="E3294" s="82" t="s">
        <v>6</v>
      </c>
      <c r="F3294" s="85">
        <v>15150</v>
      </c>
      <c r="G3294" s="46"/>
      <c r="H3294" s="46">
        <f>IFERROR(TRANSACTIONS!$F3294+TRANSACTIONS!$G3294,"")</f>
        <v>15150</v>
      </c>
      <c r="I3294" s="40" t="s">
        <v>41</v>
      </c>
    </row>
    <row r="3295" spans="1:9" x14ac:dyDescent="0.25">
      <c r="A3295" s="233">
        <v>45363.484487499998</v>
      </c>
      <c r="B3295" s="234">
        <f>IF(A3295&lt;&gt;"",DATE(YEAR(TRANSACTIONS!$A3295),MONTH(TRANSACTIONS!$A3295),DAY(TRANSACTIONS!$A3295)),"")</f>
        <v>45363</v>
      </c>
      <c r="C3295" s="235">
        <f>IF(A3295&lt;&gt;"",TIME(HOUR(TRANSACTIONS!$A3295),MINUTE(TRANSACTIONS!$A3295),SECOND(TRANSACTIONS!$A3295)),"")</f>
        <v>0.48449074074074078</v>
      </c>
      <c r="D3295" s="236" t="s">
        <v>62</v>
      </c>
      <c r="E3295" s="236" t="s">
        <v>7</v>
      </c>
      <c r="F3295" s="237">
        <v>40000</v>
      </c>
      <c r="G3295" s="238"/>
      <c r="H3295" s="238">
        <f>IFERROR(TRANSACTIONS!$F3295+TRANSACTIONS!$G3295,"")</f>
        <v>40000</v>
      </c>
      <c r="I3295" s="239" t="s">
        <v>41</v>
      </c>
    </row>
    <row r="3296" spans="1:9" x14ac:dyDescent="0.25">
      <c r="A3296" s="113">
        <v>45363.484495138888</v>
      </c>
      <c r="B3296" s="114">
        <f>IF(A3296&lt;&gt;"",DATE(YEAR(TRANSACTIONS!$A3296),MONTH(TRANSACTIONS!$A3296),DAY(TRANSACTIONS!$A3296)),"")</f>
        <v>45363</v>
      </c>
      <c r="C3296" s="115">
        <f>IF(A3296&lt;&gt;"",TIME(HOUR(TRANSACTIONS!$A3296),MINUTE(TRANSACTIONS!$A3296),SECOND(TRANSACTIONS!$A3296)),"")</f>
        <v>0.48449074074074078</v>
      </c>
      <c r="D3296" s="82" t="s">
        <v>62</v>
      </c>
      <c r="E3296" s="82" t="s">
        <v>6</v>
      </c>
      <c r="F3296" s="85">
        <v>2500</v>
      </c>
      <c r="G3296" s="117"/>
      <c r="H3296" s="117">
        <f>IFERROR(TRANSACTIONS!$F3296+TRANSACTIONS!$G3296,"")</f>
        <v>2500</v>
      </c>
      <c r="I3296" s="118" t="s">
        <v>41</v>
      </c>
    </row>
    <row r="3297" spans="1:9" x14ac:dyDescent="0.25">
      <c r="A3297" s="41">
        <v>45363.484506365741</v>
      </c>
      <c r="B3297" s="48">
        <f>IF(A3297&lt;&gt;"",DATE(YEAR(TRANSACTIONS!$A3297),MONTH(TRANSACTIONS!$A3297),DAY(TRANSACTIONS!$A3297)),"")</f>
        <v>45363</v>
      </c>
      <c r="C3297" s="49">
        <f>IF(A3297&lt;&gt;"",TIME(HOUR(TRANSACTIONS!$A3297),MINUTE(TRANSACTIONS!$A3297),SECOND(TRANSACTIONS!$A3297)),"")</f>
        <v>0.48450231481481482</v>
      </c>
      <c r="D3297" s="82" t="s">
        <v>62</v>
      </c>
      <c r="E3297" s="82" t="s">
        <v>7</v>
      </c>
      <c r="F3297" s="85">
        <v>20000</v>
      </c>
      <c r="G3297" s="46"/>
      <c r="H3297" s="46">
        <f>IFERROR(TRANSACTIONS!$F3297+TRANSACTIONS!$G3297,"")</f>
        <v>20000</v>
      </c>
      <c r="I3297" s="40" t="s">
        <v>41</v>
      </c>
    </row>
    <row r="3298" spans="1:9" x14ac:dyDescent="0.25">
      <c r="A3298" s="41">
        <v>45363.484513773146</v>
      </c>
      <c r="B3298" s="48">
        <f>IF(A3298&lt;&gt;"",DATE(YEAR(TRANSACTIONS!$A3298),MONTH(TRANSACTIONS!$A3298),DAY(TRANSACTIONS!$A3298)),"")</f>
        <v>45363</v>
      </c>
      <c r="C3298" s="49">
        <f>IF(A3298&lt;&gt;"",TIME(HOUR(TRANSACTIONS!$A3298),MINUTE(TRANSACTIONS!$A3298),SECOND(TRANSACTIONS!$A3298)),"")</f>
        <v>0.48451388888888891</v>
      </c>
      <c r="D3298" s="82" t="s">
        <v>62</v>
      </c>
      <c r="E3298" s="82" t="s">
        <v>7</v>
      </c>
      <c r="F3298" s="85">
        <v>5000</v>
      </c>
      <c r="G3298" s="46"/>
      <c r="H3298" s="46">
        <f>IFERROR(TRANSACTIONS!$F3298+TRANSACTIONS!$G3298,"")</f>
        <v>5000</v>
      </c>
      <c r="I3298" s="40" t="s">
        <v>41</v>
      </c>
    </row>
    <row r="3299" spans="1:9" x14ac:dyDescent="0.25">
      <c r="A3299" s="41">
        <v>45363.484520486112</v>
      </c>
      <c r="B3299" s="48">
        <f>IF(A3299&lt;&gt;"",DATE(YEAR(TRANSACTIONS!$A3299),MONTH(TRANSACTIONS!$A3299),DAY(TRANSACTIONS!$A3299)),"")</f>
        <v>45363</v>
      </c>
      <c r="C3299" s="49">
        <f>IF(A3299&lt;&gt;"",TIME(HOUR(TRANSACTIONS!$A3299),MINUTE(TRANSACTIONS!$A3299),SECOND(TRANSACTIONS!$A3299)),"")</f>
        <v>0.48452546296296295</v>
      </c>
      <c r="D3299" s="82" t="s">
        <v>62</v>
      </c>
      <c r="E3299" s="82" t="s">
        <v>7</v>
      </c>
      <c r="F3299" s="85">
        <v>2000</v>
      </c>
      <c r="G3299" s="46"/>
      <c r="H3299" s="46">
        <f>IFERROR(TRANSACTIONS!$F3299+TRANSACTIONS!$G3299,"")</f>
        <v>2000</v>
      </c>
      <c r="I3299" s="40" t="s">
        <v>41</v>
      </c>
    </row>
    <row r="3300" spans="1:9" x14ac:dyDescent="0.25">
      <c r="A3300" s="172">
        <v>45363.484533333336</v>
      </c>
      <c r="B3300" s="48">
        <f>IF(A3300&lt;&gt;"",DATE(YEAR(TRANSACTIONS!$A3300),MONTH(TRANSACTIONS!$A3300),DAY(TRANSACTIONS!$A3300)),"")</f>
        <v>45363</v>
      </c>
      <c r="C3300" s="49">
        <f>IF(A3300&lt;&gt;"",TIME(HOUR(TRANSACTIONS!$A3300),MINUTE(TRANSACTIONS!$A3300),SECOND(TRANSACTIONS!$A3300)),"")</f>
        <v>0.48453703703703704</v>
      </c>
      <c r="D3300" s="82" t="s">
        <v>25</v>
      </c>
      <c r="E3300" s="82" t="s">
        <v>6</v>
      </c>
      <c r="F3300" s="85">
        <v>3000</v>
      </c>
      <c r="G3300" s="46"/>
      <c r="H3300" s="46">
        <f>IFERROR(TRANSACTIONS!$F3300+TRANSACTIONS!$G3300,"")</f>
        <v>3000</v>
      </c>
      <c r="I3300" s="40" t="s">
        <v>41</v>
      </c>
    </row>
    <row r="3301" spans="1:9" x14ac:dyDescent="0.25">
      <c r="A3301" s="41">
        <v>45363.484541319442</v>
      </c>
      <c r="B3301" s="48">
        <f>IF(A3301&lt;&gt;"",DATE(YEAR(TRANSACTIONS!$A3301),MONTH(TRANSACTIONS!$A3301),DAY(TRANSACTIONS!$A3301)),"")</f>
        <v>45363</v>
      </c>
      <c r="C3301" s="49">
        <f>IF(A3301&lt;&gt;"",TIME(HOUR(TRANSACTIONS!$A3301),MINUTE(TRANSACTIONS!$A3301),SECOND(TRANSACTIONS!$A3301)),"")</f>
        <v>0.48453703703703704</v>
      </c>
      <c r="D3301" s="82" t="s">
        <v>25</v>
      </c>
      <c r="E3301" s="82" t="s">
        <v>6</v>
      </c>
      <c r="F3301" s="85">
        <v>7000</v>
      </c>
      <c r="G3301" s="46"/>
      <c r="H3301" s="46">
        <f>IFERROR(TRANSACTIONS!$F3301+TRANSACTIONS!$G3301,"")</f>
        <v>7000</v>
      </c>
      <c r="I3301" s="40" t="s">
        <v>41</v>
      </c>
    </row>
    <row r="3302" spans="1:9" x14ac:dyDescent="0.25">
      <c r="A3302" s="41">
        <v>45363.484549421293</v>
      </c>
      <c r="B3302" s="48">
        <f>IF(A3302&lt;&gt;"",DATE(YEAR(TRANSACTIONS!$A3302),MONTH(TRANSACTIONS!$A3302),DAY(TRANSACTIONS!$A3302)),"")</f>
        <v>45363</v>
      </c>
      <c r="C3302" s="49">
        <f>IF(A3302&lt;&gt;"",TIME(HOUR(TRANSACTIONS!$A3302),MINUTE(TRANSACTIONS!$A3302),SECOND(TRANSACTIONS!$A3302)),"")</f>
        <v>0.48454861111111108</v>
      </c>
      <c r="D3302" s="82" t="s">
        <v>25</v>
      </c>
      <c r="E3302" s="82" t="s">
        <v>6</v>
      </c>
      <c r="F3302" s="85">
        <v>4000</v>
      </c>
      <c r="G3302" s="46"/>
      <c r="H3302" s="46">
        <f>IFERROR(TRANSACTIONS!$F3302+TRANSACTIONS!$G3302,"")</f>
        <v>4000</v>
      </c>
      <c r="I3302" s="40" t="s">
        <v>41</v>
      </c>
    </row>
    <row r="3303" spans="1:9" x14ac:dyDescent="0.25">
      <c r="A3303" s="81">
        <v>45363.484561574071</v>
      </c>
      <c r="B3303" s="83">
        <f>IF(A3303&lt;&gt;"",DATE(YEAR(TRANSACTIONS!$A3303),MONTH(TRANSACTIONS!$A3303),DAY(TRANSACTIONS!$A3303)),"")</f>
        <v>45363</v>
      </c>
      <c r="C3303" s="84">
        <f>IF(A3303&lt;&gt;"",TIME(HOUR(TRANSACTIONS!$A3303),MINUTE(TRANSACTIONS!$A3303),SECOND(TRANSACTIONS!$A3303)),"")</f>
        <v>0.48456018518518523</v>
      </c>
      <c r="D3303" s="82" t="s">
        <v>25</v>
      </c>
      <c r="E3303" s="82" t="s">
        <v>7</v>
      </c>
      <c r="F3303" s="85">
        <v>15000</v>
      </c>
      <c r="G3303" s="86"/>
      <c r="H3303" s="86">
        <f>IFERROR(TRANSACTIONS!$F3303+TRANSACTIONS!$G3303,"")</f>
        <v>15000</v>
      </c>
      <c r="I3303" s="88" t="s">
        <v>41</v>
      </c>
    </row>
    <row r="3304" spans="1:9" x14ac:dyDescent="0.25">
      <c r="A3304" s="41">
        <v>45363.497933449071</v>
      </c>
      <c r="B3304" s="48">
        <f>IF(A3304&lt;&gt;"",DATE(YEAR(TRANSACTIONS!$A3304),MONTH(TRANSACTIONS!$A3304),DAY(TRANSACTIONS!$A3304)),"")</f>
        <v>45363</v>
      </c>
      <c r="C3304" s="49">
        <f>IF(A3304&lt;&gt;"",TIME(HOUR(TRANSACTIONS!$A3304),MINUTE(TRANSACTIONS!$A3304),SECOND(TRANSACTIONS!$A3304)),"")</f>
        <v>0.49792824074074077</v>
      </c>
      <c r="D3304" s="82" t="s">
        <v>62</v>
      </c>
      <c r="E3304" s="82" t="s">
        <v>6</v>
      </c>
      <c r="F3304" s="85">
        <v>2000</v>
      </c>
      <c r="G3304" s="46"/>
      <c r="H3304" s="46">
        <f>IFERROR(TRANSACTIONS!$F3304+TRANSACTIONS!$G3304,"")</f>
        <v>2000</v>
      </c>
      <c r="I3304" s="40" t="s">
        <v>41</v>
      </c>
    </row>
    <row r="3305" spans="1:9" x14ac:dyDescent="0.25">
      <c r="A3305" s="41">
        <v>45363.498007060189</v>
      </c>
      <c r="B3305" s="48">
        <f>IF(A3305&lt;&gt;"",DATE(YEAR(TRANSACTIONS!$A3305),MONTH(TRANSACTIONS!$A3305),DAY(TRANSACTIONS!$A3305)),"")</f>
        <v>45363</v>
      </c>
      <c r="C3305" s="49">
        <f>IF(A3305&lt;&gt;"",TIME(HOUR(TRANSACTIONS!$A3305),MINUTE(TRANSACTIONS!$A3305),SECOND(TRANSACTIONS!$A3305)),"")</f>
        <v>0.49800925925925926</v>
      </c>
      <c r="D3305" s="82" t="s">
        <v>62</v>
      </c>
      <c r="E3305" s="82" t="s">
        <v>7</v>
      </c>
      <c r="F3305" s="85">
        <v>20000</v>
      </c>
      <c r="G3305" s="46"/>
      <c r="H3305" s="46">
        <f>IFERROR(TRANSACTIONS!$F3305+TRANSACTIONS!$G3305,"")</f>
        <v>20000</v>
      </c>
      <c r="I3305" s="40" t="s">
        <v>41</v>
      </c>
    </row>
    <row r="3306" spans="1:9" x14ac:dyDescent="0.25">
      <c r="A3306" s="41">
        <v>45363.498031944444</v>
      </c>
      <c r="B3306" s="48">
        <f>IF(A3306&lt;&gt;"",DATE(YEAR(TRANSACTIONS!$A3306),MONTH(TRANSACTIONS!$A3306),DAY(TRANSACTIONS!$A3306)),"")</f>
        <v>45363</v>
      </c>
      <c r="C3306" s="49">
        <f>IF(A3306&lt;&gt;"",TIME(HOUR(TRANSACTIONS!$A3306),MINUTE(TRANSACTIONS!$A3306),SECOND(TRANSACTIONS!$A3306)),"")</f>
        <v>0.4980324074074074</v>
      </c>
      <c r="D3306" s="82" t="s">
        <v>62</v>
      </c>
      <c r="E3306" s="82" t="s">
        <v>7</v>
      </c>
      <c r="F3306" s="85">
        <v>5000</v>
      </c>
      <c r="G3306" s="46"/>
      <c r="H3306" s="46">
        <f>IFERROR(TRANSACTIONS!$F3306+TRANSACTIONS!$G3306,"")</f>
        <v>5000</v>
      </c>
      <c r="I3306" s="40" t="s">
        <v>41</v>
      </c>
    </row>
    <row r="3307" spans="1:9" x14ac:dyDescent="0.25">
      <c r="A3307" s="41">
        <v>45363.497914583335</v>
      </c>
      <c r="B3307" s="48">
        <f>IF(A3307&lt;&gt;"",DATE(YEAR(TRANSACTIONS!$A3307),MONTH(TRANSACTIONS!$A3307),DAY(TRANSACTIONS!$A3307)),"")</f>
        <v>45363</v>
      </c>
      <c r="C3307" s="49">
        <f>IF(A3307&lt;&gt;"",TIME(HOUR(TRANSACTIONS!$A3307),MINUTE(TRANSACTIONS!$A3307),SECOND(TRANSACTIONS!$A3307)),"")</f>
        <v>0.49791666666666662</v>
      </c>
      <c r="D3307" s="82" t="s">
        <v>62</v>
      </c>
      <c r="E3307" s="82" t="s">
        <v>6</v>
      </c>
      <c r="F3307" s="85">
        <v>25000</v>
      </c>
      <c r="G3307" s="46"/>
      <c r="H3307" s="46">
        <f>IFERROR(TRANSACTIONS!$F3307+TRANSACTIONS!$G3307,"")</f>
        <v>25000</v>
      </c>
      <c r="I3307" s="40" t="s">
        <v>41</v>
      </c>
    </row>
    <row r="3308" spans="1:9" x14ac:dyDescent="0.25">
      <c r="A3308" s="41">
        <v>45363.497924189818</v>
      </c>
      <c r="B3308" s="48">
        <f>IF(A3308&lt;&gt;"",DATE(YEAR(TRANSACTIONS!$A3308),MONTH(TRANSACTIONS!$A3308),DAY(TRANSACTIONS!$A3308)),"")</f>
        <v>45363</v>
      </c>
      <c r="C3308" s="49">
        <f>IF(A3308&lt;&gt;"",TIME(HOUR(TRANSACTIONS!$A3308),MINUTE(TRANSACTIONS!$A3308),SECOND(TRANSACTIONS!$A3308)),"")</f>
        <v>0.49792824074074077</v>
      </c>
      <c r="D3308" s="82" t="s">
        <v>25</v>
      </c>
      <c r="E3308" s="82" t="s">
        <v>7</v>
      </c>
      <c r="F3308" s="85">
        <v>4500</v>
      </c>
      <c r="G3308" s="46"/>
      <c r="H3308" s="46">
        <f>IFERROR(TRANSACTIONS!$F3308+TRANSACTIONS!$G3308,"")</f>
        <v>4500</v>
      </c>
      <c r="I3308" s="40" t="s">
        <v>41</v>
      </c>
    </row>
    <row r="3309" spans="1:9" x14ac:dyDescent="0.25">
      <c r="A3309" s="41">
        <v>45363.517580208332</v>
      </c>
      <c r="B3309" s="48">
        <f>IF(A3309&lt;&gt;"",DATE(YEAR(TRANSACTIONS!$A3309),MONTH(TRANSACTIONS!$A3309),DAY(TRANSACTIONS!$A3309)),"")</f>
        <v>45363</v>
      </c>
      <c r="C3309" s="49">
        <f>IF(A3309&lt;&gt;"",TIME(HOUR(TRANSACTIONS!$A3309),MINUTE(TRANSACTIONS!$A3309),SECOND(TRANSACTIONS!$A3309)),"")</f>
        <v>0.51758101851851845</v>
      </c>
      <c r="D3309" s="82" t="s">
        <v>25</v>
      </c>
      <c r="E3309" s="82" t="s">
        <v>7</v>
      </c>
      <c r="F3309" s="85">
        <v>5000</v>
      </c>
      <c r="G3309" s="46"/>
      <c r="H3309" s="46">
        <f>IFERROR(TRANSACTIONS!$F3309+TRANSACTIONS!$G3309,"")</f>
        <v>5000</v>
      </c>
      <c r="I3309" s="40" t="s">
        <v>41</v>
      </c>
    </row>
    <row r="3310" spans="1:9" x14ac:dyDescent="0.25">
      <c r="A3310" s="41">
        <v>45363.517608564813</v>
      </c>
      <c r="B3310" s="48">
        <f>IF(A3310&lt;&gt;"",DATE(YEAR(TRANSACTIONS!$A3310),MONTH(TRANSACTIONS!$A3310),DAY(TRANSACTIONS!$A3310)),"")</f>
        <v>45363</v>
      </c>
      <c r="C3310" s="49">
        <f>IF(A3310&lt;&gt;"",TIME(HOUR(TRANSACTIONS!$A3310),MINUTE(TRANSACTIONS!$A3310),SECOND(TRANSACTIONS!$A3310)),"")</f>
        <v>0.51760416666666664</v>
      </c>
      <c r="D3310" s="82" t="s">
        <v>25</v>
      </c>
      <c r="E3310" s="82" t="s">
        <v>7</v>
      </c>
      <c r="F3310" s="85">
        <v>25000</v>
      </c>
      <c r="G3310" s="46"/>
      <c r="H3310" s="46">
        <f>IFERROR(TRANSACTIONS!$F3310+TRANSACTIONS!$G3310,"")</f>
        <v>25000</v>
      </c>
      <c r="I3310" s="40" t="s">
        <v>41</v>
      </c>
    </row>
    <row r="3311" spans="1:9" x14ac:dyDescent="0.25">
      <c r="A3311" s="41">
        <v>45363.517623958331</v>
      </c>
      <c r="B3311" s="48">
        <f>IF(A3311&lt;&gt;"",DATE(YEAR(TRANSACTIONS!$A3311),MONTH(TRANSACTIONS!$A3311),DAY(TRANSACTIONS!$A3311)),"")</f>
        <v>45363</v>
      </c>
      <c r="C3311" s="49">
        <f>IF(A3311&lt;&gt;"",TIME(HOUR(TRANSACTIONS!$A3311),MINUTE(TRANSACTIONS!$A3311),SECOND(TRANSACTIONS!$A3311)),"")</f>
        <v>0.51762731481481483</v>
      </c>
      <c r="D3311" s="82" t="s">
        <v>62</v>
      </c>
      <c r="E3311" s="82" t="s">
        <v>6</v>
      </c>
      <c r="F3311" s="85">
        <v>30000</v>
      </c>
      <c r="G3311" s="46"/>
      <c r="H3311" s="46">
        <f>IFERROR(TRANSACTIONS!$F3311+TRANSACTIONS!$G3311,"")</f>
        <v>30000</v>
      </c>
      <c r="I3311" s="40" t="s">
        <v>41</v>
      </c>
    </row>
    <row r="3312" spans="1:9" x14ac:dyDescent="0.25">
      <c r="A3312" s="41">
        <v>45363.558123958333</v>
      </c>
      <c r="B3312" s="48">
        <f>IF(A3312&lt;&gt;"",DATE(YEAR(TRANSACTIONS!$A3312),MONTH(TRANSACTIONS!$A3312),DAY(TRANSACTIONS!$A3312)),"")</f>
        <v>45363</v>
      </c>
      <c r="C3312" s="49">
        <f>IF(A3312&lt;&gt;"",TIME(HOUR(TRANSACTIONS!$A3312),MINUTE(TRANSACTIONS!$A3312),SECOND(TRANSACTIONS!$A3312)),"")</f>
        <v>0.55812499999999998</v>
      </c>
      <c r="D3312" s="82" t="s">
        <v>62</v>
      </c>
      <c r="E3312" s="82" t="s">
        <v>7</v>
      </c>
      <c r="F3312" s="85">
        <v>20000</v>
      </c>
      <c r="G3312" s="46"/>
      <c r="H3312" s="46">
        <f>IFERROR(TRANSACTIONS!$F3312+TRANSACTIONS!$G3312,"")</f>
        <v>20000</v>
      </c>
      <c r="I3312" s="40" t="s">
        <v>41</v>
      </c>
    </row>
    <row r="3313" spans="1:9" x14ac:dyDescent="0.25">
      <c r="A3313" s="41">
        <v>45363.55813449074</v>
      </c>
      <c r="B3313" s="48">
        <f>IF(A3313&lt;&gt;"",DATE(YEAR(TRANSACTIONS!$A3313),MONTH(TRANSACTIONS!$A3313),DAY(TRANSACTIONS!$A3313)),"")</f>
        <v>45363</v>
      </c>
      <c r="C3313" s="49">
        <f>IF(A3313&lt;&gt;"",TIME(HOUR(TRANSACTIONS!$A3313),MINUTE(TRANSACTIONS!$A3313),SECOND(TRANSACTIONS!$A3313)),"")</f>
        <v>0.55813657407407413</v>
      </c>
      <c r="D3313" s="82" t="s">
        <v>62</v>
      </c>
      <c r="E3313" s="82" t="s">
        <v>7</v>
      </c>
      <c r="F3313" s="85">
        <v>1000</v>
      </c>
      <c r="G3313" s="46"/>
      <c r="H3313" s="46">
        <f>IFERROR(TRANSACTIONS!$F3313+TRANSACTIONS!$G3313,"")</f>
        <v>1000</v>
      </c>
      <c r="I3313" s="40" t="s">
        <v>41</v>
      </c>
    </row>
    <row r="3314" spans="1:9" x14ac:dyDescent="0.25">
      <c r="A3314" s="41">
        <v>45363.558168055555</v>
      </c>
      <c r="B3314" s="48">
        <f>IF(A3314&lt;&gt;"",DATE(YEAR(TRANSACTIONS!$A3314),MONTH(TRANSACTIONS!$A3314),DAY(TRANSACTIONS!$A3314)),"")</f>
        <v>45363</v>
      </c>
      <c r="C3314" s="49">
        <f>IF(A3314&lt;&gt;"",TIME(HOUR(TRANSACTIONS!$A3314),MINUTE(TRANSACTIONS!$A3314),SECOND(TRANSACTIONS!$A3314)),"")</f>
        <v>0.55817129629629625</v>
      </c>
      <c r="D3314" s="82" t="s">
        <v>62</v>
      </c>
      <c r="E3314" s="82" t="s">
        <v>7</v>
      </c>
      <c r="F3314" s="85">
        <v>5000</v>
      </c>
      <c r="G3314" s="46"/>
      <c r="H3314" s="46">
        <f>IFERROR(TRANSACTIONS!$F3314+TRANSACTIONS!$G3314,"")</f>
        <v>5000</v>
      </c>
      <c r="I3314" s="40" t="s">
        <v>41</v>
      </c>
    </row>
    <row r="3315" spans="1:9" x14ac:dyDescent="0.25">
      <c r="A3315" s="41">
        <v>45363.558176388891</v>
      </c>
      <c r="B3315" s="48">
        <f>IF(A3315&lt;&gt;"",DATE(YEAR(TRANSACTIONS!$A3315),MONTH(TRANSACTIONS!$A3315),DAY(TRANSACTIONS!$A3315)),"")</f>
        <v>45363</v>
      </c>
      <c r="C3315" s="49">
        <f>IF(A3315&lt;&gt;"",TIME(HOUR(TRANSACTIONS!$A3315),MINUTE(TRANSACTIONS!$A3315),SECOND(TRANSACTIONS!$A3315)),"")</f>
        <v>0.55817129629629625</v>
      </c>
      <c r="D3315" s="82" t="s">
        <v>62</v>
      </c>
      <c r="E3315" s="82" t="s">
        <v>7</v>
      </c>
      <c r="F3315" s="85">
        <v>1000</v>
      </c>
      <c r="G3315" s="46"/>
      <c r="H3315" s="46">
        <f>IFERROR(TRANSACTIONS!$F3315+TRANSACTIONS!$G3315,"")</f>
        <v>1000</v>
      </c>
      <c r="I3315" s="40" t="s">
        <v>41</v>
      </c>
    </row>
    <row r="3316" spans="1:9" x14ac:dyDescent="0.25">
      <c r="A3316" s="41">
        <v>45363.558183796296</v>
      </c>
      <c r="B3316" s="48">
        <f>IF(A3316&lt;&gt;"",DATE(YEAR(TRANSACTIONS!$A3316),MONTH(TRANSACTIONS!$A3316),DAY(TRANSACTIONS!$A3316)),"")</f>
        <v>45363</v>
      </c>
      <c r="C3316" s="49">
        <f>IF(A3316&lt;&gt;"",TIME(HOUR(TRANSACTIONS!$A3316),MINUTE(TRANSACTIONS!$A3316),SECOND(TRANSACTIONS!$A3316)),"")</f>
        <v>0.5581828703703704</v>
      </c>
      <c r="D3316" s="82" t="s">
        <v>62</v>
      </c>
      <c r="E3316" s="82" t="s">
        <v>6</v>
      </c>
      <c r="F3316" s="85">
        <v>50500</v>
      </c>
      <c r="G3316" s="46"/>
      <c r="H3316" s="46">
        <f>IFERROR(TRANSACTIONS!$F3316+TRANSACTIONS!$G3316,"")</f>
        <v>50500</v>
      </c>
      <c r="I3316" s="40" t="s">
        <v>41</v>
      </c>
    </row>
    <row r="3317" spans="1:9" x14ac:dyDescent="0.25">
      <c r="A3317" s="41">
        <v>45363.558193634257</v>
      </c>
      <c r="B3317" s="48">
        <f>IF(A3317&lt;&gt;"",DATE(YEAR(TRANSACTIONS!$A3317),MONTH(TRANSACTIONS!$A3317),DAY(TRANSACTIONS!$A3317)),"")</f>
        <v>45363</v>
      </c>
      <c r="C3317" s="49">
        <f>IF(A3317&lt;&gt;"",TIME(HOUR(TRANSACTIONS!$A3317),MINUTE(TRANSACTIONS!$A3317),SECOND(TRANSACTIONS!$A3317)),"")</f>
        <v>0.55819444444444444</v>
      </c>
      <c r="D3317" s="82" t="s">
        <v>62</v>
      </c>
      <c r="E3317" s="82" t="s">
        <v>7</v>
      </c>
      <c r="F3317" s="85">
        <v>200000</v>
      </c>
      <c r="G3317" s="46"/>
      <c r="H3317" s="46">
        <f>IFERROR(TRANSACTIONS!$F3317+TRANSACTIONS!$G3317,"")</f>
        <v>200000</v>
      </c>
      <c r="I3317" s="40" t="s">
        <v>41</v>
      </c>
    </row>
    <row r="3318" spans="1:9" x14ac:dyDescent="0.25">
      <c r="A3318" s="41">
        <v>45363.558202430555</v>
      </c>
      <c r="B3318" s="48">
        <f>IF(A3318&lt;&gt;"",DATE(YEAR(TRANSACTIONS!$A3318),MONTH(TRANSACTIONS!$A3318),DAY(TRANSACTIONS!$A3318)),"")</f>
        <v>45363</v>
      </c>
      <c r="C3318" s="49">
        <f>IF(A3318&lt;&gt;"",TIME(HOUR(TRANSACTIONS!$A3318),MINUTE(TRANSACTIONS!$A3318),SECOND(TRANSACTIONS!$A3318)),"")</f>
        <v>0.55820601851851859</v>
      </c>
      <c r="D3318" s="82" t="s">
        <v>62</v>
      </c>
      <c r="E3318" s="82" t="s">
        <v>6</v>
      </c>
      <c r="F3318" s="85">
        <v>42000</v>
      </c>
      <c r="G3318" s="46"/>
      <c r="H3318" s="46">
        <f>IFERROR(TRANSACTIONS!$F3318+TRANSACTIONS!$G3318,"")</f>
        <v>42000</v>
      </c>
      <c r="I3318" s="40" t="s">
        <v>41</v>
      </c>
    </row>
    <row r="3319" spans="1:9" x14ac:dyDescent="0.25">
      <c r="A3319" s="41">
        <v>45363.558209374998</v>
      </c>
      <c r="B3319" s="48">
        <f>IF(A3319&lt;&gt;"",DATE(YEAR(TRANSACTIONS!$A3319),MONTH(TRANSACTIONS!$A3319),DAY(TRANSACTIONS!$A3319)),"")</f>
        <v>45363</v>
      </c>
      <c r="C3319" s="49">
        <f>IF(A3319&lt;&gt;"",TIME(HOUR(TRANSACTIONS!$A3319),MINUTE(TRANSACTIONS!$A3319),SECOND(TRANSACTIONS!$A3319)),"")</f>
        <v>0.55820601851851859</v>
      </c>
      <c r="D3319" s="82" t="s">
        <v>62</v>
      </c>
      <c r="E3319" s="82" t="s">
        <v>6</v>
      </c>
      <c r="F3319" s="85">
        <v>30000</v>
      </c>
      <c r="G3319" s="46"/>
      <c r="H3319" s="46">
        <f>IFERROR(TRANSACTIONS!$F3319+TRANSACTIONS!$G3319,"")</f>
        <v>30000</v>
      </c>
      <c r="I3319" s="40" t="s">
        <v>41</v>
      </c>
    </row>
    <row r="3320" spans="1:9" x14ac:dyDescent="0.25">
      <c r="A3320" s="41">
        <v>45363.558216203703</v>
      </c>
      <c r="B3320" s="48">
        <f>IF(A3320&lt;&gt;"",DATE(YEAR(TRANSACTIONS!$A3320),MONTH(TRANSACTIONS!$A3320),DAY(TRANSACTIONS!$A3320)),"")</f>
        <v>45363</v>
      </c>
      <c r="C3320" s="49">
        <f>IF(A3320&lt;&gt;"",TIME(HOUR(TRANSACTIONS!$A3320),MINUTE(TRANSACTIONS!$A3320),SECOND(TRANSACTIONS!$A3320)),"")</f>
        <v>0.55821759259259263</v>
      </c>
      <c r="D3320" s="82" t="s">
        <v>62</v>
      </c>
      <c r="E3320" s="82" t="s">
        <v>6</v>
      </c>
      <c r="F3320" s="85">
        <v>60000</v>
      </c>
      <c r="G3320" s="46"/>
      <c r="H3320" s="46">
        <f>IFERROR(TRANSACTIONS!$F3320+TRANSACTIONS!$G3320,"")</f>
        <v>60000</v>
      </c>
      <c r="I3320" s="40" t="s">
        <v>41</v>
      </c>
    </row>
    <row r="3321" spans="1:9" x14ac:dyDescent="0.25">
      <c r="A3321" s="41">
        <v>45363.558225115739</v>
      </c>
      <c r="B3321" s="48">
        <f>IF(A3321&lt;&gt;"",DATE(YEAR(TRANSACTIONS!$A3321),MONTH(TRANSACTIONS!$A3321),DAY(TRANSACTIONS!$A3321)),"")</f>
        <v>45363</v>
      </c>
      <c r="C3321" s="49">
        <f>IF(A3321&lt;&gt;"",TIME(HOUR(TRANSACTIONS!$A3321),MINUTE(TRANSACTIONS!$A3321),SECOND(TRANSACTIONS!$A3321)),"")</f>
        <v>0.55822916666666667</v>
      </c>
      <c r="D3321" s="82" t="s">
        <v>62</v>
      </c>
      <c r="E3321" s="82" t="s">
        <v>6</v>
      </c>
      <c r="F3321" s="85">
        <v>150000</v>
      </c>
      <c r="G3321" s="46"/>
      <c r="H3321" s="46">
        <f>IFERROR(TRANSACTIONS!$F3321+TRANSACTIONS!$G3321,"")</f>
        <v>150000</v>
      </c>
      <c r="I3321" s="40" t="s">
        <v>41</v>
      </c>
    </row>
    <row r="3322" spans="1:9" x14ac:dyDescent="0.25">
      <c r="A3322" s="41">
        <v>45363.558233217591</v>
      </c>
      <c r="B3322" s="48">
        <f>IF(A3322&lt;&gt;"",DATE(YEAR(TRANSACTIONS!$A3322),MONTH(TRANSACTIONS!$A3322),DAY(TRANSACTIONS!$A3322)),"")</f>
        <v>45363</v>
      </c>
      <c r="C3322" s="49">
        <f>IF(A3322&lt;&gt;"",TIME(HOUR(TRANSACTIONS!$A3322),MINUTE(TRANSACTIONS!$A3322),SECOND(TRANSACTIONS!$A3322)),"")</f>
        <v>0.55822916666666667</v>
      </c>
      <c r="D3322" s="82" t="s">
        <v>62</v>
      </c>
      <c r="E3322" s="82" t="s">
        <v>6</v>
      </c>
      <c r="F3322" s="85">
        <v>10000</v>
      </c>
      <c r="G3322" s="46"/>
      <c r="H3322" s="46">
        <f>IFERROR(TRANSACTIONS!$F3322+TRANSACTIONS!$G3322,"")</f>
        <v>10000</v>
      </c>
      <c r="I3322" s="40" t="s">
        <v>41</v>
      </c>
    </row>
    <row r="3323" spans="1:9" x14ac:dyDescent="0.25">
      <c r="A3323" s="41">
        <v>45363.55824027778</v>
      </c>
      <c r="B3323" s="48">
        <f>IF(A3323&lt;&gt;"",DATE(YEAR(TRANSACTIONS!$A3323),MONTH(TRANSACTIONS!$A3323),DAY(TRANSACTIONS!$A3323)),"")</f>
        <v>45363</v>
      </c>
      <c r="C3323" s="49">
        <f>IF(A3323&lt;&gt;"",TIME(HOUR(TRANSACTIONS!$A3323),MINUTE(TRANSACTIONS!$A3323),SECOND(TRANSACTIONS!$A3323)),"")</f>
        <v>0.5582407407407407</v>
      </c>
      <c r="D3323" s="82" t="s">
        <v>62</v>
      </c>
      <c r="E3323" s="82" t="s">
        <v>6</v>
      </c>
      <c r="F3323" s="85">
        <v>15000</v>
      </c>
      <c r="G3323" s="46"/>
      <c r="H3323" s="46">
        <f>IFERROR(TRANSACTIONS!$F3323+TRANSACTIONS!$G3323,"")</f>
        <v>15000</v>
      </c>
      <c r="I3323" s="40" t="s">
        <v>41</v>
      </c>
    </row>
    <row r="3324" spans="1:9" x14ac:dyDescent="0.25">
      <c r="A3324" s="41">
        <v>45363.55824791667</v>
      </c>
      <c r="B3324" s="48">
        <f>IF(A3324&lt;&gt;"",DATE(YEAR(TRANSACTIONS!$A3324),MONTH(TRANSACTIONS!$A3324),DAY(TRANSACTIONS!$A3324)),"")</f>
        <v>45363</v>
      </c>
      <c r="C3324" s="49">
        <f>IF(A3324&lt;&gt;"",TIME(HOUR(TRANSACTIONS!$A3324),MINUTE(TRANSACTIONS!$A3324),SECOND(TRANSACTIONS!$A3324)),"")</f>
        <v>0.55825231481481474</v>
      </c>
      <c r="D3324" s="82" t="s">
        <v>62</v>
      </c>
      <c r="E3324" s="82" t="s">
        <v>6</v>
      </c>
      <c r="F3324" s="85">
        <v>5000</v>
      </c>
      <c r="G3324" s="46"/>
      <c r="H3324" s="46">
        <f>IFERROR(TRANSACTIONS!$F3324+TRANSACTIONS!$G3324,"")</f>
        <v>5000</v>
      </c>
      <c r="I3324" s="40" t="s">
        <v>41</v>
      </c>
    </row>
    <row r="3325" spans="1:9" x14ac:dyDescent="0.25">
      <c r="A3325" s="41">
        <v>45363.558270833331</v>
      </c>
      <c r="B3325" s="48">
        <f>IF(A3325&lt;&gt;"",DATE(YEAR(TRANSACTIONS!$A3325),MONTH(TRANSACTIONS!$A3325),DAY(TRANSACTIONS!$A3325)),"")</f>
        <v>45363</v>
      </c>
      <c r="C3325" s="49">
        <f>IF(A3325&lt;&gt;"",TIME(HOUR(TRANSACTIONS!$A3325),MINUTE(TRANSACTIONS!$A3325),SECOND(TRANSACTIONS!$A3325)),"")</f>
        <v>0.55827546296296293</v>
      </c>
      <c r="D3325" s="82" t="s">
        <v>62</v>
      </c>
      <c r="E3325" s="82" t="s">
        <v>6</v>
      </c>
      <c r="F3325" s="85">
        <v>4000</v>
      </c>
      <c r="G3325" s="46"/>
      <c r="H3325" s="46">
        <f>IFERROR(TRANSACTIONS!$F3325+TRANSACTIONS!$G3325,"")</f>
        <v>4000</v>
      </c>
      <c r="I3325" s="40" t="s">
        <v>41</v>
      </c>
    </row>
    <row r="3326" spans="1:9" x14ac:dyDescent="0.25">
      <c r="A3326" s="41">
        <v>45363.558280092591</v>
      </c>
      <c r="B3326" s="48">
        <f>IF(A3326&lt;&gt;"",DATE(YEAR(TRANSACTIONS!$A3326),MONTH(TRANSACTIONS!$A3326),DAY(TRANSACTIONS!$A3326)),"")</f>
        <v>45363</v>
      </c>
      <c r="C3326" s="49">
        <f>IF(A3326&lt;&gt;"",TIME(HOUR(TRANSACTIONS!$A3326),MINUTE(TRANSACTIONS!$A3326),SECOND(TRANSACTIONS!$A3326)),"")</f>
        <v>0.55827546296296293</v>
      </c>
      <c r="D3326" s="82" t="s">
        <v>62</v>
      </c>
      <c r="E3326" s="82" t="s">
        <v>6</v>
      </c>
      <c r="F3326" s="85">
        <v>5000</v>
      </c>
      <c r="G3326" s="46"/>
      <c r="H3326" s="46">
        <f>IFERROR(TRANSACTIONS!$F3326+TRANSACTIONS!$G3326,"")</f>
        <v>5000</v>
      </c>
      <c r="I3326" s="40" t="s">
        <v>41</v>
      </c>
    </row>
    <row r="3327" spans="1:9" x14ac:dyDescent="0.25">
      <c r="A3327" s="41">
        <v>45363.558290856483</v>
      </c>
      <c r="B3327" s="48">
        <f>IF(A3327&lt;&gt;"",DATE(YEAR(TRANSACTIONS!$A3327),MONTH(TRANSACTIONS!$A3327),DAY(TRANSACTIONS!$A3327)),"")</f>
        <v>45363</v>
      </c>
      <c r="C3327" s="49">
        <f>IF(A3327&lt;&gt;"",TIME(HOUR(TRANSACTIONS!$A3327),MINUTE(TRANSACTIONS!$A3327),SECOND(TRANSACTIONS!$A3327)),"")</f>
        <v>0.55828703703703708</v>
      </c>
      <c r="D3327" s="82" t="s">
        <v>25</v>
      </c>
      <c r="E3327" s="82" t="s">
        <v>7</v>
      </c>
      <c r="F3327" s="85">
        <v>10000</v>
      </c>
      <c r="G3327" s="46"/>
      <c r="H3327" s="46">
        <f>IFERROR(TRANSACTIONS!$F3327+TRANSACTIONS!$G3327,"")</f>
        <v>10000</v>
      </c>
      <c r="I3327" s="40" t="s">
        <v>41</v>
      </c>
    </row>
    <row r="3328" spans="1:9" x14ac:dyDescent="0.25">
      <c r="A3328" s="41">
        <v>45363.558333796296</v>
      </c>
      <c r="B3328" s="48">
        <f>IF(A3328&lt;&gt;"",DATE(YEAR(TRANSACTIONS!$A3328),MONTH(TRANSACTIONS!$A3328),DAY(TRANSACTIONS!$A3328)),"")</f>
        <v>45363</v>
      </c>
      <c r="C3328" s="49">
        <f>IF(A3328&lt;&gt;"",TIME(HOUR(TRANSACTIONS!$A3328),MINUTE(TRANSACTIONS!$A3328),SECOND(TRANSACTIONS!$A3328)),"")</f>
        <v>0.55833333333333335</v>
      </c>
      <c r="D3328" s="82" t="s">
        <v>62</v>
      </c>
      <c r="E3328" s="82" t="s">
        <v>7</v>
      </c>
      <c r="F3328" s="85">
        <v>20000</v>
      </c>
      <c r="G3328" s="46"/>
      <c r="H3328" s="46">
        <f>IFERROR(TRANSACTIONS!$F3328+TRANSACTIONS!$G3328,"")</f>
        <v>20000</v>
      </c>
      <c r="I3328" s="40" t="s">
        <v>41</v>
      </c>
    </row>
    <row r="3329" spans="1:11" x14ac:dyDescent="0.25">
      <c r="A3329" s="41">
        <v>45363.558350925923</v>
      </c>
      <c r="B3329" s="48">
        <f>IF(A3329&lt;&gt;"",DATE(YEAR(TRANSACTIONS!$A3329),MONTH(TRANSACTIONS!$A3329),DAY(TRANSACTIONS!$A3329)),"")</f>
        <v>45363</v>
      </c>
      <c r="C3329" s="49">
        <f>IF(A3329&lt;&gt;"",TIME(HOUR(TRANSACTIONS!$A3329),MINUTE(TRANSACTIONS!$A3329),SECOND(TRANSACTIONS!$A3329)),"")</f>
        <v>0.55835648148148154</v>
      </c>
      <c r="D3329" s="82" t="s">
        <v>62</v>
      </c>
      <c r="E3329" s="82" t="s">
        <v>7</v>
      </c>
      <c r="F3329" s="85">
        <v>25000</v>
      </c>
      <c r="G3329" s="46"/>
      <c r="H3329" s="46">
        <f>IFERROR(TRANSACTIONS!$F3329+TRANSACTIONS!$G3329,"")</f>
        <v>25000</v>
      </c>
      <c r="I3329" s="40" t="s">
        <v>41</v>
      </c>
    </row>
    <row r="3330" spans="1:11" x14ac:dyDescent="0.25">
      <c r="A3330" s="41">
        <v>45363.55836678241</v>
      </c>
      <c r="B3330" s="48">
        <f>IF(A3330&lt;&gt;"",DATE(YEAR(TRANSACTIONS!$A3330),MONTH(TRANSACTIONS!$A3330),DAY(TRANSACTIONS!$A3330)),"")</f>
        <v>45363</v>
      </c>
      <c r="C3330" s="49">
        <f>IF(A3330&lt;&gt;"",TIME(HOUR(TRANSACTIONS!$A3330),MINUTE(TRANSACTIONS!$A3330),SECOND(TRANSACTIONS!$A3330)),"")</f>
        <v>0.55836805555555558</v>
      </c>
      <c r="D3330" s="82" t="s">
        <v>62</v>
      </c>
      <c r="E3330" s="82" t="s">
        <v>7</v>
      </c>
      <c r="F3330" s="85">
        <v>11000</v>
      </c>
      <c r="G3330" s="46"/>
      <c r="H3330" s="46">
        <f>IFERROR(TRANSACTIONS!$F3330+TRANSACTIONS!$G3330,"")</f>
        <v>11000</v>
      </c>
      <c r="I3330" s="110" t="s">
        <v>41</v>
      </c>
    </row>
    <row r="3331" spans="1:11" x14ac:dyDescent="0.25">
      <c r="A3331" s="113">
        <v>45363.56749050926</v>
      </c>
      <c r="B3331" s="114">
        <f>IF(A3331&lt;&gt;"",DATE(YEAR(TRANSACTIONS!$A3331),MONTH(TRANSACTIONS!$A3331),DAY(TRANSACTIONS!$A3331)),"")</f>
        <v>45363</v>
      </c>
      <c r="C3331" s="115">
        <f>IF(A3331&lt;&gt;"",TIME(HOUR(TRANSACTIONS!$A3331),MINUTE(TRANSACTIONS!$A3331),SECOND(TRANSACTIONS!$A3331)),"")</f>
        <v>0.56748842592592597</v>
      </c>
      <c r="D3331" s="82" t="s">
        <v>62</v>
      </c>
      <c r="E3331" s="82" t="s">
        <v>7</v>
      </c>
      <c r="F3331" s="85">
        <v>15000</v>
      </c>
      <c r="G3331" s="117"/>
      <c r="H3331" s="117">
        <f>IFERROR(TRANSACTIONS!$F3331+TRANSACTIONS!$G3331,"")</f>
        <v>15000</v>
      </c>
      <c r="I3331" s="118" t="s">
        <v>41</v>
      </c>
    </row>
    <row r="3332" spans="1:11" x14ac:dyDescent="0.25">
      <c r="A3332" s="41">
        <v>45363.56749814815</v>
      </c>
      <c r="B3332" s="48">
        <f>IF(A3332&lt;&gt;"",DATE(YEAR(TRANSACTIONS!$A3332),MONTH(TRANSACTIONS!$A3332),DAY(TRANSACTIONS!$A3332)),"")</f>
        <v>45363</v>
      </c>
      <c r="C3332" s="49">
        <f>IF(A3332&lt;&gt;"",TIME(HOUR(TRANSACTIONS!$A3332),MINUTE(TRANSACTIONS!$A3332),SECOND(TRANSACTIONS!$A3332)),"")</f>
        <v>0.5675</v>
      </c>
      <c r="D3332" s="82" t="s">
        <v>62</v>
      </c>
      <c r="E3332" s="82" t="s">
        <v>6</v>
      </c>
      <c r="F3332" s="85">
        <v>32000</v>
      </c>
      <c r="G3332" s="46"/>
      <c r="H3332" s="46">
        <f>IFERROR(TRANSACTIONS!$F3332+TRANSACTIONS!$G3332,"")</f>
        <v>32000</v>
      </c>
      <c r="I3332" s="40" t="s">
        <v>41</v>
      </c>
    </row>
    <row r="3333" spans="1:11" x14ac:dyDescent="0.25">
      <c r="A3333" s="41">
        <v>45363.589219328707</v>
      </c>
      <c r="B3333" s="48">
        <f>IF(A3333&lt;&gt;"",DATE(YEAR(TRANSACTIONS!$A3333),MONTH(TRANSACTIONS!$A3333),DAY(TRANSACTIONS!$A3333)),"")</f>
        <v>45363</v>
      </c>
      <c r="C3333" s="49">
        <f>IF(A3333&lt;&gt;"",TIME(HOUR(TRANSACTIONS!$A3333),MINUTE(TRANSACTIONS!$A3333),SECOND(TRANSACTIONS!$A3333)),"")</f>
        <v>0.58922453703703703</v>
      </c>
      <c r="D3333" s="82" t="s">
        <v>62</v>
      </c>
      <c r="E3333" s="82" t="s">
        <v>7</v>
      </c>
      <c r="F3333" s="85">
        <v>10000</v>
      </c>
      <c r="G3333" s="46"/>
      <c r="H3333" s="46">
        <f>IFERROR(TRANSACTIONS!$F3333+TRANSACTIONS!$G3333,"")</f>
        <v>10000</v>
      </c>
      <c r="I3333" s="40" t="s">
        <v>41</v>
      </c>
    </row>
    <row r="3334" spans="1:11" x14ac:dyDescent="0.25">
      <c r="A3334" s="41">
        <v>45363.603904282405</v>
      </c>
      <c r="B3334" s="48">
        <f>IF(A3334&lt;&gt;"",DATE(YEAR(TRANSACTIONS!$A3334),MONTH(TRANSACTIONS!$A3334),DAY(TRANSACTIONS!$A3334)),"")</f>
        <v>45363</v>
      </c>
      <c r="C3334" s="49">
        <f>IF(A3334&lt;&gt;"",TIME(HOUR(TRANSACTIONS!$A3334),MINUTE(TRANSACTIONS!$A3334),SECOND(TRANSACTIONS!$A3334)),"")</f>
        <v>0.60390046296296296</v>
      </c>
      <c r="D3334" s="82" t="s">
        <v>62</v>
      </c>
      <c r="E3334" s="82" t="s">
        <v>6</v>
      </c>
      <c r="F3334" s="85">
        <v>16000</v>
      </c>
      <c r="G3334" s="86"/>
      <c r="H3334" s="86">
        <f>IFERROR(TRANSACTIONS!$F3334+TRANSACTIONS!$G3334,"")</f>
        <v>16000</v>
      </c>
      <c r="I3334" s="88" t="s">
        <v>41</v>
      </c>
      <c r="J3334" s="88"/>
      <c r="K3334" s="88"/>
    </row>
    <row r="3335" spans="1:11" x14ac:dyDescent="0.25">
      <c r="A3335" s="41">
        <v>45363.603919097222</v>
      </c>
      <c r="B3335" s="48">
        <f>IF(A3335&lt;&gt;"",DATE(YEAR(TRANSACTIONS!$A3335),MONTH(TRANSACTIONS!$A3335),DAY(TRANSACTIONS!$A3335)),"")</f>
        <v>45363</v>
      </c>
      <c r="C3335" s="49">
        <f>IF(A3335&lt;&gt;"",TIME(HOUR(TRANSACTIONS!$A3335),MINUTE(TRANSACTIONS!$A3335),SECOND(TRANSACTIONS!$A3335)),"")</f>
        <v>0.60392361111111115</v>
      </c>
      <c r="D3335" s="82" t="s">
        <v>25</v>
      </c>
      <c r="E3335" s="82" t="s">
        <v>6</v>
      </c>
      <c r="F3335" s="85">
        <v>98000</v>
      </c>
      <c r="G3335" s="46"/>
      <c r="H3335" s="46">
        <f>IFERROR(TRANSACTIONS!$F3335+TRANSACTIONS!$G3335,"")</f>
        <v>98000</v>
      </c>
      <c r="I3335" s="40" t="s">
        <v>41</v>
      </c>
    </row>
    <row r="3336" spans="1:11" x14ac:dyDescent="0.25">
      <c r="A3336" s="41">
        <v>45363.603932175924</v>
      </c>
      <c r="B3336" s="48">
        <f>IF(A3336&lt;&gt;"",DATE(YEAR(TRANSACTIONS!$A3336),MONTH(TRANSACTIONS!$A3336),DAY(TRANSACTIONS!$A3336)),"")</f>
        <v>45363</v>
      </c>
      <c r="C3336" s="49">
        <f>IF(A3336&lt;&gt;"",TIME(HOUR(TRANSACTIONS!$A3336),MINUTE(TRANSACTIONS!$A3336),SECOND(TRANSACTIONS!$A3336)),"")</f>
        <v>0.60393518518518519</v>
      </c>
      <c r="D3336" s="82" t="s">
        <v>64</v>
      </c>
      <c r="E3336" s="82" t="s">
        <v>7</v>
      </c>
      <c r="F3336" s="85">
        <v>300000</v>
      </c>
      <c r="G3336" s="46"/>
      <c r="H3336" s="46">
        <f>IFERROR(TRANSACTIONS!$F3336+TRANSACTIONS!$G3336,"")</f>
        <v>300000</v>
      </c>
      <c r="I3336" s="40" t="s">
        <v>41</v>
      </c>
    </row>
    <row r="3337" spans="1:11" x14ac:dyDescent="0.25">
      <c r="A3337" s="41">
        <v>45363.603963773145</v>
      </c>
      <c r="B3337" s="48">
        <f>IF(A3337&lt;&gt;"",DATE(YEAR(TRANSACTIONS!$A3337),MONTH(TRANSACTIONS!$A3337),DAY(TRANSACTIONS!$A3337)),"")</f>
        <v>45363</v>
      </c>
      <c r="C3337" s="49">
        <f>IF(A3337&lt;&gt;"",TIME(HOUR(TRANSACTIONS!$A3337),MINUTE(TRANSACTIONS!$A3337),SECOND(TRANSACTIONS!$A3337)),"")</f>
        <v>0.60395833333333326</v>
      </c>
      <c r="D3337" s="82" t="s">
        <v>25</v>
      </c>
      <c r="E3337" s="82" t="s">
        <v>6</v>
      </c>
      <c r="F3337" s="85">
        <v>33000</v>
      </c>
      <c r="G3337" s="46"/>
      <c r="H3337" s="46">
        <f>IFERROR(TRANSACTIONS!$F3337+TRANSACTIONS!$G3337,"")</f>
        <v>33000</v>
      </c>
      <c r="I3337" s="40" t="s">
        <v>41</v>
      </c>
    </row>
    <row r="3338" spans="1:11" x14ac:dyDescent="0.25">
      <c r="A3338" s="41">
        <v>45363.603979861109</v>
      </c>
      <c r="B3338" s="48">
        <f>IF(A3338&lt;&gt;"",DATE(YEAR(TRANSACTIONS!$A3338),MONTH(TRANSACTIONS!$A3338),DAY(TRANSACTIONS!$A3338)),"")</f>
        <v>45363</v>
      </c>
      <c r="C3338" s="49">
        <f>IF(A3338&lt;&gt;"",TIME(HOUR(TRANSACTIONS!$A3338),MINUTE(TRANSACTIONS!$A3338),SECOND(TRANSACTIONS!$A3338)),"")</f>
        <v>0.60398148148148145</v>
      </c>
      <c r="D3338" s="82" t="s">
        <v>25</v>
      </c>
      <c r="E3338" s="82" t="s">
        <v>6</v>
      </c>
      <c r="F3338" s="85">
        <v>8000</v>
      </c>
      <c r="G3338" s="46"/>
      <c r="H3338" s="46">
        <f>IFERROR(TRANSACTIONS!$F3338+TRANSACTIONS!$G3338,"")</f>
        <v>8000</v>
      </c>
      <c r="I3338" s="40" t="s">
        <v>41</v>
      </c>
    </row>
    <row r="3339" spans="1:11" x14ac:dyDescent="0.25">
      <c r="A3339" s="41">
        <v>45363.603988194445</v>
      </c>
      <c r="B3339" s="48">
        <f>IF(A3339&lt;&gt;"",DATE(YEAR(TRANSACTIONS!$A3339),MONTH(TRANSACTIONS!$A3339),DAY(TRANSACTIONS!$A3339)),"")</f>
        <v>45363</v>
      </c>
      <c r="C3339" s="49">
        <f>IF(A3339&lt;&gt;"",TIME(HOUR(TRANSACTIONS!$A3339),MINUTE(TRANSACTIONS!$A3339),SECOND(TRANSACTIONS!$A3339)),"")</f>
        <v>0.6039930555555556</v>
      </c>
      <c r="D3339" s="82" t="s">
        <v>62</v>
      </c>
      <c r="E3339" s="82" t="s">
        <v>7</v>
      </c>
      <c r="F3339" s="85">
        <v>6000</v>
      </c>
      <c r="G3339" s="46"/>
      <c r="H3339" s="46">
        <f>IFERROR(TRANSACTIONS!$F3339+TRANSACTIONS!$G3339,"")</f>
        <v>6000</v>
      </c>
      <c r="I3339" s="40" t="s">
        <v>41</v>
      </c>
    </row>
    <row r="3340" spans="1:11" x14ac:dyDescent="0.25">
      <c r="A3340" s="41">
        <v>45363.615564236112</v>
      </c>
      <c r="B3340" s="48">
        <f>IF(A3340&lt;&gt;"",DATE(YEAR(TRANSACTIONS!$A3340),MONTH(TRANSACTIONS!$A3340),DAY(TRANSACTIONS!$A3340)),"")</f>
        <v>45363</v>
      </c>
      <c r="C3340" s="49">
        <f>IF(A3340&lt;&gt;"",TIME(HOUR(TRANSACTIONS!$A3340),MINUTE(TRANSACTIONS!$A3340),SECOND(TRANSACTIONS!$A3340)),"")</f>
        <v>0.61556712962962956</v>
      </c>
      <c r="D3340" s="82" t="s">
        <v>62</v>
      </c>
      <c r="E3340" s="82" t="s">
        <v>7</v>
      </c>
      <c r="F3340" s="85">
        <v>2000</v>
      </c>
      <c r="G3340" s="46"/>
      <c r="H3340" s="46">
        <f>IFERROR(TRANSACTIONS!$F3340+TRANSACTIONS!$G3340,"")</f>
        <v>2000</v>
      </c>
      <c r="I3340" s="40" t="s">
        <v>41</v>
      </c>
    </row>
    <row r="3341" spans="1:11" x14ac:dyDescent="0.25">
      <c r="A3341" s="41">
        <v>45363.615595370371</v>
      </c>
      <c r="B3341" s="48">
        <f>IF(A3341&lt;&gt;"",DATE(YEAR(TRANSACTIONS!$A3341),MONTH(TRANSACTIONS!$A3341),DAY(TRANSACTIONS!$A3341)),"")</f>
        <v>45363</v>
      </c>
      <c r="C3341" s="49">
        <f>IF(A3341&lt;&gt;"",TIME(HOUR(TRANSACTIONS!$A3341),MINUTE(TRANSACTIONS!$A3341),SECOND(TRANSACTIONS!$A3341)),"")</f>
        <v>0.61559027777777775</v>
      </c>
      <c r="D3341" s="82" t="s">
        <v>62</v>
      </c>
      <c r="E3341" s="82" t="s">
        <v>7</v>
      </c>
      <c r="F3341" s="85">
        <v>3000</v>
      </c>
      <c r="G3341" s="46"/>
      <c r="H3341" s="46">
        <f>IFERROR(TRANSACTIONS!$F3341+TRANSACTIONS!$G3341,"")</f>
        <v>3000</v>
      </c>
      <c r="I3341" s="40" t="s">
        <v>41</v>
      </c>
    </row>
    <row r="3342" spans="1:11" x14ac:dyDescent="0.25">
      <c r="A3342" s="41">
        <v>45363.615605671293</v>
      </c>
      <c r="B3342" s="48">
        <f>IF(A3342&lt;&gt;"",DATE(YEAR(TRANSACTIONS!$A3342),MONTH(TRANSACTIONS!$A3342),DAY(TRANSACTIONS!$A3342)),"")</f>
        <v>45363</v>
      </c>
      <c r="C3342" s="49">
        <f>IF(A3342&lt;&gt;"",TIME(HOUR(TRANSACTIONS!$A3342),MINUTE(TRANSACTIONS!$A3342),SECOND(TRANSACTIONS!$A3342)),"")</f>
        <v>0.6156018518518519</v>
      </c>
      <c r="D3342" s="82" t="s">
        <v>25</v>
      </c>
      <c r="E3342" s="82" t="s">
        <v>6</v>
      </c>
      <c r="F3342" s="85">
        <v>82500</v>
      </c>
      <c r="G3342" s="46"/>
      <c r="H3342" s="46">
        <f>IFERROR(TRANSACTIONS!$F3342+TRANSACTIONS!$G3342,"")</f>
        <v>82500</v>
      </c>
      <c r="I3342" s="40" t="s">
        <v>41</v>
      </c>
    </row>
    <row r="3343" spans="1:11" x14ac:dyDescent="0.25">
      <c r="A3343" s="41">
        <v>45363.622720370367</v>
      </c>
      <c r="B3343" s="48">
        <f>IF(A3343&lt;&gt;"",DATE(YEAR(TRANSACTIONS!$A3343),MONTH(TRANSACTIONS!$A3343),DAY(TRANSACTIONS!$A3343)),"")</f>
        <v>45363</v>
      </c>
      <c r="C3343" s="49">
        <f>IF(A3343&lt;&gt;"",TIME(HOUR(TRANSACTIONS!$A3343),MINUTE(TRANSACTIONS!$A3343),SECOND(TRANSACTIONS!$A3343)),"")</f>
        <v>0.62271990740740735</v>
      </c>
      <c r="D3343" s="82" t="s">
        <v>62</v>
      </c>
      <c r="E3343" s="82" t="s">
        <v>7</v>
      </c>
      <c r="F3343" s="85">
        <v>500000</v>
      </c>
      <c r="G3343" s="46"/>
      <c r="H3343" s="46">
        <f>IFERROR(TRANSACTIONS!$F3343+TRANSACTIONS!$G3343,"")</f>
        <v>500000</v>
      </c>
      <c r="I3343" s="40" t="s">
        <v>41</v>
      </c>
    </row>
    <row r="3344" spans="1:11" x14ac:dyDescent="0.25">
      <c r="A3344" s="41">
        <v>45363.62276875</v>
      </c>
      <c r="B3344" s="48">
        <f>IF(A3344&lt;&gt;"",DATE(YEAR(TRANSACTIONS!$A3344),MONTH(TRANSACTIONS!$A3344),DAY(TRANSACTIONS!$A3344)),"")</f>
        <v>45363</v>
      </c>
      <c r="C3344" s="49">
        <f>IF(A3344&lt;&gt;"",TIME(HOUR(TRANSACTIONS!$A3344),MINUTE(TRANSACTIONS!$A3344),SECOND(TRANSACTIONS!$A3344)),"")</f>
        <v>0.62276620370370372</v>
      </c>
      <c r="D3344" s="82" t="s">
        <v>62</v>
      </c>
      <c r="E3344" s="82" t="s">
        <v>6</v>
      </c>
      <c r="F3344" s="85">
        <v>15000</v>
      </c>
      <c r="G3344" s="46"/>
      <c r="H3344" s="46">
        <f>IFERROR(TRANSACTIONS!$F3344+TRANSACTIONS!$G3344,"")</f>
        <v>15000</v>
      </c>
      <c r="I3344" s="40" t="s">
        <v>41</v>
      </c>
    </row>
    <row r="3345" spans="1:10" x14ac:dyDescent="0.25">
      <c r="A3345" s="41">
        <v>45363.622776851851</v>
      </c>
      <c r="B3345" s="48">
        <f>IF(A3345&lt;&gt;"",DATE(YEAR(TRANSACTIONS!$A3345),MONTH(TRANSACTIONS!$A3345),DAY(TRANSACTIONS!$A3345)),"")</f>
        <v>45363</v>
      </c>
      <c r="C3345" s="49">
        <f>IF(A3345&lt;&gt;"",TIME(HOUR(TRANSACTIONS!$A3345),MINUTE(TRANSACTIONS!$A3345),SECOND(TRANSACTIONS!$A3345)),"")</f>
        <v>0.62277777777777776</v>
      </c>
      <c r="D3345" s="82" t="s">
        <v>62</v>
      </c>
      <c r="E3345" s="82" t="s">
        <v>7</v>
      </c>
      <c r="F3345" s="85">
        <v>3000</v>
      </c>
      <c r="G3345" s="46"/>
      <c r="H3345" s="46">
        <f>IFERROR(TRANSACTIONS!$F3345+TRANSACTIONS!$G3345,"")</f>
        <v>3000</v>
      </c>
      <c r="I3345" s="40" t="s">
        <v>41</v>
      </c>
    </row>
    <row r="3346" spans="1:10" x14ac:dyDescent="0.25">
      <c r="A3346" s="41">
        <v>45363.622783680556</v>
      </c>
      <c r="B3346" s="48">
        <f>IF(A3346&lt;&gt;"",DATE(YEAR(TRANSACTIONS!$A3346),MONTH(TRANSACTIONS!$A3346),DAY(TRANSACTIONS!$A3346)),"")</f>
        <v>45363</v>
      </c>
      <c r="C3346" s="49">
        <f>IF(A3346&lt;&gt;"",TIME(HOUR(TRANSACTIONS!$A3346),MINUTE(TRANSACTIONS!$A3346),SECOND(TRANSACTIONS!$A3346)),"")</f>
        <v>0.6227893518518518</v>
      </c>
      <c r="D3346" s="82" t="s">
        <v>62</v>
      </c>
      <c r="E3346" s="82" t="s">
        <v>7</v>
      </c>
      <c r="F3346" s="85">
        <v>118000</v>
      </c>
      <c r="G3346" s="46"/>
      <c r="H3346" s="46">
        <f>IFERROR(TRANSACTIONS!$F3346+TRANSACTIONS!$G3346,"")</f>
        <v>118000</v>
      </c>
      <c r="I3346" s="40" t="s">
        <v>41</v>
      </c>
    </row>
    <row r="3347" spans="1:10" x14ac:dyDescent="0.25">
      <c r="A3347" s="41">
        <v>45363.622833680558</v>
      </c>
      <c r="B3347" s="48">
        <f>IF(A3347&lt;&gt;"",DATE(YEAR(TRANSACTIONS!$A3347),MONTH(TRANSACTIONS!$A3347),DAY(TRANSACTIONS!$A3347)),"")</f>
        <v>45363</v>
      </c>
      <c r="C3347" s="49">
        <f>IF(A3347&lt;&gt;"",TIME(HOUR(TRANSACTIONS!$A3347),MINUTE(TRANSACTIONS!$A3347),SECOND(TRANSACTIONS!$A3347)),"")</f>
        <v>0.62283564814814818</v>
      </c>
      <c r="D3347" s="82" t="s">
        <v>62</v>
      </c>
      <c r="E3347" s="82" t="s">
        <v>7</v>
      </c>
      <c r="F3347" s="85">
        <v>50000</v>
      </c>
      <c r="G3347" s="46"/>
      <c r="H3347" s="46">
        <f>IFERROR(TRANSACTIONS!$F3347+TRANSACTIONS!$G3347,"")</f>
        <v>50000</v>
      </c>
      <c r="I3347" s="40" t="s">
        <v>41</v>
      </c>
    </row>
    <row r="3348" spans="1:10" x14ac:dyDescent="0.25">
      <c r="A3348" s="41">
        <v>45363.624304398145</v>
      </c>
      <c r="B3348" s="48">
        <f>IF(A3348&lt;&gt;"",DATE(YEAR(TRANSACTIONS!$A3348),MONTH(TRANSACTIONS!$A3348),DAY(TRANSACTIONS!$A3348)),"")</f>
        <v>45363</v>
      </c>
      <c r="C3348" s="49">
        <f>IF(A3348&lt;&gt;"",TIME(HOUR(TRANSACTIONS!$A3348),MINUTE(TRANSACTIONS!$A3348),SECOND(TRANSACTIONS!$A3348)),"")</f>
        <v>0.62430555555555556</v>
      </c>
      <c r="D3348" s="82" t="s">
        <v>62</v>
      </c>
      <c r="E3348" s="82" t="s">
        <v>6</v>
      </c>
      <c r="F3348" s="85">
        <v>2000</v>
      </c>
      <c r="G3348" s="46"/>
      <c r="H3348" s="46">
        <f>IFERROR(TRANSACTIONS!$F3348+TRANSACTIONS!$G3348,"")</f>
        <v>2000</v>
      </c>
      <c r="I3348" s="40" t="s">
        <v>41</v>
      </c>
    </row>
    <row r="3349" spans="1:10" x14ac:dyDescent="0.25">
      <c r="A3349" s="41">
        <v>45363.642670254631</v>
      </c>
      <c r="B3349" s="48">
        <f>IF(A3349&lt;&gt;"",DATE(YEAR(TRANSACTIONS!$A3349),MONTH(TRANSACTIONS!$A3349),DAY(TRANSACTIONS!$A3349)),"")</f>
        <v>45363</v>
      </c>
      <c r="C3349" s="49">
        <f>IF(A3349&lt;&gt;"",TIME(HOUR(TRANSACTIONS!$A3349),MINUTE(TRANSACTIONS!$A3349),SECOND(TRANSACTIONS!$A3349)),"")</f>
        <v>0.6426736111111111</v>
      </c>
      <c r="D3349" s="82" t="s">
        <v>62</v>
      </c>
      <c r="E3349" s="82" t="s">
        <v>6</v>
      </c>
      <c r="F3349" s="85">
        <v>8500</v>
      </c>
      <c r="G3349" s="46"/>
      <c r="H3349" s="46">
        <f>IFERROR(TRANSACTIONS!$F3349+TRANSACTIONS!$G3349,"")</f>
        <v>8500</v>
      </c>
      <c r="I3349" s="40" t="s">
        <v>41</v>
      </c>
    </row>
    <row r="3350" spans="1:10" x14ac:dyDescent="0.25">
      <c r="A3350" s="113">
        <v>45363.642720717595</v>
      </c>
      <c r="B3350" s="114" t="e">
        <f>IF(#REF!&lt;&gt;"",DATE(YEAR(TRANSACTIONS!#REF!),MONTH(TRANSACTIONS!#REF!),DAY(TRANSACTIONS!#REF!)),"")</f>
        <v>#REF!</v>
      </c>
      <c r="C3350" s="115" t="e">
        <f>IF(#REF!&lt;&gt;"",TIME(HOUR(TRANSACTIONS!#REF!),MINUTE(TRANSACTIONS!#REF!),SECOND(TRANSACTIONS!#REF!)),"")</f>
        <v>#REF!</v>
      </c>
      <c r="D3350" s="82" t="s">
        <v>62</v>
      </c>
      <c r="E3350" s="82" t="s">
        <v>7</v>
      </c>
      <c r="F3350" s="85"/>
      <c r="G3350" s="117"/>
      <c r="H3350" s="117">
        <f>IFERROR(TRANSACTIONS!$F3350+TRANSACTIONS!$G3350,"")</f>
        <v>0</v>
      </c>
      <c r="I3350" s="118" t="s">
        <v>41</v>
      </c>
    </row>
    <row r="3351" spans="1:10" x14ac:dyDescent="0.25">
      <c r="A3351" s="71">
        <v>45363.642696180556</v>
      </c>
      <c r="B3351" s="73">
        <f>IF(A3350&lt;&gt;"",DATE(YEAR(TRANSACTIONS!$A3350),MONTH(TRANSACTIONS!$A3350),DAY(TRANSACTIONS!$A3350)),"")</f>
        <v>45363</v>
      </c>
      <c r="C3351" s="74">
        <f>IF(A3350&lt;&gt;"",TIME(HOUR(TRANSACTIONS!$A3350),MINUTE(TRANSACTIONS!$A3350),SECOND(TRANSACTIONS!$A3350)),"")</f>
        <v>0.64271990740740736</v>
      </c>
      <c r="D3351" s="72" t="s">
        <v>62</v>
      </c>
      <c r="E3351" s="72" t="s">
        <v>7</v>
      </c>
      <c r="F3351" s="181">
        <v>5000</v>
      </c>
      <c r="G3351" s="75"/>
      <c r="H3351" s="75">
        <f>IFERROR(TRANSACTIONS!$F3351+TRANSACTIONS!$G3351,"")</f>
        <v>5000</v>
      </c>
      <c r="I3351" s="76" t="s">
        <v>41</v>
      </c>
    </row>
    <row r="3352" spans="1:10" x14ac:dyDescent="0.25">
      <c r="A3352" s="41">
        <v>45363.642745370373</v>
      </c>
      <c r="B3352" s="48">
        <f>IF(A3351&lt;&gt;"",DATE(YEAR(TRANSACTIONS!$A3351),MONTH(TRANSACTIONS!$A3351),DAY(TRANSACTIONS!$A3351)),"")</f>
        <v>45363</v>
      </c>
      <c r="C3352" s="49">
        <f>IF(A3351&lt;&gt;"",TIME(HOUR(TRANSACTIONS!$A3351),MINUTE(TRANSACTIONS!$A3351),SECOND(TRANSACTIONS!$A3351)),"")</f>
        <v>0.64269675925925929</v>
      </c>
      <c r="D3352" s="82" t="s">
        <v>62</v>
      </c>
      <c r="E3352" s="82" t="s">
        <v>6</v>
      </c>
      <c r="F3352" s="85">
        <v>20200</v>
      </c>
      <c r="G3352" s="46"/>
      <c r="H3352" s="46">
        <f>IFERROR(TRANSACTIONS!$F3352+TRANSACTIONS!$G3352,"")</f>
        <v>20200</v>
      </c>
      <c r="I3352" s="40" t="s">
        <v>41</v>
      </c>
    </row>
    <row r="3353" spans="1:10" x14ac:dyDescent="0.25">
      <c r="A3353" s="41">
        <v>45363.708526620372</v>
      </c>
      <c r="B3353" s="48">
        <f>IF(A3352&lt;&gt;"",DATE(YEAR(TRANSACTIONS!$A3352),MONTH(TRANSACTIONS!$A3352),DAY(TRANSACTIONS!$A3352)),"")</f>
        <v>45363</v>
      </c>
      <c r="C3353" s="49">
        <f>IF(A3352&lt;&gt;"",TIME(HOUR(TRANSACTIONS!$A3352),MINUTE(TRANSACTIONS!$A3352),SECOND(TRANSACTIONS!$A3352)),"")</f>
        <v>0.64274305555555555</v>
      </c>
      <c r="D3353" s="82" t="s">
        <v>62</v>
      </c>
      <c r="E3353" s="82" t="s">
        <v>7</v>
      </c>
      <c r="F3353" s="85">
        <v>6000</v>
      </c>
      <c r="G3353" s="46"/>
      <c r="H3353" s="46">
        <f>IFERROR(TRANSACTIONS!$F3353+TRANSACTIONS!$G3353,"")</f>
        <v>6000</v>
      </c>
      <c r="I3353" s="40" t="s">
        <v>41</v>
      </c>
    </row>
    <row r="3354" spans="1:10" x14ac:dyDescent="0.25">
      <c r="A3354" s="41">
        <v>45363.708573148149</v>
      </c>
      <c r="B3354" s="48">
        <f>IF(A3353&lt;&gt;"",DATE(YEAR(TRANSACTIONS!$A3353),MONTH(TRANSACTIONS!$A3353),DAY(TRANSACTIONS!$A3353)),"")</f>
        <v>45363</v>
      </c>
      <c r="C3354" s="49">
        <f>IF(A3353&lt;&gt;"",TIME(HOUR(TRANSACTIONS!$A3353),MINUTE(TRANSACTIONS!$A3353),SECOND(TRANSACTIONS!$A3353)),"")</f>
        <v>0.7085300925925927</v>
      </c>
      <c r="D3354" s="82" t="s">
        <v>62</v>
      </c>
      <c r="E3354" s="82" t="s">
        <v>7</v>
      </c>
      <c r="F3354" s="85">
        <v>5000</v>
      </c>
      <c r="G3354" s="46"/>
      <c r="H3354" s="46">
        <f>IFERROR(TRANSACTIONS!$F3354+TRANSACTIONS!$G3354,"")</f>
        <v>5000</v>
      </c>
      <c r="I3354" s="40" t="s">
        <v>41</v>
      </c>
    </row>
    <row r="3355" spans="1:10" x14ac:dyDescent="0.25">
      <c r="A3355" s="81">
        <v>45363.708584259257</v>
      </c>
      <c r="B3355" s="83">
        <f>IF(A3354&lt;&gt;"",DATE(YEAR(TRANSACTIONS!$A3354),MONTH(TRANSACTIONS!$A3354),DAY(TRANSACTIONS!$A3354)),"")</f>
        <v>45363</v>
      </c>
      <c r="C3355" s="84">
        <f>IF(A3354&lt;&gt;"",TIME(HOUR(TRANSACTIONS!$A3354),MINUTE(TRANSACTIONS!$A3354),SECOND(TRANSACTIONS!$A3354)),"")</f>
        <v>0.70857638888888885</v>
      </c>
      <c r="D3355" s="82" t="s">
        <v>62</v>
      </c>
      <c r="E3355" s="82" t="s">
        <v>6</v>
      </c>
      <c r="F3355" s="85">
        <v>1000</v>
      </c>
      <c r="G3355" s="86"/>
      <c r="H3355" s="86">
        <f>IFERROR(TRANSACTIONS!$F3355+TRANSACTIONS!$G3355,"")</f>
        <v>1000</v>
      </c>
      <c r="I3355" s="88" t="s">
        <v>41</v>
      </c>
      <c r="J3355" s="88"/>
    </row>
    <row r="3356" spans="1:10" x14ac:dyDescent="0.25">
      <c r="A3356" s="71">
        <v>45363.708600810183</v>
      </c>
      <c r="B3356" s="73">
        <f>IF(A3355&lt;&gt;"",DATE(YEAR(TRANSACTIONS!$A3355),MONTH(TRANSACTIONS!$A3355),DAY(TRANSACTIONS!$A3355)),"")</f>
        <v>45363</v>
      </c>
      <c r="C3356" s="74">
        <f>IF(A3355&lt;&gt;"",TIME(HOUR(TRANSACTIONS!$A3355),MINUTE(TRANSACTIONS!$A3355),SECOND(TRANSACTIONS!$A3355)),"")</f>
        <v>0.70858796296296289</v>
      </c>
      <c r="D3356" s="72" t="s">
        <v>62</v>
      </c>
      <c r="E3356" s="72" t="s">
        <v>7</v>
      </c>
      <c r="F3356" s="181">
        <v>5000</v>
      </c>
      <c r="G3356" s="75"/>
      <c r="H3356" s="75">
        <f>IFERROR(TRANSACTIONS!$F3356+TRANSACTIONS!$G3356,"")</f>
        <v>5000</v>
      </c>
      <c r="I3356" s="76" t="s">
        <v>41</v>
      </c>
      <c r="J3356" s="88"/>
    </row>
    <row r="3357" spans="1:10" x14ac:dyDescent="0.25">
      <c r="A3357" s="41">
        <v>45363.708608796296</v>
      </c>
      <c r="B3357" s="48">
        <f>IF(A3356&lt;&gt;"",DATE(YEAR(TRANSACTIONS!$A3356),MONTH(TRANSACTIONS!$A3356),DAY(TRANSACTIONS!$A3356)),"")</f>
        <v>45363</v>
      </c>
      <c r="C3357" s="49">
        <f>IF(A3356&lt;&gt;"",TIME(HOUR(TRANSACTIONS!$A3356),MINUTE(TRANSACTIONS!$A3356),SECOND(TRANSACTIONS!$A3356)),"")</f>
        <v>0.70859953703703704</v>
      </c>
      <c r="D3357" s="82" t="s">
        <v>62</v>
      </c>
      <c r="E3357" s="82" t="s">
        <v>7</v>
      </c>
      <c r="F3357" s="85">
        <v>7000</v>
      </c>
      <c r="G3357" s="46"/>
      <c r="H3357" s="46">
        <f>IFERROR(TRANSACTIONS!$F3357+TRANSACTIONS!$G3357,"")</f>
        <v>7000</v>
      </c>
      <c r="I3357" s="40" t="s">
        <v>41</v>
      </c>
    </row>
    <row r="3358" spans="1:10" x14ac:dyDescent="0.25">
      <c r="A3358" s="41">
        <v>45363.708615740739</v>
      </c>
      <c r="B3358" s="48">
        <f>IF(A3357&lt;&gt;"",DATE(YEAR(TRANSACTIONS!$A3357),MONTH(TRANSACTIONS!$A3357),DAY(TRANSACTIONS!$A3357)),"")</f>
        <v>45363</v>
      </c>
      <c r="C3358" s="49">
        <f>IF(A3357&lt;&gt;"",TIME(HOUR(TRANSACTIONS!$A3357),MINUTE(TRANSACTIONS!$A3357),SECOND(TRANSACTIONS!$A3357)),"")</f>
        <v>0.70861111111111119</v>
      </c>
      <c r="D3358" s="82" t="s">
        <v>25</v>
      </c>
      <c r="E3358" s="82" t="s">
        <v>7</v>
      </c>
      <c r="F3358" s="85">
        <v>10000</v>
      </c>
      <c r="G3358" s="46"/>
      <c r="H3358" s="46">
        <f>IFERROR(TRANSACTIONS!$F3358+TRANSACTIONS!$G3358,"")</f>
        <v>10000</v>
      </c>
      <c r="I3358" s="40" t="s">
        <v>41</v>
      </c>
    </row>
    <row r="3359" spans="1:10" x14ac:dyDescent="0.25">
      <c r="A3359" s="41">
        <v>45363.708622337967</v>
      </c>
      <c r="B3359" s="48">
        <f>IF(A3358&lt;&gt;"",DATE(YEAR(TRANSACTIONS!$A3358),MONTH(TRANSACTIONS!$A3358),DAY(TRANSACTIONS!$A3358)),"")</f>
        <v>45363</v>
      </c>
      <c r="C3359" s="49">
        <f>IF(A3358&lt;&gt;"",TIME(HOUR(TRANSACTIONS!$A3358),MINUTE(TRANSACTIONS!$A3358),SECOND(TRANSACTIONS!$A3358)),"")</f>
        <v>0.70861111111111119</v>
      </c>
      <c r="D3359" s="82" t="s">
        <v>25</v>
      </c>
      <c r="E3359" s="82" t="s">
        <v>6</v>
      </c>
      <c r="F3359" s="85">
        <v>2000</v>
      </c>
      <c r="G3359" s="46"/>
      <c r="H3359" s="46">
        <f>IFERROR(TRANSACTIONS!$F3359+TRANSACTIONS!$G3359,"")</f>
        <v>2000</v>
      </c>
      <c r="I3359" s="40" t="s">
        <v>41</v>
      </c>
    </row>
    <row r="3360" spans="1:10" x14ac:dyDescent="0.25">
      <c r="A3360" s="81">
        <v>45363.708629050925</v>
      </c>
      <c r="B3360" s="48">
        <f>IF(A3359&lt;&gt;"",DATE(YEAR(TRANSACTIONS!$A3359),MONTH(TRANSACTIONS!$A3359),DAY(TRANSACTIONS!$A3359)),"")</f>
        <v>45363</v>
      </c>
      <c r="C3360" s="49">
        <f>IF(A3359&lt;&gt;"",TIME(HOUR(TRANSACTIONS!$A3359),MINUTE(TRANSACTIONS!$A3359),SECOND(TRANSACTIONS!$A3359)),"")</f>
        <v>0.70862268518518512</v>
      </c>
      <c r="D3360" s="82" t="s">
        <v>25</v>
      </c>
      <c r="E3360" s="82" t="s">
        <v>7</v>
      </c>
      <c r="F3360" s="85">
        <v>35000</v>
      </c>
      <c r="G3360" s="46"/>
      <c r="H3360" s="46">
        <f>IFERROR(TRANSACTIONS!$F3360+TRANSACTIONS!$G3360,"")</f>
        <v>35000</v>
      </c>
      <c r="I3360" s="40" t="s">
        <v>41</v>
      </c>
    </row>
    <row r="3361" spans="1:11" x14ac:dyDescent="0.25">
      <c r="A3361" s="41">
        <v>45363.708647916668</v>
      </c>
      <c r="B3361" s="83">
        <f>IF(A3360&lt;&gt;"",DATE(YEAR(TRANSACTIONS!$A3360),MONTH(TRANSACTIONS!$A3360),DAY(TRANSACTIONS!$A3360)),"")</f>
        <v>45363</v>
      </c>
      <c r="C3361" s="84">
        <f>IF(A3360&lt;&gt;"",TIME(HOUR(TRANSACTIONS!$A3360),MINUTE(TRANSACTIONS!$A3360),SECOND(TRANSACTIONS!$A3360)),"")</f>
        <v>0.70863425925925927</v>
      </c>
      <c r="D3361" s="82" t="s">
        <v>25</v>
      </c>
      <c r="E3361" s="82" t="s">
        <v>7</v>
      </c>
      <c r="F3361" s="85">
        <v>2000</v>
      </c>
      <c r="G3361" s="86"/>
      <c r="H3361" s="86">
        <f>IFERROR(TRANSACTIONS!$F3361+TRANSACTIONS!$G3361,"")</f>
        <v>2000</v>
      </c>
      <c r="I3361" s="88" t="s">
        <v>41</v>
      </c>
      <c r="K3361" s="40" t="s">
        <v>73</v>
      </c>
    </row>
    <row r="3362" spans="1:11" x14ac:dyDescent="0.25">
      <c r="A3362" s="41">
        <v>45363.708659143522</v>
      </c>
      <c r="B3362" s="48">
        <f>IF(A3361&lt;&gt;"",DATE(YEAR(TRANSACTIONS!$A3361),MONTH(TRANSACTIONS!$A3361),DAY(TRANSACTIONS!$A3361)),"")</f>
        <v>45363</v>
      </c>
      <c r="C3362" s="49">
        <f>IF(A3361&lt;&gt;"",TIME(HOUR(TRANSACTIONS!$A3361),MINUTE(TRANSACTIONS!$A3361),SECOND(TRANSACTIONS!$A3361)),"")</f>
        <v>0.70864583333333331</v>
      </c>
      <c r="D3362" s="82" t="s">
        <v>25</v>
      </c>
      <c r="E3362" s="82" t="s">
        <v>7</v>
      </c>
      <c r="F3362" s="85">
        <v>5000</v>
      </c>
      <c r="G3362" s="46"/>
      <c r="H3362" s="46">
        <f>IFERROR(TRANSACTIONS!$F3362+TRANSACTIONS!$G3362,"")</f>
        <v>5000</v>
      </c>
      <c r="I3362" s="40" t="s">
        <v>41</v>
      </c>
    </row>
    <row r="3363" spans="1:11" x14ac:dyDescent="0.25">
      <c r="A3363" s="90">
        <v>45363.708667013889</v>
      </c>
      <c r="B3363" s="48">
        <f>IF(A3362&lt;&gt;"",DATE(YEAR(TRANSACTIONS!$A3362),MONTH(TRANSACTIONS!$A3362),DAY(TRANSACTIONS!$A3362)),"")</f>
        <v>45363</v>
      </c>
      <c r="C3363" s="49">
        <f>IF(A3362&lt;&gt;"",TIME(HOUR(TRANSACTIONS!$A3362),MINUTE(TRANSACTIONS!$A3362),SECOND(TRANSACTIONS!$A3362)),"")</f>
        <v>0.70865740740740746</v>
      </c>
      <c r="D3363" s="82" t="s">
        <v>25</v>
      </c>
      <c r="E3363" s="82" t="s">
        <v>6</v>
      </c>
      <c r="F3363" s="85">
        <v>500</v>
      </c>
      <c r="G3363" s="46"/>
      <c r="H3363" s="46">
        <f>IFERROR(TRANSACTIONS!$F3363+TRANSACTIONS!$G3363,"")</f>
        <v>500</v>
      </c>
      <c r="I3363" s="40" t="s">
        <v>41</v>
      </c>
    </row>
    <row r="3364" spans="1:11" x14ac:dyDescent="0.25">
      <c r="A3364" s="113">
        <v>45363.708674652778</v>
      </c>
      <c r="B3364" s="91">
        <f>IF(A3363&lt;&gt;"",DATE(YEAR(TRANSACTIONS!$A3363),MONTH(TRANSACTIONS!$A3363),DAY(TRANSACTIONS!$A3363)),"")</f>
        <v>45363</v>
      </c>
      <c r="C3364" s="92">
        <f>IF(A3363&lt;&gt;"",TIME(HOUR(TRANSACTIONS!$A3363),MINUTE(TRANSACTIONS!$A3363),SECOND(TRANSACTIONS!$A3363)),"")</f>
        <v>0.70866898148148139</v>
      </c>
      <c r="D3364" s="93" t="s">
        <v>25</v>
      </c>
      <c r="E3364" s="93" t="s">
        <v>7</v>
      </c>
      <c r="F3364" s="94">
        <v>6000</v>
      </c>
      <c r="G3364" s="95"/>
      <c r="H3364" s="95">
        <f>IFERROR(TRANSACTIONS!$F3364+TRANSACTIONS!$G3364,"")</f>
        <v>6000</v>
      </c>
      <c r="I3364" s="112" t="s">
        <v>41</v>
      </c>
    </row>
    <row r="3365" spans="1:11" x14ac:dyDescent="0.25">
      <c r="A3365" s="41">
        <v>45363.708682638891</v>
      </c>
      <c r="B3365" s="114">
        <f>IF(A3364&lt;&gt;"",DATE(YEAR(TRANSACTIONS!$A3364),MONTH(TRANSACTIONS!$A3364),DAY(TRANSACTIONS!$A3364)),"")</f>
        <v>45363</v>
      </c>
      <c r="C3365" s="115">
        <f>IF(A3364&lt;&gt;"",TIME(HOUR(TRANSACTIONS!$A3364),MINUTE(TRANSACTIONS!$A3364),SECOND(TRANSACTIONS!$A3364)),"")</f>
        <v>0.70866898148148139</v>
      </c>
      <c r="D3365" s="82" t="s">
        <v>62</v>
      </c>
      <c r="E3365" s="82" t="s">
        <v>6</v>
      </c>
      <c r="F3365" s="85">
        <v>72000</v>
      </c>
      <c r="G3365" s="117"/>
      <c r="H3365" s="117">
        <f>IFERROR(TRANSACTIONS!$F3365+TRANSACTIONS!$G3365,"")</f>
        <v>72000</v>
      </c>
      <c r="I3365" s="118" t="s">
        <v>41</v>
      </c>
    </row>
    <row r="3366" spans="1:11" x14ac:dyDescent="0.25">
      <c r="A3366" s="41">
        <v>45363.709787962965</v>
      </c>
      <c r="B3366" s="48">
        <f>IF(A3365&lt;&gt;"",DATE(YEAR(TRANSACTIONS!$A3365),MONTH(TRANSACTIONS!$A3365),DAY(TRANSACTIONS!$A3365)),"")</f>
        <v>45363</v>
      </c>
      <c r="C3366" s="49">
        <f>IF(A3365&lt;&gt;"",TIME(HOUR(TRANSACTIONS!$A3365),MINUTE(TRANSACTIONS!$A3365),SECOND(TRANSACTIONS!$A3365)),"")</f>
        <v>0.70868055555555554</v>
      </c>
      <c r="D3366" s="82" t="s">
        <v>62</v>
      </c>
      <c r="E3366" s="82" t="s">
        <v>7</v>
      </c>
      <c r="F3366" s="85">
        <v>2000</v>
      </c>
      <c r="G3366" s="46"/>
      <c r="H3366" s="46">
        <f>IFERROR(TRANSACTIONS!$F3366+TRANSACTIONS!$G3366,"")</f>
        <v>2000</v>
      </c>
      <c r="I3366" s="40" t="s">
        <v>41</v>
      </c>
    </row>
    <row r="3367" spans="1:11" x14ac:dyDescent="0.25">
      <c r="A3367" s="41">
        <v>45363.709845254627</v>
      </c>
      <c r="B3367" s="48">
        <f>IF(A3366&lt;&gt;"",DATE(YEAR(TRANSACTIONS!$A3366),MONTH(TRANSACTIONS!$A3366),DAY(TRANSACTIONS!$A3366)),"")</f>
        <v>45363</v>
      </c>
      <c r="C3367" s="49">
        <f>IF(A3366&lt;&gt;"",TIME(HOUR(TRANSACTIONS!$A3366),MINUTE(TRANSACTIONS!$A3366),SECOND(TRANSACTIONS!$A3366)),"")</f>
        <v>0.70979166666666671</v>
      </c>
      <c r="D3367" s="82" t="s">
        <v>62</v>
      </c>
      <c r="E3367" s="82" t="s">
        <v>7</v>
      </c>
      <c r="F3367" s="85">
        <v>3000</v>
      </c>
      <c r="G3367" s="46"/>
      <c r="H3367" s="46">
        <f>IFERROR(TRANSACTIONS!$F3367+TRANSACTIONS!$G3367,"")</f>
        <v>3000</v>
      </c>
      <c r="I3367" s="40" t="s">
        <v>41</v>
      </c>
    </row>
    <row r="3368" spans="1:11" x14ac:dyDescent="0.25">
      <c r="A3368" s="41">
        <v>45363.709856250003</v>
      </c>
      <c r="B3368" s="48">
        <f>IF(A3367&lt;&gt;"",DATE(YEAR(TRANSACTIONS!$A3367),MONTH(TRANSACTIONS!$A3367),DAY(TRANSACTIONS!$A3367)),"")</f>
        <v>45363</v>
      </c>
      <c r="C3368" s="49">
        <f>IF(A3367&lt;&gt;"",TIME(HOUR(TRANSACTIONS!$A3367),MINUTE(TRANSACTIONS!$A3367),SECOND(TRANSACTIONS!$A3367)),"")</f>
        <v>0.70984953703703713</v>
      </c>
      <c r="D3368" s="82" t="s">
        <v>62</v>
      </c>
      <c r="E3368" s="82" t="s">
        <v>7</v>
      </c>
      <c r="F3368" s="85">
        <v>7000</v>
      </c>
      <c r="G3368" s="46"/>
      <c r="H3368" s="46">
        <f>IFERROR(TRANSACTIONS!$F3368+TRANSACTIONS!$G3368,"")</f>
        <v>7000</v>
      </c>
      <c r="I3368" s="40" t="s">
        <v>41</v>
      </c>
    </row>
    <row r="3369" spans="1:11" x14ac:dyDescent="0.25">
      <c r="A3369" s="41">
        <v>45363.709869444443</v>
      </c>
      <c r="B3369" s="48">
        <f>IF(A3368&lt;&gt;"",DATE(YEAR(TRANSACTIONS!$A3368),MONTH(TRANSACTIONS!$A3368),DAY(TRANSACTIONS!$A3368)),"")</f>
        <v>45363</v>
      </c>
      <c r="C3369" s="49">
        <f>IF(A3368&lt;&gt;"",TIME(HOUR(TRANSACTIONS!$A3368),MINUTE(TRANSACTIONS!$A3368),SECOND(TRANSACTIONS!$A3368)),"")</f>
        <v>0.70986111111111105</v>
      </c>
      <c r="D3369" s="82" t="s">
        <v>25</v>
      </c>
      <c r="E3369" s="82" t="s">
        <v>6</v>
      </c>
      <c r="F3369" s="85">
        <v>75000</v>
      </c>
      <c r="G3369" s="46"/>
      <c r="H3369" s="46">
        <f>IFERROR(TRANSACTIONS!$F3369+TRANSACTIONS!$G3369,"")</f>
        <v>75000</v>
      </c>
      <c r="I3369" s="40" t="s">
        <v>41</v>
      </c>
    </row>
    <row r="3370" spans="1:11" x14ac:dyDescent="0.25">
      <c r="A3370" s="41">
        <v>45363.709877430556</v>
      </c>
      <c r="B3370" s="48">
        <f>IF(A3369&lt;&gt;"",DATE(YEAR(TRANSACTIONS!$A3369),MONTH(TRANSACTIONS!$A3369),DAY(TRANSACTIONS!$A3369)),"")</f>
        <v>45363</v>
      </c>
      <c r="C3370" s="49">
        <f>IF(A3369&lt;&gt;"",TIME(HOUR(TRANSACTIONS!$A3369),MINUTE(TRANSACTIONS!$A3369),SECOND(TRANSACTIONS!$A3369)),"")</f>
        <v>0.7098726851851852</v>
      </c>
      <c r="D3370" s="82" t="s">
        <v>62</v>
      </c>
      <c r="E3370" s="82" t="s">
        <v>7</v>
      </c>
      <c r="F3370" s="85">
        <v>35000</v>
      </c>
      <c r="G3370" s="46"/>
      <c r="H3370" s="46">
        <f>IFERROR(TRANSACTIONS!$F3370+TRANSACTIONS!$G3370,"")</f>
        <v>35000</v>
      </c>
      <c r="I3370" s="40" t="s">
        <v>41</v>
      </c>
    </row>
    <row r="3371" spans="1:11" x14ac:dyDescent="0.25">
      <c r="A3371" s="41"/>
      <c r="B3371" s="48">
        <f>IF(A3370&lt;&gt;"",DATE(YEAR(TRANSACTIONS!$A3370),MONTH(TRANSACTIONS!$A3370),DAY(TRANSACTIONS!$A3370)),"")</f>
        <v>45363</v>
      </c>
      <c r="C3371" s="49">
        <f>IF(A3370&lt;&gt;"",TIME(HOUR(TRANSACTIONS!$A3370),MINUTE(TRANSACTIONS!$A3370),SECOND(TRANSACTIONS!$A3370)),"")</f>
        <v>0.7098726851851852</v>
      </c>
      <c r="D3371" s="82"/>
      <c r="E3371" s="82"/>
      <c r="F3371" s="85"/>
      <c r="G3371" s="46"/>
      <c r="H3371" s="46">
        <f>IFERROR(TRANSACTIONS!$F3371+TRANSACTIONS!$G3371,"")</f>
        <v>0</v>
      </c>
      <c r="I3371" s="40" t="s">
        <v>41</v>
      </c>
    </row>
    <row r="3372" spans="1:11" x14ac:dyDescent="0.25">
      <c r="A3372" s="41">
        <v>45364.427327777776</v>
      </c>
      <c r="B3372" s="48" t="str">
        <f>IF(A3371&lt;&gt;"",DATE(YEAR(TRANSACTIONS!$A3371),MONTH(TRANSACTIONS!$A3371),DAY(TRANSACTIONS!$A3371)),"")</f>
        <v/>
      </c>
      <c r="C3372" s="49" t="str">
        <f>IF(A3371&lt;&gt;"",TIME(HOUR(TRANSACTIONS!$A3371),MINUTE(TRANSACTIONS!$A3371),SECOND(TRANSACTIONS!$A3371)),"")</f>
        <v/>
      </c>
      <c r="D3372" s="82"/>
      <c r="E3372" s="82"/>
      <c r="F3372" s="85"/>
      <c r="G3372" s="46"/>
      <c r="H3372" s="46">
        <f>IFERROR(TRANSACTIONS!$F3372+TRANSACTIONS!$G3372,"")</f>
        <v>0</v>
      </c>
      <c r="I3372" s="40" t="s">
        <v>41</v>
      </c>
    </row>
    <row r="3373" spans="1:11" x14ac:dyDescent="0.25">
      <c r="A3373" s="41">
        <v>45364.427742361113</v>
      </c>
      <c r="B3373" s="48">
        <f>IF(A3372&lt;&gt;"",DATE(YEAR(TRANSACTIONS!$A3372),MONTH(TRANSACTIONS!$A3372),DAY(TRANSACTIONS!$A3372)),"")</f>
        <v>45364</v>
      </c>
      <c r="C3373" s="49">
        <f>IF(A3372&lt;&gt;"",TIME(HOUR(TRANSACTIONS!$A3372),MINUTE(TRANSACTIONS!$A3372),SECOND(TRANSACTIONS!$A3372)),"")</f>
        <v>0.42732638888888891</v>
      </c>
      <c r="D3373" s="82" t="s">
        <v>62</v>
      </c>
      <c r="E3373" s="82" t="s">
        <v>6</v>
      </c>
      <c r="F3373" s="85">
        <v>1500</v>
      </c>
      <c r="G3373" s="46"/>
      <c r="H3373" s="46">
        <f>IFERROR(TRANSACTIONS!$F3373+TRANSACTIONS!$G3373,"")</f>
        <v>1500</v>
      </c>
      <c r="I3373" s="40" t="s">
        <v>41</v>
      </c>
    </row>
    <row r="3374" spans="1:11" x14ac:dyDescent="0.25">
      <c r="A3374" s="113">
        <v>45364.427751967596</v>
      </c>
      <c r="B3374" s="48">
        <f>IF(A3373&lt;&gt;"",DATE(YEAR(TRANSACTIONS!$A3373),MONTH(TRANSACTIONS!$A3373),DAY(TRANSACTIONS!$A3373)),"")</f>
        <v>45364</v>
      </c>
      <c r="C3374" s="49">
        <f>IF(A3373&lt;&gt;"",TIME(HOUR(TRANSACTIONS!$A3373),MINUTE(TRANSACTIONS!$A3373),SECOND(TRANSACTIONS!$A3373)),"")</f>
        <v>0.42774305555555553</v>
      </c>
      <c r="D3374" s="82" t="s">
        <v>62</v>
      </c>
      <c r="E3374" s="82" t="s">
        <v>6</v>
      </c>
      <c r="F3374" s="85">
        <v>50000</v>
      </c>
      <c r="G3374" s="46"/>
      <c r="H3374" s="46">
        <f>IFERROR(TRANSACTIONS!$F3374+TRANSACTIONS!$G3374,"")</f>
        <v>50000</v>
      </c>
      <c r="I3374" s="40" t="s">
        <v>41</v>
      </c>
    </row>
    <row r="3375" spans="1:11" x14ac:dyDescent="0.25">
      <c r="A3375" s="41">
        <v>45364.427791087961</v>
      </c>
      <c r="B3375" s="114">
        <f>IF(A3374&lt;&gt;"",DATE(YEAR(TRANSACTIONS!$A3374),MONTH(TRANSACTIONS!$A3374),DAY(TRANSACTIONS!$A3374)),"")</f>
        <v>45364</v>
      </c>
      <c r="C3375" s="115">
        <f>IF(A3374&lt;&gt;"",TIME(HOUR(TRANSACTIONS!$A3374),MINUTE(TRANSACTIONS!$A3374),SECOND(TRANSACTIONS!$A3374)),"")</f>
        <v>0.42775462962962968</v>
      </c>
      <c r="D3375" s="82" t="s">
        <v>62</v>
      </c>
      <c r="E3375" s="82" t="s">
        <v>6</v>
      </c>
      <c r="F3375" s="85">
        <v>30000</v>
      </c>
      <c r="G3375" s="117"/>
      <c r="H3375" s="117">
        <f>IFERROR(TRANSACTIONS!$F3375+TRANSACTIONS!$G3375,"")</f>
        <v>30000</v>
      </c>
      <c r="I3375" s="118" t="s">
        <v>41</v>
      </c>
    </row>
    <row r="3376" spans="1:11" x14ac:dyDescent="0.25">
      <c r="A3376" s="41">
        <v>45364.427799074074</v>
      </c>
      <c r="B3376" s="48">
        <f>IF(A3375&lt;&gt;"",DATE(YEAR(TRANSACTIONS!$A3375),MONTH(TRANSACTIONS!$A3375),DAY(TRANSACTIONS!$A3375)),"")</f>
        <v>45364</v>
      </c>
      <c r="C3376" s="49">
        <f>IF(A3375&lt;&gt;"",TIME(HOUR(TRANSACTIONS!$A3375),MINUTE(TRANSACTIONS!$A3375),SECOND(TRANSACTIONS!$A3375)),"")</f>
        <v>0.42778935185185185</v>
      </c>
      <c r="D3376" s="82" t="s">
        <v>62</v>
      </c>
      <c r="E3376" s="82" t="s">
        <v>6</v>
      </c>
      <c r="F3376" s="85">
        <v>1500</v>
      </c>
      <c r="G3376" s="46"/>
      <c r="H3376" s="46">
        <f>IFERROR(TRANSACTIONS!$F3376+TRANSACTIONS!$G3376,"")</f>
        <v>1500</v>
      </c>
      <c r="I3376" s="40" t="s">
        <v>41</v>
      </c>
    </row>
    <row r="3377" spans="1:10" x14ac:dyDescent="0.25">
      <c r="A3377" s="41">
        <v>45364.427806597225</v>
      </c>
      <c r="B3377" s="48">
        <f>IF(A3376&lt;&gt;"",DATE(YEAR(TRANSACTIONS!$A3376),MONTH(TRANSACTIONS!$A3376),DAY(TRANSACTIONS!$A3376)),"")</f>
        <v>45364</v>
      </c>
      <c r="C3377" s="49">
        <f>IF(A3376&lt;&gt;"",TIME(HOUR(TRANSACTIONS!$A3376),MINUTE(TRANSACTIONS!$A3376),SECOND(TRANSACTIONS!$A3376)),"")</f>
        <v>0.42780092592592595</v>
      </c>
      <c r="D3377" s="82" t="s">
        <v>62</v>
      </c>
      <c r="E3377" s="82" t="s">
        <v>6</v>
      </c>
      <c r="F3377" s="85">
        <v>4000</v>
      </c>
      <c r="G3377" s="46"/>
      <c r="H3377" s="46">
        <f>IFERROR(TRANSACTIONS!$F3377+TRANSACTIONS!$G3377,"")</f>
        <v>4000</v>
      </c>
      <c r="I3377" s="40" t="s">
        <v>41</v>
      </c>
    </row>
    <row r="3378" spans="1:10" x14ac:dyDescent="0.25">
      <c r="A3378" s="41">
        <v>45364.427813541668</v>
      </c>
      <c r="B3378" s="48">
        <f>IF(A3377&lt;&gt;"",DATE(YEAR(TRANSACTIONS!$A3377),MONTH(TRANSACTIONS!$A3377),DAY(TRANSACTIONS!$A3377)),"")</f>
        <v>45364</v>
      </c>
      <c r="C3378" s="49">
        <f>IF(A3377&lt;&gt;"",TIME(HOUR(TRANSACTIONS!$A3377),MINUTE(TRANSACTIONS!$A3377),SECOND(TRANSACTIONS!$A3377)),"")</f>
        <v>0.42780092592592595</v>
      </c>
      <c r="D3378" s="82" t="s">
        <v>25</v>
      </c>
      <c r="E3378" s="82" t="s">
        <v>6</v>
      </c>
      <c r="F3378" s="85">
        <v>500</v>
      </c>
      <c r="G3378" s="46"/>
      <c r="H3378" s="46">
        <f>IFERROR(TRANSACTIONS!$F3378+TRANSACTIONS!$G3378,"")</f>
        <v>500</v>
      </c>
      <c r="I3378" s="40" t="s">
        <v>41</v>
      </c>
    </row>
    <row r="3379" spans="1:10" x14ac:dyDescent="0.25">
      <c r="A3379" s="41">
        <v>45364.42782060185</v>
      </c>
      <c r="B3379" s="48">
        <f>IF(A3378&lt;&gt;"",DATE(YEAR(TRANSACTIONS!$A3378),MONTH(TRANSACTIONS!$A3378),DAY(TRANSACTIONS!$A3378)),"")</f>
        <v>45364</v>
      </c>
      <c r="C3379" s="49">
        <f>IF(A3378&lt;&gt;"",TIME(HOUR(TRANSACTIONS!$A3378),MINUTE(TRANSACTIONS!$A3378),SECOND(TRANSACTIONS!$A3378)),"")</f>
        <v>0.42781249999999998</v>
      </c>
      <c r="D3379" s="82" t="s">
        <v>25</v>
      </c>
      <c r="E3379" s="82" t="s">
        <v>7</v>
      </c>
      <c r="F3379" s="85">
        <v>15000</v>
      </c>
      <c r="G3379" s="46"/>
      <c r="H3379" s="46">
        <f>IFERROR(TRANSACTIONS!$F3379+TRANSACTIONS!$G3379,"")</f>
        <v>15000</v>
      </c>
      <c r="I3379" s="40" t="s">
        <v>41</v>
      </c>
    </row>
    <row r="3380" spans="1:10" x14ac:dyDescent="0.25">
      <c r="A3380" s="41">
        <v>45364.427833796297</v>
      </c>
      <c r="B3380" s="48">
        <f>IF(A3379&lt;&gt;"",DATE(YEAR(TRANSACTIONS!$A3379),MONTH(TRANSACTIONS!$A3379),DAY(TRANSACTIONS!$A3379)),"")</f>
        <v>45364</v>
      </c>
      <c r="C3380" s="49">
        <f>IF(A3379&lt;&gt;"",TIME(HOUR(TRANSACTIONS!$A3379),MINUTE(TRANSACTIONS!$A3379),SECOND(TRANSACTIONS!$A3379)),"")</f>
        <v>0.42782407407407402</v>
      </c>
      <c r="D3380" s="82" t="s">
        <v>25</v>
      </c>
      <c r="E3380" s="82" t="s">
        <v>7</v>
      </c>
      <c r="F3380" s="85">
        <v>5000</v>
      </c>
      <c r="G3380" s="46"/>
      <c r="H3380" s="46">
        <f>IFERROR(TRANSACTIONS!$F3380+TRANSACTIONS!$G3380,"")</f>
        <v>5000</v>
      </c>
      <c r="I3380" s="40" t="s">
        <v>41</v>
      </c>
    </row>
    <row r="3381" spans="1:10" x14ac:dyDescent="0.25">
      <c r="A3381" s="41">
        <v>45364.427841203702</v>
      </c>
      <c r="B3381" s="83">
        <f>IF(A3380&lt;&gt;"",DATE(YEAR(TRANSACTIONS!$A3380),MONTH(TRANSACTIONS!$A3380),DAY(TRANSACTIONS!$A3380)),"")</f>
        <v>45364</v>
      </c>
      <c r="C3381" s="84">
        <f>IF(A3380&lt;&gt;"",TIME(HOUR(TRANSACTIONS!$A3380),MINUTE(TRANSACTIONS!$A3380),SECOND(TRANSACTIONS!$A3380)),"")</f>
        <v>0.42783564814814817</v>
      </c>
      <c r="D3381" s="82" t="s">
        <v>25</v>
      </c>
      <c r="E3381" s="82" t="s">
        <v>6</v>
      </c>
      <c r="F3381" s="85">
        <v>37300</v>
      </c>
      <c r="G3381" s="86"/>
      <c r="H3381" s="86">
        <f>IFERROR(TRANSACTIONS!$F3381+TRANSACTIONS!$G3381,"")</f>
        <v>37300</v>
      </c>
      <c r="I3381" s="88" t="s">
        <v>41</v>
      </c>
      <c r="J3381" s="88"/>
    </row>
    <row r="3382" spans="1:10" x14ac:dyDescent="0.25">
      <c r="A3382" s="41">
        <v>45364.428313657409</v>
      </c>
      <c r="B3382" s="83">
        <f>IF(A3381&lt;&gt;"",DATE(YEAR(TRANSACTIONS!$A3381),MONTH(TRANSACTIONS!$A3381),DAY(TRANSACTIONS!$A3381)),"")</f>
        <v>45364</v>
      </c>
      <c r="C3382" s="84">
        <f>IF(A3381&lt;&gt;"",TIME(HOUR(TRANSACTIONS!$A3381),MINUTE(TRANSACTIONS!$A3381),SECOND(TRANSACTIONS!$A3381)),"")</f>
        <v>0.42783564814814817</v>
      </c>
      <c r="D3382" s="82" t="s">
        <v>25</v>
      </c>
      <c r="E3382" s="82" t="s">
        <v>6</v>
      </c>
      <c r="F3382" s="85">
        <v>1000</v>
      </c>
      <c r="G3382" s="86"/>
      <c r="H3382" s="86">
        <f>IFERROR(TRANSACTIONS!$F3382+TRANSACTIONS!$G3382,"")</f>
        <v>1000</v>
      </c>
      <c r="I3382" s="88" t="s">
        <v>41</v>
      </c>
      <c r="J3382" s="88"/>
    </row>
    <row r="3383" spans="1:10" x14ac:dyDescent="0.25">
      <c r="A3383" s="41">
        <v>45364.428316666665</v>
      </c>
      <c r="B3383" s="83">
        <f>IF(A3382&lt;&gt;"",DATE(YEAR(TRANSACTIONS!$A3382),MONTH(TRANSACTIONS!$A3382),DAY(TRANSACTIONS!$A3382)),"")</f>
        <v>45364</v>
      </c>
      <c r="C3383" s="84">
        <f>IF(A3382&lt;&gt;"",TIME(HOUR(TRANSACTIONS!$A3382),MINUTE(TRANSACTIONS!$A3382),SECOND(TRANSACTIONS!$A3382)),"")</f>
        <v>0.42831018518518515</v>
      </c>
      <c r="D3383" s="82" t="s">
        <v>62</v>
      </c>
      <c r="E3383" s="82" t="s">
        <v>7</v>
      </c>
      <c r="F3383" s="85">
        <v>70000</v>
      </c>
      <c r="G3383" s="86"/>
      <c r="H3383" s="86">
        <f>IFERROR(TRANSACTIONS!$F3383+TRANSACTIONS!$G3383,"")</f>
        <v>70000</v>
      </c>
      <c r="I3383" s="88" t="s">
        <v>41</v>
      </c>
      <c r="J3383" s="88"/>
    </row>
    <row r="3384" spans="1:10" x14ac:dyDescent="0.25">
      <c r="A3384" s="41">
        <v>45364.431711458332</v>
      </c>
      <c r="B3384" s="83">
        <f>IF(A3383&lt;&gt;"",DATE(YEAR(TRANSACTIONS!$A3383),MONTH(TRANSACTIONS!$A3383),DAY(TRANSACTIONS!$A3383)),"")</f>
        <v>45364</v>
      </c>
      <c r="C3384" s="84">
        <f>IF(A3383&lt;&gt;"",TIME(HOUR(TRANSACTIONS!$A3383),MINUTE(TRANSACTIONS!$A3383),SECOND(TRANSACTIONS!$A3383)),"")</f>
        <v>0.42832175925925925</v>
      </c>
      <c r="D3384" s="82" t="s">
        <v>62</v>
      </c>
      <c r="E3384" s="82" t="s">
        <v>7</v>
      </c>
      <c r="F3384" s="85">
        <v>7000</v>
      </c>
      <c r="G3384" s="86"/>
      <c r="H3384" s="86">
        <f>IFERROR(TRANSACTIONS!$F3384+TRANSACTIONS!$G3384,"")</f>
        <v>7000</v>
      </c>
      <c r="I3384" s="88" t="s">
        <v>41</v>
      </c>
      <c r="J3384" s="88"/>
    </row>
    <row r="3385" spans="1:10" x14ac:dyDescent="0.25">
      <c r="A3385" s="41">
        <v>45364.527907986114</v>
      </c>
      <c r="B3385" s="83">
        <f>IF(A3384&lt;&gt;"",DATE(YEAR(TRANSACTIONS!$A3384),MONTH(TRANSACTIONS!$A3384),DAY(TRANSACTIONS!$A3384)),"")</f>
        <v>45364</v>
      </c>
      <c r="C3385" s="84">
        <f>IF(A3384&lt;&gt;"",TIME(HOUR(TRANSACTIONS!$A3384),MINUTE(TRANSACTIONS!$A3384),SECOND(TRANSACTIONS!$A3384)),"")</f>
        <v>0.43171296296296297</v>
      </c>
      <c r="D3385" s="82" t="s">
        <v>62</v>
      </c>
      <c r="E3385" s="82" t="s">
        <v>7</v>
      </c>
      <c r="F3385" s="85">
        <v>2000</v>
      </c>
      <c r="G3385" s="86"/>
      <c r="H3385" s="86">
        <f>IFERROR(TRANSACTIONS!$F3385+TRANSACTIONS!$G3385,"")</f>
        <v>2000</v>
      </c>
      <c r="I3385" s="88" t="s">
        <v>41</v>
      </c>
      <c r="J3385" s="88"/>
    </row>
    <row r="3386" spans="1:10" x14ac:dyDescent="0.25">
      <c r="A3386" s="41">
        <v>45364.527915393519</v>
      </c>
      <c r="B3386" s="48">
        <f>IF(A3385&lt;&gt;"",DATE(YEAR(TRANSACTIONS!$A3385),MONTH(TRANSACTIONS!$A3385),DAY(TRANSACTIONS!$A3385)),"")</f>
        <v>45364</v>
      </c>
      <c r="C3386" s="49">
        <f>IF(A3385&lt;&gt;"",TIME(HOUR(TRANSACTIONS!$A3385),MINUTE(TRANSACTIONS!$A3385),SECOND(TRANSACTIONS!$A3385)),"")</f>
        <v>0.52790509259259266</v>
      </c>
      <c r="D3386" s="82" t="s">
        <v>62</v>
      </c>
      <c r="E3386" s="82" t="s">
        <v>6</v>
      </c>
      <c r="F3386" s="85">
        <v>7500</v>
      </c>
      <c r="G3386" s="46"/>
      <c r="H3386" s="46">
        <f>IFERROR(TRANSACTIONS!$F3386+TRANSACTIONS!$G3386,"")</f>
        <v>7500</v>
      </c>
      <c r="I3386" s="40" t="s">
        <v>41</v>
      </c>
    </row>
    <row r="3387" spans="1:10" x14ac:dyDescent="0.25">
      <c r="A3387" s="41">
        <v>45364.527943287037</v>
      </c>
      <c r="B3387" s="48">
        <f>IF(A3386&lt;&gt;"",DATE(YEAR(TRANSACTIONS!$A3386),MONTH(TRANSACTIONS!$A3386),DAY(TRANSACTIONS!$A3386)),"")</f>
        <v>45364</v>
      </c>
      <c r="C3387" s="49">
        <f>IF(A3386&lt;&gt;"",TIME(HOUR(TRANSACTIONS!$A3386),MINUTE(TRANSACTIONS!$A3386),SECOND(TRANSACTIONS!$A3386)),"")</f>
        <v>0.5279166666666667</v>
      </c>
      <c r="D3387" s="82" t="s">
        <v>62</v>
      </c>
      <c r="E3387" s="82" t="s">
        <v>7</v>
      </c>
      <c r="F3387" s="85">
        <v>5000</v>
      </c>
      <c r="G3387" s="46"/>
      <c r="H3387" s="46">
        <f>IFERROR(TRANSACTIONS!$F3387+TRANSACTIONS!$G3387,"")</f>
        <v>5000</v>
      </c>
      <c r="I3387" s="40" t="s">
        <v>41</v>
      </c>
    </row>
    <row r="3388" spans="1:10" x14ac:dyDescent="0.25">
      <c r="A3388" s="41">
        <v>45364.527965624999</v>
      </c>
      <c r="B3388" s="48">
        <f>IF(A3387&lt;&gt;"",DATE(YEAR(TRANSACTIONS!$A3387),MONTH(TRANSACTIONS!$A3387),DAY(TRANSACTIONS!$A3387)),"")</f>
        <v>45364</v>
      </c>
      <c r="C3388" s="49">
        <f>IF(A3387&lt;&gt;"",TIME(HOUR(TRANSACTIONS!$A3387),MINUTE(TRANSACTIONS!$A3387),SECOND(TRANSACTIONS!$A3387)),"")</f>
        <v>0.52793981481481478</v>
      </c>
      <c r="D3388" s="82" t="s">
        <v>62</v>
      </c>
      <c r="E3388" s="82" t="s">
        <v>6</v>
      </c>
      <c r="F3388" s="85">
        <v>8000</v>
      </c>
      <c r="G3388" s="46"/>
      <c r="H3388" s="46">
        <f>IFERROR(TRANSACTIONS!$F3388+TRANSACTIONS!$G3388,"")</f>
        <v>8000</v>
      </c>
      <c r="I3388" s="40" t="s">
        <v>41</v>
      </c>
    </row>
    <row r="3389" spans="1:10" x14ac:dyDescent="0.25">
      <c r="A3389" s="41">
        <v>45364.529253125002</v>
      </c>
      <c r="B3389" s="48">
        <f>IF(A3388&lt;&gt;"",DATE(YEAR(TRANSACTIONS!$A3388),MONTH(TRANSACTIONS!$A3388),DAY(TRANSACTIONS!$A3388)),"")</f>
        <v>45364</v>
      </c>
      <c r="C3389" s="49">
        <f>IF(A3388&lt;&gt;"",TIME(HOUR(TRANSACTIONS!$A3388),MINUTE(TRANSACTIONS!$A3388),SECOND(TRANSACTIONS!$A3388)),"")</f>
        <v>0.52796296296296297</v>
      </c>
      <c r="D3389" s="82" t="s">
        <v>62</v>
      </c>
      <c r="E3389" s="82" t="s">
        <v>7</v>
      </c>
      <c r="F3389" s="85">
        <v>100000</v>
      </c>
      <c r="G3389" s="46"/>
      <c r="H3389" s="46">
        <f>IFERROR(TRANSACTIONS!$F3389+TRANSACTIONS!$G3389,"")</f>
        <v>100000</v>
      </c>
      <c r="I3389" s="40" t="s">
        <v>41</v>
      </c>
    </row>
    <row r="3390" spans="1:10" x14ac:dyDescent="0.25">
      <c r="A3390" s="41">
        <v>45364.529256828704</v>
      </c>
      <c r="B3390" s="48">
        <f>IF(A3389&lt;&gt;"",DATE(YEAR(TRANSACTIONS!$A3389),MONTH(TRANSACTIONS!$A3389),DAY(TRANSACTIONS!$A3389)),"")</f>
        <v>45364</v>
      </c>
      <c r="C3390" s="49">
        <f>IF(A3389&lt;&gt;"",TIME(HOUR(TRANSACTIONS!$A3389),MINUTE(TRANSACTIONS!$A3389),SECOND(TRANSACTIONS!$A3389)),"")</f>
        <v>0.52924768518518517</v>
      </c>
      <c r="D3390" s="82" t="s">
        <v>62</v>
      </c>
      <c r="E3390" s="82" t="s">
        <v>6</v>
      </c>
      <c r="F3390" s="85">
        <v>500</v>
      </c>
      <c r="G3390" s="46"/>
      <c r="H3390" s="46">
        <f>IFERROR(TRANSACTIONS!$F3390+TRANSACTIONS!$G3390,"")</f>
        <v>500</v>
      </c>
      <c r="I3390" s="40" t="s">
        <v>41</v>
      </c>
    </row>
    <row r="3391" spans="1:10" x14ac:dyDescent="0.25">
      <c r="A3391" s="41">
        <v>45364.529285879631</v>
      </c>
      <c r="B3391" s="48">
        <f>IF(A3390&lt;&gt;"",DATE(YEAR(TRANSACTIONS!$A3390),MONTH(TRANSACTIONS!$A3390),DAY(TRANSACTIONS!$A3390)),"")</f>
        <v>45364</v>
      </c>
      <c r="C3391" s="49">
        <f>IF(A3390&lt;&gt;"",TIME(HOUR(TRANSACTIONS!$A3390),MINUTE(TRANSACTIONS!$A3390),SECOND(TRANSACTIONS!$A3390)),"")</f>
        <v>0.52925925925925921</v>
      </c>
      <c r="D3391" s="82" t="s">
        <v>62</v>
      </c>
      <c r="E3391" s="82" t="s">
        <v>6</v>
      </c>
      <c r="F3391" s="85">
        <v>3050</v>
      </c>
      <c r="G3391" s="46"/>
      <c r="H3391" s="46">
        <f>IFERROR(TRANSACTIONS!$F3391+TRANSACTIONS!$G3391,"")</f>
        <v>3050</v>
      </c>
      <c r="I3391" s="40" t="s">
        <v>41</v>
      </c>
    </row>
    <row r="3392" spans="1:10" x14ac:dyDescent="0.25">
      <c r="A3392" s="41">
        <v>45364.529294907406</v>
      </c>
      <c r="B3392" s="48">
        <f>IF(A3391&lt;&gt;"",DATE(YEAR(TRANSACTIONS!$A3391),MONTH(TRANSACTIONS!$A3391),DAY(TRANSACTIONS!$A3391)),"")</f>
        <v>45364</v>
      </c>
      <c r="C3392" s="49">
        <f>IF(A3391&lt;&gt;"",TIME(HOUR(TRANSACTIONS!$A3391),MINUTE(TRANSACTIONS!$A3391),SECOND(TRANSACTIONS!$A3391)),"")</f>
        <v>0.5292824074074074</v>
      </c>
      <c r="D3392" s="82" t="s">
        <v>64</v>
      </c>
      <c r="E3392" s="82" t="s">
        <v>6</v>
      </c>
      <c r="F3392" s="85">
        <v>1000</v>
      </c>
      <c r="G3392" s="46"/>
      <c r="H3392" s="46">
        <f>IFERROR(TRANSACTIONS!$F3392+TRANSACTIONS!$G3392,"")</f>
        <v>1000</v>
      </c>
      <c r="I3392" s="40" t="s">
        <v>41</v>
      </c>
    </row>
    <row r="3393" spans="1:9" x14ac:dyDescent="0.25">
      <c r="A3393" s="41">
        <v>45364.529305671298</v>
      </c>
      <c r="B3393" s="48">
        <f>IF(A3392&lt;&gt;"",DATE(YEAR(TRANSACTIONS!$A3392),MONTH(TRANSACTIONS!$A3392),DAY(TRANSACTIONS!$A3392)),"")</f>
        <v>45364</v>
      </c>
      <c r="C3393" s="49">
        <f>IF(A3392&lt;&gt;"",TIME(HOUR(TRANSACTIONS!$A3392),MINUTE(TRANSACTIONS!$A3392),SECOND(TRANSACTIONS!$A3392)),"")</f>
        <v>0.52929398148148155</v>
      </c>
      <c r="D3393" s="82" t="s">
        <v>62</v>
      </c>
      <c r="E3393" s="82" t="s">
        <v>6</v>
      </c>
      <c r="F3393" s="85">
        <v>5500</v>
      </c>
      <c r="G3393" s="46"/>
      <c r="H3393" s="46">
        <f>IFERROR(TRANSACTIONS!$F3393+TRANSACTIONS!$G3393,"")</f>
        <v>5500</v>
      </c>
      <c r="I3393" s="40" t="s">
        <v>41</v>
      </c>
    </row>
    <row r="3394" spans="1:9" x14ac:dyDescent="0.25">
      <c r="A3394" s="41">
        <v>45364.529318981484</v>
      </c>
      <c r="B3394" s="48">
        <f>IF(A3393&lt;&gt;"",DATE(YEAR(TRANSACTIONS!$A3393),MONTH(TRANSACTIONS!$A3393),DAY(TRANSACTIONS!$A3393)),"")</f>
        <v>45364</v>
      </c>
      <c r="C3394" s="49">
        <f>IF(A3393&lt;&gt;"",TIME(HOUR(TRANSACTIONS!$A3393),MINUTE(TRANSACTIONS!$A3393),SECOND(TRANSACTIONS!$A3393)),"")</f>
        <v>0.52930555555555558</v>
      </c>
      <c r="D3394" s="82" t="s">
        <v>62</v>
      </c>
      <c r="E3394" s="82" t="s">
        <v>7</v>
      </c>
      <c r="F3394" s="85">
        <v>1000</v>
      </c>
      <c r="G3394" s="46"/>
      <c r="H3394" s="46">
        <f>IFERROR(TRANSACTIONS!$F3394+TRANSACTIONS!$G3394,"")</f>
        <v>1000</v>
      </c>
      <c r="I3394" s="40" t="s">
        <v>41</v>
      </c>
    </row>
    <row r="3395" spans="1:9" x14ac:dyDescent="0.25">
      <c r="A3395" s="41">
        <v>45364.529326504628</v>
      </c>
      <c r="B3395" s="48">
        <f>IF(A3394&lt;&gt;"",DATE(YEAR(TRANSACTIONS!$A3394),MONTH(TRANSACTIONS!$A3394),DAY(TRANSACTIONS!$A3394)),"")</f>
        <v>45364</v>
      </c>
      <c r="C3395" s="49">
        <f>IF(A3394&lt;&gt;"",TIME(HOUR(TRANSACTIONS!$A3394),MINUTE(TRANSACTIONS!$A3394),SECOND(TRANSACTIONS!$A3394)),"")</f>
        <v>0.52931712962962962</v>
      </c>
      <c r="D3395" s="82" t="s">
        <v>62</v>
      </c>
      <c r="E3395" s="82" t="s">
        <v>6</v>
      </c>
      <c r="F3395" s="85">
        <v>4000</v>
      </c>
      <c r="G3395" s="46"/>
      <c r="H3395" s="46">
        <f>IFERROR(TRANSACTIONS!$F3395+TRANSACTIONS!$G3395,"")</f>
        <v>4000</v>
      </c>
      <c r="I3395" s="40" t="s">
        <v>41</v>
      </c>
    </row>
    <row r="3396" spans="1:9" x14ac:dyDescent="0.25">
      <c r="A3396" s="41">
        <v>45364.52933449074</v>
      </c>
      <c r="B3396" s="48">
        <f>IF(A3395&lt;&gt;"",DATE(YEAR(TRANSACTIONS!$A3395),MONTH(TRANSACTIONS!$A3395),DAY(TRANSACTIONS!$A3395)),"")</f>
        <v>45364</v>
      </c>
      <c r="C3396" s="49">
        <f>IF(A3395&lt;&gt;"",TIME(HOUR(TRANSACTIONS!$A3395),MINUTE(TRANSACTIONS!$A3395),SECOND(TRANSACTIONS!$A3395)),"")</f>
        <v>0.52932870370370366</v>
      </c>
      <c r="D3396" s="82" t="s">
        <v>62</v>
      </c>
      <c r="E3396" s="82" t="s">
        <v>6</v>
      </c>
      <c r="F3396" s="85">
        <v>13000</v>
      </c>
      <c r="G3396" s="46"/>
      <c r="H3396" s="46">
        <f>IFERROR(TRANSACTIONS!$F3396+TRANSACTIONS!$G3396,"")</f>
        <v>13000</v>
      </c>
      <c r="I3396" s="40" t="s">
        <v>41</v>
      </c>
    </row>
    <row r="3397" spans="1:9" x14ac:dyDescent="0.25">
      <c r="A3397" s="41">
        <v>45364.529341435184</v>
      </c>
      <c r="B3397" s="48">
        <f>IF(A3396&lt;&gt;"",DATE(YEAR(TRANSACTIONS!$A3396),MONTH(TRANSACTIONS!$A3396),DAY(TRANSACTIONS!$A3396)),"")</f>
        <v>45364</v>
      </c>
      <c r="C3397" s="49">
        <f>IF(A3396&lt;&gt;"",TIME(HOUR(TRANSACTIONS!$A3396),MINUTE(TRANSACTIONS!$A3396),SECOND(TRANSACTIONS!$A3396)),"")</f>
        <v>0.52932870370370366</v>
      </c>
      <c r="D3397" s="82" t="s">
        <v>62</v>
      </c>
      <c r="E3397" s="82" t="s">
        <v>6</v>
      </c>
      <c r="F3397" s="85">
        <v>20200</v>
      </c>
      <c r="G3397" s="46"/>
      <c r="H3397" s="46">
        <f>IFERROR(TRANSACTIONS!$F3397+TRANSACTIONS!$G3397,"")</f>
        <v>20200</v>
      </c>
      <c r="I3397" s="40" t="s">
        <v>41</v>
      </c>
    </row>
    <row r="3398" spans="1:9" x14ac:dyDescent="0.25">
      <c r="A3398" s="41">
        <v>45364.529348032411</v>
      </c>
      <c r="B3398" s="48">
        <f>IF(A3397&lt;&gt;"",DATE(YEAR(TRANSACTIONS!$A3397),MONTH(TRANSACTIONS!$A3397),DAY(TRANSACTIONS!$A3397)),"")</f>
        <v>45364</v>
      </c>
      <c r="C3398" s="49">
        <f>IF(A3397&lt;&gt;"",TIME(HOUR(TRANSACTIONS!$A3397),MINUTE(TRANSACTIONS!$A3397),SECOND(TRANSACTIONS!$A3397)),"")</f>
        <v>0.52934027777777781</v>
      </c>
      <c r="D3398" s="82" t="s">
        <v>62</v>
      </c>
      <c r="E3398" s="82" t="s">
        <v>7</v>
      </c>
      <c r="F3398" s="85">
        <v>5000</v>
      </c>
      <c r="G3398" s="46"/>
      <c r="H3398" s="46">
        <f>IFERROR(TRANSACTIONS!$F3398+TRANSACTIONS!$G3398,"")</f>
        <v>5000</v>
      </c>
      <c r="I3398" s="40" t="s">
        <v>41</v>
      </c>
    </row>
    <row r="3399" spans="1:9" x14ac:dyDescent="0.25">
      <c r="A3399" s="41">
        <v>45364.529354976854</v>
      </c>
      <c r="B3399" s="48">
        <f>IF(A3398&lt;&gt;"",DATE(YEAR(TRANSACTIONS!$A3398),MONTH(TRANSACTIONS!$A3398),DAY(TRANSACTIONS!$A3398)),"")</f>
        <v>45364</v>
      </c>
      <c r="C3399" s="49">
        <f>IF(A3398&lt;&gt;"",TIME(HOUR(TRANSACTIONS!$A3398),MINUTE(TRANSACTIONS!$A3398),SECOND(TRANSACTIONS!$A3398)),"")</f>
        <v>0.52935185185185185</v>
      </c>
      <c r="D3399" s="82" t="s">
        <v>62</v>
      </c>
      <c r="E3399" s="82" t="s">
        <v>7</v>
      </c>
      <c r="F3399" s="85">
        <v>1000</v>
      </c>
      <c r="G3399" s="46"/>
      <c r="H3399" s="46">
        <f>IFERROR(TRANSACTIONS!$F3399+TRANSACTIONS!$G3399,"")</f>
        <v>1000</v>
      </c>
      <c r="I3399" s="40" t="s">
        <v>41</v>
      </c>
    </row>
    <row r="3400" spans="1:9" x14ac:dyDescent="0.25">
      <c r="A3400" s="41">
        <v>45364.529361689813</v>
      </c>
      <c r="B3400" s="48">
        <f>IF(A3399&lt;&gt;"",DATE(YEAR(TRANSACTIONS!$A3399),MONTH(TRANSACTIONS!$A3399),DAY(TRANSACTIONS!$A3399)),"")</f>
        <v>45364</v>
      </c>
      <c r="C3400" s="49">
        <f>IF(A3399&lt;&gt;"",TIME(HOUR(TRANSACTIONS!$A3399),MINUTE(TRANSACTIONS!$A3399),SECOND(TRANSACTIONS!$A3399)),"")</f>
        <v>0.52935185185185185</v>
      </c>
      <c r="D3400" s="82" t="s">
        <v>62</v>
      </c>
      <c r="E3400" s="82" t="s">
        <v>7</v>
      </c>
      <c r="F3400" s="85">
        <v>2000</v>
      </c>
      <c r="G3400" s="46"/>
      <c r="H3400" s="46">
        <f>IFERROR(TRANSACTIONS!$F3400+TRANSACTIONS!$G3400,"")</f>
        <v>2000</v>
      </c>
      <c r="I3400" s="40" t="s">
        <v>41</v>
      </c>
    </row>
    <row r="3401" spans="1:9" x14ac:dyDescent="0.25">
      <c r="A3401" s="41">
        <v>45364.529368981479</v>
      </c>
      <c r="B3401" s="48">
        <f>IF(A3400&lt;&gt;"",DATE(YEAR(TRANSACTIONS!$A3400),MONTH(TRANSACTIONS!$A3400),DAY(TRANSACTIONS!$A3400)),"")</f>
        <v>45364</v>
      </c>
      <c r="C3401" s="49">
        <f>IF(A3400&lt;&gt;"",TIME(HOUR(TRANSACTIONS!$A3400),MINUTE(TRANSACTIONS!$A3400),SECOND(TRANSACTIONS!$A3400)),"")</f>
        <v>0.52936342592592589</v>
      </c>
      <c r="D3401" s="82" t="s">
        <v>62</v>
      </c>
      <c r="E3401" s="82" t="s">
        <v>7</v>
      </c>
      <c r="F3401" s="85">
        <v>6000</v>
      </c>
      <c r="G3401" s="46"/>
      <c r="H3401" s="46">
        <f>IFERROR(TRANSACTIONS!$F3401+TRANSACTIONS!$G3401,"")</f>
        <v>6000</v>
      </c>
      <c r="I3401" s="40" t="s">
        <v>41</v>
      </c>
    </row>
    <row r="3402" spans="1:9" x14ac:dyDescent="0.25">
      <c r="A3402" s="41">
        <v>45364.529379629632</v>
      </c>
      <c r="B3402" s="48">
        <f>IF(A3401&lt;&gt;"",DATE(YEAR(TRANSACTIONS!$A3401),MONTH(TRANSACTIONS!$A3401),DAY(TRANSACTIONS!$A3401)),"")</f>
        <v>45364</v>
      </c>
      <c r="C3402" s="49">
        <f>IF(A3401&lt;&gt;"",TIME(HOUR(TRANSACTIONS!$A3401),MINUTE(TRANSACTIONS!$A3401),SECOND(TRANSACTIONS!$A3401)),"")</f>
        <v>0.52936342592592589</v>
      </c>
      <c r="D3402" s="82" t="s">
        <v>25</v>
      </c>
      <c r="E3402" s="82" t="s">
        <v>7</v>
      </c>
      <c r="F3402" s="85">
        <v>7500</v>
      </c>
      <c r="G3402" s="46"/>
      <c r="H3402" s="46">
        <f>IFERROR(TRANSACTIONS!$F3402+TRANSACTIONS!$G3402,"")</f>
        <v>7500</v>
      </c>
      <c r="I3402" s="40" t="s">
        <v>41</v>
      </c>
    </row>
    <row r="3403" spans="1:9" x14ac:dyDescent="0.25">
      <c r="A3403" s="41">
        <v>45364.529404050925</v>
      </c>
      <c r="B3403" s="48">
        <f>IF(A3402&lt;&gt;"",DATE(YEAR(TRANSACTIONS!$A3402),MONTH(TRANSACTIONS!$A3402),DAY(TRANSACTIONS!$A3402)),"")</f>
        <v>45364</v>
      </c>
      <c r="C3403" s="49">
        <f>IF(A3402&lt;&gt;"",TIME(HOUR(TRANSACTIONS!$A3402),MINUTE(TRANSACTIONS!$A3402),SECOND(TRANSACTIONS!$A3402)),"")</f>
        <v>0.52937500000000004</v>
      </c>
      <c r="D3403" s="82" t="s">
        <v>25</v>
      </c>
      <c r="E3403" s="82" t="s">
        <v>6</v>
      </c>
      <c r="F3403" s="85">
        <v>10000</v>
      </c>
      <c r="G3403" s="46"/>
      <c r="H3403" s="46">
        <f>IFERROR(TRANSACTIONS!$F3403+TRANSACTIONS!$G3403,"")</f>
        <v>10000</v>
      </c>
      <c r="I3403" s="40" t="s">
        <v>41</v>
      </c>
    </row>
    <row r="3404" spans="1:9" x14ac:dyDescent="0.25">
      <c r="A3404" s="41">
        <v>45364.529412962962</v>
      </c>
      <c r="B3404" s="48">
        <f>IF(A3403&lt;&gt;"",DATE(YEAR(TRANSACTIONS!$A3403),MONTH(TRANSACTIONS!$A3403),DAY(TRANSACTIONS!$A3403)),"")</f>
        <v>45364</v>
      </c>
      <c r="C3404" s="49">
        <f>IF(A3403&lt;&gt;"",TIME(HOUR(TRANSACTIONS!$A3403),MINUTE(TRANSACTIONS!$A3403),SECOND(TRANSACTIONS!$A3403)),"")</f>
        <v>0.52940972222222216</v>
      </c>
      <c r="D3404" s="82" t="s">
        <v>25</v>
      </c>
      <c r="E3404" s="82" t="s">
        <v>7</v>
      </c>
      <c r="F3404" s="85">
        <v>7000</v>
      </c>
      <c r="G3404" s="46"/>
      <c r="H3404" s="46">
        <f>IFERROR(TRANSACTIONS!$F3404+TRANSACTIONS!$G3404,"")</f>
        <v>7000</v>
      </c>
      <c r="I3404" s="40" t="s">
        <v>41</v>
      </c>
    </row>
    <row r="3405" spans="1:9" x14ac:dyDescent="0.25">
      <c r="A3405" s="41">
        <v>45364.529420254628</v>
      </c>
      <c r="B3405" s="48">
        <f>IF(A3404&lt;&gt;"",DATE(YEAR(TRANSACTIONS!$A3404),MONTH(TRANSACTIONS!$A3404),DAY(TRANSACTIONS!$A3404)),"")</f>
        <v>45364</v>
      </c>
      <c r="C3405" s="49">
        <f>IF(A3404&lt;&gt;"",TIME(HOUR(TRANSACTIONS!$A3404),MINUTE(TRANSACTIONS!$A3404),SECOND(TRANSACTIONS!$A3404)),"")</f>
        <v>0.52940972222222216</v>
      </c>
      <c r="D3405" s="82" t="s">
        <v>25</v>
      </c>
      <c r="E3405" s="82" t="s">
        <v>6</v>
      </c>
      <c r="F3405" s="85">
        <v>2500</v>
      </c>
      <c r="G3405" s="46"/>
      <c r="H3405" s="46">
        <f>IFERROR(TRANSACTIONS!$F3405+TRANSACTIONS!$G3405,"")</f>
        <v>2500</v>
      </c>
      <c r="I3405" s="40" t="s">
        <v>41</v>
      </c>
    </row>
    <row r="3406" spans="1:9" x14ac:dyDescent="0.25">
      <c r="A3406" s="41">
        <v>45364.530979513889</v>
      </c>
      <c r="B3406" s="48">
        <f>IF(A3405&lt;&gt;"",DATE(YEAR(TRANSACTIONS!$A3405),MONTH(TRANSACTIONS!$A3405),DAY(TRANSACTIONS!$A3405)),"")</f>
        <v>45364</v>
      </c>
      <c r="C3406" s="49">
        <f>IF(A3405&lt;&gt;"",TIME(HOUR(TRANSACTIONS!$A3405),MINUTE(TRANSACTIONS!$A3405),SECOND(TRANSACTIONS!$A3405)),"")</f>
        <v>0.52942129629629631</v>
      </c>
      <c r="D3406" s="82" t="s">
        <v>25</v>
      </c>
      <c r="E3406" s="82" t="s">
        <v>7</v>
      </c>
      <c r="F3406" s="85">
        <v>110000</v>
      </c>
      <c r="G3406" s="46"/>
      <c r="H3406" s="46">
        <f>IFERROR(TRANSACTIONS!$F3406+TRANSACTIONS!$G3406,"")</f>
        <v>110000</v>
      </c>
      <c r="I3406" s="40" t="s">
        <v>41</v>
      </c>
    </row>
    <row r="3407" spans="1:9" x14ac:dyDescent="0.25">
      <c r="A3407" s="41">
        <v>45364.53101875</v>
      </c>
      <c r="B3407" s="48">
        <f>IF(A3406&lt;&gt;"",DATE(YEAR(TRANSACTIONS!$A3406),MONTH(TRANSACTIONS!$A3406),DAY(TRANSACTIONS!$A3406)),"")</f>
        <v>45364</v>
      </c>
      <c r="C3407" s="49">
        <f>IF(A3406&lt;&gt;"",TIME(HOUR(TRANSACTIONS!$A3406),MINUTE(TRANSACTIONS!$A3406),SECOND(TRANSACTIONS!$A3406)),"")</f>
        <v>0.53098379629629633</v>
      </c>
      <c r="D3407" s="82" t="s">
        <v>25</v>
      </c>
      <c r="E3407" s="82" t="s">
        <v>6</v>
      </c>
      <c r="F3407" s="85">
        <v>65000</v>
      </c>
      <c r="G3407" s="46"/>
      <c r="H3407" s="46">
        <f>IFERROR(TRANSACTIONS!$F3407+TRANSACTIONS!$G3407,"")</f>
        <v>65000</v>
      </c>
      <c r="I3407" s="40" t="s">
        <v>41</v>
      </c>
    </row>
    <row r="3408" spans="1:9" x14ac:dyDescent="0.25">
      <c r="A3408" s="41">
        <v>45364.531053009261</v>
      </c>
      <c r="B3408" s="48">
        <f>IF(A3407&lt;&gt;"",DATE(YEAR(TRANSACTIONS!$A3407),MONTH(TRANSACTIONS!$A3407),DAY(TRANSACTIONS!$A3407)),"")</f>
        <v>45364</v>
      </c>
      <c r="C3408" s="49">
        <f>IF(A3407&lt;&gt;"",TIME(HOUR(TRANSACTIONS!$A3407),MINUTE(TRANSACTIONS!$A3407),SECOND(TRANSACTIONS!$A3407)),"")</f>
        <v>0.53101851851851845</v>
      </c>
      <c r="D3408" s="82" t="s">
        <v>25</v>
      </c>
      <c r="E3408" s="82" t="s">
        <v>6</v>
      </c>
      <c r="F3408" s="85">
        <v>550</v>
      </c>
      <c r="G3408" s="46"/>
      <c r="H3408" s="46">
        <f>IFERROR(TRANSACTIONS!$F3408+TRANSACTIONS!$G3408,"")</f>
        <v>550</v>
      </c>
      <c r="I3408" s="40" t="s">
        <v>41</v>
      </c>
    </row>
    <row r="3409" spans="1:9" x14ac:dyDescent="0.25">
      <c r="A3409" s="41">
        <v>45364.531060879628</v>
      </c>
      <c r="B3409" s="48">
        <f>IF(A3408&lt;&gt;"",DATE(YEAR(TRANSACTIONS!$A3408),MONTH(TRANSACTIONS!$A3408),DAY(TRANSACTIONS!$A3408)),"")</f>
        <v>45364</v>
      </c>
      <c r="C3409" s="49">
        <f>IF(A3408&lt;&gt;"",TIME(HOUR(TRANSACTIONS!$A3408),MINUTE(TRANSACTIONS!$A3408),SECOND(TRANSACTIONS!$A3408)),"")</f>
        <v>0.53105324074074078</v>
      </c>
      <c r="D3409" s="82" t="s">
        <v>25</v>
      </c>
      <c r="E3409" s="82" t="s">
        <v>6</v>
      </c>
      <c r="F3409" s="85">
        <v>2000</v>
      </c>
      <c r="G3409" s="46"/>
      <c r="H3409" s="46">
        <f>IFERROR(TRANSACTIONS!$F3409+TRANSACTIONS!$G3409,"")</f>
        <v>2000</v>
      </c>
      <c r="I3409" s="40" t="s">
        <v>41</v>
      </c>
    </row>
    <row r="3410" spans="1:9" x14ac:dyDescent="0.25">
      <c r="A3410" s="41">
        <v>45364.531071296296</v>
      </c>
      <c r="B3410" s="48">
        <f>IF(A3409&lt;&gt;"",DATE(YEAR(TRANSACTIONS!$A3409),MONTH(TRANSACTIONS!$A3409),DAY(TRANSACTIONS!$A3409)),"")</f>
        <v>45364</v>
      </c>
      <c r="C3410" s="49">
        <f>IF(A3409&lt;&gt;"",TIME(HOUR(TRANSACTIONS!$A3409),MINUTE(TRANSACTIONS!$A3409),SECOND(TRANSACTIONS!$A3409)),"")</f>
        <v>0.53106481481481482</v>
      </c>
      <c r="D3410" s="82" t="s">
        <v>25</v>
      </c>
      <c r="E3410" s="82" t="s">
        <v>6</v>
      </c>
      <c r="F3410" s="85">
        <v>5050</v>
      </c>
      <c r="G3410" s="46"/>
      <c r="H3410" s="46">
        <f>IFERROR(TRANSACTIONS!$F3410+TRANSACTIONS!$G3410,"")</f>
        <v>5050</v>
      </c>
      <c r="I3410" s="40" t="s">
        <v>41</v>
      </c>
    </row>
    <row r="3411" spans="1:9" x14ac:dyDescent="0.25">
      <c r="A3411" s="41">
        <v>45364.531078703701</v>
      </c>
      <c r="B3411" s="48">
        <f>IF(A3410&lt;&gt;"",DATE(YEAR(TRANSACTIONS!$A3410),MONTH(TRANSACTIONS!$A3410),DAY(TRANSACTIONS!$A3410)),"")</f>
        <v>45364</v>
      </c>
      <c r="C3411" s="49">
        <f>IF(A3410&lt;&gt;"",TIME(HOUR(TRANSACTIONS!$A3410),MINUTE(TRANSACTIONS!$A3410),SECOND(TRANSACTIONS!$A3410)),"")</f>
        <v>0.53107638888888886</v>
      </c>
      <c r="D3411" s="82" t="s">
        <v>25</v>
      </c>
      <c r="E3411" s="82" t="s">
        <v>7</v>
      </c>
      <c r="F3411" s="85">
        <v>2050</v>
      </c>
      <c r="G3411" s="46"/>
      <c r="H3411" s="46">
        <f>IFERROR(TRANSACTIONS!$F3411+TRANSACTIONS!$G3411,"")</f>
        <v>2050</v>
      </c>
      <c r="I3411" s="40" t="s">
        <v>41</v>
      </c>
    </row>
    <row r="3412" spans="1:9" x14ac:dyDescent="0.25">
      <c r="A3412" s="41">
        <v>45364.53108645833</v>
      </c>
      <c r="B3412" s="48">
        <f>IF(A3411&lt;&gt;"",DATE(YEAR(TRANSACTIONS!$A3411),MONTH(TRANSACTIONS!$A3411),DAY(TRANSACTIONS!$A3411)),"")</f>
        <v>45364</v>
      </c>
      <c r="C3412" s="49">
        <f>IF(A3411&lt;&gt;"",TIME(HOUR(TRANSACTIONS!$A3411),MINUTE(TRANSACTIONS!$A3411),SECOND(TRANSACTIONS!$A3411)),"")</f>
        <v>0.53107638888888886</v>
      </c>
      <c r="D3412" s="82" t="s">
        <v>25</v>
      </c>
      <c r="E3412" s="82" t="s">
        <v>7</v>
      </c>
      <c r="F3412" s="85">
        <v>800000</v>
      </c>
      <c r="G3412" s="46"/>
      <c r="H3412" s="46">
        <f>IFERROR(TRANSACTIONS!$F3412+TRANSACTIONS!$G3412,"")</f>
        <v>800000</v>
      </c>
      <c r="I3412" s="40" t="s">
        <v>41</v>
      </c>
    </row>
    <row r="3413" spans="1:9" x14ac:dyDescent="0.25">
      <c r="A3413" s="41">
        <v>45364.531094444443</v>
      </c>
      <c r="B3413" s="48">
        <f>IF(A3412&lt;&gt;"",DATE(YEAR(TRANSACTIONS!$A3412),MONTH(TRANSACTIONS!$A3412),DAY(TRANSACTIONS!$A3412)),"")</f>
        <v>45364</v>
      </c>
      <c r="C3413" s="49">
        <f>IF(A3412&lt;&gt;"",TIME(HOUR(TRANSACTIONS!$A3412),MINUTE(TRANSACTIONS!$A3412),SECOND(TRANSACTIONS!$A3412)),"")</f>
        <v>0.5310879629629629</v>
      </c>
      <c r="D3413" s="82" t="s">
        <v>25</v>
      </c>
      <c r="E3413" s="82" t="s">
        <v>6</v>
      </c>
      <c r="F3413" s="85">
        <v>825000</v>
      </c>
      <c r="G3413" s="46"/>
      <c r="H3413" s="46">
        <f>IFERROR(TRANSACTIONS!$F3413+TRANSACTIONS!$G3413,"")</f>
        <v>825000</v>
      </c>
      <c r="I3413" s="40" t="s">
        <v>41</v>
      </c>
    </row>
    <row r="3414" spans="1:9" x14ac:dyDescent="0.25">
      <c r="A3414" s="41">
        <v>45364.560741782407</v>
      </c>
      <c r="B3414" s="48">
        <f>IF(A3413&lt;&gt;"",DATE(YEAR(TRANSACTIONS!$A3413),MONTH(TRANSACTIONS!$A3413),DAY(TRANSACTIONS!$A3413)),"")</f>
        <v>45364</v>
      </c>
      <c r="C3414" s="49">
        <f>IF(A3413&lt;&gt;"",TIME(HOUR(TRANSACTIONS!$A3413),MINUTE(TRANSACTIONS!$A3413),SECOND(TRANSACTIONS!$A3413)),"")</f>
        <v>0.53109953703703705</v>
      </c>
      <c r="D3414" s="82" t="s">
        <v>62</v>
      </c>
      <c r="E3414" s="82" t="s">
        <v>6</v>
      </c>
      <c r="F3414" s="85">
        <v>1000000</v>
      </c>
      <c r="G3414" s="46"/>
      <c r="H3414" s="46">
        <f>IFERROR(TRANSACTIONS!$F3414+TRANSACTIONS!$G3414,"")</f>
        <v>1000000</v>
      </c>
      <c r="I3414" s="40" t="s">
        <v>41</v>
      </c>
    </row>
    <row r="3415" spans="1:9" x14ac:dyDescent="0.25">
      <c r="A3415" s="41">
        <v>45364.561157291668</v>
      </c>
      <c r="B3415" s="48">
        <f>IF(A3414&lt;&gt;"",DATE(YEAR(TRANSACTIONS!$A3414),MONTH(TRANSACTIONS!$A3414),DAY(TRANSACTIONS!$A3414)),"")</f>
        <v>45364</v>
      </c>
      <c r="C3415" s="49">
        <f>IF(A3414&lt;&gt;"",TIME(HOUR(TRANSACTIONS!$A3414),MINUTE(TRANSACTIONS!$A3414),SECOND(TRANSACTIONS!$A3414)),"")</f>
        <v>0.56074074074074076</v>
      </c>
      <c r="D3415" s="82" t="s">
        <v>62</v>
      </c>
      <c r="E3415" s="82" t="s">
        <v>7</v>
      </c>
      <c r="F3415" s="85">
        <v>7000</v>
      </c>
      <c r="G3415" s="46"/>
      <c r="H3415" s="46">
        <f>IFERROR(TRANSACTIONS!$F3415+TRANSACTIONS!$G3415,"")</f>
        <v>7000</v>
      </c>
      <c r="I3415" s="40" t="s">
        <v>41</v>
      </c>
    </row>
    <row r="3416" spans="1:9" x14ac:dyDescent="0.25">
      <c r="A3416" s="41">
        <v>45364.561169097222</v>
      </c>
      <c r="B3416" s="48">
        <f>IF(A3415&lt;&gt;"",DATE(YEAR(TRANSACTIONS!$A3415),MONTH(TRANSACTIONS!$A3415),DAY(TRANSACTIONS!$A3415)),"")</f>
        <v>45364</v>
      </c>
      <c r="C3416" s="49">
        <f>IF(A3415&lt;&gt;"",TIME(HOUR(TRANSACTIONS!$A3415),MINUTE(TRANSACTIONS!$A3415),SECOND(TRANSACTIONS!$A3415)),"")</f>
        <v>0.56115740740740738</v>
      </c>
      <c r="D3416" s="82" t="s">
        <v>62</v>
      </c>
      <c r="E3416" s="82" t="s">
        <v>6</v>
      </c>
      <c r="F3416" s="85">
        <v>4100</v>
      </c>
      <c r="G3416" s="46"/>
      <c r="H3416" s="46">
        <f>IFERROR(TRANSACTIONS!$F3416+TRANSACTIONS!$G3416,"")</f>
        <v>4100</v>
      </c>
      <c r="I3416" s="40" t="s">
        <v>41</v>
      </c>
    </row>
    <row r="3417" spans="1:9" x14ac:dyDescent="0.25">
      <c r="A3417" s="41">
        <v>45364.561176967596</v>
      </c>
      <c r="B3417" s="48">
        <f>IF(A3416&lt;&gt;"",DATE(YEAR(TRANSACTIONS!$A3416),MONTH(TRANSACTIONS!$A3416),DAY(TRANSACTIONS!$A3416)),"")</f>
        <v>45364</v>
      </c>
      <c r="C3417" s="49">
        <f>IF(A3416&lt;&gt;"",TIME(HOUR(TRANSACTIONS!$A3416),MINUTE(TRANSACTIONS!$A3416),SECOND(TRANSACTIONS!$A3416)),"")</f>
        <v>0.56116898148148142</v>
      </c>
      <c r="D3417" s="82" t="s">
        <v>62</v>
      </c>
      <c r="E3417" s="82" t="s">
        <v>7</v>
      </c>
      <c r="F3417" s="85">
        <v>3000</v>
      </c>
      <c r="G3417" s="46"/>
      <c r="H3417" s="46">
        <f>IFERROR(TRANSACTIONS!$F3417+TRANSACTIONS!$G3417,"")</f>
        <v>3000</v>
      </c>
      <c r="I3417" s="40" t="s">
        <v>41</v>
      </c>
    </row>
    <row r="3418" spans="1:9" x14ac:dyDescent="0.25">
      <c r="A3418" s="41">
        <v>45364.561183796293</v>
      </c>
      <c r="B3418" s="48">
        <f>IF(A3417&lt;&gt;"",DATE(YEAR(TRANSACTIONS!$A3417),MONTH(TRANSACTIONS!$A3417),DAY(TRANSACTIONS!$A3417)),"")</f>
        <v>45364</v>
      </c>
      <c r="C3418" s="49">
        <f>IF(A3417&lt;&gt;"",TIME(HOUR(TRANSACTIONS!$A3417),MINUTE(TRANSACTIONS!$A3417),SECOND(TRANSACTIONS!$A3417)),"")</f>
        <v>0.56118055555555557</v>
      </c>
      <c r="D3418" s="82" t="s">
        <v>62</v>
      </c>
      <c r="E3418" s="82" t="s">
        <v>6</v>
      </c>
      <c r="F3418" s="85">
        <v>3000</v>
      </c>
      <c r="G3418" s="46"/>
      <c r="H3418" s="46">
        <f>IFERROR(TRANSACTIONS!$F3418+TRANSACTIONS!$G3418,"")</f>
        <v>3000</v>
      </c>
      <c r="I3418" s="40" t="s">
        <v>41</v>
      </c>
    </row>
    <row r="3419" spans="1:9" x14ac:dyDescent="0.25">
      <c r="A3419" s="41">
        <v>45364.561202314813</v>
      </c>
      <c r="B3419" s="48">
        <f>IF(A3418&lt;&gt;"",DATE(YEAR(TRANSACTIONS!$A3418),MONTH(TRANSACTIONS!$A3418),DAY(TRANSACTIONS!$A3418)),"")</f>
        <v>45364</v>
      </c>
      <c r="C3419" s="49">
        <f>IF(A3418&lt;&gt;"",TIME(HOUR(TRANSACTIONS!$A3418),MINUTE(TRANSACTIONS!$A3418),SECOND(TRANSACTIONS!$A3418)),"")</f>
        <v>0.56118055555555557</v>
      </c>
      <c r="D3419" s="82" t="s">
        <v>62</v>
      </c>
      <c r="E3419" s="82" t="s">
        <v>7</v>
      </c>
      <c r="F3419" s="85">
        <v>2000</v>
      </c>
      <c r="G3419" s="46"/>
      <c r="H3419" s="46">
        <f>IFERROR(TRANSACTIONS!$F3419+TRANSACTIONS!$G3419,"")</f>
        <v>2000</v>
      </c>
      <c r="I3419" s="40" t="s">
        <v>41</v>
      </c>
    </row>
    <row r="3420" spans="1:9" x14ac:dyDescent="0.25">
      <c r="A3420" s="41">
        <v>45364.561236458336</v>
      </c>
      <c r="B3420" s="48">
        <f>IF(A3419&lt;&gt;"",DATE(YEAR(TRANSACTIONS!$A3419),MONTH(TRANSACTIONS!$A3419),DAY(TRANSACTIONS!$A3419)),"")</f>
        <v>45364</v>
      </c>
      <c r="C3420" s="49">
        <f>IF(A3419&lt;&gt;"",TIME(HOUR(TRANSACTIONS!$A3419),MINUTE(TRANSACTIONS!$A3419),SECOND(TRANSACTIONS!$A3419)),"")</f>
        <v>0.56120370370370376</v>
      </c>
      <c r="D3420" s="82" t="s">
        <v>62</v>
      </c>
      <c r="E3420" s="82" t="s">
        <v>7</v>
      </c>
      <c r="F3420" s="85">
        <v>2000</v>
      </c>
      <c r="G3420" s="46"/>
      <c r="H3420" s="46">
        <f>IFERROR(TRANSACTIONS!$F3420+TRANSACTIONS!$G3420,"")</f>
        <v>2000</v>
      </c>
      <c r="I3420" s="40" t="s">
        <v>41</v>
      </c>
    </row>
    <row r="3421" spans="1:9" x14ac:dyDescent="0.25">
      <c r="A3421" s="41">
        <v>45364.559556018517</v>
      </c>
      <c r="B3421" s="48">
        <f>IF(A3420&lt;&gt;"",DATE(YEAR(TRANSACTIONS!$A3420),MONTH(TRANSACTIONS!$A3420),DAY(TRANSACTIONS!$A3420)),"")</f>
        <v>45364</v>
      </c>
      <c r="C3421" s="49">
        <f>IF(A3420&lt;&gt;"",TIME(HOUR(TRANSACTIONS!$A3420),MINUTE(TRANSACTIONS!$A3420),SECOND(TRANSACTIONS!$A3420)),"")</f>
        <v>0.56123842592592588</v>
      </c>
      <c r="D3421" s="82" t="s">
        <v>62</v>
      </c>
      <c r="E3421" s="82" t="s">
        <v>7</v>
      </c>
      <c r="F3421" s="85">
        <v>220000</v>
      </c>
      <c r="G3421" s="46"/>
      <c r="H3421" s="46">
        <f>IFERROR(TRANSACTIONS!$F3421+TRANSACTIONS!$G3421,"")</f>
        <v>220000</v>
      </c>
      <c r="I3421" s="40" t="s">
        <v>41</v>
      </c>
    </row>
    <row r="3422" spans="1:9" x14ac:dyDescent="0.25">
      <c r="A3422" s="81">
        <v>45364.559587847223</v>
      </c>
      <c r="B3422" s="48">
        <f>IF(A3421&lt;&gt;"",DATE(YEAR(TRANSACTIONS!$A3421),MONTH(TRANSACTIONS!$A3421),DAY(TRANSACTIONS!$A3421)),"")</f>
        <v>45364</v>
      </c>
      <c r="C3422" s="49">
        <f>IF(A3421&lt;&gt;"",TIME(HOUR(TRANSACTIONS!$A3421),MINUTE(TRANSACTIONS!$A3421),SECOND(TRANSACTIONS!$A3421)),"")</f>
        <v>0.55956018518518513</v>
      </c>
      <c r="D3422" s="82" t="s">
        <v>62</v>
      </c>
      <c r="E3422" s="82" t="s">
        <v>7</v>
      </c>
      <c r="F3422" s="85">
        <v>30000</v>
      </c>
      <c r="G3422" s="46"/>
      <c r="H3422" s="46">
        <f>IFERROR(TRANSACTIONS!$F3422+TRANSACTIONS!$G3422,"")</f>
        <v>30000</v>
      </c>
      <c r="I3422" s="40" t="s">
        <v>41</v>
      </c>
    </row>
    <row r="3423" spans="1:9" x14ac:dyDescent="0.25">
      <c r="A3423" s="41">
        <v>45364.559595601851</v>
      </c>
      <c r="B3423" s="83">
        <f>IF(A3422&lt;&gt;"",DATE(YEAR(TRANSACTIONS!$A3422),MONTH(TRANSACTIONS!$A3422),DAY(TRANSACTIONS!$A3422)),"")</f>
        <v>45364</v>
      </c>
      <c r="C3423" s="84">
        <f>IF(A3422&lt;&gt;"",TIME(HOUR(TRANSACTIONS!$A3422),MINUTE(TRANSACTIONS!$A3422),SECOND(TRANSACTIONS!$A3422)),"")</f>
        <v>0.55958333333333332</v>
      </c>
      <c r="D3423" s="82" t="s">
        <v>25</v>
      </c>
      <c r="E3423" s="82" t="s">
        <v>6</v>
      </c>
      <c r="F3423" s="85">
        <v>2000</v>
      </c>
      <c r="G3423" s="86"/>
      <c r="H3423" s="86">
        <f>IFERROR(TRANSACTIONS!$F3423+TRANSACTIONS!$G3423,"")</f>
        <v>2000</v>
      </c>
      <c r="I3423" s="88" t="s">
        <v>41</v>
      </c>
    </row>
    <row r="3424" spans="1:9" x14ac:dyDescent="0.25">
      <c r="A3424" s="41">
        <v>45364.559603125002</v>
      </c>
      <c r="B3424" s="48">
        <f>IF(A3423&lt;&gt;"",DATE(YEAR(TRANSACTIONS!$A3423),MONTH(TRANSACTIONS!$A3423),DAY(TRANSACTIONS!$A3423)),"")</f>
        <v>45364</v>
      </c>
      <c r="C3424" s="49">
        <f>IF(A3423&lt;&gt;"",TIME(HOUR(TRANSACTIONS!$A3423),MINUTE(TRANSACTIONS!$A3423),SECOND(TRANSACTIONS!$A3423)),"")</f>
        <v>0.55959490740740747</v>
      </c>
      <c r="D3424" s="82" t="s">
        <v>25</v>
      </c>
      <c r="E3424" s="82" t="s">
        <v>6</v>
      </c>
      <c r="F3424" s="85">
        <v>15000</v>
      </c>
      <c r="G3424" s="46"/>
      <c r="H3424" s="46">
        <f>IFERROR(TRANSACTIONS!$F3424+TRANSACTIONS!$G3424,"")</f>
        <v>15000</v>
      </c>
      <c r="I3424" s="40" t="s">
        <v>41</v>
      </c>
    </row>
    <row r="3425" spans="1:9" x14ac:dyDescent="0.25">
      <c r="A3425" s="41">
        <v>45364.559610532408</v>
      </c>
      <c r="B3425" s="48">
        <f>IF(A3424&lt;&gt;"",DATE(YEAR(TRANSACTIONS!$A3424),MONTH(TRANSACTIONS!$A3424),DAY(TRANSACTIONS!$A3424)),"")</f>
        <v>45364</v>
      </c>
      <c r="C3425" s="49">
        <f>IF(A3424&lt;&gt;"",TIME(HOUR(TRANSACTIONS!$A3424),MINUTE(TRANSACTIONS!$A3424),SECOND(TRANSACTIONS!$A3424)),"")</f>
        <v>0.55960648148148151</v>
      </c>
      <c r="D3425" s="82" t="s">
        <v>63</v>
      </c>
      <c r="E3425" s="82" t="s">
        <v>7</v>
      </c>
      <c r="F3425" s="85">
        <v>5000</v>
      </c>
      <c r="G3425" s="46"/>
      <c r="H3425" s="46">
        <f>IFERROR(TRANSACTIONS!$F3425+TRANSACTIONS!$G3425,"")</f>
        <v>5000</v>
      </c>
      <c r="I3425" s="40" t="s">
        <v>41</v>
      </c>
    </row>
    <row r="3426" spans="1:9" x14ac:dyDescent="0.25">
      <c r="A3426" s="41">
        <v>45364.607084606483</v>
      </c>
      <c r="B3426" s="48">
        <f>IF(A3425&lt;&gt;"",DATE(YEAR(TRANSACTIONS!$A3425),MONTH(TRANSACTIONS!$A3425),DAY(TRANSACTIONS!$A3425)),"")</f>
        <v>45364</v>
      </c>
      <c r="C3426" s="49">
        <f>IF(A3425&lt;&gt;"",TIME(HOUR(TRANSACTIONS!$A3425),MINUTE(TRANSACTIONS!$A3425),SECOND(TRANSACTIONS!$A3425)),"")</f>
        <v>0.55960648148148151</v>
      </c>
      <c r="D3426" s="82" t="s">
        <v>62</v>
      </c>
      <c r="E3426" s="82" t="s">
        <v>6</v>
      </c>
      <c r="F3426" s="85">
        <v>45000</v>
      </c>
      <c r="G3426" s="46"/>
      <c r="H3426" s="46">
        <f>IFERROR(TRANSACTIONS!$F3426+TRANSACTIONS!$G3426,"")</f>
        <v>45000</v>
      </c>
      <c r="I3426" s="40" t="s">
        <v>41</v>
      </c>
    </row>
    <row r="3427" spans="1:9" x14ac:dyDescent="0.25">
      <c r="A3427" s="41">
        <v>45364.607120833331</v>
      </c>
      <c r="B3427" s="48">
        <f>IF(A3426&lt;&gt;"",DATE(YEAR(TRANSACTIONS!$A3426),MONTH(TRANSACTIONS!$A3426),DAY(TRANSACTIONS!$A3426)),"")</f>
        <v>45364</v>
      </c>
      <c r="C3427" s="49">
        <f>IF(A3426&lt;&gt;"",TIME(HOUR(TRANSACTIONS!$A3426),MINUTE(TRANSACTIONS!$A3426),SECOND(TRANSACTIONS!$A3426)),"")</f>
        <v>0.60708333333333331</v>
      </c>
      <c r="D3427" s="82" t="s">
        <v>62</v>
      </c>
      <c r="E3427" s="82" t="s">
        <v>6</v>
      </c>
      <c r="F3427" s="85">
        <v>8000</v>
      </c>
      <c r="G3427" s="46"/>
      <c r="H3427" s="46">
        <f>IFERROR(TRANSACTIONS!$F3427+TRANSACTIONS!$G3427,"")</f>
        <v>8000</v>
      </c>
      <c r="I3427" s="40" t="s">
        <v>41</v>
      </c>
    </row>
    <row r="3428" spans="1:9" x14ac:dyDescent="0.25">
      <c r="A3428" s="41">
        <v>45364.607132175923</v>
      </c>
      <c r="B3428" s="48">
        <f>IF(A3427&lt;&gt;"",DATE(YEAR(TRANSACTIONS!$A3427),MONTH(TRANSACTIONS!$A3427),DAY(TRANSACTIONS!$A3427)),"")</f>
        <v>45364</v>
      </c>
      <c r="C3428" s="49">
        <f>IF(A3427&lt;&gt;"",TIME(HOUR(TRANSACTIONS!$A3427),MINUTE(TRANSACTIONS!$A3427),SECOND(TRANSACTIONS!$A3427)),"")</f>
        <v>0.60711805555555554</v>
      </c>
      <c r="D3428" s="82" t="s">
        <v>62</v>
      </c>
      <c r="E3428" s="82" t="s">
        <v>7</v>
      </c>
      <c r="F3428" s="85">
        <v>1000</v>
      </c>
      <c r="G3428" s="46"/>
      <c r="H3428" s="46">
        <f>IFERROR(TRANSACTIONS!$F3428+TRANSACTIONS!$G3428,"")</f>
        <v>1000</v>
      </c>
      <c r="I3428" s="40" t="s">
        <v>41</v>
      </c>
    </row>
    <row r="3429" spans="1:9" x14ac:dyDescent="0.25">
      <c r="A3429" s="41">
        <v>45364.607140509259</v>
      </c>
      <c r="B3429" s="48">
        <f>IF(A3428&lt;&gt;"",DATE(YEAR(TRANSACTIONS!$A3428),MONTH(TRANSACTIONS!$A3428),DAY(TRANSACTIONS!$A3428)),"")</f>
        <v>45364</v>
      </c>
      <c r="C3429" s="49">
        <f>IF(A3428&lt;&gt;"",TIME(HOUR(TRANSACTIONS!$A3428),MINUTE(TRANSACTIONS!$A3428),SECOND(TRANSACTIONS!$A3428)),"")</f>
        <v>0.60712962962962969</v>
      </c>
      <c r="D3429" s="82" t="s">
        <v>25</v>
      </c>
      <c r="E3429" s="82" t="s">
        <v>6</v>
      </c>
      <c r="F3429" s="85">
        <v>2000</v>
      </c>
      <c r="G3429" s="46"/>
      <c r="H3429" s="46">
        <f>IFERROR(TRANSACTIONS!$F3429+TRANSACTIONS!$G3429,"")</f>
        <v>2000</v>
      </c>
      <c r="I3429" s="40" t="s">
        <v>41</v>
      </c>
    </row>
    <row r="3430" spans="1:9" x14ac:dyDescent="0.25">
      <c r="A3430" s="113">
        <v>45364.607147916664</v>
      </c>
      <c r="B3430" s="114">
        <f>IF(A3429&lt;&gt;"",DATE(YEAR(TRANSACTIONS!$A3429),MONTH(TRANSACTIONS!$A3429),DAY(TRANSACTIONS!$A3429)),"")</f>
        <v>45364</v>
      </c>
      <c r="C3430" s="115">
        <f>IF(A3429&lt;&gt;"",TIME(HOUR(TRANSACTIONS!$A3429),MINUTE(TRANSACTIONS!$A3429),SECOND(TRANSACTIONS!$A3429)),"")</f>
        <v>0.60714120370370372</v>
      </c>
      <c r="D3430" s="82" t="s">
        <v>25</v>
      </c>
      <c r="E3430" s="82" t="s">
        <v>6</v>
      </c>
      <c r="F3430" s="85">
        <v>1000</v>
      </c>
      <c r="G3430" s="117"/>
      <c r="H3430" s="117">
        <f>IFERROR(TRANSACTIONS!$F3430+TRANSACTIONS!$G3430,"")</f>
        <v>1000</v>
      </c>
      <c r="I3430" s="118" t="s">
        <v>41</v>
      </c>
    </row>
    <row r="3431" spans="1:9" x14ac:dyDescent="0.25">
      <c r="A3431" s="113">
        <v>45364.607175810183</v>
      </c>
      <c r="B3431" s="114">
        <f>IF(A3430&lt;&gt;"",DATE(YEAR(TRANSACTIONS!$A3430),MONTH(TRANSACTIONS!$A3430),DAY(TRANSACTIONS!$A3430)),"")</f>
        <v>45364</v>
      </c>
      <c r="C3431" s="115">
        <f>IF(A3430&lt;&gt;"",TIME(HOUR(TRANSACTIONS!$A3430),MINUTE(TRANSACTIONS!$A3430),SECOND(TRANSACTIONS!$A3430)),"")</f>
        <v>0.60715277777777776</v>
      </c>
      <c r="D3431" s="82" t="s">
        <v>62</v>
      </c>
      <c r="E3431" s="82" t="s">
        <v>7</v>
      </c>
      <c r="F3431" s="85">
        <v>3000</v>
      </c>
      <c r="G3431" s="117"/>
      <c r="H3431" s="117">
        <f>IFERROR(TRANSACTIONS!$F3431+TRANSACTIONS!$G3431,"")</f>
        <v>3000</v>
      </c>
      <c r="I3431" s="118" t="s">
        <v>41</v>
      </c>
    </row>
    <row r="3432" spans="1:9" x14ac:dyDescent="0.25">
      <c r="A3432" s="113">
        <v>45364.60719224537</v>
      </c>
      <c r="B3432" s="114">
        <f>IF(A3431&lt;&gt;"",DATE(YEAR(TRANSACTIONS!$A3431),MONTH(TRANSACTIONS!$A3431),DAY(TRANSACTIONS!$A3431)),"")</f>
        <v>45364</v>
      </c>
      <c r="C3432" s="115">
        <f>IF(A3431&lt;&gt;"",TIME(HOUR(TRANSACTIONS!$A3431),MINUTE(TRANSACTIONS!$A3431),SECOND(TRANSACTIONS!$A3431)),"")</f>
        <v>0.60717592592592595</v>
      </c>
      <c r="D3432" s="82" t="s">
        <v>62</v>
      </c>
      <c r="E3432" s="82" t="s">
        <v>6</v>
      </c>
      <c r="F3432" s="85">
        <v>190000</v>
      </c>
      <c r="G3432" s="117"/>
      <c r="H3432" s="117">
        <f>IFERROR(TRANSACTIONS!$F3432+TRANSACTIONS!$G3432,"")</f>
        <v>190000</v>
      </c>
      <c r="I3432" s="118" t="s">
        <v>41</v>
      </c>
    </row>
    <row r="3433" spans="1:9" x14ac:dyDescent="0.25">
      <c r="A3433" s="113">
        <v>45364.607242361111</v>
      </c>
      <c r="B3433" s="114">
        <f>IF(A3432&lt;&gt;"",DATE(YEAR(TRANSACTIONS!$A3432),MONTH(TRANSACTIONS!$A3432),DAY(TRANSACTIONS!$A3432)),"")</f>
        <v>45364</v>
      </c>
      <c r="C3433" s="115">
        <f>IF(A3432&lt;&gt;"",TIME(HOUR(TRANSACTIONS!$A3432),MINUTE(TRANSACTIONS!$A3432),SECOND(TRANSACTIONS!$A3432)),"")</f>
        <v>0.60718749999999999</v>
      </c>
      <c r="D3433" s="82" t="s">
        <v>62</v>
      </c>
      <c r="E3433" s="82" t="s">
        <v>6</v>
      </c>
      <c r="F3433" s="85">
        <v>50000</v>
      </c>
      <c r="G3433" s="117"/>
      <c r="H3433" s="117">
        <f>IFERROR(TRANSACTIONS!$F3433+TRANSACTIONS!$G3433,"")</f>
        <v>50000</v>
      </c>
      <c r="I3433" s="118" t="s">
        <v>41</v>
      </c>
    </row>
    <row r="3434" spans="1:9" x14ac:dyDescent="0.25">
      <c r="A3434" s="118"/>
      <c r="B3434" s="114">
        <f>IF(A3433&lt;&gt;"",DATE(YEAR(TRANSACTIONS!$A3433),MONTH(TRANSACTIONS!$A3433),DAY(TRANSACTIONS!$A3433)),"")</f>
        <v>45364</v>
      </c>
      <c r="C3434" s="115">
        <f>IF(A3433&lt;&gt;"",TIME(HOUR(TRANSACTIONS!$A3433),MINUTE(TRANSACTIONS!$A3433),SECOND(TRANSACTIONS!$A3433)),"")</f>
        <v>0.6072453703703703</v>
      </c>
      <c r="D3434" s="82" t="s">
        <v>62</v>
      </c>
      <c r="E3434" s="82" t="s">
        <v>6</v>
      </c>
      <c r="F3434" s="85">
        <v>18500</v>
      </c>
      <c r="G3434" s="117"/>
      <c r="H3434" s="117">
        <f>IFERROR(TRANSACTIONS!$F3434+TRANSACTIONS!$G3434,"")</f>
        <v>18500</v>
      </c>
      <c r="I3434" s="118" t="s">
        <v>41</v>
      </c>
    </row>
    <row r="3435" spans="1:9" x14ac:dyDescent="0.25">
      <c r="A3435" s="113">
        <v>45364.633149189816</v>
      </c>
      <c r="B3435" s="114">
        <f>IF(A3435&lt;&gt;"",DATE(YEAR(TRANSACTIONS!$A3435),MONTH(TRANSACTIONS!$A3435),DAY(TRANSACTIONS!$A3435)),"")</f>
        <v>45364</v>
      </c>
      <c r="C3435" s="115">
        <f>IF(A3435&lt;&gt;"",TIME(HOUR(TRANSACTIONS!$A3435),MINUTE(TRANSACTIONS!$A3435),SECOND(TRANSACTIONS!$A3435)),"")</f>
        <v>0.63314814814814813</v>
      </c>
      <c r="D3435" s="82" t="s">
        <v>62</v>
      </c>
      <c r="E3435" s="82" t="s">
        <v>7</v>
      </c>
      <c r="F3435" s="85">
        <v>1900</v>
      </c>
      <c r="G3435" s="117"/>
      <c r="H3435" s="117">
        <f>IFERROR(TRANSACTIONS!$F3435+TRANSACTIONS!$G3435,"")</f>
        <v>1900</v>
      </c>
      <c r="I3435" s="118" t="s">
        <v>41</v>
      </c>
    </row>
    <row r="3436" spans="1:9" x14ac:dyDescent="0.25">
      <c r="A3436" s="41">
        <v>45364.649001041667</v>
      </c>
      <c r="B3436" s="48">
        <f>IF(A3436&lt;&gt;"",DATE(YEAR(TRANSACTIONS!$A3436),MONTH(TRANSACTIONS!$A3436),DAY(TRANSACTIONS!$A3436)),"")</f>
        <v>45364</v>
      </c>
      <c r="C3436" s="49">
        <f>IF(A3436&lt;&gt;"",TIME(HOUR(TRANSACTIONS!$A3436),MINUTE(TRANSACTIONS!$A3436),SECOND(TRANSACTIONS!$A3436)),"")</f>
        <v>0.64900462962962957</v>
      </c>
      <c r="D3436" s="82" t="s">
        <v>62</v>
      </c>
      <c r="E3436" s="82" t="s">
        <v>7</v>
      </c>
      <c r="F3436" s="85">
        <v>21000</v>
      </c>
      <c r="G3436" s="46"/>
      <c r="H3436" s="46">
        <f>IFERROR(TRANSACTIONS!$F3436+TRANSACTIONS!$G3436,"")</f>
        <v>21000</v>
      </c>
      <c r="I3436" s="40" t="s">
        <v>41</v>
      </c>
    </row>
    <row r="3437" spans="1:9" x14ac:dyDescent="0.25">
      <c r="A3437" s="41">
        <v>45364.649203935187</v>
      </c>
      <c r="B3437" s="48">
        <f>IF(A3437&lt;&gt;"",DATE(YEAR(TRANSACTIONS!$A3437),MONTH(TRANSACTIONS!$A3437),DAY(TRANSACTIONS!$A3437)),"")</f>
        <v>45364</v>
      </c>
      <c r="C3437" s="49">
        <f>IF(A3437&lt;&gt;"",TIME(HOUR(TRANSACTIONS!$A3437),MINUTE(TRANSACTIONS!$A3437),SECOND(TRANSACTIONS!$A3437)),"")</f>
        <v>0.6492013888888889</v>
      </c>
      <c r="D3437" s="82" t="s">
        <v>62</v>
      </c>
      <c r="E3437" s="82" t="s">
        <v>6</v>
      </c>
      <c r="F3437" s="85">
        <v>17500</v>
      </c>
      <c r="G3437" s="46"/>
      <c r="H3437" s="46">
        <f>IFERROR(TRANSACTIONS!$F3437+TRANSACTIONS!$G3437,"")</f>
        <v>17500</v>
      </c>
      <c r="I3437" s="40" t="s">
        <v>41</v>
      </c>
    </row>
    <row r="3438" spans="1:9" x14ac:dyDescent="0.25">
      <c r="A3438" s="113">
        <v>45364.649212384262</v>
      </c>
      <c r="B3438" s="114">
        <f>IF(A3438&lt;&gt;"",DATE(YEAR(TRANSACTIONS!$A3438),MONTH(TRANSACTIONS!$A3438),DAY(TRANSACTIONS!$A3438)),"")</f>
        <v>45364</v>
      </c>
      <c r="C3438" s="115">
        <f>IF(A3438&lt;&gt;"",TIME(HOUR(TRANSACTIONS!$A3438),MINUTE(TRANSACTIONS!$A3438),SECOND(TRANSACTIONS!$A3438)),"")</f>
        <v>0.64921296296296294</v>
      </c>
      <c r="D3438" s="82" t="s">
        <v>62</v>
      </c>
      <c r="E3438" s="82" t="s">
        <v>6</v>
      </c>
      <c r="F3438" s="85">
        <v>7000</v>
      </c>
      <c r="G3438" s="117"/>
      <c r="H3438" s="117">
        <f>IFERROR(TRANSACTIONS!$F3438+TRANSACTIONS!$G3438,"")</f>
        <v>7000</v>
      </c>
      <c r="I3438" s="118" t="s">
        <v>41</v>
      </c>
    </row>
    <row r="3439" spans="1:9" x14ac:dyDescent="0.25">
      <c r="A3439" s="41">
        <v>45364.649219560182</v>
      </c>
      <c r="B3439" s="48">
        <f>IF(A3439&lt;&gt;"",DATE(YEAR(TRANSACTIONS!$A3439),MONTH(TRANSACTIONS!$A3439),DAY(TRANSACTIONS!$A3439)),"")</f>
        <v>45364</v>
      </c>
      <c r="C3439" s="49">
        <f>IF(A3439&lt;&gt;"",TIME(HOUR(TRANSACTIONS!$A3439),MINUTE(TRANSACTIONS!$A3439),SECOND(TRANSACTIONS!$A3439)),"")</f>
        <v>0.64922453703703698</v>
      </c>
      <c r="D3439" s="82" t="s">
        <v>62</v>
      </c>
      <c r="E3439" s="82" t="s">
        <v>6</v>
      </c>
      <c r="F3439" s="85">
        <v>5000</v>
      </c>
      <c r="G3439" s="46"/>
      <c r="H3439" s="46">
        <f>IFERROR(TRANSACTIONS!$F3439+TRANSACTIONS!$G3439,"")</f>
        <v>5000</v>
      </c>
      <c r="I3439" s="40" t="s">
        <v>41</v>
      </c>
    </row>
    <row r="3440" spans="1:9" x14ac:dyDescent="0.25">
      <c r="A3440" s="41">
        <v>45364.649227199072</v>
      </c>
      <c r="B3440" s="48">
        <f>IF(A3440&lt;&gt;"",DATE(YEAR(TRANSACTIONS!$A3440),MONTH(TRANSACTIONS!$A3440),DAY(TRANSACTIONS!$A3440)),"")</f>
        <v>45364</v>
      </c>
      <c r="C3440" s="49">
        <f>IF(A3440&lt;&gt;"",TIME(HOUR(TRANSACTIONS!$A3440),MINUTE(TRANSACTIONS!$A3440),SECOND(TRANSACTIONS!$A3440)),"")</f>
        <v>0.64922453703703698</v>
      </c>
      <c r="D3440" s="82" t="s">
        <v>62</v>
      </c>
      <c r="E3440" s="82" t="s">
        <v>6</v>
      </c>
      <c r="F3440" s="85">
        <v>80000</v>
      </c>
      <c r="G3440" s="46"/>
      <c r="H3440" s="46">
        <f>IFERROR(TRANSACTIONS!$F3440+TRANSACTIONS!$G3440,"")</f>
        <v>80000</v>
      </c>
      <c r="I3440" s="40" t="s">
        <v>41</v>
      </c>
    </row>
    <row r="3441" spans="1:9" x14ac:dyDescent="0.25">
      <c r="A3441" s="41">
        <v>45364.649234606484</v>
      </c>
      <c r="B3441" s="48">
        <f>IF(A3441&lt;&gt;"",DATE(YEAR(TRANSACTIONS!$A3441),MONTH(TRANSACTIONS!$A3441),DAY(TRANSACTIONS!$A3441)),"")</f>
        <v>45364</v>
      </c>
      <c r="C3441" s="49">
        <f>IF(A3441&lt;&gt;"",TIME(HOUR(TRANSACTIONS!$A3441),MINUTE(TRANSACTIONS!$A3441),SECOND(TRANSACTIONS!$A3441)),"")</f>
        <v>0.64923611111111112</v>
      </c>
      <c r="D3441" s="82" t="s">
        <v>62</v>
      </c>
      <c r="E3441" s="82" t="s">
        <v>6</v>
      </c>
      <c r="F3441" s="85">
        <v>10100</v>
      </c>
      <c r="G3441" s="46"/>
      <c r="H3441" s="46">
        <f>IFERROR(TRANSACTIONS!$F3441+TRANSACTIONS!$G3441,"")</f>
        <v>10100</v>
      </c>
      <c r="I3441" s="40" t="s">
        <v>41</v>
      </c>
    </row>
    <row r="3442" spans="1:9" x14ac:dyDescent="0.25">
      <c r="A3442" s="41">
        <v>45364.649256365738</v>
      </c>
      <c r="B3442" s="48">
        <f>IF(A3442&lt;&gt;"",DATE(YEAR(TRANSACTIONS!$A3442),MONTH(TRANSACTIONS!$A3442),DAY(TRANSACTIONS!$A3442)),"")</f>
        <v>45364</v>
      </c>
      <c r="C3442" s="49">
        <f>IF(A3442&lt;&gt;"",TIME(HOUR(TRANSACTIONS!$A3442),MINUTE(TRANSACTIONS!$A3442),SECOND(TRANSACTIONS!$A3442)),"")</f>
        <v>0.64925925925925931</v>
      </c>
      <c r="D3442" s="82" t="s">
        <v>62</v>
      </c>
      <c r="E3442" s="82" t="s">
        <v>6</v>
      </c>
      <c r="F3442" s="85">
        <v>343000</v>
      </c>
      <c r="G3442" s="46"/>
      <c r="H3442" s="46">
        <f>IFERROR(TRANSACTIONS!$F3442+TRANSACTIONS!$G3442,"")</f>
        <v>343000</v>
      </c>
      <c r="I3442" s="40" t="s">
        <v>41</v>
      </c>
    </row>
    <row r="3443" spans="1:9" x14ac:dyDescent="0.25">
      <c r="A3443" s="41">
        <v>45364.649264467589</v>
      </c>
      <c r="B3443" s="48">
        <f>IF(A3443&lt;&gt;"",DATE(YEAR(TRANSACTIONS!$A3443),MONTH(TRANSACTIONS!$A3443),DAY(TRANSACTIONS!$A3443)),"")</f>
        <v>45364</v>
      </c>
      <c r="C3443" s="49">
        <f>IF(A3443&lt;&gt;"",TIME(HOUR(TRANSACTIONS!$A3443),MINUTE(TRANSACTIONS!$A3443),SECOND(TRANSACTIONS!$A3443)),"")</f>
        <v>0.64925925925925931</v>
      </c>
      <c r="D3443" s="82" t="s">
        <v>62</v>
      </c>
      <c r="E3443" s="82" t="s">
        <v>7</v>
      </c>
      <c r="F3443" s="85">
        <v>1000</v>
      </c>
      <c r="G3443" s="46"/>
      <c r="H3443" s="46">
        <f>IFERROR(TRANSACTIONS!$F3443+TRANSACTIONS!$G3443,"")</f>
        <v>1000</v>
      </c>
      <c r="I3443" s="40" t="s">
        <v>41</v>
      </c>
    </row>
    <row r="3444" spans="1:9" x14ac:dyDescent="0.25">
      <c r="A3444" s="41">
        <v>45364.663051967589</v>
      </c>
      <c r="B3444" s="48">
        <f>IF(A3444&lt;&gt;"",DATE(YEAR(TRANSACTIONS!$A3444),MONTH(TRANSACTIONS!$A3444),DAY(TRANSACTIONS!$A3444)),"")</f>
        <v>45364</v>
      </c>
      <c r="C3444" s="49">
        <f>IF(A3444&lt;&gt;"",TIME(HOUR(TRANSACTIONS!$A3444),MINUTE(TRANSACTIONS!$A3444),SECOND(TRANSACTIONS!$A3444)),"")</f>
        <v>0.66305555555555562</v>
      </c>
      <c r="D3444" s="82" t="s">
        <v>62</v>
      </c>
      <c r="E3444" s="82" t="s">
        <v>6</v>
      </c>
      <c r="F3444" s="85">
        <v>10000</v>
      </c>
      <c r="G3444" s="46"/>
      <c r="H3444" s="46">
        <f>IFERROR(TRANSACTIONS!$F3444+TRANSACTIONS!$G3444,"")</f>
        <v>10000</v>
      </c>
      <c r="I3444" s="40" t="s">
        <v>41</v>
      </c>
    </row>
    <row r="3445" spans="1:9" x14ac:dyDescent="0.25">
      <c r="A3445" s="41">
        <v>45364.663086458335</v>
      </c>
      <c r="B3445" s="48">
        <f>IF(A3445&lt;&gt;"",DATE(YEAR(TRANSACTIONS!$A3445),MONTH(TRANSACTIONS!$A3445),DAY(TRANSACTIONS!$A3445)),"")</f>
        <v>45364</v>
      </c>
      <c r="C3445" s="49">
        <f>IF(A3445&lt;&gt;"",TIME(HOUR(TRANSACTIONS!$A3445),MINUTE(TRANSACTIONS!$A3445),SECOND(TRANSACTIONS!$A3445)),"")</f>
        <v>0.66309027777777774</v>
      </c>
      <c r="D3445" s="82" t="s">
        <v>62</v>
      </c>
      <c r="E3445" s="82" t="s">
        <v>7</v>
      </c>
      <c r="F3445" s="85">
        <v>3000</v>
      </c>
      <c r="G3445" s="46"/>
      <c r="H3445" s="46">
        <f>IFERROR(TRANSACTIONS!$F3445+TRANSACTIONS!$G3445,"")</f>
        <v>3000</v>
      </c>
      <c r="I3445" s="40" t="s">
        <v>41</v>
      </c>
    </row>
    <row r="3446" spans="1:9" x14ac:dyDescent="0.25">
      <c r="A3446" s="41">
        <v>45364.663094791664</v>
      </c>
      <c r="B3446" s="48">
        <f>IF(A3446&lt;&gt;"",DATE(YEAR(TRANSACTIONS!$A3446),MONTH(TRANSACTIONS!$A3446),DAY(TRANSACTIONS!$A3446)),"")</f>
        <v>45364</v>
      </c>
      <c r="C3446" s="49">
        <f>IF(A3446&lt;&gt;"",TIME(HOUR(TRANSACTIONS!$A3446),MINUTE(TRANSACTIONS!$A3446),SECOND(TRANSACTIONS!$A3446)),"")</f>
        <v>0.66309027777777774</v>
      </c>
      <c r="D3446" s="82" t="s">
        <v>62</v>
      </c>
      <c r="E3446" s="82" t="s">
        <v>7</v>
      </c>
      <c r="F3446" s="85">
        <v>3000</v>
      </c>
      <c r="G3446" s="46"/>
      <c r="H3446" s="46">
        <f>IFERROR(TRANSACTIONS!$F3446+TRANSACTIONS!$G3446,"")</f>
        <v>3000</v>
      </c>
      <c r="I3446" s="40" t="s">
        <v>41</v>
      </c>
    </row>
    <row r="3447" spans="1:9" x14ac:dyDescent="0.25">
      <c r="A3447" s="41">
        <v>45364.663105208332</v>
      </c>
      <c r="B3447" s="48">
        <f>IF(A3447&lt;&gt;"",DATE(YEAR(TRANSACTIONS!$A3447),MONTH(TRANSACTIONS!$A3447),DAY(TRANSACTIONS!$A3447)),"")</f>
        <v>45364</v>
      </c>
      <c r="C3447" s="49">
        <f>IF(A3447&lt;&gt;"",TIME(HOUR(TRANSACTIONS!$A3447),MINUTE(TRANSACTIONS!$A3447),SECOND(TRANSACTIONS!$A3447)),"")</f>
        <v>0.66310185185185189</v>
      </c>
      <c r="D3447" s="82" t="s">
        <v>62</v>
      </c>
      <c r="E3447" s="82" t="s">
        <v>6</v>
      </c>
      <c r="F3447" s="85">
        <v>3000</v>
      </c>
      <c r="G3447" s="46"/>
      <c r="H3447" s="46">
        <f>IFERROR(TRANSACTIONS!$F3447+TRANSACTIONS!$G3447,"")</f>
        <v>3000</v>
      </c>
      <c r="I3447" s="40" t="s">
        <v>41</v>
      </c>
    </row>
    <row r="3448" spans="1:9" x14ac:dyDescent="0.25">
      <c r="A3448" s="41">
        <v>45364.66312060185</v>
      </c>
      <c r="B3448" s="48">
        <f>IF(A3448&lt;&gt;"",DATE(YEAR(TRANSACTIONS!$A3448),MONTH(TRANSACTIONS!$A3448),DAY(TRANSACTIONS!$A3448)),"")</f>
        <v>45364</v>
      </c>
      <c r="C3448" s="49">
        <f>IF(A3448&lt;&gt;"",TIME(HOUR(TRANSACTIONS!$A3448),MINUTE(TRANSACTIONS!$A3448),SECOND(TRANSACTIONS!$A3448)),"")</f>
        <v>0.66312499999999996</v>
      </c>
      <c r="D3448" s="82" t="s">
        <v>62</v>
      </c>
      <c r="E3448" s="82" t="s">
        <v>6</v>
      </c>
      <c r="F3448" s="85">
        <v>2000</v>
      </c>
      <c r="G3448" s="46"/>
      <c r="H3448" s="46">
        <f>IFERROR(TRANSACTIONS!$F3448+TRANSACTIONS!$G3448,"")</f>
        <v>2000</v>
      </c>
      <c r="I3448" s="40" t="s">
        <v>41</v>
      </c>
    </row>
    <row r="3449" spans="1:9" x14ac:dyDescent="0.25">
      <c r="A3449" s="41">
        <v>45364.663177083334</v>
      </c>
      <c r="B3449" s="48">
        <f>IF(A3449&lt;&gt;"",DATE(YEAR(TRANSACTIONS!$A3449),MONTH(TRANSACTIONS!$A3449),DAY(TRANSACTIONS!$A3449)),"")</f>
        <v>45364</v>
      </c>
      <c r="C3449" s="49">
        <f>IF(A3449&lt;&gt;"",TIME(HOUR(TRANSACTIONS!$A3449),MINUTE(TRANSACTIONS!$A3449),SECOND(TRANSACTIONS!$A3449)),"")</f>
        <v>0.66317129629629623</v>
      </c>
      <c r="D3449" s="82" t="s">
        <v>64</v>
      </c>
      <c r="E3449" s="82" t="s">
        <v>7</v>
      </c>
      <c r="F3449" s="85">
        <v>600000</v>
      </c>
      <c r="G3449" s="46"/>
      <c r="H3449" s="46">
        <f>IFERROR(TRANSACTIONS!$F3449+TRANSACTIONS!$G3449,"")</f>
        <v>600000</v>
      </c>
      <c r="I3449" s="40" t="s">
        <v>41</v>
      </c>
    </row>
    <row r="3450" spans="1:9" x14ac:dyDescent="0.25">
      <c r="A3450" s="41">
        <v>45364.663185300924</v>
      </c>
      <c r="B3450" s="48">
        <f>IF(A3450&lt;&gt;"",DATE(YEAR(TRANSACTIONS!$A3450),MONTH(TRANSACTIONS!$A3450),DAY(TRANSACTIONS!$A3450)),"")</f>
        <v>45364</v>
      </c>
      <c r="C3450" s="49">
        <f>IF(A3450&lt;&gt;"",TIME(HOUR(TRANSACTIONS!$A3450),MINUTE(TRANSACTIONS!$A3450),SECOND(TRANSACTIONS!$A3450)),"")</f>
        <v>0.66318287037037038</v>
      </c>
      <c r="D3450" s="82" t="s">
        <v>25</v>
      </c>
      <c r="E3450" s="82" t="s">
        <v>7</v>
      </c>
      <c r="F3450" s="85">
        <v>10000</v>
      </c>
      <c r="G3450" s="46"/>
      <c r="H3450" s="46">
        <f>IFERROR(TRANSACTIONS!$F3450+TRANSACTIONS!$G3450,"")</f>
        <v>10000</v>
      </c>
      <c r="I3450" s="40" t="s">
        <v>41</v>
      </c>
    </row>
    <row r="3451" spans="1:9" x14ac:dyDescent="0.25">
      <c r="A3451" s="41">
        <v>45364.66320023148</v>
      </c>
      <c r="B3451" s="48">
        <f>IF(A3451&lt;&gt;"",DATE(YEAR(TRANSACTIONS!$A3451),MONTH(TRANSACTIONS!$A3451),DAY(TRANSACTIONS!$A3451)),"")</f>
        <v>45364</v>
      </c>
      <c r="C3451" s="49">
        <f>IF(A3451&lt;&gt;"",TIME(HOUR(TRANSACTIONS!$A3451),MINUTE(TRANSACTIONS!$A3451),SECOND(TRANSACTIONS!$A3451)),"")</f>
        <v>0.66319444444444442</v>
      </c>
      <c r="D3451" s="82" t="s">
        <v>25</v>
      </c>
      <c r="E3451" s="82" t="s">
        <v>7</v>
      </c>
      <c r="F3451" s="85">
        <v>5000</v>
      </c>
      <c r="G3451" s="46"/>
      <c r="H3451" s="46">
        <f>IFERROR(TRANSACTIONS!$F3451+TRANSACTIONS!$G3451,"")</f>
        <v>5000</v>
      </c>
      <c r="I3451" s="40" t="s">
        <v>41</v>
      </c>
    </row>
    <row r="3452" spans="1:9" x14ac:dyDescent="0.25">
      <c r="A3452" s="41">
        <v>45364.663210069448</v>
      </c>
      <c r="B3452" s="48">
        <f>IF(A3452&lt;&gt;"",DATE(YEAR(TRANSACTIONS!$A3452),MONTH(TRANSACTIONS!$A3452),DAY(TRANSACTIONS!$A3452)),"")</f>
        <v>45364</v>
      </c>
      <c r="C3452" s="49">
        <f>IF(A3452&lt;&gt;"",TIME(HOUR(TRANSACTIONS!$A3452),MINUTE(TRANSACTIONS!$A3452),SECOND(TRANSACTIONS!$A3452)),"")</f>
        <v>0.66320601851851857</v>
      </c>
      <c r="D3452" s="82" t="s">
        <v>25</v>
      </c>
      <c r="E3452" s="82" t="s">
        <v>7</v>
      </c>
      <c r="F3452" s="85">
        <v>1000</v>
      </c>
      <c r="G3452" s="46"/>
      <c r="H3452" s="46">
        <f>IFERROR(TRANSACTIONS!$F3452+TRANSACTIONS!$G3452,"")</f>
        <v>1000</v>
      </c>
      <c r="I3452" s="40" t="s">
        <v>41</v>
      </c>
    </row>
    <row r="3453" spans="1:9" x14ac:dyDescent="0.25">
      <c r="A3453" s="41">
        <v>45364.671590046295</v>
      </c>
      <c r="B3453" s="48">
        <f>IF(A3453&lt;&gt;"",DATE(YEAR(TRANSACTIONS!$A3453),MONTH(TRANSACTIONS!$A3453),DAY(TRANSACTIONS!$A3453)),"")</f>
        <v>45364</v>
      </c>
      <c r="C3453" s="49">
        <f>IF(A3453&lt;&gt;"",TIME(HOUR(TRANSACTIONS!$A3453),MINUTE(TRANSACTIONS!$A3453),SECOND(TRANSACTIONS!$A3453)),"")</f>
        <v>0.67158564814814825</v>
      </c>
      <c r="D3453" s="82" t="s">
        <v>25</v>
      </c>
      <c r="E3453" s="82" t="s">
        <v>6</v>
      </c>
      <c r="F3453" s="85">
        <v>2500</v>
      </c>
      <c r="G3453" s="46"/>
      <c r="H3453" s="46">
        <f>IFERROR(TRANSACTIONS!$F3453+TRANSACTIONS!$G3453,"")</f>
        <v>2500</v>
      </c>
      <c r="I3453" s="40" t="s">
        <v>41</v>
      </c>
    </row>
    <row r="3454" spans="1:9" x14ac:dyDescent="0.25">
      <c r="A3454" s="41">
        <v>45364.67756527778</v>
      </c>
      <c r="B3454" s="48">
        <f>IF(A3454&lt;&gt;"",DATE(YEAR(TRANSACTIONS!$A3454),MONTH(TRANSACTIONS!$A3454),DAY(TRANSACTIONS!$A3454)),"")</f>
        <v>45364</v>
      </c>
      <c r="C3454" s="49">
        <f>IF(A3454&lt;&gt;"",TIME(HOUR(TRANSACTIONS!$A3454),MINUTE(TRANSACTIONS!$A3454),SECOND(TRANSACTIONS!$A3454)),"")</f>
        <v>0.67756944444444445</v>
      </c>
      <c r="D3454" s="82" t="s">
        <v>25</v>
      </c>
      <c r="E3454" s="82" t="s">
        <v>7</v>
      </c>
      <c r="F3454" s="85">
        <v>25000</v>
      </c>
      <c r="G3454" s="46"/>
      <c r="H3454" s="46">
        <f>IFERROR(TRANSACTIONS!$F3454+TRANSACTIONS!$G3454,"")</f>
        <v>25000</v>
      </c>
      <c r="I3454" s="40" t="s">
        <v>41</v>
      </c>
    </row>
    <row r="3455" spans="1:9" x14ac:dyDescent="0.25">
      <c r="A3455" s="41">
        <v>45364.677588888888</v>
      </c>
      <c r="B3455" s="48">
        <f>IF(A3455&lt;&gt;"",DATE(YEAR(TRANSACTIONS!$A3455),MONTH(TRANSACTIONS!$A3455),DAY(TRANSACTIONS!$A3455)),"")</f>
        <v>45364</v>
      </c>
      <c r="C3455" s="49">
        <f>IF(A3455&lt;&gt;"",TIME(HOUR(TRANSACTIONS!$A3455),MINUTE(TRANSACTIONS!$A3455),SECOND(TRANSACTIONS!$A3455)),"")</f>
        <v>0.67759259259259252</v>
      </c>
      <c r="D3455" s="82" t="s">
        <v>63</v>
      </c>
      <c r="E3455" s="82" t="s">
        <v>6</v>
      </c>
      <c r="F3455" s="85">
        <v>5000</v>
      </c>
      <c r="G3455" s="46"/>
      <c r="H3455" s="46">
        <f>IFERROR(TRANSACTIONS!$F3455+TRANSACTIONS!$G3455,"")</f>
        <v>5000</v>
      </c>
      <c r="I3455" s="40" t="s">
        <v>41</v>
      </c>
    </row>
    <row r="3456" spans="1:9" x14ac:dyDescent="0.25">
      <c r="A3456" s="41">
        <v>45364.677631018516</v>
      </c>
      <c r="B3456" s="114">
        <f>IF(A3456&lt;&gt;"",DATE(YEAR(TRANSACTIONS!$A3456),MONTH(TRANSACTIONS!$A3456),DAY(TRANSACTIONS!$A3456)),"")</f>
        <v>45364</v>
      </c>
      <c r="C3456" s="115">
        <f>IF(A3456&lt;&gt;"",TIME(HOUR(TRANSACTIONS!$A3456),MINUTE(TRANSACTIONS!$A3456),SECOND(TRANSACTIONS!$A3456)),"")</f>
        <v>0.67762731481481486</v>
      </c>
      <c r="D3456" s="82" t="s">
        <v>62</v>
      </c>
      <c r="E3456" s="82" t="s">
        <v>6</v>
      </c>
      <c r="F3456" s="85">
        <v>5000</v>
      </c>
      <c r="G3456" s="117"/>
      <c r="H3456" s="117">
        <f>IFERROR(TRANSACTIONS!$F3456+TRANSACTIONS!$G3456,"")</f>
        <v>5000</v>
      </c>
      <c r="I3456" s="118" t="s">
        <v>41</v>
      </c>
    </row>
    <row r="3457" spans="1:9" x14ac:dyDescent="0.25">
      <c r="A3457" s="41">
        <v>45364.679541087964</v>
      </c>
      <c r="B3457" s="48">
        <f>IF(A3457&lt;&gt;"",DATE(YEAR(TRANSACTIONS!$A3457),MONTH(TRANSACTIONS!$A3457),DAY(TRANSACTIONS!$A3457)),"")</f>
        <v>45364</v>
      </c>
      <c r="C3457" s="49">
        <f>IF(A3457&lt;&gt;"",TIME(HOUR(TRANSACTIONS!$A3457),MINUTE(TRANSACTIONS!$A3457),SECOND(TRANSACTIONS!$A3457)),"")</f>
        <v>0.67953703703703694</v>
      </c>
      <c r="D3457" s="82" t="s">
        <v>62</v>
      </c>
      <c r="E3457" s="82" t="s">
        <v>7</v>
      </c>
      <c r="F3457" s="85">
        <v>35000</v>
      </c>
      <c r="G3457" s="46"/>
      <c r="H3457" s="46">
        <f>IFERROR(TRANSACTIONS!$F3457+TRANSACTIONS!$G3457,"")</f>
        <v>35000</v>
      </c>
      <c r="I3457" s="40" t="s">
        <v>41</v>
      </c>
    </row>
    <row r="3458" spans="1:9" x14ac:dyDescent="0.25">
      <c r="A3458" s="41">
        <v>45364.679551851848</v>
      </c>
      <c r="B3458" s="48">
        <f>IF(A3458&lt;&gt;"",DATE(YEAR(TRANSACTIONS!$A3458),MONTH(TRANSACTIONS!$A3458),DAY(TRANSACTIONS!$A3458)),"")</f>
        <v>45364</v>
      </c>
      <c r="C3458" s="49">
        <f>IF(A3458&lt;&gt;"",TIME(HOUR(TRANSACTIONS!$A3458),MINUTE(TRANSACTIONS!$A3458),SECOND(TRANSACTIONS!$A3458)),"")</f>
        <v>0.67954861111111109</v>
      </c>
      <c r="D3458" s="82" t="s">
        <v>25</v>
      </c>
      <c r="E3458" s="82" t="s">
        <v>6</v>
      </c>
      <c r="F3458" s="85">
        <v>10000</v>
      </c>
      <c r="G3458" s="46"/>
      <c r="H3458" s="46">
        <f>IFERROR(TRANSACTIONS!$F3458+TRANSACTIONS!$G3458,"")</f>
        <v>10000</v>
      </c>
      <c r="I3458" s="40" t="s">
        <v>41</v>
      </c>
    </row>
    <row r="3459" spans="1:9" x14ac:dyDescent="0.25">
      <c r="A3459" s="41"/>
      <c r="B3459" s="48" t="str">
        <f>IF(A3459&lt;&gt;"",DATE(YEAR(TRANSACTIONS!$A3459),MONTH(TRANSACTIONS!$A3459),DAY(TRANSACTIONS!$A3459)),"")</f>
        <v/>
      </c>
      <c r="C3459" s="49" t="str">
        <f>IF(A3459&lt;&gt;"",TIME(HOUR(TRANSACTIONS!$A3459),MINUTE(TRANSACTIONS!$A3459),SECOND(TRANSACTIONS!$A3459)),"")</f>
        <v/>
      </c>
      <c r="D3459" s="82"/>
      <c r="E3459" s="82"/>
      <c r="F3459" s="85"/>
      <c r="G3459" s="46"/>
      <c r="H3459" s="46">
        <f>IFERROR(TRANSACTIONS!$F3459+TRANSACTIONS!$G3459,"")</f>
        <v>0</v>
      </c>
      <c r="I3459" s="40" t="s">
        <v>41</v>
      </c>
    </row>
    <row r="3460" spans="1:9" x14ac:dyDescent="0.25">
      <c r="A3460" s="41">
        <v>45365.433369560182</v>
      </c>
      <c r="B3460" s="48">
        <f>IF(A3460&lt;&gt;"",DATE(YEAR(TRANSACTIONS!$A3460),MONTH(TRANSACTIONS!$A3460),DAY(TRANSACTIONS!$A3460)),"")</f>
        <v>45365</v>
      </c>
      <c r="C3460" s="49">
        <f>IF(A3460&lt;&gt;"",TIME(HOUR(TRANSACTIONS!$A3460),MINUTE(TRANSACTIONS!$A3460),SECOND(TRANSACTIONS!$A3460)),"")</f>
        <v>0.43336805555555552</v>
      </c>
      <c r="D3460" s="82" t="s">
        <v>25</v>
      </c>
      <c r="E3460" s="82" t="s">
        <v>6</v>
      </c>
      <c r="F3460" s="85">
        <v>90000</v>
      </c>
      <c r="G3460" s="46"/>
      <c r="H3460" s="46">
        <f>IFERROR(TRANSACTIONS!$F3460+TRANSACTIONS!$G3460,"")</f>
        <v>90000</v>
      </c>
      <c r="I3460" s="40" t="s">
        <v>41</v>
      </c>
    </row>
    <row r="3461" spans="1:9" x14ac:dyDescent="0.25">
      <c r="A3461" s="41">
        <v>45365.384293402778</v>
      </c>
      <c r="B3461" s="48">
        <f>IF(A3461&lt;&gt;"",DATE(YEAR(TRANSACTIONS!$A3461),MONTH(TRANSACTIONS!$A3461),DAY(TRANSACTIONS!$A3461)),"")</f>
        <v>45365</v>
      </c>
      <c r="C3461" s="49">
        <f>IF(A3461&lt;&gt;"",TIME(HOUR(TRANSACTIONS!$A3461),MINUTE(TRANSACTIONS!$A3461),SECOND(TRANSACTIONS!$A3461)),"")</f>
        <v>0.38429398148148147</v>
      </c>
      <c r="D3461" s="82" t="s">
        <v>62</v>
      </c>
      <c r="E3461" s="82" t="s">
        <v>7</v>
      </c>
      <c r="F3461" s="85">
        <v>30000</v>
      </c>
      <c r="G3461" s="46"/>
      <c r="H3461" s="46">
        <f>IFERROR(TRANSACTIONS!$F3461+TRANSACTIONS!$G3461,"")</f>
        <v>30000</v>
      </c>
      <c r="I3461" s="40" t="s">
        <v>41</v>
      </c>
    </row>
    <row r="3462" spans="1:9" x14ac:dyDescent="0.25">
      <c r="A3462" s="41">
        <v>45365.384316898148</v>
      </c>
      <c r="B3462" s="48">
        <f>IF(A3462&lt;&gt;"",DATE(YEAR(TRANSACTIONS!$A3462),MONTH(TRANSACTIONS!$A3462),DAY(TRANSACTIONS!$A3462)),"")</f>
        <v>45365</v>
      </c>
      <c r="C3462" s="49">
        <f>IF(A3462&lt;&gt;"",TIME(HOUR(TRANSACTIONS!$A3462),MINUTE(TRANSACTIONS!$A3462),SECOND(TRANSACTIONS!$A3462)),"")</f>
        <v>0.38431712962962966</v>
      </c>
      <c r="D3462" s="82" t="s">
        <v>62</v>
      </c>
      <c r="E3462" s="82" t="s">
        <v>6</v>
      </c>
      <c r="F3462" s="85">
        <v>1000</v>
      </c>
      <c r="G3462" s="46"/>
      <c r="H3462" s="46">
        <f>IFERROR(TRANSACTIONS!$F3462+TRANSACTIONS!$G3462,"")</f>
        <v>1000</v>
      </c>
      <c r="I3462" s="40" t="s">
        <v>41</v>
      </c>
    </row>
    <row r="3463" spans="1:9" x14ac:dyDescent="0.25">
      <c r="A3463" s="240">
        <v>45365.384324189814</v>
      </c>
      <c r="B3463" s="241">
        <f>IF(A3463&lt;&gt;"",DATE(YEAR(TRANSACTIONS!$A3463),MONTH(TRANSACTIONS!$A3463),DAY(TRANSACTIONS!$A3463)),"")</f>
        <v>45365</v>
      </c>
      <c r="C3463" s="242">
        <f>IF(A3463&lt;&gt;"",TIME(HOUR(TRANSACTIONS!$A3463),MINUTE(TRANSACTIONS!$A3463),SECOND(TRANSACTIONS!$A3463)),"")</f>
        <v>0.3843287037037037</v>
      </c>
      <c r="D3463" s="243" t="s">
        <v>62</v>
      </c>
      <c r="E3463" s="243" t="s">
        <v>7</v>
      </c>
      <c r="F3463" s="244">
        <v>15000</v>
      </c>
      <c r="G3463" s="245"/>
      <c r="H3463" s="245">
        <f>IFERROR(TRANSACTIONS!$F3463+TRANSACTIONS!$G3463,"")</f>
        <v>15000</v>
      </c>
      <c r="I3463" s="246" t="s">
        <v>41</v>
      </c>
    </row>
    <row r="3464" spans="1:9" x14ac:dyDescent="0.25">
      <c r="A3464" s="41">
        <v>45365.384835185185</v>
      </c>
      <c r="B3464" s="48">
        <f>IF(A3464&lt;&gt;"",DATE(YEAR(TRANSACTIONS!$A3464),MONTH(TRANSACTIONS!$A3464),DAY(TRANSACTIONS!$A3464)),"")</f>
        <v>45365</v>
      </c>
      <c r="C3464" s="49">
        <f>IF(A3464&lt;&gt;"",TIME(HOUR(TRANSACTIONS!$A3464),MINUTE(TRANSACTIONS!$A3464),SECOND(TRANSACTIONS!$A3464)),"")</f>
        <v>0.38483796296296297</v>
      </c>
      <c r="D3464" s="82" t="s">
        <v>62</v>
      </c>
      <c r="E3464" s="82" t="s">
        <v>7</v>
      </c>
      <c r="F3464" s="85">
        <v>3500</v>
      </c>
      <c r="G3464" s="46"/>
      <c r="H3464" s="46">
        <f>IFERROR(TRANSACTIONS!$F3464+TRANSACTIONS!$G3464,"")</f>
        <v>3500</v>
      </c>
      <c r="I3464" s="40" t="s">
        <v>41</v>
      </c>
    </row>
    <row r="3465" spans="1:9" x14ac:dyDescent="0.25">
      <c r="A3465" s="41">
        <v>45365.384867824076</v>
      </c>
      <c r="B3465" s="48">
        <f>IF(A3465&lt;&gt;"",DATE(YEAR(TRANSACTIONS!$A3465),MONTH(TRANSACTIONS!$A3465),DAY(TRANSACTIONS!$A3465)),"")</f>
        <v>45365</v>
      </c>
      <c r="C3465" s="49">
        <f>IF(A3465&lt;&gt;"",TIME(HOUR(TRANSACTIONS!$A3465),MINUTE(TRANSACTIONS!$A3465),SECOND(TRANSACTIONS!$A3465)),"")</f>
        <v>0.38487268518518519</v>
      </c>
      <c r="D3465" s="82" t="s">
        <v>62</v>
      </c>
      <c r="E3465" s="82" t="s">
        <v>6</v>
      </c>
      <c r="F3465" s="85">
        <v>6850</v>
      </c>
      <c r="G3465" s="46"/>
      <c r="H3465" s="46">
        <f>IFERROR(TRANSACTIONS!$F3465+TRANSACTIONS!$G3465,"")</f>
        <v>6850</v>
      </c>
      <c r="I3465" s="40" t="s">
        <v>41</v>
      </c>
    </row>
    <row r="3466" spans="1:9" x14ac:dyDescent="0.25">
      <c r="A3466" s="41">
        <v>45365.432179861113</v>
      </c>
      <c r="B3466" s="48">
        <f>IF(A3466&lt;&gt;"",DATE(YEAR(TRANSACTIONS!$A3466),MONTH(TRANSACTIONS!$A3466),DAY(TRANSACTIONS!$A3466)),"")</f>
        <v>45365</v>
      </c>
      <c r="C3466" s="49">
        <f>IF(A3466&lt;&gt;"",TIME(HOUR(TRANSACTIONS!$A3466),MINUTE(TRANSACTIONS!$A3466),SECOND(TRANSACTIONS!$A3466)),"")</f>
        <v>0.43217592592592591</v>
      </c>
      <c r="D3466" s="82" t="s">
        <v>62</v>
      </c>
      <c r="E3466" s="82" t="s">
        <v>7</v>
      </c>
      <c r="F3466" s="85">
        <v>10000</v>
      </c>
      <c r="G3466" s="46"/>
      <c r="H3466" s="46">
        <f>IFERROR(TRANSACTIONS!$F3466+TRANSACTIONS!$G3466,"")</f>
        <v>10000</v>
      </c>
      <c r="I3466" s="40" t="s">
        <v>41</v>
      </c>
    </row>
    <row r="3467" spans="1:9" x14ac:dyDescent="0.25">
      <c r="A3467" s="41">
        <v>45365.432197800925</v>
      </c>
      <c r="B3467" s="48">
        <f>IF(A3467&lt;&gt;"",DATE(YEAR(TRANSACTIONS!$A3467),MONTH(TRANSACTIONS!$A3467),DAY(TRANSACTIONS!$A3467)),"")</f>
        <v>45365</v>
      </c>
      <c r="C3467" s="49">
        <f>IF(A3467&lt;&gt;"",TIME(HOUR(TRANSACTIONS!$A3467),MINUTE(TRANSACTIONS!$A3467),SECOND(TRANSACTIONS!$A3467)),"")</f>
        <v>0.43219907407407404</v>
      </c>
      <c r="D3467" s="82" t="s">
        <v>62</v>
      </c>
      <c r="E3467" s="82" t="s">
        <v>6</v>
      </c>
      <c r="F3467" s="85">
        <v>10000</v>
      </c>
      <c r="G3467" s="46"/>
      <c r="H3467" s="46">
        <f>IFERROR(TRANSACTIONS!$F3467+TRANSACTIONS!$G3467,"")</f>
        <v>10000</v>
      </c>
      <c r="I3467" s="40" t="s">
        <v>41</v>
      </c>
    </row>
    <row r="3468" spans="1:9" x14ac:dyDescent="0.25">
      <c r="A3468" s="41">
        <v>45365.43223564815</v>
      </c>
      <c r="B3468" s="48">
        <f>IF(A3468&lt;&gt;"",DATE(YEAR(TRANSACTIONS!$A3468),MONTH(TRANSACTIONS!$A3468),DAY(TRANSACTIONS!$A3468)),"")</f>
        <v>45365</v>
      </c>
      <c r="C3468" s="49">
        <f>IF(A3468&lt;&gt;"",TIME(HOUR(TRANSACTIONS!$A3468),MINUTE(TRANSACTIONS!$A3468),SECOND(TRANSACTIONS!$A3468)),"")</f>
        <v>0.43223379629629632</v>
      </c>
      <c r="D3468" s="82" t="s">
        <v>62</v>
      </c>
      <c r="E3468" s="82" t="s">
        <v>6</v>
      </c>
      <c r="F3468" s="85">
        <v>1500</v>
      </c>
      <c r="G3468" s="46"/>
      <c r="H3468" s="46">
        <f>IFERROR(TRANSACTIONS!$F3468+TRANSACTIONS!$G3468,"")</f>
        <v>1500</v>
      </c>
      <c r="I3468" s="40" t="s">
        <v>41</v>
      </c>
    </row>
    <row r="3469" spans="1:9" x14ac:dyDescent="0.25">
      <c r="A3469" s="41">
        <v>45365.432242708332</v>
      </c>
      <c r="B3469" s="48">
        <f>IF(A3469&lt;&gt;"",DATE(YEAR(TRANSACTIONS!$A3469),MONTH(TRANSACTIONS!$A3469),DAY(TRANSACTIONS!$A3469)),"")</f>
        <v>45365</v>
      </c>
      <c r="C3469" s="49">
        <f>IF(A3469&lt;&gt;"",TIME(HOUR(TRANSACTIONS!$A3469),MINUTE(TRANSACTIONS!$A3469),SECOND(TRANSACTIONS!$A3469)),"")</f>
        <v>0.43224537037037036</v>
      </c>
      <c r="D3469" s="82" t="s">
        <v>62</v>
      </c>
      <c r="E3469" s="82" t="s">
        <v>6</v>
      </c>
      <c r="F3469" s="85">
        <v>5100</v>
      </c>
      <c r="G3469" s="46"/>
      <c r="H3469" s="46">
        <f>IFERROR(TRANSACTIONS!$F3469+TRANSACTIONS!$G3469,"")</f>
        <v>5100</v>
      </c>
      <c r="I3469" s="40" t="s">
        <v>41</v>
      </c>
    </row>
    <row r="3470" spans="1:9" x14ac:dyDescent="0.25">
      <c r="A3470" s="81">
        <v>45365.432250925929</v>
      </c>
      <c r="B3470" s="83">
        <f>IF(A3470&lt;&gt;"",DATE(YEAR(TRANSACTIONS!$A3470),MONTH(TRANSACTIONS!$A3470),DAY(TRANSACTIONS!$A3470)),"")</f>
        <v>45365</v>
      </c>
      <c r="C3470" s="84">
        <f>IF(A3470&lt;&gt;"",TIME(HOUR(TRANSACTIONS!$A3470),MINUTE(TRANSACTIONS!$A3470),SECOND(TRANSACTIONS!$A3470)),"")</f>
        <v>0.43224537037037036</v>
      </c>
      <c r="D3470" s="82" t="s">
        <v>62</v>
      </c>
      <c r="E3470" s="82" t="s">
        <v>7</v>
      </c>
      <c r="F3470" s="85">
        <v>5000</v>
      </c>
      <c r="G3470" s="86"/>
      <c r="H3470" s="86">
        <f>IFERROR(TRANSACTIONS!$F3470+TRANSACTIONS!$G3470,"")</f>
        <v>5000</v>
      </c>
      <c r="I3470" s="88" t="s">
        <v>41</v>
      </c>
    </row>
    <row r="3471" spans="1:9" x14ac:dyDescent="0.25">
      <c r="A3471" s="41">
        <v>45365.432257986111</v>
      </c>
      <c r="B3471" s="48">
        <f>IF(A3471&lt;&gt;"",DATE(YEAR(TRANSACTIONS!$A3471),MONTH(TRANSACTIONS!$A3471),DAY(TRANSACTIONS!$A3471)),"")</f>
        <v>45365</v>
      </c>
      <c r="C3471" s="49">
        <f>IF(A3471&lt;&gt;"",TIME(HOUR(TRANSACTIONS!$A3471),MINUTE(TRANSACTIONS!$A3471),SECOND(TRANSACTIONS!$A3471)),"")</f>
        <v>0.43225694444444446</v>
      </c>
      <c r="D3471" s="82" t="s">
        <v>62</v>
      </c>
      <c r="E3471" s="82" t="s">
        <v>7</v>
      </c>
      <c r="F3471" s="85">
        <v>3500</v>
      </c>
      <c r="G3471" s="46"/>
      <c r="H3471" s="46">
        <f>IFERROR(TRANSACTIONS!$F3471+TRANSACTIONS!$G3471,"")</f>
        <v>3500</v>
      </c>
      <c r="I3471" s="40" t="s">
        <v>41</v>
      </c>
    </row>
    <row r="3472" spans="1:9" ht="14.25" customHeight="1" x14ac:dyDescent="0.25">
      <c r="A3472" s="41">
        <v>45365.432265162039</v>
      </c>
      <c r="B3472" s="48">
        <f>IF(A3472&lt;&gt;"",DATE(YEAR(TRANSACTIONS!$A3472),MONTH(TRANSACTIONS!$A3472),DAY(TRANSACTIONS!$A3472)),"")</f>
        <v>45365</v>
      </c>
      <c r="C3472" s="49">
        <f>IF(A3472&lt;&gt;"",TIME(HOUR(TRANSACTIONS!$A3472),MINUTE(TRANSACTIONS!$A3472),SECOND(TRANSACTIONS!$A3472)),"")</f>
        <v>0.4322685185185185</v>
      </c>
      <c r="D3472" s="82" t="s">
        <v>62</v>
      </c>
      <c r="E3472" s="82" t="s">
        <v>7</v>
      </c>
      <c r="F3472" s="85">
        <v>3400</v>
      </c>
      <c r="G3472" s="46"/>
      <c r="H3472" s="46">
        <f>IFERROR(TRANSACTIONS!$F3472+TRANSACTIONS!$G3472,"")</f>
        <v>3400</v>
      </c>
      <c r="I3472" s="40" t="s">
        <v>41</v>
      </c>
    </row>
    <row r="3473" spans="1:9" ht="13.5" customHeight="1" x14ac:dyDescent="0.25">
      <c r="A3473" s="41">
        <v>45365.432272453705</v>
      </c>
      <c r="B3473" s="48">
        <f>IF(A3473&lt;&gt;"",DATE(YEAR(TRANSACTIONS!$A3473),MONTH(TRANSACTIONS!$A3473),DAY(TRANSACTIONS!$A3473)),"")</f>
        <v>45365</v>
      </c>
      <c r="C3473" s="49">
        <f>IF(A3473&lt;&gt;"",TIME(HOUR(TRANSACTIONS!$A3473),MINUTE(TRANSACTIONS!$A3473),SECOND(TRANSACTIONS!$A3473)),"")</f>
        <v>0.4322685185185185</v>
      </c>
      <c r="D3473" s="82" t="s">
        <v>62</v>
      </c>
      <c r="E3473" s="82" t="s">
        <v>7</v>
      </c>
      <c r="F3473" s="85">
        <v>100000</v>
      </c>
      <c r="G3473" s="46"/>
      <c r="H3473" s="46">
        <f>IFERROR(TRANSACTIONS!$F3473+TRANSACTIONS!$G3473,"")</f>
        <v>100000</v>
      </c>
      <c r="I3473" s="40" t="s">
        <v>41</v>
      </c>
    </row>
    <row r="3474" spans="1:9" x14ac:dyDescent="0.25">
      <c r="A3474" s="41">
        <v>45365.432281944442</v>
      </c>
      <c r="B3474" s="48">
        <f>IF(A3474&lt;&gt;"",DATE(YEAR(TRANSACTIONS!$A3474),MONTH(TRANSACTIONS!$A3474),DAY(TRANSACTIONS!$A3474)),"")</f>
        <v>45365</v>
      </c>
      <c r="C3474" s="49">
        <f>IF(A3474&lt;&gt;"",TIME(HOUR(TRANSACTIONS!$A3474),MINUTE(TRANSACTIONS!$A3474),SECOND(TRANSACTIONS!$A3474)),"")</f>
        <v>0.43228009259259265</v>
      </c>
      <c r="D3474" s="82" t="s">
        <v>62</v>
      </c>
      <c r="E3474" s="82" t="s">
        <v>6</v>
      </c>
      <c r="F3474" s="85">
        <v>5000</v>
      </c>
      <c r="G3474" s="46"/>
      <c r="H3474" s="46">
        <f>IFERROR(TRANSACTIONS!$F3474+TRANSACTIONS!$G3474,"")</f>
        <v>5000</v>
      </c>
      <c r="I3474" s="40" t="s">
        <v>41</v>
      </c>
    </row>
    <row r="3475" spans="1:9" x14ac:dyDescent="0.25">
      <c r="A3475" s="41">
        <v>45365.432289236109</v>
      </c>
      <c r="B3475" s="48">
        <f>IF(A3475&lt;&gt;"",DATE(YEAR(TRANSACTIONS!$A3475),MONTH(TRANSACTIONS!$A3475),DAY(TRANSACTIONS!$A3475)),"")</f>
        <v>45365</v>
      </c>
      <c r="C3475" s="49">
        <f>IF(A3475&lt;&gt;"",TIME(HOUR(TRANSACTIONS!$A3475),MINUTE(TRANSACTIONS!$A3475),SECOND(TRANSACTIONS!$A3475)),"")</f>
        <v>0.43229166666666669</v>
      </c>
      <c r="D3475" s="82" t="s">
        <v>62</v>
      </c>
      <c r="E3475" s="82" t="s">
        <v>6</v>
      </c>
      <c r="F3475" s="85">
        <v>40000</v>
      </c>
      <c r="G3475" s="46"/>
      <c r="H3475" s="46">
        <f>IFERROR(TRANSACTIONS!$F3475+TRANSACTIONS!$G3475,"")</f>
        <v>40000</v>
      </c>
      <c r="I3475" s="40" t="s">
        <v>41</v>
      </c>
    </row>
    <row r="3476" spans="1:9" x14ac:dyDescent="0.25">
      <c r="A3476" s="41">
        <v>45365.432296064813</v>
      </c>
      <c r="B3476" s="48">
        <f>IF(A3476&lt;&gt;"",DATE(YEAR(TRANSACTIONS!$A3476),MONTH(TRANSACTIONS!$A3476),DAY(TRANSACTIONS!$A3476)),"")</f>
        <v>45365</v>
      </c>
      <c r="C3476" s="49">
        <f>IF(A3476&lt;&gt;"",TIME(HOUR(TRANSACTIONS!$A3476),MINUTE(TRANSACTIONS!$A3476),SECOND(TRANSACTIONS!$A3476)),"")</f>
        <v>0.43229166666666669</v>
      </c>
      <c r="D3476" s="82" t="s">
        <v>62</v>
      </c>
      <c r="E3476" s="82" t="s">
        <v>7</v>
      </c>
      <c r="F3476" s="85">
        <v>6000</v>
      </c>
      <c r="G3476" s="46"/>
      <c r="H3476" s="46">
        <f>IFERROR(TRANSACTIONS!$F3476+TRANSACTIONS!$G3476,"")</f>
        <v>6000</v>
      </c>
      <c r="I3476" s="40" t="s">
        <v>41</v>
      </c>
    </row>
    <row r="3477" spans="1:9" x14ac:dyDescent="0.25">
      <c r="A3477" s="41">
        <v>45365.432302430556</v>
      </c>
      <c r="B3477" s="48">
        <f>IF(A3477&lt;&gt;"",DATE(YEAR(TRANSACTIONS!$A3477),MONTH(TRANSACTIONS!$A3477),DAY(TRANSACTIONS!$A3477)),"")</f>
        <v>45365</v>
      </c>
      <c r="C3477" s="49">
        <f>IF(A3477&lt;&gt;"",TIME(HOUR(TRANSACTIONS!$A3477),MINUTE(TRANSACTIONS!$A3477),SECOND(TRANSACTIONS!$A3477)),"")</f>
        <v>0.43230324074074072</v>
      </c>
      <c r="D3477" s="82" t="s">
        <v>62</v>
      </c>
      <c r="E3477" s="82" t="s">
        <v>7</v>
      </c>
      <c r="F3477" s="85">
        <v>4400</v>
      </c>
      <c r="G3477" s="46"/>
      <c r="H3477" s="46">
        <f>IFERROR(TRANSACTIONS!$F3477+TRANSACTIONS!$G3477,"")</f>
        <v>4400</v>
      </c>
      <c r="I3477" s="40" t="s">
        <v>41</v>
      </c>
    </row>
    <row r="3478" spans="1:9" x14ac:dyDescent="0.25">
      <c r="A3478" s="41">
        <v>45365.432309606484</v>
      </c>
      <c r="B3478" s="48">
        <f>IF(A3478&lt;&gt;"",DATE(YEAR(TRANSACTIONS!$A3478),MONTH(TRANSACTIONS!$A3478),DAY(TRANSACTIONS!$A3478)),"")</f>
        <v>45365</v>
      </c>
      <c r="C3478" s="49">
        <f>IF(A3478&lt;&gt;"",TIME(HOUR(TRANSACTIONS!$A3478),MINUTE(TRANSACTIONS!$A3478),SECOND(TRANSACTIONS!$A3478)),"")</f>
        <v>0.43231481481481482</v>
      </c>
      <c r="D3478" s="82" t="s">
        <v>62</v>
      </c>
      <c r="E3478" s="82" t="s">
        <v>7</v>
      </c>
      <c r="F3478" s="85">
        <v>1000</v>
      </c>
      <c r="G3478" s="46"/>
      <c r="H3478" s="46">
        <f>IFERROR(TRANSACTIONS!$F3478+TRANSACTIONS!$G3478,"")</f>
        <v>1000</v>
      </c>
      <c r="I3478" s="40" t="s">
        <v>41</v>
      </c>
    </row>
    <row r="3479" spans="1:9" x14ac:dyDescent="0.25">
      <c r="A3479" s="41">
        <v>45365.432333101853</v>
      </c>
      <c r="B3479" s="48">
        <f>IF(A3479&lt;&gt;"",DATE(YEAR(TRANSACTIONS!$A3479),MONTH(TRANSACTIONS!$A3479),DAY(TRANSACTIONS!$A3479)),"")</f>
        <v>45365</v>
      </c>
      <c r="C3479" s="49">
        <f>IF(A3479&lt;&gt;"",TIME(HOUR(TRANSACTIONS!$A3479),MINUTE(TRANSACTIONS!$A3479),SECOND(TRANSACTIONS!$A3479)),"")</f>
        <v>0.43233796296296295</v>
      </c>
      <c r="D3479" s="82" t="s">
        <v>62</v>
      </c>
      <c r="E3479" s="82" t="s">
        <v>7</v>
      </c>
      <c r="F3479" s="85">
        <v>1000</v>
      </c>
      <c r="G3479" s="46"/>
      <c r="H3479" s="46">
        <f>IFERROR(TRANSACTIONS!$F3479+TRANSACTIONS!$G3479,"")</f>
        <v>1000</v>
      </c>
      <c r="I3479" s="40" t="s">
        <v>41</v>
      </c>
    </row>
    <row r="3480" spans="1:9" x14ac:dyDescent="0.25">
      <c r="A3480" s="41">
        <v>45365.432340162035</v>
      </c>
      <c r="B3480" s="48">
        <f>IF(A3480&lt;&gt;"",DATE(YEAR(TRANSACTIONS!$A3480),MONTH(TRANSACTIONS!$A3480),DAY(TRANSACTIONS!$A3480)),"")</f>
        <v>45365</v>
      </c>
      <c r="C3480" s="49">
        <f>IF(A3480&lt;&gt;"",TIME(HOUR(TRANSACTIONS!$A3480),MINUTE(TRANSACTIONS!$A3480),SECOND(TRANSACTIONS!$A3480)),"")</f>
        <v>0.43233796296296295</v>
      </c>
      <c r="D3480" s="82" t="s">
        <v>62</v>
      </c>
      <c r="E3480" s="82" t="s">
        <v>7</v>
      </c>
      <c r="F3480" s="85">
        <v>1000</v>
      </c>
      <c r="G3480" s="46"/>
      <c r="H3480" s="46">
        <f>IFERROR(TRANSACTIONS!$F3480+TRANSACTIONS!$G3480,"")</f>
        <v>1000</v>
      </c>
      <c r="I3480" s="40" t="s">
        <v>41</v>
      </c>
    </row>
    <row r="3481" spans="1:9" x14ac:dyDescent="0.25">
      <c r="A3481" s="41">
        <v>45365.432347106478</v>
      </c>
      <c r="B3481" s="48">
        <f>IF(A3481&lt;&gt;"",DATE(YEAR(TRANSACTIONS!$A3481),MONTH(TRANSACTIONS!$A3481),DAY(TRANSACTIONS!$A3481)),"")</f>
        <v>45365</v>
      </c>
      <c r="C3481" s="49">
        <f>IF(A3481&lt;&gt;"",TIME(HOUR(TRANSACTIONS!$A3481),MINUTE(TRANSACTIONS!$A3481),SECOND(TRANSACTIONS!$A3481)),"")</f>
        <v>0.43234953703703699</v>
      </c>
      <c r="D3481" s="82" t="s">
        <v>25</v>
      </c>
      <c r="E3481" s="82" t="s">
        <v>7</v>
      </c>
      <c r="F3481" s="85">
        <v>3000</v>
      </c>
      <c r="G3481" s="46"/>
      <c r="H3481" s="46">
        <f>IFERROR(TRANSACTIONS!$F3481+TRANSACTIONS!$G3481,"")</f>
        <v>3000</v>
      </c>
      <c r="I3481" s="40" t="s">
        <v>41</v>
      </c>
    </row>
    <row r="3482" spans="1:9" x14ac:dyDescent="0.25">
      <c r="A3482" s="41">
        <v>45365.432367824076</v>
      </c>
      <c r="B3482" s="48">
        <f>IF(A3482&lt;&gt;"",DATE(YEAR(TRANSACTIONS!$A3482),MONTH(TRANSACTIONS!$A3482),DAY(TRANSACTIONS!$A3482)),"")</f>
        <v>45365</v>
      </c>
      <c r="C3482" s="49">
        <f>IF(A3482&lt;&gt;"",TIME(HOUR(TRANSACTIONS!$A3482),MINUTE(TRANSACTIONS!$A3482),SECOND(TRANSACTIONS!$A3482)),"")</f>
        <v>0.43237268518518518</v>
      </c>
      <c r="D3482" s="82" t="s">
        <v>25</v>
      </c>
      <c r="E3482" s="82" t="s">
        <v>7</v>
      </c>
      <c r="F3482" s="85">
        <v>7000</v>
      </c>
      <c r="G3482" s="46"/>
      <c r="H3482" s="46">
        <f>IFERROR(TRANSACTIONS!$F3482+TRANSACTIONS!$G3482,"")</f>
        <v>7000</v>
      </c>
      <c r="I3482" s="40" t="s">
        <v>41</v>
      </c>
    </row>
    <row r="3483" spans="1:9" x14ac:dyDescent="0.25">
      <c r="A3483" s="41">
        <v>45365.432376851852</v>
      </c>
      <c r="B3483" s="48">
        <f>IF(A3483&lt;&gt;"",DATE(YEAR(TRANSACTIONS!$A3483),MONTH(TRANSACTIONS!$A3483),DAY(TRANSACTIONS!$A3483)),"")</f>
        <v>45365</v>
      </c>
      <c r="C3483" s="49">
        <f>IF(A3483&lt;&gt;"",TIME(HOUR(TRANSACTIONS!$A3483),MINUTE(TRANSACTIONS!$A3483),SECOND(TRANSACTIONS!$A3483)),"")</f>
        <v>0.43237268518518518</v>
      </c>
      <c r="D3483" s="82" t="s">
        <v>25</v>
      </c>
      <c r="E3483" s="82" t="s">
        <v>7</v>
      </c>
      <c r="F3483" s="85">
        <v>5000</v>
      </c>
      <c r="G3483" s="46"/>
      <c r="H3483" s="46">
        <f>IFERROR(TRANSACTIONS!$F3483+TRANSACTIONS!$G3483,"")</f>
        <v>5000</v>
      </c>
      <c r="I3483" s="40" t="s">
        <v>41</v>
      </c>
    </row>
    <row r="3484" spans="1:9" x14ac:dyDescent="0.25">
      <c r="A3484" s="41">
        <v>45365.432386111112</v>
      </c>
      <c r="B3484" s="83">
        <f>IF(A3484&lt;&gt;"",DATE(YEAR(TRANSACTIONS!$A3484),MONTH(TRANSACTIONS!$A3484),DAY(TRANSACTIONS!$A3484)),"")</f>
        <v>45365</v>
      </c>
      <c r="C3484" s="84">
        <f>IF(A3484&lt;&gt;"",TIME(HOUR(TRANSACTIONS!$A3484),MINUTE(TRANSACTIONS!$A3484),SECOND(TRANSACTIONS!$A3484)),"")</f>
        <v>0.43238425925925927</v>
      </c>
      <c r="D3484" s="82" t="s">
        <v>25</v>
      </c>
      <c r="E3484" s="82" t="s">
        <v>7</v>
      </c>
      <c r="F3484" s="85">
        <v>7500</v>
      </c>
      <c r="G3484" s="86"/>
      <c r="H3484" s="86">
        <f>IFERROR(TRANSACTIONS!$F3484+TRANSACTIONS!$G3484,"")</f>
        <v>7500</v>
      </c>
      <c r="I3484" s="88" t="s">
        <v>41</v>
      </c>
    </row>
    <row r="3485" spans="1:9" x14ac:dyDescent="0.25">
      <c r="A3485" s="41">
        <v>45365.432393171293</v>
      </c>
      <c r="B3485" s="83">
        <f>IF(A3485&lt;&gt;"",DATE(YEAR(TRANSACTIONS!$A3485),MONTH(TRANSACTIONS!$A3485),DAY(TRANSACTIONS!$A3485)),"")</f>
        <v>45365</v>
      </c>
      <c r="C3485" s="84">
        <f>IF(A3485&lt;&gt;"",TIME(HOUR(TRANSACTIONS!$A3485),MINUTE(TRANSACTIONS!$A3485),SECOND(TRANSACTIONS!$A3485)),"")</f>
        <v>0.43239583333333331</v>
      </c>
      <c r="D3485" s="82" t="s">
        <v>25</v>
      </c>
      <c r="E3485" s="82" t="s">
        <v>6</v>
      </c>
      <c r="F3485" s="85">
        <v>7550</v>
      </c>
      <c r="G3485" s="86"/>
      <c r="H3485" s="86">
        <f>IFERROR(TRANSACTIONS!$F3485+TRANSACTIONS!$G3485,"")</f>
        <v>7550</v>
      </c>
      <c r="I3485" s="88" t="s">
        <v>41</v>
      </c>
    </row>
    <row r="3486" spans="1:9" x14ac:dyDescent="0.25">
      <c r="A3486" s="41">
        <v>45365.432428935186</v>
      </c>
      <c r="B3486" s="83">
        <f>IF(A3486&lt;&gt;"",DATE(YEAR(TRANSACTIONS!$A3486),MONTH(TRANSACTIONS!$A3486),DAY(TRANSACTIONS!$A3486)),"")</f>
        <v>45365</v>
      </c>
      <c r="C3486" s="84">
        <f>IF(A3486&lt;&gt;"",TIME(HOUR(TRANSACTIONS!$A3486),MINUTE(TRANSACTIONS!$A3486),SECOND(TRANSACTIONS!$A3486)),"")</f>
        <v>0.4324305555555556</v>
      </c>
      <c r="D3486" s="82" t="s">
        <v>62</v>
      </c>
      <c r="E3486" s="82" t="s">
        <v>6</v>
      </c>
      <c r="F3486" s="85">
        <v>8000</v>
      </c>
      <c r="G3486" s="86"/>
      <c r="H3486" s="86">
        <f>IFERROR(TRANSACTIONS!$F3486+TRANSACTIONS!$G3486,"")</f>
        <v>8000</v>
      </c>
      <c r="I3486" s="88" t="s">
        <v>41</v>
      </c>
    </row>
    <row r="3487" spans="1:9" x14ac:dyDescent="0.25">
      <c r="A3487" s="41">
        <v>45365.432437268515</v>
      </c>
      <c r="B3487" s="83">
        <f>IF(A3487&lt;&gt;"",DATE(YEAR(TRANSACTIONS!$A3487),MONTH(TRANSACTIONS!$A3487),DAY(TRANSACTIONS!$A3487)),"")</f>
        <v>45365</v>
      </c>
      <c r="C3487" s="84">
        <f>IF(A3487&lt;&gt;"",TIME(HOUR(TRANSACTIONS!$A3487),MINUTE(TRANSACTIONS!$A3487),SECOND(TRANSACTIONS!$A3487)),"")</f>
        <v>0.43244212962962963</v>
      </c>
      <c r="D3487" s="82" t="s">
        <v>25</v>
      </c>
      <c r="E3487" s="82" t="s">
        <v>6</v>
      </c>
      <c r="F3487" s="85">
        <v>25000</v>
      </c>
      <c r="G3487" s="86"/>
      <c r="H3487" s="86">
        <f>IFERROR(TRANSACTIONS!$F3487+TRANSACTIONS!$G3487,"")</f>
        <v>25000</v>
      </c>
      <c r="I3487" s="88" t="s">
        <v>41</v>
      </c>
    </row>
    <row r="3488" spans="1:9" x14ac:dyDescent="0.25">
      <c r="A3488" s="41">
        <v>45365.432443981481</v>
      </c>
      <c r="B3488" s="83">
        <f>IF(A3488&lt;&gt;"",DATE(YEAR(TRANSACTIONS!$A3488),MONTH(TRANSACTIONS!$A3488),DAY(TRANSACTIONS!$A3488)),"")</f>
        <v>45365</v>
      </c>
      <c r="C3488" s="84">
        <f>IF(A3488&lt;&gt;"",TIME(HOUR(TRANSACTIONS!$A3488),MINUTE(TRANSACTIONS!$A3488),SECOND(TRANSACTIONS!$A3488)),"")</f>
        <v>0.43244212962962963</v>
      </c>
      <c r="D3488" s="82" t="s">
        <v>25</v>
      </c>
      <c r="E3488" s="82" t="s">
        <v>6</v>
      </c>
      <c r="F3488" s="85">
        <v>4000</v>
      </c>
      <c r="G3488" s="86"/>
      <c r="H3488" s="86">
        <f>IFERROR(TRANSACTIONS!$F3488+TRANSACTIONS!$G3488,"")</f>
        <v>4000</v>
      </c>
      <c r="I3488" s="88" t="s">
        <v>41</v>
      </c>
    </row>
    <row r="3489" spans="1:9" x14ac:dyDescent="0.25">
      <c r="A3489" s="41">
        <v>45365.432450810185</v>
      </c>
      <c r="B3489" s="48">
        <f>IF(A3489&lt;&gt;"",DATE(YEAR(TRANSACTIONS!$A3489),MONTH(TRANSACTIONS!$A3489),DAY(TRANSACTIONS!$A3489)),"")</f>
        <v>45365</v>
      </c>
      <c r="C3489" s="49">
        <f>IF(A3489&lt;&gt;"",TIME(HOUR(TRANSACTIONS!$A3489),MINUTE(TRANSACTIONS!$A3489),SECOND(TRANSACTIONS!$A3489)),"")</f>
        <v>0.43245370370370373</v>
      </c>
      <c r="D3489" s="82" t="s">
        <v>25</v>
      </c>
      <c r="E3489" s="82" t="s">
        <v>7</v>
      </c>
      <c r="F3489" s="85">
        <v>35000</v>
      </c>
      <c r="G3489" s="46"/>
      <c r="H3489" s="46">
        <f>IFERROR(TRANSACTIONS!$F3489+TRANSACTIONS!$G3489,"")</f>
        <v>35000</v>
      </c>
      <c r="I3489" s="40" t="s">
        <v>41</v>
      </c>
    </row>
    <row r="3490" spans="1:9" x14ac:dyDescent="0.25">
      <c r="A3490" s="41">
        <v>45365.432457175928</v>
      </c>
      <c r="B3490" s="48">
        <f>IF(A3490&lt;&gt;"",DATE(YEAR(TRANSACTIONS!$A3490),MONTH(TRANSACTIONS!$A3490),DAY(TRANSACTIONS!$A3490)),"")</f>
        <v>45365</v>
      </c>
      <c r="C3490" s="49">
        <f>IF(A3490&lt;&gt;"",TIME(HOUR(TRANSACTIONS!$A3490),MINUTE(TRANSACTIONS!$A3490),SECOND(TRANSACTIONS!$A3490)),"")</f>
        <v>0.43245370370370373</v>
      </c>
      <c r="D3490" s="82" t="s">
        <v>25</v>
      </c>
      <c r="E3490" s="82" t="s">
        <v>7</v>
      </c>
      <c r="F3490" s="85">
        <v>5000</v>
      </c>
      <c r="G3490" s="46"/>
      <c r="H3490" s="46">
        <f>IFERROR(TRANSACTIONS!$F3490+TRANSACTIONS!$G3490,"")</f>
        <v>5000</v>
      </c>
      <c r="I3490" s="40" t="s">
        <v>41</v>
      </c>
    </row>
    <row r="3491" spans="1:9" x14ac:dyDescent="0.25">
      <c r="A3491" s="41">
        <v>45365.432464583333</v>
      </c>
      <c r="B3491" s="48">
        <f>IF(A3491&lt;&gt;"",DATE(YEAR(TRANSACTIONS!$A3491),MONTH(TRANSACTIONS!$A3491),DAY(TRANSACTIONS!$A3491)),"")</f>
        <v>45365</v>
      </c>
      <c r="C3491" s="49">
        <f>IF(A3491&lt;&gt;"",TIME(HOUR(TRANSACTIONS!$A3491),MINUTE(TRANSACTIONS!$A3491),SECOND(TRANSACTIONS!$A3491)),"")</f>
        <v>0.43246527777777777</v>
      </c>
      <c r="D3491" s="82" t="s">
        <v>25</v>
      </c>
      <c r="E3491" s="82" t="s">
        <v>7</v>
      </c>
      <c r="F3491" s="85">
        <v>7000</v>
      </c>
      <c r="G3491" s="46"/>
      <c r="H3491" s="46">
        <f>IFERROR(TRANSACTIONS!$F3491+TRANSACTIONS!$G3491,"")</f>
        <v>7000</v>
      </c>
      <c r="I3491" s="40" t="s">
        <v>41</v>
      </c>
    </row>
    <row r="3492" spans="1:9" x14ac:dyDescent="0.25">
      <c r="A3492" s="41">
        <v>45365.518807060187</v>
      </c>
      <c r="B3492" s="48">
        <f>IF(A3492&lt;&gt;"",DATE(YEAR(TRANSACTIONS!$A3492),MONTH(TRANSACTIONS!$A3492),DAY(TRANSACTIONS!$A3492)),"")</f>
        <v>45365</v>
      </c>
      <c r="C3492" s="49">
        <f>IF(A3492&lt;&gt;"",TIME(HOUR(TRANSACTIONS!$A3492),MINUTE(TRANSACTIONS!$A3492),SECOND(TRANSACTIONS!$A3492)),"")</f>
        <v>0.51880787037037035</v>
      </c>
      <c r="D3492" s="82" t="s">
        <v>25</v>
      </c>
      <c r="E3492" s="82" t="s">
        <v>6</v>
      </c>
      <c r="F3492" s="85">
        <v>10000</v>
      </c>
      <c r="G3492" s="46"/>
      <c r="H3492" s="46">
        <f>IFERROR(TRANSACTIONS!$F3492+TRANSACTIONS!$G3492,"")</f>
        <v>10000</v>
      </c>
      <c r="I3492" s="40" t="s">
        <v>41</v>
      </c>
    </row>
    <row r="3493" spans="1:9" x14ac:dyDescent="0.25">
      <c r="A3493" s="41">
        <v>45365.51883483796</v>
      </c>
      <c r="B3493" s="114">
        <f>IF(A3493&lt;&gt;"",DATE(YEAR(TRANSACTIONS!$A3493),MONTH(TRANSACTIONS!$A3493),DAY(TRANSACTIONS!$A3493)),"")</f>
        <v>45365</v>
      </c>
      <c r="C3493" s="115">
        <f>IF(A3493&lt;&gt;"",TIME(HOUR(TRANSACTIONS!$A3493),MINUTE(TRANSACTIONS!$A3493),SECOND(TRANSACTIONS!$A3493)),"")</f>
        <v>0.51883101851851854</v>
      </c>
      <c r="D3493" s="82" t="s">
        <v>62</v>
      </c>
      <c r="E3493" s="82" t="s">
        <v>7</v>
      </c>
      <c r="F3493" s="85">
        <v>5000</v>
      </c>
      <c r="G3493" s="117"/>
      <c r="H3493" s="117">
        <f>IFERROR(TRANSACTIONS!$F3493+TRANSACTIONS!$G3493,"")</f>
        <v>5000</v>
      </c>
      <c r="I3493" s="118" t="s">
        <v>41</v>
      </c>
    </row>
    <row r="3494" spans="1:9" x14ac:dyDescent="0.25">
      <c r="A3494" s="41">
        <v>45365.518849305554</v>
      </c>
      <c r="B3494" s="48">
        <f>IF(A3494&lt;&gt;"",DATE(YEAR(TRANSACTIONS!$A3494),MONTH(TRANSACTIONS!$A3494),DAY(TRANSACTIONS!$A3494)),"")</f>
        <v>45365</v>
      </c>
      <c r="C3494" s="49">
        <f>IF(A3494&lt;&gt;"",TIME(HOUR(TRANSACTIONS!$A3494),MINUTE(TRANSACTIONS!$A3494),SECOND(TRANSACTIONS!$A3494)),"")</f>
        <v>0.51885416666666673</v>
      </c>
      <c r="D3494" s="82" t="s">
        <v>62</v>
      </c>
      <c r="E3494" s="82" t="s">
        <v>7</v>
      </c>
      <c r="F3494" s="85">
        <v>7000</v>
      </c>
      <c r="G3494" s="46"/>
      <c r="H3494" s="46">
        <f>IFERROR(TRANSACTIONS!$F3494+TRANSACTIONS!$G3494,"")</f>
        <v>7000</v>
      </c>
      <c r="I3494" s="40" t="s">
        <v>41</v>
      </c>
    </row>
    <row r="3495" spans="1:9" x14ac:dyDescent="0.25">
      <c r="A3495" s="41">
        <v>45365.518842476849</v>
      </c>
      <c r="B3495" s="83">
        <f>IF(A3495&lt;&gt;"",DATE(YEAR(TRANSACTIONS!$A3495),MONTH(TRANSACTIONS!$A3495),DAY(TRANSACTIONS!$A3495)),"")</f>
        <v>45365</v>
      </c>
      <c r="C3495" s="84">
        <f>IF(A3495&lt;&gt;"",TIME(HOUR(TRANSACTIONS!$A3495),MINUTE(TRANSACTIONS!$A3495),SECOND(TRANSACTIONS!$A3495)),"")</f>
        <v>0.51884259259259258</v>
      </c>
      <c r="D3495" s="82" t="s">
        <v>62</v>
      </c>
      <c r="E3495" s="82" t="s">
        <v>7</v>
      </c>
      <c r="F3495" s="85">
        <v>1000</v>
      </c>
      <c r="G3495" s="86"/>
      <c r="H3495" s="86">
        <f>IFERROR(TRANSACTIONS!$F3495+TRANSACTIONS!$G3495,"")</f>
        <v>1000</v>
      </c>
      <c r="I3495" s="88" t="s">
        <v>41</v>
      </c>
    </row>
    <row r="3496" spans="1:9" x14ac:dyDescent="0.25">
      <c r="A3496" s="41">
        <v>45365.518872800923</v>
      </c>
      <c r="B3496" s="48">
        <f>IF(A3496&lt;&gt;"",DATE(YEAR(TRANSACTIONS!$A3496),MONTH(TRANSACTIONS!$A3496),DAY(TRANSACTIONS!$A3496)),"")</f>
        <v>45365</v>
      </c>
      <c r="C3496" s="49">
        <f>IF(A3496&lt;&gt;"",TIME(HOUR(TRANSACTIONS!$A3496),MINUTE(TRANSACTIONS!$A3496),SECOND(TRANSACTIONS!$A3496)),"")</f>
        <v>0.51887731481481481</v>
      </c>
      <c r="D3496" s="82" t="s">
        <v>62</v>
      </c>
      <c r="E3496" s="82" t="s">
        <v>6</v>
      </c>
      <c r="F3496" s="85">
        <v>3000</v>
      </c>
      <c r="G3496" s="46"/>
      <c r="H3496" s="46">
        <f>IFERROR(TRANSACTIONS!$F3496+TRANSACTIONS!$G3496,"")</f>
        <v>3000</v>
      </c>
      <c r="I3496" s="40" t="s">
        <v>41</v>
      </c>
    </row>
    <row r="3497" spans="1:9" x14ac:dyDescent="0.25">
      <c r="A3497" s="71">
        <v>45365.51890787037</v>
      </c>
      <c r="B3497" s="73">
        <f>IF(A3497&lt;&gt;"",DATE(YEAR(TRANSACTIONS!$A3497),MONTH(TRANSACTIONS!$A3497),DAY(TRANSACTIONS!$A3497)),"")</f>
        <v>45365</v>
      </c>
      <c r="C3497" s="74">
        <f>IF(A3497&lt;&gt;"",TIME(HOUR(TRANSACTIONS!$A3497),MINUTE(TRANSACTIONS!$A3497),SECOND(TRANSACTIONS!$A3497)),"")</f>
        <v>0.51891203703703703</v>
      </c>
      <c r="D3497" s="72" t="s">
        <v>62</v>
      </c>
      <c r="E3497" s="72" t="s">
        <v>7</v>
      </c>
      <c r="F3497" s="181">
        <v>55000</v>
      </c>
      <c r="G3497" s="75"/>
      <c r="H3497" s="75">
        <f>IFERROR(TRANSACTIONS!$F3497+TRANSACTIONS!$G3497,"")</f>
        <v>55000</v>
      </c>
      <c r="I3497" s="76" t="s">
        <v>41</v>
      </c>
    </row>
    <row r="3498" spans="1:9" x14ac:dyDescent="0.25">
      <c r="A3498" s="41">
        <v>45365.518889583334</v>
      </c>
      <c r="B3498" s="48">
        <f>IF(A3498&lt;&gt;"",DATE(YEAR(TRANSACTIONS!$A3498),MONTH(TRANSACTIONS!$A3498),DAY(TRANSACTIONS!$A3498)),"")</f>
        <v>45365</v>
      </c>
      <c r="C3498" s="49">
        <f>IF(A3498&lt;&gt;"",TIME(HOUR(TRANSACTIONS!$A3498),MINUTE(TRANSACTIONS!$A3498),SECOND(TRANSACTIONS!$A3498)),"")</f>
        <v>0.51888888888888884</v>
      </c>
      <c r="D3498" s="82" t="s">
        <v>62</v>
      </c>
      <c r="E3498" s="82" t="s">
        <v>7</v>
      </c>
      <c r="F3498" s="85">
        <v>35000</v>
      </c>
      <c r="G3498" s="46"/>
      <c r="H3498" s="46">
        <f>IFERROR(TRANSACTIONS!$F3498+TRANSACTIONS!$G3498,"")</f>
        <v>35000</v>
      </c>
      <c r="I3498" s="40" t="s">
        <v>41</v>
      </c>
    </row>
    <row r="3499" spans="1:9" x14ac:dyDescent="0.25">
      <c r="A3499" s="41">
        <v>45365.518926851852</v>
      </c>
      <c r="B3499" s="114">
        <f>IF(A3499&lt;&gt;"",DATE(YEAR(TRANSACTIONS!$A3499),MONTH(TRANSACTIONS!$A3499),DAY(TRANSACTIONS!$A3499)),"")</f>
        <v>45365</v>
      </c>
      <c r="C3499" s="115">
        <f>IF(A3499&lt;&gt;"",TIME(HOUR(TRANSACTIONS!$A3499),MINUTE(TRANSACTIONS!$A3499),SECOND(TRANSACTIONS!$A3499)),"")</f>
        <v>0.51892361111111118</v>
      </c>
      <c r="D3499" s="82" t="s">
        <v>62</v>
      </c>
      <c r="E3499" s="82" t="s">
        <v>7</v>
      </c>
      <c r="F3499" s="85">
        <v>25000</v>
      </c>
      <c r="G3499" s="117"/>
      <c r="H3499" s="117">
        <f>IFERROR(TRANSACTIONS!$F3499+TRANSACTIONS!$G3499,"")</f>
        <v>25000</v>
      </c>
      <c r="I3499" s="118" t="s">
        <v>41</v>
      </c>
    </row>
    <row r="3500" spans="1:9" x14ac:dyDescent="0.25">
      <c r="A3500" s="41">
        <v>45365.518935416665</v>
      </c>
      <c r="B3500" s="114">
        <f>IF(A3500&lt;&gt;"",DATE(YEAR(TRANSACTIONS!$A3500),MONTH(TRANSACTIONS!$A3500),DAY(TRANSACTIONS!$A3500)),"")</f>
        <v>45365</v>
      </c>
      <c r="C3500" s="115">
        <f>IF(A3500&lt;&gt;"",TIME(HOUR(TRANSACTIONS!$A3500),MINUTE(TRANSACTIONS!$A3500),SECOND(TRANSACTIONS!$A3500)),"")</f>
        <v>0.51893518518518522</v>
      </c>
      <c r="D3500" s="82" t="s">
        <v>62</v>
      </c>
      <c r="E3500" s="82" t="s">
        <v>7</v>
      </c>
      <c r="F3500" s="85">
        <v>31000</v>
      </c>
      <c r="G3500" s="117"/>
      <c r="H3500" s="117">
        <f>IFERROR(TRANSACTIONS!$F3500+TRANSACTIONS!$G3500,"")</f>
        <v>31000</v>
      </c>
      <c r="I3500" s="118" t="s">
        <v>41</v>
      </c>
    </row>
    <row r="3501" spans="1:9" x14ac:dyDescent="0.25">
      <c r="A3501" s="41">
        <v>45365.518942592593</v>
      </c>
      <c r="B3501" s="48">
        <f>IF(A3501&lt;&gt;"",DATE(YEAR(TRANSACTIONS!$A3501),MONTH(TRANSACTIONS!$A3501),DAY(TRANSACTIONS!$A3501)),"")</f>
        <v>45365</v>
      </c>
      <c r="C3501" s="49">
        <f>IF(A3501&lt;&gt;"",TIME(HOUR(TRANSACTIONS!$A3501),MINUTE(TRANSACTIONS!$A3501),SECOND(TRANSACTIONS!$A3501)),"")</f>
        <v>0.51894675925925926</v>
      </c>
      <c r="D3501" s="82" t="s">
        <v>62</v>
      </c>
      <c r="E3501" s="82" t="s">
        <v>7</v>
      </c>
      <c r="F3501" s="85">
        <v>1000</v>
      </c>
      <c r="G3501" s="46"/>
      <c r="H3501" s="46">
        <f>IFERROR(TRANSACTIONS!$F3501+TRANSACTIONS!$G3501,"")</f>
        <v>1000</v>
      </c>
      <c r="I3501" s="40" t="s">
        <v>41</v>
      </c>
    </row>
    <row r="3502" spans="1:9" x14ac:dyDescent="0.25">
      <c r="A3502" s="41">
        <v>45365.518948611112</v>
      </c>
      <c r="B3502" s="48">
        <f>IF(A3502&lt;&gt;"",DATE(YEAR(TRANSACTIONS!$A3502),MONTH(TRANSACTIONS!$A3502),DAY(TRANSACTIONS!$A3502)),"")</f>
        <v>45365</v>
      </c>
      <c r="C3502" s="49">
        <f>IF(A3502&lt;&gt;"",TIME(HOUR(TRANSACTIONS!$A3502),MINUTE(TRANSACTIONS!$A3502),SECOND(TRANSACTIONS!$A3502)),"")</f>
        <v>0.51894675925925926</v>
      </c>
      <c r="D3502" s="82" t="s">
        <v>62</v>
      </c>
      <c r="E3502" s="82" t="s">
        <v>7</v>
      </c>
      <c r="F3502" s="85">
        <v>130000</v>
      </c>
      <c r="G3502" s="46"/>
      <c r="H3502" s="46">
        <f>IFERROR(TRANSACTIONS!$F3502+TRANSACTIONS!$G3502,"")</f>
        <v>130000</v>
      </c>
      <c r="I3502" s="40" t="s">
        <v>41</v>
      </c>
    </row>
    <row r="3503" spans="1:9" x14ac:dyDescent="0.25">
      <c r="A3503" s="41">
        <v>45365.518954513886</v>
      </c>
      <c r="B3503" s="48">
        <f>IF(A3503&lt;&gt;"",DATE(YEAR(TRANSACTIONS!$A3503),MONTH(TRANSACTIONS!$A3503),DAY(TRANSACTIONS!$A3503)),"")</f>
        <v>45365</v>
      </c>
      <c r="C3503" s="49">
        <f>IF(A3503&lt;&gt;"",TIME(HOUR(TRANSACTIONS!$A3503),MINUTE(TRANSACTIONS!$A3503),SECOND(TRANSACTIONS!$A3503)),"")</f>
        <v>0.5189583333333333</v>
      </c>
      <c r="D3503" s="82" t="s">
        <v>62</v>
      </c>
      <c r="E3503" s="82" t="s">
        <v>7</v>
      </c>
      <c r="F3503" s="85">
        <v>8000</v>
      </c>
      <c r="G3503" s="46"/>
      <c r="H3503" s="46">
        <f>IFERROR(TRANSACTIONS!$F3503+TRANSACTIONS!$G3503,"")</f>
        <v>8000</v>
      </c>
      <c r="I3503" s="40" t="s">
        <v>41</v>
      </c>
    </row>
    <row r="3504" spans="1:9" x14ac:dyDescent="0.25">
      <c r="A3504" s="41">
        <v>45365.521142013888</v>
      </c>
      <c r="B3504" s="48">
        <f>IF(A3504&lt;&gt;"",DATE(YEAR(TRANSACTIONS!$A3504),MONTH(TRANSACTIONS!$A3504),DAY(TRANSACTIONS!$A3504)),"")</f>
        <v>45365</v>
      </c>
      <c r="C3504" s="49">
        <f>IF(A3504&lt;&gt;"",TIME(HOUR(TRANSACTIONS!$A3504),MINUTE(TRANSACTIONS!$A3504),SECOND(TRANSACTIONS!$A3504)),"")</f>
        <v>0.52114583333333331</v>
      </c>
      <c r="D3504" s="82" t="s">
        <v>62</v>
      </c>
      <c r="E3504" s="82" t="s">
        <v>7</v>
      </c>
      <c r="F3504" s="85">
        <v>59000</v>
      </c>
      <c r="G3504" s="46"/>
      <c r="H3504" s="46">
        <f>IFERROR(TRANSACTIONS!$F3504+TRANSACTIONS!$G3504,"")</f>
        <v>59000</v>
      </c>
      <c r="I3504" s="40" t="s">
        <v>41</v>
      </c>
    </row>
    <row r="3505" spans="1:11" x14ac:dyDescent="0.25">
      <c r="A3505" s="41">
        <v>45365.521151157409</v>
      </c>
      <c r="B3505" s="48">
        <f>IF(A3505&lt;&gt;"",DATE(YEAR(TRANSACTIONS!$A3505),MONTH(TRANSACTIONS!$A3505),DAY(TRANSACTIONS!$A3505)),"")</f>
        <v>45365</v>
      </c>
      <c r="C3505" s="49">
        <f>IF(A3505&lt;&gt;"",TIME(HOUR(TRANSACTIONS!$A3505),MINUTE(TRANSACTIONS!$A3505),SECOND(TRANSACTIONS!$A3505)),"")</f>
        <v>0.52114583333333331</v>
      </c>
      <c r="D3505" s="82" t="s">
        <v>62</v>
      </c>
      <c r="E3505" s="82" t="s">
        <v>7</v>
      </c>
      <c r="F3505" s="85">
        <v>2000</v>
      </c>
      <c r="G3505" s="46"/>
      <c r="H3505" s="46">
        <f>IFERROR(TRANSACTIONS!$F3505+TRANSACTIONS!$G3505,"")</f>
        <v>2000</v>
      </c>
      <c r="I3505" s="40" t="s">
        <v>41</v>
      </c>
    </row>
    <row r="3506" spans="1:11" x14ac:dyDescent="0.25">
      <c r="A3506" s="41">
        <v>45365.521186689817</v>
      </c>
      <c r="B3506" s="48">
        <f>IF(A3506&lt;&gt;"",DATE(YEAR(TRANSACTIONS!$A3506),MONTH(TRANSACTIONS!$A3506),DAY(TRANSACTIONS!$A3506)),"")</f>
        <v>45365</v>
      </c>
      <c r="C3506" s="49">
        <f>IF(A3506&lt;&gt;"",TIME(HOUR(TRANSACTIONS!$A3506),MINUTE(TRANSACTIONS!$A3506),SECOND(TRANSACTIONS!$A3506)),"")</f>
        <v>0.52119212962962969</v>
      </c>
      <c r="D3506" s="82" t="s">
        <v>62</v>
      </c>
      <c r="E3506" s="82"/>
      <c r="G3506" s="46"/>
      <c r="H3506" s="46">
        <f>IFERROR(TRANSACTIONS!$F3507+TRANSACTIONS!$G3506,"")</f>
        <v>0</v>
      </c>
      <c r="I3506" s="40" t="s">
        <v>41</v>
      </c>
    </row>
    <row r="3507" spans="1:11" x14ac:dyDescent="0.25">
      <c r="A3507" s="41">
        <v>45365.521194444445</v>
      </c>
      <c r="B3507" s="48">
        <f>IF(A3507&lt;&gt;"",DATE(YEAR(TRANSACTIONS!$A3507),MONTH(TRANSACTIONS!$A3507),DAY(TRANSACTIONS!$A3507)),"")</f>
        <v>45365</v>
      </c>
      <c r="C3507" s="49">
        <f>IF(A3507&lt;&gt;"",TIME(HOUR(TRANSACTIONS!$A3507),MINUTE(TRANSACTIONS!$A3507),SECOND(TRANSACTIONS!$A3507)),"")</f>
        <v>0.52119212962962969</v>
      </c>
      <c r="D3507" s="82" t="s">
        <v>62</v>
      </c>
      <c r="E3507" s="82"/>
      <c r="G3507" s="46"/>
      <c r="H3507" s="46" t="str">
        <f>IFERROR(TRANSACTIONS!#REF!+TRANSACTIONS!$G3507,"")</f>
        <v/>
      </c>
      <c r="I3507" s="40" t="s">
        <v>41</v>
      </c>
    </row>
    <row r="3508" spans="1:11" x14ac:dyDescent="0.25">
      <c r="A3508" s="41">
        <v>45365.521201504627</v>
      </c>
      <c r="B3508" s="48">
        <f>IF(A3508&lt;&gt;"",DATE(YEAR(TRANSACTIONS!$A3508),MONTH(TRANSACTIONS!$A3508),DAY(TRANSACTIONS!$A3508)),"")</f>
        <v>45365</v>
      </c>
      <c r="C3508" s="49">
        <f>IF(A3508&lt;&gt;"",TIME(HOUR(TRANSACTIONS!$A3508),MINUTE(TRANSACTIONS!$A3508),SECOND(TRANSACTIONS!$A3508)),"")</f>
        <v>0.52120370370370372</v>
      </c>
      <c r="D3508" s="82" t="s">
        <v>62</v>
      </c>
      <c r="E3508" s="82" t="s">
        <v>7</v>
      </c>
      <c r="F3508" s="85">
        <v>12000</v>
      </c>
      <c r="G3508" s="46"/>
      <c r="H3508" s="46">
        <f>IFERROR(TRANSACTIONS!$F3508+TRANSACTIONS!$G3508,"")</f>
        <v>12000</v>
      </c>
      <c r="I3508" s="40" t="s">
        <v>41</v>
      </c>
      <c r="K3508" s="127"/>
    </row>
    <row r="3509" spans="1:11" x14ac:dyDescent="0.25">
      <c r="A3509" s="41">
        <v>45365.521208564816</v>
      </c>
      <c r="B3509" s="48">
        <f>IF(A3509&lt;&gt;"",DATE(YEAR(TRANSACTIONS!$A3509),MONTH(TRANSACTIONS!$A3509),DAY(TRANSACTIONS!$A3509)),"")</f>
        <v>45365</v>
      </c>
      <c r="C3509" s="49">
        <f>IF(A3509&lt;&gt;"",TIME(HOUR(TRANSACTIONS!$A3509),MINUTE(TRANSACTIONS!$A3509),SECOND(TRANSACTIONS!$A3509)),"")</f>
        <v>0.52120370370370372</v>
      </c>
      <c r="D3509" s="82" t="s">
        <v>62</v>
      </c>
      <c r="E3509" s="82" t="s">
        <v>6</v>
      </c>
      <c r="F3509" s="85">
        <v>1000</v>
      </c>
      <c r="G3509" s="46"/>
      <c r="H3509" s="46">
        <f>IFERROR(TRANSACTIONS!$F3509+TRANSACTIONS!$G3509,"")</f>
        <v>1000</v>
      </c>
      <c r="I3509" s="40" t="s">
        <v>41</v>
      </c>
    </row>
    <row r="3510" spans="1:11" x14ac:dyDescent="0.25">
      <c r="A3510" s="41">
        <v>45365.521216898145</v>
      </c>
      <c r="B3510" s="48">
        <f>IF(A3510&lt;&gt;"",DATE(YEAR(TRANSACTIONS!$A3510),MONTH(TRANSACTIONS!$A3510),DAY(TRANSACTIONS!$A3510)),"")</f>
        <v>45365</v>
      </c>
      <c r="C3510" s="49">
        <f>IF(A3510&lt;&gt;"",TIME(HOUR(TRANSACTIONS!$A3510),MINUTE(TRANSACTIONS!$A3510),SECOND(TRANSACTIONS!$A3510)),"")</f>
        <v>0.52121527777777776</v>
      </c>
      <c r="D3510" s="82" t="s">
        <v>62</v>
      </c>
      <c r="E3510" s="82" t="s">
        <v>6</v>
      </c>
      <c r="F3510" s="85">
        <v>2000</v>
      </c>
      <c r="G3510" s="46"/>
      <c r="H3510" s="46">
        <f>IFERROR(TRANSACTIONS!$F3510+TRANSACTIONS!$G3510,"")</f>
        <v>2000</v>
      </c>
      <c r="I3510" s="40" t="s">
        <v>41</v>
      </c>
    </row>
    <row r="3511" spans="1:11" x14ac:dyDescent="0.25">
      <c r="A3511" s="41">
        <v>45365.52122534722</v>
      </c>
      <c r="B3511" s="48">
        <f>IF(A3511&lt;&gt;"",DATE(YEAR(TRANSACTIONS!$A3511),MONTH(TRANSACTIONS!$A3511),DAY(TRANSACTIONS!$A3511)),"")</f>
        <v>45365</v>
      </c>
      <c r="C3511" s="49">
        <f>IF(A3511&lt;&gt;"",TIME(HOUR(TRANSACTIONS!$A3511),MINUTE(TRANSACTIONS!$A3511),SECOND(TRANSACTIONS!$A3511)),"")</f>
        <v>0.5212268518518518</v>
      </c>
      <c r="D3511" s="82" t="s">
        <v>62</v>
      </c>
      <c r="E3511" s="82" t="s">
        <v>7</v>
      </c>
      <c r="F3511" s="85">
        <v>40000</v>
      </c>
      <c r="G3511" s="46"/>
      <c r="H3511" s="46">
        <f>IFERROR(TRANSACTIONS!$F3511+TRANSACTIONS!$G3511,"")</f>
        <v>40000</v>
      </c>
      <c r="I3511" s="40" t="s">
        <v>41</v>
      </c>
    </row>
    <row r="3512" spans="1:11" x14ac:dyDescent="0.25">
      <c r="A3512" s="41">
        <v>45365.521232407409</v>
      </c>
      <c r="B3512" s="48">
        <f>IF(A3512&lt;&gt;"",DATE(YEAR(TRANSACTIONS!$A3512),MONTH(TRANSACTIONS!$A3512),DAY(TRANSACTIONS!$A3512)),"")</f>
        <v>45365</v>
      </c>
      <c r="C3512" s="49">
        <f>IF(A3512&lt;&gt;"",TIME(HOUR(TRANSACTIONS!$A3512),MINUTE(TRANSACTIONS!$A3512),SECOND(TRANSACTIONS!$A3512)),"")</f>
        <v>0.5212268518518518</v>
      </c>
      <c r="D3512" s="82" t="s">
        <v>62</v>
      </c>
      <c r="E3512" s="82" t="s">
        <v>6</v>
      </c>
      <c r="F3512" s="85">
        <v>25000</v>
      </c>
      <c r="G3512" s="46"/>
      <c r="H3512" s="46">
        <f>IFERROR(TRANSACTIONS!$F3512+TRANSACTIONS!$G3512,"")</f>
        <v>25000</v>
      </c>
      <c r="I3512" s="40" t="s">
        <v>41</v>
      </c>
    </row>
    <row r="3513" spans="1:11" x14ac:dyDescent="0.25">
      <c r="A3513" s="41">
        <v>45365.521239467591</v>
      </c>
      <c r="B3513" s="48">
        <f>IF(A3513&lt;&gt;"",DATE(YEAR(TRANSACTIONS!$A3513),MONTH(TRANSACTIONS!$A3513),DAY(TRANSACTIONS!$A3513)),"")</f>
        <v>45365</v>
      </c>
      <c r="C3513" s="49">
        <f>IF(A3513&lt;&gt;"",TIME(HOUR(TRANSACTIONS!$A3513),MINUTE(TRANSACTIONS!$A3513),SECOND(TRANSACTIONS!$A3513)),"")</f>
        <v>0.52123842592592595</v>
      </c>
      <c r="D3513" s="82" t="s">
        <v>62</v>
      </c>
      <c r="E3513" s="82" t="s">
        <v>6</v>
      </c>
      <c r="F3513" s="85">
        <v>5000</v>
      </c>
      <c r="G3513" s="46"/>
      <c r="H3513" s="46">
        <f>IFERROR(TRANSACTIONS!$F3513+TRANSACTIONS!$G3513,"")</f>
        <v>5000</v>
      </c>
      <c r="I3513" s="40" t="s">
        <v>41</v>
      </c>
    </row>
    <row r="3514" spans="1:11" x14ac:dyDescent="0.25">
      <c r="A3514" s="41">
        <v>45365.521253935185</v>
      </c>
      <c r="B3514" s="48">
        <f>IF(A3514&lt;&gt;"",DATE(YEAR(TRANSACTIONS!$A3514),MONTH(TRANSACTIONS!$A3514),DAY(TRANSACTIONS!$A3514)),"")</f>
        <v>45365</v>
      </c>
      <c r="C3514" s="49">
        <f>IF(A3514&lt;&gt;"",TIME(HOUR(TRANSACTIONS!$A3514),MINUTE(TRANSACTIONS!$A3514),SECOND(TRANSACTIONS!$A3514)),"")</f>
        <v>0.52124999999999999</v>
      </c>
      <c r="D3514" s="82" t="s">
        <v>62</v>
      </c>
      <c r="E3514" s="82" t="s">
        <v>7</v>
      </c>
      <c r="F3514" s="85">
        <v>10000</v>
      </c>
      <c r="G3514" s="46"/>
      <c r="H3514" s="46">
        <f>IFERROR(TRANSACTIONS!$F3514+TRANSACTIONS!$G3514,"")</f>
        <v>10000</v>
      </c>
      <c r="I3514" s="40" t="s">
        <v>41</v>
      </c>
    </row>
    <row r="3515" spans="1:11" x14ac:dyDescent="0.25">
      <c r="A3515" s="41">
        <v>45365.521261226851</v>
      </c>
      <c r="B3515" s="48">
        <f>IF(A3515&lt;&gt;"",DATE(YEAR(TRANSACTIONS!$A3515),MONTH(TRANSACTIONS!$A3515),DAY(TRANSACTIONS!$A3515)),"")</f>
        <v>45365</v>
      </c>
      <c r="C3515" s="49">
        <f>IF(A3515&lt;&gt;"",TIME(HOUR(TRANSACTIONS!$A3515),MINUTE(TRANSACTIONS!$A3515),SECOND(TRANSACTIONS!$A3515)),"")</f>
        <v>0.52126157407407414</v>
      </c>
      <c r="D3515" s="82" t="s">
        <v>62</v>
      </c>
      <c r="E3515" s="82" t="s">
        <v>7</v>
      </c>
      <c r="F3515" s="85">
        <v>50000</v>
      </c>
      <c r="G3515" s="46"/>
      <c r="H3515" s="46">
        <f>IFERROR(TRANSACTIONS!$F3515+TRANSACTIONS!$G3515,"")</f>
        <v>50000</v>
      </c>
      <c r="I3515" s="40" t="s">
        <v>41</v>
      </c>
    </row>
    <row r="3516" spans="1:11" x14ac:dyDescent="0.25">
      <c r="A3516" s="41">
        <v>45365.521268055556</v>
      </c>
      <c r="B3516" s="48">
        <f>IF(A3516&lt;&gt;"",DATE(YEAR(TRANSACTIONS!$A3516),MONTH(TRANSACTIONS!$A3516),DAY(TRANSACTIONS!$A3516)),"")</f>
        <v>45365</v>
      </c>
      <c r="C3516" s="49">
        <f>IF(A3516&lt;&gt;"",TIME(HOUR(TRANSACTIONS!$A3516),MINUTE(TRANSACTIONS!$A3516),SECOND(TRANSACTIONS!$A3516)),"")</f>
        <v>0.52127314814814818</v>
      </c>
      <c r="D3516" s="82" t="s">
        <v>62</v>
      </c>
      <c r="E3516" s="82" t="s">
        <v>6</v>
      </c>
      <c r="F3516" s="85">
        <v>25000</v>
      </c>
      <c r="G3516" s="46"/>
      <c r="H3516" s="46">
        <f>IFERROR(TRANSACTIONS!$F3516+TRANSACTIONS!$G3516,"")</f>
        <v>25000</v>
      </c>
      <c r="I3516" s="40" t="s">
        <v>41</v>
      </c>
    </row>
    <row r="3517" spans="1:11" x14ac:dyDescent="0.25">
      <c r="A3517" s="41">
        <v>45365.521276504631</v>
      </c>
      <c r="B3517" s="48">
        <f>IF(A3517&lt;&gt;"",DATE(YEAR(TRANSACTIONS!$A3517),MONTH(TRANSACTIONS!$A3517),DAY(TRANSACTIONS!$A3517)),"")</f>
        <v>45365</v>
      </c>
      <c r="C3517" s="49">
        <f>IF(A3517&lt;&gt;"",TIME(HOUR(TRANSACTIONS!$A3517),MINUTE(TRANSACTIONS!$A3517),SECOND(TRANSACTIONS!$A3517)),"")</f>
        <v>0.52127314814814818</v>
      </c>
      <c r="D3517" s="82" t="s">
        <v>62</v>
      </c>
      <c r="E3517" s="82" t="s">
        <v>7</v>
      </c>
      <c r="F3517" s="85">
        <v>2900</v>
      </c>
      <c r="G3517" s="46"/>
      <c r="H3517" s="46">
        <f>IFERROR(TRANSACTIONS!$F3517+TRANSACTIONS!$G3517,"")</f>
        <v>2900</v>
      </c>
      <c r="I3517" s="40" t="s">
        <v>41</v>
      </c>
    </row>
    <row r="3518" spans="1:11" x14ac:dyDescent="0.25">
      <c r="A3518" s="41">
        <v>45365.521316203703</v>
      </c>
      <c r="B3518" s="48">
        <f>IF(A3518&lt;&gt;"",DATE(YEAR(TRANSACTIONS!$A3518),MONTH(TRANSACTIONS!$A3518),DAY(TRANSACTIONS!$A3518)),"")</f>
        <v>45365</v>
      </c>
      <c r="C3518" s="49">
        <f>IF(A3518&lt;&gt;"",TIME(HOUR(TRANSACTIONS!$A3518),MINUTE(TRANSACTIONS!$A3518),SECOND(TRANSACTIONS!$A3518)),"")</f>
        <v>0.52131944444444445</v>
      </c>
      <c r="D3518" s="82" t="s">
        <v>62</v>
      </c>
      <c r="E3518" s="82" t="s">
        <v>7</v>
      </c>
      <c r="F3518" s="85">
        <v>10000</v>
      </c>
      <c r="G3518" s="46"/>
      <c r="H3518" s="46">
        <f>IFERROR(TRANSACTIONS!$F3518+TRANSACTIONS!$G3518,"")</f>
        <v>10000</v>
      </c>
      <c r="I3518" s="40" t="s">
        <v>41</v>
      </c>
    </row>
    <row r="3519" spans="1:11" x14ac:dyDescent="0.25">
      <c r="A3519" s="41">
        <v>45365.521324884263</v>
      </c>
      <c r="B3519" s="48">
        <f>IF(A3519&lt;&gt;"",DATE(YEAR(TRANSACTIONS!$A3519),MONTH(TRANSACTIONS!$A3519),DAY(TRANSACTIONS!$A3519)),"")</f>
        <v>45365</v>
      </c>
      <c r="C3519" s="49">
        <f>IF(A3519&lt;&gt;"",TIME(HOUR(TRANSACTIONS!$A3519),MINUTE(TRANSACTIONS!$A3519),SECOND(TRANSACTIONS!$A3519)),"")</f>
        <v>0.52131944444444445</v>
      </c>
      <c r="D3519" s="82" t="s">
        <v>62</v>
      </c>
      <c r="E3519" s="82" t="s">
        <v>6</v>
      </c>
      <c r="F3519" s="85">
        <v>5000</v>
      </c>
      <c r="G3519" s="46"/>
      <c r="H3519" s="46">
        <f>IFERROR(TRANSACTIONS!$F3519+TRANSACTIONS!$G3519,"")</f>
        <v>5000</v>
      </c>
      <c r="I3519" s="40" t="s">
        <v>41</v>
      </c>
    </row>
    <row r="3520" spans="1:11" x14ac:dyDescent="0.25">
      <c r="A3520" s="41">
        <v>45365.521334375</v>
      </c>
      <c r="B3520" s="48">
        <f>IF(A3520&lt;&gt;"",DATE(YEAR(TRANSACTIONS!$A3520),MONTH(TRANSACTIONS!$A3520),DAY(TRANSACTIONS!$A3520)),"")</f>
        <v>45365</v>
      </c>
      <c r="C3520" s="49">
        <f>IF(A3520&lt;&gt;"",TIME(HOUR(TRANSACTIONS!$A3520),MINUTE(TRANSACTIONS!$A3520),SECOND(TRANSACTIONS!$A3520)),"")</f>
        <v>0.52133101851851849</v>
      </c>
      <c r="D3520" s="82" t="s">
        <v>62</v>
      </c>
      <c r="E3520" s="82" t="s">
        <v>6</v>
      </c>
      <c r="F3520" s="85">
        <v>5000</v>
      </c>
      <c r="G3520" s="46"/>
      <c r="H3520" s="46">
        <f>IFERROR(TRANSACTIONS!$F3520+TRANSACTIONS!$G3520,"")</f>
        <v>5000</v>
      </c>
      <c r="I3520" s="40" t="s">
        <v>41</v>
      </c>
    </row>
    <row r="3521" spans="1:9" x14ac:dyDescent="0.25">
      <c r="A3521" s="41">
        <v>45365.521341666667</v>
      </c>
      <c r="B3521" s="48">
        <f>IF(A3521&lt;&gt;"",DATE(YEAR(TRANSACTIONS!$A3521),MONTH(TRANSACTIONS!$A3521),DAY(TRANSACTIONS!$A3521)),"")</f>
        <v>45365</v>
      </c>
      <c r="C3521" s="49">
        <f>IF(A3521&lt;&gt;"",TIME(HOUR(TRANSACTIONS!$A3521),MINUTE(TRANSACTIONS!$A3521),SECOND(TRANSACTIONS!$A3521)),"")</f>
        <v>0.52134259259259264</v>
      </c>
      <c r="D3521" s="82" t="s">
        <v>62</v>
      </c>
      <c r="E3521" s="82" t="s">
        <v>7</v>
      </c>
      <c r="F3521" s="126">
        <v>500</v>
      </c>
      <c r="G3521" s="46"/>
      <c r="H3521" s="46">
        <f>IFERROR(TRANSACTIONS!$F3521+TRANSACTIONS!$G3521,"")</f>
        <v>500</v>
      </c>
      <c r="I3521" s="40" t="s">
        <v>41</v>
      </c>
    </row>
    <row r="3522" spans="1:9" x14ac:dyDescent="0.25">
      <c r="A3522" s="41">
        <v>45365.521348495371</v>
      </c>
      <c r="B3522" s="48">
        <f>IF(A3522&lt;&gt;"",DATE(YEAR(TRANSACTIONS!$A3522),MONTH(TRANSACTIONS!$A3522),DAY(TRANSACTIONS!$A3522)),"")</f>
        <v>45365</v>
      </c>
      <c r="C3522" s="49">
        <f>IF(A3522&lt;&gt;"",TIME(HOUR(TRANSACTIONS!$A3522),MINUTE(TRANSACTIONS!$A3522),SECOND(TRANSACTIONS!$A3522)),"")</f>
        <v>0.52135416666666667</v>
      </c>
      <c r="D3522" s="82" t="s">
        <v>62</v>
      </c>
      <c r="E3522" s="82" t="s">
        <v>6</v>
      </c>
      <c r="F3522" s="126">
        <v>500</v>
      </c>
      <c r="G3522" s="46"/>
      <c r="H3522" s="46">
        <f>IFERROR(TRANSACTIONS!$F3522+TRANSACTIONS!$G3522,"")</f>
        <v>500</v>
      </c>
      <c r="I3522" s="40" t="s">
        <v>41</v>
      </c>
    </row>
    <row r="3523" spans="1:9" x14ac:dyDescent="0.25">
      <c r="A3523" s="41">
        <v>45365.521357060185</v>
      </c>
      <c r="B3523" s="48">
        <f>IF(A3523&lt;&gt;"",DATE(YEAR(TRANSACTIONS!$A3523),MONTH(TRANSACTIONS!$A3523),DAY(TRANSACTIONS!$A3523)),"")</f>
        <v>45365</v>
      </c>
      <c r="C3523" s="49">
        <f>IF(A3523&lt;&gt;"",TIME(HOUR(TRANSACTIONS!$A3523),MINUTE(TRANSACTIONS!$A3523),SECOND(TRANSACTIONS!$A3523)),"")</f>
        <v>0.52135416666666667</v>
      </c>
      <c r="D3523" s="82" t="s">
        <v>62</v>
      </c>
      <c r="E3523" s="82" t="s">
        <v>6</v>
      </c>
      <c r="F3523" s="126">
        <v>23000</v>
      </c>
      <c r="G3523" s="46"/>
      <c r="H3523" s="46">
        <f>IFERROR(TRANSACTIONS!$F3523+TRANSACTIONS!$G3523,"")</f>
        <v>23000</v>
      </c>
      <c r="I3523" s="40" t="s">
        <v>41</v>
      </c>
    </row>
    <row r="3524" spans="1:9" x14ac:dyDescent="0.25">
      <c r="A3524" s="41">
        <v>45365.521390856484</v>
      </c>
      <c r="B3524" s="48">
        <f>IF(A3524&lt;&gt;"",DATE(YEAR(TRANSACTIONS!$A3524),MONTH(TRANSACTIONS!$A3524),DAY(TRANSACTIONS!$A3524)),"")</f>
        <v>45365</v>
      </c>
      <c r="C3524" s="49">
        <f>IF(A3524&lt;&gt;"",TIME(HOUR(TRANSACTIONS!$A3524),MINUTE(TRANSACTIONS!$A3524),SECOND(TRANSACTIONS!$A3524)),"")</f>
        <v>0.5213888888888889</v>
      </c>
      <c r="D3524" s="82" t="s">
        <v>62</v>
      </c>
      <c r="E3524" s="82" t="s">
        <v>7</v>
      </c>
      <c r="F3524" s="126">
        <v>5000</v>
      </c>
      <c r="G3524" s="46"/>
      <c r="H3524" s="46">
        <f>IFERROR(TRANSACTIONS!$F3524+TRANSACTIONS!$G3524,"")</f>
        <v>5000</v>
      </c>
      <c r="I3524" s="40" t="s">
        <v>41</v>
      </c>
    </row>
    <row r="3525" spans="1:9" x14ac:dyDescent="0.25">
      <c r="A3525" s="41">
        <v>45365.521426041669</v>
      </c>
      <c r="B3525" s="48">
        <f>IF(A3525&lt;&gt;"",DATE(YEAR(TRANSACTIONS!$A3525),MONTH(TRANSACTIONS!$A3525),DAY(TRANSACTIONS!$A3525)),"")</f>
        <v>45365</v>
      </c>
      <c r="C3525" s="49">
        <f>IF(A3525&lt;&gt;"",TIME(HOUR(TRANSACTIONS!$A3525),MINUTE(TRANSACTIONS!$A3525),SECOND(TRANSACTIONS!$A3525)),"")</f>
        <v>0.52142361111111113</v>
      </c>
      <c r="D3525" s="82" t="s">
        <v>62</v>
      </c>
      <c r="E3525" s="82" t="s">
        <v>7</v>
      </c>
      <c r="F3525" s="126">
        <v>160000</v>
      </c>
      <c r="G3525" s="46"/>
      <c r="H3525" s="46">
        <f>IFERROR(TRANSACTIONS!$F3525+TRANSACTIONS!$G3525,"")</f>
        <v>160000</v>
      </c>
      <c r="I3525" s="40" t="s">
        <v>41</v>
      </c>
    </row>
    <row r="3526" spans="1:9" x14ac:dyDescent="0.25">
      <c r="A3526" s="41">
        <v>45365.521435185183</v>
      </c>
      <c r="B3526" s="48">
        <f>IF(A3526&lt;&gt;"",DATE(YEAR(TRANSACTIONS!$A3526),MONTH(TRANSACTIONS!$A3526),DAY(TRANSACTIONS!$A3526)),"")</f>
        <v>45365</v>
      </c>
      <c r="C3526" s="49">
        <f>IF(A3526&lt;&gt;"",TIME(HOUR(TRANSACTIONS!$A3526),MINUTE(TRANSACTIONS!$A3526),SECOND(TRANSACTIONS!$A3526)),"")</f>
        <v>0.52143518518518517</v>
      </c>
      <c r="D3526" s="82" t="s">
        <v>62</v>
      </c>
      <c r="E3526" s="82" t="s">
        <v>6</v>
      </c>
      <c r="F3526" s="126">
        <v>8000</v>
      </c>
      <c r="G3526" s="46"/>
      <c r="H3526" s="46">
        <f>IFERROR(TRANSACTIONS!$F3526+TRANSACTIONS!$G3526,"")</f>
        <v>8000</v>
      </c>
      <c r="I3526" s="40" t="s">
        <v>41</v>
      </c>
    </row>
    <row r="3527" spans="1:9" x14ac:dyDescent="0.25">
      <c r="A3527" s="41">
        <v>45365.521451851855</v>
      </c>
      <c r="B3527" s="48">
        <f>IF(A3527&lt;&gt;"",DATE(YEAR(TRANSACTIONS!$A3527),MONTH(TRANSACTIONS!$A3527),DAY(TRANSACTIONS!$A3527)),"")</f>
        <v>45365</v>
      </c>
      <c r="C3527" s="49">
        <f>IF(A3527&lt;&gt;"",TIME(HOUR(TRANSACTIONS!$A3527),MINUTE(TRANSACTIONS!$A3527),SECOND(TRANSACTIONS!$A3527)),"")</f>
        <v>0.52144675925925921</v>
      </c>
      <c r="D3527" s="82" t="s">
        <v>62</v>
      </c>
      <c r="E3527" s="82" t="s">
        <v>6</v>
      </c>
      <c r="F3527" s="126">
        <v>25000</v>
      </c>
      <c r="G3527" s="46"/>
      <c r="H3527" s="46">
        <f>IFERROR(TRANSACTIONS!$F3527+TRANSACTIONS!$G3527,"")</f>
        <v>25000</v>
      </c>
      <c r="I3527" s="40" t="s">
        <v>41</v>
      </c>
    </row>
    <row r="3528" spans="1:9" x14ac:dyDescent="0.25">
      <c r="A3528" s="41">
        <v>45365.521459143521</v>
      </c>
      <c r="B3528" s="48">
        <f>IF(A3528&lt;&gt;"",DATE(YEAR(TRANSACTIONS!$A3528),MONTH(TRANSACTIONS!$A3528),DAY(TRANSACTIONS!$A3528)),"")</f>
        <v>45365</v>
      </c>
      <c r="C3528" s="49">
        <f>IF(A3528&lt;&gt;"",TIME(HOUR(TRANSACTIONS!$A3528),MINUTE(TRANSACTIONS!$A3528),SECOND(TRANSACTIONS!$A3528)),"")</f>
        <v>0.52145833333333336</v>
      </c>
      <c r="D3528" s="82" t="s">
        <v>62</v>
      </c>
      <c r="E3528" s="82" t="s">
        <v>7</v>
      </c>
      <c r="F3528" s="126">
        <v>5000</v>
      </c>
      <c r="G3528" s="46"/>
      <c r="H3528" s="46">
        <f>IFERROR(TRANSACTIONS!$F3528+TRANSACTIONS!$G3528,"")</f>
        <v>5000</v>
      </c>
      <c r="I3528" s="40" t="s">
        <v>41</v>
      </c>
    </row>
    <row r="3529" spans="1:9" x14ac:dyDescent="0.25">
      <c r="A3529" s="41">
        <v>45365.521472337961</v>
      </c>
      <c r="B3529" s="48">
        <f>IF(A3529&lt;&gt;"",DATE(YEAR(TRANSACTIONS!$A3529),MONTH(TRANSACTIONS!$A3529),DAY(TRANSACTIONS!$A3529)),"")</f>
        <v>45365</v>
      </c>
      <c r="C3529" s="49">
        <f>IF(A3529&lt;&gt;"",TIME(HOUR(TRANSACTIONS!$A3529),MINUTE(TRANSACTIONS!$A3529),SECOND(TRANSACTIONS!$A3529)),"")</f>
        <v>0.5214699074074074</v>
      </c>
      <c r="D3529" s="82" t="s">
        <v>62</v>
      </c>
      <c r="E3529" s="82" t="s">
        <v>6</v>
      </c>
      <c r="F3529" s="126">
        <v>20600</v>
      </c>
      <c r="G3529" s="46"/>
      <c r="H3529" s="46">
        <f>IFERROR(TRANSACTIONS!$F3529+TRANSACTIONS!$G3529,"")</f>
        <v>20600</v>
      </c>
      <c r="I3529" s="40" t="s">
        <v>41</v>
      </c>
    </row>
    <row r="3530" spans="1:9" x14ac:dyDescent="0.25">
      <c r="A3530" s="41">
        <v>45365.521486574071</v>
      </c>
      <c r="B3530" s="48">
        <f>IF(A3530&lt;&gt;"",DATE(YEAR(TRANSACTIONS!$A3530),MONTH(TRANSACTIONS!$A3530),DAY(TRANSACTIONS!$A3530)),"")</f>
        <v>45365</v>
      </c>
      <c r="C3530" s="49">
        <f>IF(A3530&lt;&gt;"",TIME(HOUR(TRANSACTIONS!$A3530),MINUTE(TRANSACTIONS!$A3530),SECOND(TRANSACTIONS!$A3530)),"")</f>
        <v>0.52148148148148155</v>
      </c>
      <c r="D3530" s="82" t="s">
        <v>62</v>
      </c>
      <c r="E3530" s="82" t="s">
        <v>6</v>
      </c>
      <c r="F3530" s="126">
        <v>20000</v>
      </c>
      <c r="G3530" s="46"/>
      <c r="H3530" s="46">
        <f>IFERROR(TRANSACTIONS!$F3530+TRANSACTIONS!$G3530,"")</f>
        <v>20000</v>
      </c>
      <c r="I3530" s="40" t="s">
        <v>41</v>
      </c>
    </row>
    <row r="3531" spans="1:9" x14ac:dyDescent="0.25">
      <c r="A3531" s="81">
        <v>45365.521518055553</v>
      </c>
      <c r="B3531" s="83">
        <f>IF(A3531&lt;&gt;"",DATE(YEAR(TRANSACTIONS!$A3531),MONTH(TRANSACTIONS!$A3531),DAY(TRANSACTIONS!$A3531)),"")</f>
        <v>45365</v>
      </c>
      <c r="C3531" s="84">
        <f>IF(A3531&lt;&gt;"",TIME(HOUR(TRANSACTIONS!$A3531),MINUTE(TRANSACTIONS!$A3531),SECOND(TRANSACTIONS!$A3531)),"")</f>
        <v>0.52151620370370366</v>
      </c>
      <c r="D3531" s="82" t="s">
        <v>62</v>
      </c>
      <c r="E3531" s="82" t="s">
        <v>7</v>
      </c>
      <c r="F3531" s="126">
        <v>50000</v>
      </c>
      <c r="G3531" s="86"/>
      <c r="H3531" s="86">
        <f>IFERROR(TRANSACTIONS!$F3531+TRANSACTIONS!$G3531,"")</f>
        <v>50000</v>
      </c>
      <c r="I3531" s="88" t="s">
        <v>41</v>
      </c>
    </row>
    <row r="3532" spans="1:9" x14ac:dyDescent="0.25">
      <c r="A3532" s="41">
        <v>45365.521563773145</v>
      </c>
      <c r="B3532" s="48">
        <f>IF(A3532&lt;&gt;"",DATE(YEAR(TRANSACTIONS!$A3532),MONTH(TRANSACTIONS!$A3532),DAY(TRANSACTIONS!$A3532)),"")</f>
        <v>45365</v>
      </c>
      <c r="C3532" s="49">
        <f>IF(A3532&lt;&gt;"",TIME(HOUR(TRANSACTIONS!$A3532),MINUTE(TRANSACTIONS!$A3532),SECOND(TRANSACTIONS!$A3532)),"")</f>
        <v>0.52156250000000004</v>
      </c>
      <c r="D3532" s="82" t="s">
        <v>62</v>
      </c>
      <c r="E3532" s="82" t="s">
        <v>6</v>
      </c>
      <c r="F3532" s="126">
        <v>30000</v>
      </c>
      <c r="G3532" s="46"/>
      <c r="H3532" s="46">
        <f>IFERROR(TRANSACTIONS!$F3532+TRANSACTIONS!$G3532,"")</f>
        <v>30000</v>
      </c>
      <c r="I3532" s="40" t="s">
        <v>41</v>
      </c>
    </row>
    <row r="3533" spans="1:9" x14ac:dyDescent="0.25">
      <c r="A3533" s="41">
        <v>45365.664831365742</v>
      </c>
      <c r="B3533" s="48">
        <f>IF(A3533&lt;&gt;"",DATE(YEAR(TRANSACTIONS!$A3533),MONTH(TRANSACTIONS!$A3533),DAY(TRANSACTIONS!$A3533)),"")</f>
        <v>45365</v>
      </c>
      <c r="C3533" s="49">
        <f>IF(A3533&lt;&gt;"",TIME(HOUR(TRANSACTIONS!$A3533),MINUTE(TRANSACTIONS!$A3533),SECOND(TRANSACTIONS!$A3533)),"")</f>
        <v>0.6648263888888889</v>
      </c>
      <c r="D3533" s="82" t="s">
        <v>62</v>
      </c>
      <c r="E3533" s="82" t="s">
        <v>7</v>
      </c>
      <c r="F3533" s="126">
        <v>8000</v>
      </c>
      <c r="G3533" s="46"/>
      <c r="H3533" s="46">
        <f>IFERROR(TRANSACTIONS!$F3533+TRANSACTIONS!$G3533,"")</f>
        <v>8000</v>
      </c>
      <c r="I3533" s="40" t="s">
        <v>41</v>
      </c>
    </row>
    <row r="3534" spans="1:9" x14ac:dyDescent="0.25">
      <c r="A3534" s="41">
        <v>45365.664886458333</v>
      </c>
      <c r="B3534" s="48">
        <f>IF(A3534&lt;&gt;"",DATE(YEAR(TRANSACTIONS!$A3534),MONTH(TRANSACTIONS!$A3534),DAY(TRANSACTIONS!$A3534)),"")</f>
        <v>45365</v>
      </c>
      <c r="C3534" s="49">
        <f>IF(A3534&lt;&gt;"",TIME(HOUR(TRANSACTIONS!$A3534),MINUTE(TRANSACTIONS!$A3534),SECOND(TRANSACTIONS!$A3534)),"")</f>
        <v>0.66488425925925931</v>
      </c>
      <c r="D3534" s="82" t="s">
        <v>62</v>
      </c>
      <c r="E3534" s="82" t="s">
        <v>7</v>
      </c>
      <c r="F3534" s="126">
        <v>15000</v>
      </c>
      <c r="G3534" s="46"/>
      <c r="H3534" s="46">
        <f>IFERROR(TRANSACTIONS!$F3534+TRANSACTIONS!$G3534,"")</f>
        <v>15000</v>
      </c>
      <c r="I3534" s="40" t="s">
        <v>41</v>
      </c>
    </row>
    <row r="3535" spans="1:9" x14ac:dyDescent="0.25">
      <c r="A3535" s="41">
        <v>45365.664893981484</v>
      </c>
      <c r="B3535" s="48">
        <f>IF(A3535&lt;&gt;"",DATE(YEAR(TRANSACTIONS!$A3535),MONTH(TRANSACTIONS!$A3535),DAY(TRANSACTIONS!$A3535)),"")</f>
        <v>45365</v>
      </c>
      <c r="C3535" s="49">
        <f>IF(A3535&lt;&gt;"",TIME(HOUR(TRANSACTIONS!$A3535),MINUTE(TRANSACTIONS!$A3535),SECOND(TRANSACTIONS!$A3535)),"")</f>
        <v>0.66489583333333335</v>
      </c>
      <c r="D3535" s="82" t="s">
        <v>62</v>
      </c>
      <c r="E3535" s="82" t="s">
        <v>7</v>
      </c>
      <c r="F3535" s="126">
        <v>500</v>
      </c>
      <c r="G3535" s="46"/>
      <c r="H3535" s="46">
        <f>IFERROR(TRANSACTIONS!$F3535+TRANSACTIONS!$G3535,"")</f>
        <v>500</v>
      </c>
      <c r="I3535" s="40" t="s">
        <v>41</v>
      </c>
    </row>
    <row r="3536" spans="1:9" x14ac:dyDescent="0.25">
      <c r="A3536" s="41">
        <v>45365.664901504628</v>
      </c>
      <c r="B3536" s="48">
        <f>IF(A3536&lt;&gt;"",DATE(YEAR(TRANSACTIONS!$A3536),MONTH(TRANSACTIONS!$A3536),DAY(TRANSACTIONS!$A3536)),"")</f>
        <v>45365</v>
      </c>
      <c r="C3536" s="49">
        <f>IF(A3536&lt;&gt;"",TIME(HOUR(TRANSACTIONS!$A3536),MINUTE(TRANSACTIONS!$A3536),SECOND(TRANSACTIONS!$A3536)),"")</f>
        <v>0.66489583333333335</v>
      </c>
      <c r="D3536" s="82" t="s">
        <v>62</v>
      </c>
      <c r="E3536" s="82" t="s">
        <v>7</v>
      </c>
      <c r="F3536" s="126">
        <v>500</v>
      </c>
      <c r="G3536" s="46"/>
      <c r="H3536" s="46">
        <f>IFERROR(TRANSACTIONS!$F3536+TRANSACTIONS!$G3536,"")</f>
        <v>500</v>
      </c>
      <c r="I3536" s="40" t="s">
        <v>41</v>
      </c>
    </row>
    <row r="3537" spans="1:10" x14ac:dyDescent="0.25">
      <c r="A3537" s="41">
        <v>45365.664908333332</v>
      </c>
      <c r="B3537" s="48">
        <f>IF(A3537&lt;&gt;"",DATE(YEAR(TRANSACTIONS!$A3537),MONTH(TRANSACTIONS!$A3537),DAY(TRANSACTIONS!$A3537)),"")</f>
        <v>45365</v>
      </c>
      <c r="C3537" s="49">
        <f>IF(A3537&lt;&gt;"",TIME(HOUR(TRANSACTIONS!$A3537),MINUTE(TRANSACTIONS!$A3537),SECOND(TRANSACTIONS!$A3537)),"")</f>
        <v>0.66490740740740739</v>
      </c>
      <c r="D3537" s="82" t="s">
        <v>62</v>
      </c>
      <c r="E3537" s="82" t="s">
        <v>7</v>
      </c>
      <c r="F3537" s="126">
        <v>5000</v>
      </c>
      <c r="G3537" s="46"/>
      <c r="H3537" s="46">
        <f>IFERROR(TRANSACTIONS!$F3537+TRANSACTIONS!$G3537,"")</f>
        <v>5000</v>
      </c>
      <c r="I3537" s="40" t="s">
        <v>41</v>
      </c>
    </row>
    <row r="3538" spans="1:10" x14ac:dyDescent="0.25">
      <c r="A3538" s="41">
        <v>45365.664915393521</v>
      </c>
      <c r="B3538" s="48">
        <f>IF(A3538&lt;&gt;"",DATE(YEAR(TRANSACTIONS!$A3538),MONTH(TRANSACTIONS!$A3538),DAY(TRANSACTIONS!$A3538)),"")</f>
        <v>45365</v>
      </c>
      <c r="C3538" s="49">
        <f>IF(A3538&lt;&gt;"",TIME(HOUR(TRANSACTIONS!$A3538),MINUTE(TRANSACTIONS!$A3538),SECOND(TRANSACTIONS!$A3538)),"")</f>
        <v>0.66491898148148143</v>
      </c>
      <c r="D3538" s="82" t="s">
        <v>62</v>
      </c>
      <c r="E3538" s="82" t="s">
        <v>7</v>
      </c>
      <c r="F3538" s="126">
        <v>4000</v>
      </c>
      <c r="G3538" s="46"/>
      <c r="H3538" s="46">
        <f>IFERROR(TRANSACTIONS!$F3538+TRANSACTIONS!$G3538,"")</f>
        <v>4000</v>
      </c>
      <c r="I3538" s="40" t="s">
        <v>41</v>
      </c>
    </row>
    <row r="3539" spans="1:10" x14ac:dyDescent="0.25">
      <c r="A3539" s="41">
        <v>45365.664921759257</v>
      </c>
      <c r="B3539" s="48">
        <f>IF(A3539&lt;&gt;"",DATE(YEAR(TRANSACTIONS!$A3539),MONTH(TRANSACTIONS!$A3539),DAY(TRANSACTIONS!$A3539)),"")</f>
        <v>45365</v>
      </c>
      <c r="C3539" s="49">
        <f>IF(A3539&lt;&gt;"",TIME(HOUR(TRANSACTIONS!$A3539),MINUTE(TRANSACTIONS!$A3539),SECOND(TRANSACTIONS!$A3539)),"")</f>
        <v>0.66491898148148143</v>
      </c>
      <c r="D3539" s="82" t="s">
        <v>62</v>
      </c>
      <c r="E3539" s="82" t="s">
        <v>6</v>
      </c>
      <c r="F3539" s="126">
        <v>4500</v>
      </c>
      <c r="G3539" s="46"/>
      <c r="H3539" s="46">
        <f>IFERROR(TRANSACTIONS!$F3539+TRANSACTIONS!$G3539,"")</f>
        <v>4500</v>
      </c>
      <c r="I3539" s="40" t="s">
        <v>41</v>
      </c>
    </row>
    <row r="3540" spans="1:10" x14ac:dyDescent="0.25">
      <c r="A3540" s="41">
        <v>45365.664928124999</v>
      </c>
      <c r="B3540" s="48">
        <f>IF(A3540&lt;&gt;"",DATE(YEAR(TRANSACTIONS!$A3540),MONTH(TRANSACTIONS!$A3540),DAY(TRANSACTIONS!$A3540)),"")</f>
        <v>45365</v>
      </c>
      <c r="C3540" s="49">
        <f>IF(A3540&lt;&gt;"",TIME(HOUR(TRANSACTIONS!$A3540),MINUTE(TRANSACTIONS!$A3540),SECOND(TRANSACTIONS!$A3540)),"")</f>
        <v>0.66493055555555558</v>
      </c>
      <c r="D3540" s="82" t="s">
        <v>62</v>
      </c>
      <c r="E3540" s="82" t="s">
        <v>7</v>
      </c>
      <c r="F3540" s="126">
        <v>4500</v>
      </c>
      <c r="G3540" s="46"/>
      <c r="H3540" s="46">
        <f>IFERROR(TRANSACTIONS!$F3540+TRANSACTIONS!$G3540,"")</f>
        <v>4500</v>
      </c>
      <c r="I3540" s="40" t="s">
        <v>41</v>
      </c>
    </row>
    <row r="3541" spans="1:10" x14ac:dyDescent="0.25">
      <c r="A3541" s="41">
        <v>45365.664935300927</v>
      </c>
      <c r="B3541" s="48">
        <f>IF(A3541&lt;&gt;"",DATE(YEAR(TRANSACTIONS!$A3541),MONTH(TRANSACTIONS!$A3541),DAY(TRANSACTIONS!$A3541)),"")</f>
        <v>45365</v>
      </c>
      <c r="C3541" s="49">
        <f>IF(A3541&lt;&gt;"",TIME(HOUR(TRANSACTIONS!$A3541),MINUTE(TRANSACTIONS!$A3541),SECOND(TRANSACTIONS!$A3541)),"")</f>
        <v>0.66493055555555558</v>
      </c>
      <c r="D3541" s="82" t="s">
        <v>62</v>
      </c>
      <c r="E3541" s="82" t="s">
        <v>7</v>
      </c>
      <c r="F3541" s="126">
        <v>25000</v>
      </c>
      <c r="G3541" s="46"/>
      <c r="H3541" s="46">
        <f>IFERROR(TRANSACTIONS!$F3541+TRANSACTIONS!$G3541,"")</f>
        <v>25000</v>
      </c>
      <c r="I3541" s="40" t="s">
        <v>41</v>
      </c>
    </row>
    <row r="3542" spans="1:10" x14ac:dyDescent="0.25">
      <c r="A3542" s="41">
        <v>45365.66494224537</v>
      </c>
      <c r="B3542" s="48">
        <f>IF(A3542&lt;&gt;"",DATE(YEAR(TRANSACTIONS!$A3542),MONTH(TRANSACTIONS!$A3542),DAY(TRANSACTIONS!$A3542)),"")</f>
        <v>45365</v>
      </c>
      <c r="C3542" s="49">
        <f>IF(A3542&lt;&gt;"",TIME(HOUR(TRANSACTIONS!$A3542),MINUTE(TRANSACTIONS!$A3542),SECOND(TRANSACTIONS!$A3542)),"")</f>
        <v>0.66494212962962962</v>
      </c>
      <c r="D3542" s="82" t="s">
        <v>62</v>
      </c>
      <c r="E3542" s="82" t="s">
        <v>6</v>
      </c>
      <c r="F3542" s="126">
        <v>1000</v>
      </c>
      <c r="G3542" s="46"/>
      <c r="H3542" s="46">
        <f>IFERROR(TRANSACTIONS!$F3542+TRANSACTIONS!$G3542,"")</f>
        <v>1000</v>
      </c>
      <c r="I3542" s="40" t="s">
        <v>41</v>
      </c>
    </row>
    <row r="3543" spans="1:10" x14ac:dyDescent="0.25">
      <c r="A3543" s="41">
        <v>45365.664953587962</v>
      </c>
      <c r="B3543" s="48">
        <f>IF(A3543&lt;&gt;"",DATE(YEAR(TRANSACTIONS!$A3543),MONTH(TRANSACTIONS!$A3543),DAY(TRANSACTIONS!$A3543)),"")</f>
        <v>45365</v>
      </c>
      <c r="C3543" s="49">
        <f>IF(A3543&lt;&gt;"",TIME(HOUR(TRANSACTIONS!$A3543),MINUTE(TRANSACTIONS!$A3543),SECOND(TRANSACTIONS!$A3543)),"")</f>
        <v>0.66495370370370377</v>
      </c>
      <c r="D3543" s="82" t="s">
        <v>62</v>
      </c>
      <c r="E3543" s="82" t="s">
        <v>7</v>
      </c>
      <c r="F3543" s="126">
        <v>5000</v>
      </c>
      <c r="G3543" s="46"/>
      <c r="H3543" s="46">
        <f>IFERROR(TRANSACTIONS!$F3543+TRANSACTIONS!$G3543,"")</f>
        <v>5000</v>
      </c>
      <c r="I3543" s="40" t="s">
        <v>41</v>
      </c>
    </row>
    <row r="3544" spans="1:10" x14ac:dyDescent="0.25">
      <c r="A3544" s="41">
        <v>45365.66496574074</v>
      </c>
      <c r="B3544" s="114">
        <f>IF(A3544&lt;&gt;"",DATE(YEAR(TRANSACTIONS!$A3544),MONTH(TRANSACTIONS!$A3544),DAY(TRANSACTIONS!$A3544)),"")</f>
        <v>45365</v>
      </c>
      <c r="C3544" s="115">
        <f>IF(A3544&lt;&gt;"",TIME(HOUR(TRANSACTIONS!$A3544),MINUTE(TRANSACTIONS!$A3544),SECOND(TRANSACTIONS!$A3544)),"")</f>
        <v>0.66496527777777781</v>
      </c>
      <c r="D3544" s="82" t="s">
        <v>62</v>
      </c>
      <c r="E3544" s="82" t="s">
        <v>6</v>
      </c>
      <c r="F3544" s="126">
        <v>100000</v>
      </c>
      <c r="G3544" s="117"/>
      <c r="H3544" s="117">
        <f>IFERROR(TRANSACTIONS!$F3544+TRANSACTIONS!$G3544,"")</f>
        <v>100000</v>
      </c>
      <c r="I3544" s="118" t="s">
        <v>41</v>
      </c>
    </row>
    <row r="3545" spans="1:10" x14ac:dyDescent="0.25">
      <c r="A3545" s="41">
        <v>45365.664973611114</v>
      </c>
      <c r="B3545" s="114">
        <f>IF(A3545&lt;&gt;"",DATE(YEAR(TRANSACTIONS!$A3545),MONTH(TRANSACTIONS!$A3545),DAY(TRANSACTIONS!$A3545)),"")</f>
        <v>45365</v>
      </c>
      <c r="C3545" s="115">
        <f>IF(A3545&lt;&gt;"",TIME(HOUR(TRANSACTIONS!$A3545),MINUTE(TRANSACTIONS!$A3545),SECOND(TRANSACTIONS!$A3545)),"")</f>
        <v>0.66497685185185185</v>
      </c>
      <c r="D3545" s="82" t="s">
        <v>62</v>
      </c>
      <c r="E3545" s="82" t="s">
        <v>7</v>
      </c>
      <c r="F3545" s="126">
        <v>4000</v>
      </c>
      <c r="G3545" s="117"/>
      <c r="H3545" s="117">
        <f>IFERROR(TRANSACTIONS!$F3545+TRANSACTIONS!$G3545,"")</f>
        <v>4000</v>
      </c>
      <c r="I3545" s="118" t="s">
        <v>41</v>
      </c>
    </row>
    <row r="3546" spans="1:10" x14ac:dyDescent="0.25">
      <c r="A3546" s="41">
        <v>45365.66499513889</v>
      </c>
      <c r="B3546" s="48">
        <f>IF(A3546&lt;&gt;"",DATE(YEAR(TRANSACTIONS!$A3546),MONTH(TRANSACTIONS!$A3546),DAY(TRANSACTIONS!$A3546)),"")</f>
        <v>45365</v>
      </c>
      <c r="C3546" s="49">
        <f>IF(A3546&lt;&gt;"",TIME(HOUR(TRANSACTIONS!$A3546),MINUTE(TRANSACTIONS!$A3546),SECOND(TRANSACTIONS!$A3546)),"")</f>
        <v>0.66500000000000004</v>
      </c>
      <c r="D3546" s="82" t="s">
        <v>62</v>
      </c>
      <c r="E3546" s="82" t="s">
        <v>6</v>
      </c>
      <c r="F3546" s="126">
        <v>15000</v>
      </c>
      <c r="G3546" s="46"/>
      <c r="H3546" s="46">
        <f>IFERROR(TRANSACTIONS!$F3546+TRANSACTIONS!$G3546,"")</f>
        <v>15000</v>
      </c>
      <c r="I3546" s="40" t="s">
        <v>41</v>
      </c>
    </row>
    <row r="3547" spans="1:10" x14ac:dyDescent="0.25">
      <c r="A3547" s="41">
        <v>45365.665002430556</v>
      </c>
      <c r="B3547" s="48">
        <f>IF(A3547&lt;&gt;"",DATE(YEAR(TRANSACTIONS!$A3547),MONTH(TRANSACTIONS!$A3547),DAY(TRANSACTIONS!$A3547)),"")</f>
        <v>45365</v>
      </c>
      <c r="C3547" s="49">
        <f>IF(A3547&lt;&gt;"",TIME(HOUR(TRANSACTIONS!$A3547),MINUTE(TRANSACTIONS!$A3547),SECOND(TRANSACTIONS!$A3547)),"")</f>
        <v>0.66500000000000004</v>
      </c>
      <c r="D3547" s="82" t="s">
        <v>62</v>
      </c>
      <c r="E3547" s="82" t="s">
        <v>7</v>
      </c>
      <c r="F3547" s="126">
        <v>7000</v>
      </c>
      <c r="G3547" s="46"/>
      <c r="H3547" s="46">
        <f>IFERROR(TRANSACTIONS!$F3547+TRANSACTIONS!$G3547,"")</f>
        <v>7000</v>
      </c>
      <c r="I3547" s="40" t="s">
        <v>41</v>
      </c>
    </row>
    <row r="3548" spans="1:10" x14ac:dyDescent="0.25">
      <c r="A3548" s="81">
        <v>45365.665009837961</v>
      </c>
      <c r="B3548" s="83">
        <f>IF(A3548&lt;&gt;"",DATE(YEAR(TRANSACTIONS!$A3548),MONTH(TRANSACTIONS!$A3548),DAY(TRANSACTIONS!$A3548)),"")</f>
        <v>45365</v>
      </c>
      <c r="C3548" s="84">
        <f>IF(A3548&lt;&gt;"",TIME(HOUR(TRANSACTIONS!$A3548),MINUTE(TRANSACTIONS!$A3548),SECOND(TRANSACTIONS!$A3548)),"")</f>
        <v>0.66501157407407407</v>
      </c>
      <c r="D3548" s="82" t="s">
        <v>62</v>
      </c>
      <c r="E3548" s="82" t="s">
        <v>6</v>
      </c>
      <c r="F3548" s="126">
        <v>3000</v>
      </c>
      <c r="G3548" s="86"/>
      <c r="H3548" s="86">
        <f>IFERROR(TRANSACTIONS!$F3548+TRANSACTIONS!$G3548,"")</f>
        <v>3000</v>
      </c>
      <c r="I3548" s="88" t="s">
        <v>41</v>
      </c>
      <c r="J3548" s="88"/>
    </row>
    <row r="3549" spans="1:10" x14ac:dyDescent="0.25">
      <c r="A3549" s="41">
        <v>45365.665036342594</v>
      </c>
      <c r="B3549" s="48">
        <f>IF(A3549&lt;&gt;"",DATE(YEAR(TRANSACTIONS!$A3549),MONTH(TRANSACTIONS!$A3549),DAY(TRANSACTIONS!$A3549)),"")</f>
        <v>45365</v>
      </c>
      <c r="C3549" s="49">
        <f>IF(A3549&lt;&gt;"",TIME(HOUR(TRANSACTIONS!$A3549),MINUTE(TRANSACTIONS!$A3549),SECOND(TRANSACTIONS!$A3549)),"")</f>
        <v>0.66503472222222226</v>
      </c>
      <c r="D3549" s="82" t="s">
        <v>62</v>
      </c>
      <c r="E3549" s="82" t="s">
        <v>6</v>
      </c>
      <c r="F3549" s="126">
        <v>1000</v>
      </c>
      <c r="G3549" s="46"/>
      <c r="H3549" s="46">
        <f>IFERROR(TRANSACTIONS!$F3549+TRANSACTIONS!$G3549,"")</f>
        <v>1000</v>
      </c>
      <c r="I3549" s="40" t="s">
        <v>41</v>
      </c>
    </row>
    <row r="3550" spans="1:10" x14ac:dyDescent="0.25">
      <c r="A3550" s="41">
        <v>45365.665045486108</v>
      </c>
      <c r="B3550" s="48">
        <f>IF(A3550&lt;&gt;"",DATE(YEAR(TRANSACTIONS!$A3550),MONTH(TRANSACTIONS!$A3550),DAY(TRANSACTIONS!$A3550)),"")</f>
        <v>45365</v>
      </c>
      <c r="C3550" s="49">
        <f>IF(A3550&lt;&gt;"",TIME(HOUR(TRANSACTIONS!$A3550),MINUTE(TRANSACTIONS!$A3550),SECOND(TRANSACTIONS!$A3550)),"")</f>
        <v>0.6650462962962963</v>
      </c>
      <c r="D3550" s="82" t="s">
        <v>62</v>
      </c>
      <c r="E3550" s="82" t="s">
        <v>7</v>
      </c>
      <c r="F3550" s="126">
        <v>6000</v>
      </c>
      <c r="G3550" s="46"/>
      <c r="H3550" s="46">
        <f>IFERROR(TRANSACTIONS!$F3550+TRANSACTIONS!$G3550,"")</f>
        <v>6000</v>
      </c>
      <c r="I3550" s="40" t="s">
        <v>41</v>
      </c>
    </row>
    <row r="3551" spans="1:10" x14ac:dyDescent="0.25">
      <c r="A3551" s="41">
        <v>45365.665052430559</v>
      </c>
      <c r="B3551" s="48">
        <f>IF(A3551&lt;&gt;"",DATE(YEAR(TRANSACTIONS!$A3551),MONTH(TRANSACTIONS!$A3551),DAY(TRANSACTIONS!$A3551)),"")</f>
        <v>45365</v>
      </c>
      <c r="C3551" s="49">
        <f>IF(A3551&lt;&gt;"",TIME(HOUR(TRANSACTIONS!$A3551),MINUTE(TRANSACTIONS!$A3551),SECOND(TRANSACTIONS!$A3551)),"")</f>
        <v>0.66505787037037034</v>
      </c>
      <c r="D3551" s="82" t="s">
        <v>62</v>
      </c>
      <c r="E3551" s="82" t="s">
        <v>7</v>
      </c>
      <c r="F3551" s="126">
        <v>5000</v>
      </c>
      <c r="G3551" s="46"/>
      <c r="H3551" s="46">
        <f>IFERROR(TRANSACTIONS!$F3551+TRANSACTIONS!$G3551,"")</f>
        <v>5000</v>
      </c>
      <c r="I3551" s="40" t="s">
        <v>41</v>
      </c>
    </row>
    <row r="3552" spans="1:10" x14ac:dyDescent="0.25">
      <c r="A3552" s="41">
        <v>45365.665059375002</v>
      </c>
      <c r="B3552" s="48">
        <f>IF(A3552&lt;&gt;"",DATE(YEAR(TRANSACTIONS!$A3552),MONTH(TRANSACTIONS!$A3552),DAY(TRANSACTIONS!$A3552)),"")</f>
        <v>45365</v>
      </c>
      <c r="C3552" s="49">
        <f>IF(A3552&lt;&gt;"",TIME(HOUR(TRANSACTIONS!$A3552),MINUTE(TRANSACTIONS!$A3552),SECOND(TRANSACTIONS!$A3552)),"")</f>
        <v>0.66505787037037034</v>
      </c>
      <c r="D3552" s="82" t="s">
        <v>25</v>
      </c>
      <c r="E3552" s="82" t="s">
        <v>7</v>
      </c>
      <c r="F3552" s="126">
        <v>65000</v>
      </c>
      <c r="G3552" s="46"/>
      <c r="H3552" s="46">
        <f>IFERROR(TRANSACTIONS!$F3552+TRANSACTIONS!$G3552,"")</f>
        <v>65000</v>
      </c>
      <c r="I3552" s="40" t="s">
        <v>41</v>
      </c>
    </row>
    <row r="3553" spans="1:10" x14ac:dyDescent="0.25">
      <c r="A3553" s="41">
        <v>45365.66506712963</v>
      </c>
      <c r="B3553" s="48">
        <f>IF(A3553&lt;&gt;"",DATE(YEAR(TRANSACTIONS!$A3553),MONTH(TRANSACTIONS!$A3553),DAY(TRANSACTIONS!$A3553)),"")</f>
        <v>45365</v>
      </c>
      <c r="C3553" s="49">
        <f>IF(A3553&lt;&gt;"",TIME(HOUR(TRANSACTIONS!$A3553),MINUTE(TRANSACTIONS!$A3553),SECOND(TRANSACTIONS!$A3553)),"")</f>
        <v>0.66506944444444438</v>
      </c>
      <c r="D3553" s="82" t="s">
        <v>25</v>
      </c>
      <c r="E3553" s="82" t="s">
        <v>7</v>
      </c>
      <c r="F3553" s="126">
        <v>5000</v>
      </c>
      <c r="G3553" s="46"/>
      <c r="H3553" s="46">
        <f>IFERROR(TRANSACTIONS!$F3553+TRANSACTIONS!$G3553,"")</f>
        <v>5000</v>
      </c>
      <c r="I3553" s="40" t="s">
        <v>41</v>
      </c>
    </row>
    <row r="3554" spans="1:10" x14ac:dyDescent="0.25">
      <c r="A3554" s="41">
        <v>45365.665073958335</v>
      </c>
      <c r="B3554" s="48">
        <f>IF(A3554&lt;&gt;"",DATE(YEAR(TRANSACTIONS!$A3554),MONTH(TRANSACTIONS!$A3554),DAY(TRANSACTIONS!$A3554)),"")</f>
        <v>45365</v>
      </c>
      <c r="C3554" s="49">
        <f>IF(A3554&lt;&gt;"",TIME(HOUR(TRANSACTIONS!$A3554),MINUTE(TRANSACTIONS!$A3554),SECOND(TRANSACTIONS!$A3554)),"")</f>
        <v>0.66506944444444438</v>
      </c>
      <c r="D3554" s="82" t="s">
        <v>25</v>
      </c>
      <c r="E3554" s="82" t="s">
        <v>6</v>
      </c>
      <c r="F3554" s="126">
        <v>50000</v>
      </c>
      <c r="G3554" s="46"/>
      <c r="H3554" s="46">
        <f>IFERROR(TRANSACTIONS!$F3554+TRANSACTIONS!$G3554,"")</f>
        <v>50000</v>
      </c>
      <c r="I3554" s="40" t="s">
        <v>41</v>
      </c>
    </row>
    <row r="3555" spans="1:10" x14ac:dyDescent="0.25">
      <c r="A3555" s="41">
        <v>45365.665095370372</v>
      </c>
      <c r="B3555" s="48">
        <f>IF(A3555&lt;&gt;"",DATE(YEAR(TRANSACTIONS!$A3555),MONTH(TRANSACTIONS!$A3555),DAY(TRANSACTIONS!$A3555)),"")</f>
        <v>45365</v>
      </c>
      <c r="C3555" s="49">
        <f>IF(A3555&lt;&gt;"",TIME(HOUR(TRANSACTIONS!$A3555),MINUTE(TRANSACTIONS!$A3555),SECOND(TRANSACTIONS!$A3555)),"")</f>
        <v>0.66509259259259257</v>
      </c>
      <c r="D3555" s="82" t="s">
        <v>25</v>
      </c>
      <c r="E3555" s="82" t="s">
        <v>7</v>
      </c>
      <c r="F3555" s="126">
        <v>8000</v>
      </c>
      <c r="G3555" s="46"/>
      <c r="H3555" s="46">
        <f>IFERROR(TRANSACTIONS!$F3555+TRANSACTIONS!$G3555,"")</f>
        <v>8000</v>
      </c>
      <c r="I3555" s="40" t="s">
        <v>41</v>
      </c>
    </row>
    <row r="3556" spans="1:10" x14ac:dyDescent="0.25">
      <c r="A3556" s="41">
        <v>45365.665080671293</v>
      </c>
      <c r="B3556" s="48">
        <f>IF(A3556&lt;&gt;"",DATE(YEAR(TRANSACTIONS!$A3556),MONTH(TRANSACTIONS!$A3556),DAY(TRANSACTIONS!$A3556)),"")</f>
        <v>45365</v>
      </c>
      <c r="C3556" s="49">
        <f>IF(A3556&lt;&gt;"",TIME(HOUR(TRANSACTIONS!$A3556),MINUTE(TRANSACTIONS!$A3556),SECOND(TRANSACTIONS!$A3556)),"")</f>
        <v>0.66508101851851853</v>
      </c>
      <c r="D3556" s="82" t="s">
        <v>25</v>
      </c>
      <c r="E3556" s="82" t="s">
        <v>7</v>
      </c>
      <c r="F3556" s="126">
        <v>10000</v>
      </c>
      <c r="G3556" s="46"/>
      <c r="H3556" s="46">
        <f>IFERROR(TRANSACTIONS!$F3556+TRANSACTIONS!$G3556,"")</f>
        <v>10000</v>
      </c>
      <c r="I3556" s="40" t="s">
        <v>41</v>
      </c>
    </row>
    <row r="3557" spans="1:10" x14ac:dyDescent="0.25">
      <c r="A3557" s="41">
        <v>45365.665109606482</v>
      </c>
      <c r="B3557" s="48">
        <f>IF(A3557&lt;&gt;"",DATE(YEAR(TRANSACTIONS!$A3557),MONTH(TRANSACTIONS!$A3557),DAY(TRANSACTIONS!$A3557)),"")</f>
        <v>45365</v>
      </c>
      <c r="C3557" s="49">
        <f>IF(A3557&lt;&gt;"",TIME(HOUR(TRANSACTIONS!$A3557),MINUTE(TRANSACTIONS!$A3557),SECOND(TRANSACTIONS!$A3557)),"")</f>
        <v>0.66510416666666672</v>
      </c>
      <c r="D3557" s="82" t="s">
        <v>25</v>
      </c>
      <c r="E3557" s="82" t="s">
        <v>7</v>
      </c>
      <c r="F3557" s="126">
        <v>15000</v>
      </c>
      <c r="G3557" s="46"/>
      <c r="H3557" s="46">
        <f>IFERROR(TRANSACTIONS!$F3557+TRANSACTIONS!$G3557,"")</f>
        <v>15000</v>
      </c>
      <c r="I3557" s="40" t="s">
        <v>41</v>
      </c>
    </row>
    <row r="3558" spans="1:10" x14ac:dyDescent="0.25">
      <c r="A3558" s="41">
        <v>45365.665121874998</v>
      </c>
      <c r="B3558" s="48">
        <f>IF(A3558&lt;&gt;"",DATE(YEAR(TRANSACTIONS!$A3558),MONTH(TRANSACTIONS!$A3558),DAY(TRANSACTIONS!$A3558)),"")</f>
        <v>45365</v>
      </c>
      <c r="C3558" s="49">
        <f>IF(A3558&lt;&gt;"",TIME(HOUR(TRANSACTIONS!$A3558),MINUTE(TRANSACTIONS!$A3558),SECOND(TRANSACTIONS!$A3558)),"")</f>
        <v>0.6651273148148148</v>
      </c>
      <c r="D3558" s="82" t="s">
        <v>25</v>
      </c>
      <c r="E3558" s="82" t="s">
        <v>7</v>
      </c>
      <c r="F3558" s="126">
        <v>5000</v>
      </c>
      <c r="G3558" s="46"/>
      <c r="H3558" s="46">
        <f>IFERROR(TRANSACTIONS!$F3558+TRANSACTIONS!$G3558,"")</f>
        <v>5000</v>
      </c>
      <c r="I3558" s="40" t="s">
        <v>41</v>
      </c>
    </row>
    <row r="3559" spans="1:10" x14ac:dyDescent="0.25">
      <c r="A3559" s="41">
        <v>45365.665129166664</v>
      </c>
      <c r="B3559" s="48">
        <f>IF(A3559&lt;&gt;"",DATE(YEAR(TRANSACTIONS!$A3559),MONTH(TRANSACTIONS!$A3559),DAY(TRANSACTIONS!$A3559)),"")</f>
        <v>45365</v>
      </c>
      <c r="C3559" s="49">
        <f>IF(A3559&lt;&gt;"",TIME(HOUR(TRANSACTIONS!$A3559),MINUTE(TRANSACTIONS!$A3559),SECOND(TRANSACTIONS!$A3559)),"")</f>
        <v>0.6651273148148148</v>
      </c>
      <c r="D3559" s="82" t="s">
        <v>25</v>
      </c>
      <c r="E3559" s="82" t="s">
        <v>7</v>
      </c>
      <c r="F3559" s="126">
        <v>7000</v>
      </c>
      <c r="G3559" s="46"/>
      <c r="H3559" s="46">
        <f>IFERROR(TRANSACTIONS!$F3559+TRANSACTIONS!$G3559,"")</f>
        <v>7000</v>
      </c>
      <c r="I3559" s="40" t="s">
        <v>41</v>
      </c>
    </row>
    <row r="3560" spans="1:10" x14ac:dyDescent="0.25">
      <c r="A3560" s="41">
        <v>45365.665142939812</v>
      </c>
      <c r="B3560" s="48">
        <f>IF(A3560&lt;&gt;"",DATE(YEAR(TRANSACTIONS!$A3560),MONTH(TRANSACTIONS!$A3560),DAY(TRANSACTIONS!$A3560)),"")</f>
        <v>45365</v>
      </c>
      <c r="C3560" s="49">
        <f>IF(A3560&lt;&gt;"",TIME(HOUR(TRANSACTIONS!$A3560),MINUTE(TRANSACTIONS!$A3560),SECOND(TRANSACTIONS!$A3560)),"")</f>
        <v>0.66513888888888884</v>
      </c>
      <c r="D3560" s="82" t="s">
        <v>25</v>
      </c>
      <c r="E3560" s="82" t="s">
        <v>7</v>
      </c>
      <c r="F3560" s="126">
        <v>50000</v>
      </c>
      <c r="G3560" s="46"/>
      <c r="H3560" s="46">
        <f>IFERROR(TRANSACTIONS!$F3560+TRANSACTIONS!$G3560,"")</f>
        <v>50000</v>
      </c>
      <c r="I3560" s="40" t="s">
        <v>41</v>
      </c>
    </row>
    <row r="3561" spans="1:10" x14ac:dyDescent="0.25">
      <c r="A3561" s="41">
        <v>45365.665154861112</v>
      </c>
      <c r="B3561" s="48">
        <f>IF(A3561&lt;&gt;"",DATE(YEAR(TRANSACTIONS!$A3561),MONTH(TRANSACTIONS!$A3561),DAY(TRANSACTIONS!$A3561)),"")</f>
        <v>45365</v>
      </c>
      <c r="C3561" s="49">
        <f>IF(A3561&lt;&gt;"",TIME(HOUR(TRANSACTIONS!$A3561),MINUTE(TRANSACTIONS!$A3561),SECOND(TRANSACTIONS!$A3561)),"")</f>
        <v>0.66515046296296299</v>
      </c>
      <c r="D3561" s="82" t="s">
        <v>25</v>
      </c>
      <c r="E3561" s="82" t="s">
        <v>6</v>
      </c>
      <c r="F3561" s="126">
        <v>100000</v>
      </c>
      <c r="G3561" s="46"/>
      <c r="H3561" s="46">
        <f>IFERROR(TRANSACTIONS!$F3561+TRANSACTIONS!$G3561,"")</f>
        <v>100000</v>
      </c>
      <c r="I3561" s="40" t="s">
        <v>41</v>
      </c>
    </row>
    <row r="3562" spans="1:10" x14ac:dyDescent="0.25">
      <c r="A3562" s="41">
        <v>45365.665161458332</v>
      </c>
      <c r="B3562" s="106">
        <f>IF(A3562&lt;&gt;"",DATE(YEAR(TRANSACTIONS!$A3562),MONTH(TRANSACTIONS!$A3562),DAY(TRANSACTIONS!$A3562)),"")</f>
        <v>45365</v>
      </c>
      <c r="C3562" s="107">
        <f>IF(A3562&lt;&gt;"",TIME(HOUR(TRANSACTIONS!$A3562),MINUTE(TRANSACTIONS!$A3562),SECOND(TRANSACTIONS!$A3562)),"")</f>
        <v>0.66516203703703702</v>
      </c>
      <c r="D3562" s="93" t="s">
        <v>62</v>
      </c>
      <c r="E3562" s="93" t="s">
        <v>7</v>
      </c>
      <c r="F3562" s="178">
        <v>5000</v>
      </c>
      <c r="G3562" s="108"/>
      <c r="H3562" s="108">
        <f>IFERROR(TRANSACTIONS!$F3562+TRANSACTIONS!$G3562,"")</f>
        <v>5000</v>
      </c>
      <c r="I3562" s="109" t="s">
        <v>41</v>
      </c>
      <c r="J3562" s="136"/>
    </row>
    <row r="3563" spans="1:10" x14ac:dyDescent="0.25">
      <c r="A3563" s="41">
        <v>45365.668039351855</v>
      </c>
      <c r="B3563" s="48">
        <f>IF(A3563&lt;&gt;"",DATE(YEAR(TRANSACTIONS!$A3563),MONTH(TRANSACTIONS!$A3563),DAY(TRANSACTIONS!$A3563)),"")</f>
        <v>45365</v>
      </c>
      <c r="C3563" s="49">
        <f>IF(A3563&lt;&gt;"",TIME(HOUR(TRANSACTIONS!$A3563),MINUTE(TRANSACTIONS!$A3563),SECOND(TRANSACTIONS!$A3563)),"")</f>
        <v>0.66804398148148147</v>
      </c>
      <c r="D3563" s="82" t="s">
        <v>62</v>
      </c>
      <c r="E3563" s="82" t="s">
        <v>6</v>
      </c>
      <c r="F3563" s="126">
        <v>1000</v>
      </c>
      <c r="G3563" s="46"/>
      <c r="H3563" s="46">
        <f>IFERROR(TRANSACTIONS!$F3563+TRANSACTIONS!$G3563,"")</f>
        <v>1000</v>
      </c>
      <c r="I3563" s="40" t="s">
        <v>41</v>
      </c>
    </row>
    <row r="3564" spans="1:10" x14ac:dyDescent="0.25">
      <c r="A3564" s="41">
        <v>45365.668056134258</v>
      </c>
      <c r="B3564" s="48">
        <f>IF(A3564&lt;&gt;"",DATE(YEAR(TRANSACTIONS!$A3564),MONTH(TRANSACTIONS!$A3564),DAY(TRANSACTIONS!$A3564)),"")</f>
        <v>45365</v>
      </c>
      <c r="C3564" s="49">
        <f>IF(A3564&lt;&gt;"",TIME(HOUR(TRANSACTIONS!$A3564),MINUTE(TRANSACTIONS!$A3564),SECOND(TRANSACTIONS!$A3564)),"")</f>
        <v>0.66805555555555562</v>
      </c>
      <c r="D3564" s="82" t="s">
        <v>62</v>
      </c>
      <c r="E3564" s="82" t="s">
        <v>6</v>
      </c>
      <c r="F3564" s="126">
        <v>25000</v>
      </c>
      <c r="G3564" s="46"/>
      <c r="H3564" s="46">
        <f>IFERROR(TRANSACTIONS!$F3564+TRANSACTIONS!$G3564,"")</f>
        <v>25000</v>
      </c>
      <c r="I3564" s="40" t="s">
        <v>41</v>
      </c>
    </row>
    <row r="3565" spans="1:10" x14ac:dyDescent="0.25">
      <c r="A3565" s="41">
        <v>45365.668064351848</v>
      </c>
      <c r="B3565" s="48">
        <f>IF(A3565&lt;&gt;"",DATE(YEAR(TRANSACTIONS!$A3565),MONTH(TRANSACTIONS!$A3565),DAY(TRANSACTIONS!$A3565)),"")</f>
        <v>45365</v>
      </c>
      <c r="C3565" s="49">
        <f>IF(A3565&lt;&gt;"",TIME(HOUR(TRANSACTIONS!$A3565),MINUTE(TRANSACTIONS!$A3565),SECOND(TRANSACTIONS!$A3565)),"")</f>
        <v>0.66806712962962955</v>
      </c>
      <c r="D3565" s="82" t="s">
        <v>62</v>
      </c>
      <c r="E3565" s="82" t="s">
        <v>7</v>
      </c>
      <c r="F3565" s="126">
        <v>1000</v>
      </c>
      <c r="G3565" s="46"/>
      <c r="H3565" s="46">
        <f>IFERROR(TRANSACTIONS!$F3565+TRANSACTIONS!$G3565,"")</f>
        <v>1000</v>
      </c>
      <c r="I3565" s="40" t="s">
        <v>41</v>
      </c>
    </row>
    <row r="3566" spans="1:10" x14ac:dyDescent="0.25">
      <c r="A3566" s="41">
        <v>45365.668070833337</v>
      </c>
      <c r="B3566" s="48">
        <f>IF(A3566&lt;&gt;"",DATE(YEAR(TRANSACTIONS!$A3566),MONTH(TRANSACTIONS!$A3566),DAY(TRANSACTIONS!$A3566)),"")</f>
        <v>45365</v>
      </c>
      <c r="C3566" s="49">
        <f>IF(A3566&lt;&gt;"",TIME(HOUR(TRANSACTIONS!$A3566),MINUTE(TRANSACTIONS!$A3566),SECOND(TRANSACTIONS!$A3566)),"")</f>
        <v>0.66806712962962955</v>
      </c>
      <c r="D3566" s="82" t="s">
        <v>62</v>
      </c>
      <c r="E3566" s="82" t="s">
        <v>7</v>
      </c>
      <c r="F3566" s="126">
        <v>10000</v>
      </c>
      <c r="G3566" s="46"/>
      <c r="H3566" s="46">
        <f>IFERROR(TRANSACTIONS!$F3566+TRANSACTIONS!$G3566,"")</f>
        <v>10000</v>
      </c>
      <c r="I3566" s="40" t="s">
        <v>41</v>
      </c>
    </row>
    <row r="3567" spans="1:10" x14ac:dyDescent="0.25">
      <c r="A3567" s="41">
        <v>45365.668077662034</v>
      </c>
      <c r="B3567" s="48">
        <f>IF(A3567&lt;&gt;"",DATE(YEAR(TRANSACTIONS!$A3567),MONTH(TRANSACTIONS!$A3567),DAY(TRANSACTIONS!$A3567)),"")</f>
        <v>45365</v>
      </c>
      <c r="C3567" s="49">
        <f>IF(A3567&lt;&gt;"",TIME(HOUR(TRANSACTIONS!$A3567),MINUTE(TRANSACTIONS!$A3567),SECOND(TRANSACTIONS!$A3567)),"")</f>
        <v>0.6680787037037037</v>
      </c>
      <c r="D3567" s="82" t="s">
        <v>62</v>
      </c>
      <c r="E3567" s="82" t="s">
        <v>6</v>
      </c>
      <c r="F3567" s="126">
        <v>80800</v>
      </c>
      <c r="G3567" s="46"/>
      <c r="H3567" s="46">
        <f>IFERROR(TRANSACTIONS!$F3567+TRANSACTIONS!$G3567,"")</f>
        <v>80800</v>
      </c>
      <c r="I3567" s="40" t="s">
        <v>41</v>
      </c>
    </row>
    <row r="3568" spans="1:10" x14ac:dyDescent="0.25">
      <c r="A3568" s="41">
        <v>45365.668084143515</v>
      </c>
      <c r="B3568" s="83">
        <f>IF(A3568&lt;&gt;"",DATE(YEAR(TRANSACTIONS!$A3568),MONTH(TRANSACTIONS!$A3568),DAY(TRANSACTIONS!$A3568)),"")</f>
        <v>45365</v>
      </c>
      <c r="C3568" s="84">
        <f>IF(A3568&lt;&gt;"",TIME(HOUR(TRANSACTIONS!$A3568),MINUTE(TRANSACTIONS!$A3568),SECOND(TRANSACTIONS!$A3568)),"")</f>
        <v>0.6680787037037037</v>
      </c>
      <c r="D3568" s="82" t="s">
        <v>62</v>
      </c>
      <c r="E3568" s="82" t="s">
        <v>7</v>
      </c>
      <c r="F3568" s="126">
        <v>4000</v>
      </c>
      <c r="G3568" s="86"/>
      <c r="H3568" s="86">
        <f>IFERROR(TRANSACTIONS!$F3568+TRANSACTIONS!$G3568,"")</f>
        <v>4000</v>
      </c>
      <c r="I3568" s="88" t="s">
        <v>41</v>
      </c>
    </row>
    <row r="3569" spans="1:9" x14ac:dyDescent="0.25">
      <c r="A3569" s="41">
        <v>45365.668092129628</v>
      </c>
      <c r="B3569" s="114">
        <f>IF(A3569&lt;&gt;"",DATE(YEAR(TRANSACTIONS!$A3569),MONTH(TRANSACTIONS!$A3569),DAY(TRANSACTIONS!$A3569)),"")</f>
        <v>45365</v>
      </c>
      <c r="C3569" s="115">
        <f>IF(A3569&lt;&gt;"",TIME(HOUR(TRANSACTIONS!$A3569),MINUTE(TRANSACTIONS!$A3569),SECOND(TRANSACTIONS!$A3569)),"")</f>
        <v>0.66809027777777785</v>
      </c>
      <c r="D3569" s="82" t="s">
        <v>62</v>
      </c>
      <c r="E3569" s="82" t="s">
        <v>7</v>
      </c>
      <c r="F3569" s="126">
        <v>16000</v>
      </c>
      <c r="G3569" s="117"/>
      <c r="H3569" s="117">
        <f>IFERROR(TRANSACTIONS!$F3569+TRANSACTIONS!$G3569,"")</f>
        <v>16000</v>
      </c>
      <c r="I3569" s="118" t="s">
        <v>41</v>
      </c>
    </row>
    <row r="3570" spans="1:9" x14ac:dyDescent="0.25">
      <c r="A3570" s="41">
        <v>45365.668099421295</v>
      </c>
      <c r="B3570" s="48">
        <f>IF(A3570&lt;&gt;"",DATE(YEAR(TRANSACTIONS!$A3570),MONTH(TRANSACTIONS!$A3570),DAY(TRANSACTIONS!$A3570)),"")</f>
        <v>45365</v>
      </c>
      <c r="C3570" s="49">
        <f>IF(A3570&lt;&gt;"",TIME(HOUR(TRANSACTIONS!$A3570),MINUTE(TRANSACTIONS!$A3570),SECOND(TRANSACTIONS!$A3570)),"")</f>
        <v>0.66810185185185178</v>
      </c>
      <c r="D3570" s="82" t="s">
        <v>62</v>
      </c>
      <c r="E3570" s="82" t="s">
        <v>7</v>
      </c>
      <c r="F3570" s="126">
        <v>2500</v>
      </c>
      <c r="G3570" s="46"/>
      <c r="H3570" s="46">
        <f>IFERROR(TRANSACTIONS!$F3570+TRANSACTIONS!$G3570,"")</f>
        <v>2500</v>
      </c>
      <c r="I3570" s="40" t="s">
        <v>41</v>
      </c>
    </row>
    <row r="3571" spans="1:9" x14ac:dyDescent="0.25">
      <c r="A3571" s="41">
        <v>45365.684424652776</v>
      </c>
      <c r="B3571" s="48">
        <f>IF(A3571&lt;&gt;"",DATE(YEAR(TRANSACTIONS!$A3571),MONTH(TRANSACTIONS!$A3571),DAY(TRANSACTIONS!$A3571)),"")</f>
        <v>45365</v>
      </c>
      <c r="C3571" s="49">
        <f>IF(A3571&lt;&gt;"",TIME(HOUR(TRANSACTIONS!$A3571),MINUTE(TRANSACTIONS!$A3571),SECOND(TRANSACTIONS!$A3571)),"")</f>
        <v>0.68442129629629633</v>
      </c>
      <c r="D3571" s="82" t="s">
        <v>62</v>
      </c>
      <c r="E3571" s="82" t="s">
        <v>6</v>
      </c>
      <c r="F3571" s="126">
        <v>86000</v>
      </c>
      <c r="G3571" s="46"/>
      <c r="H3571" s="46">
        <f>IFERROR(TRANSACTIONS!$F3571+TRANSACTIONS!$G3571,"")</f>
        <v>86000</v>
      </c>
      <c r="I3571" s="40" t="s">
        <v>41</v>
      </c>
    </row>
    <row r="3572" spans="1:9" x14ac:dyDescent="0.25">
      <c r="A3572" s="41">
        <v>45365.684464930557</v>
      </c>
      <c r="B3572" s="48">
        <f>IF(A3572&lt;&gt;"",DATE(YEAR(TRANSACTIONS!$A3572),MONTH(TRANSACTIONS!$A3572),DAY(TRANSACTIONS!$A3572)),"")</f>
        <v>45365</v>
      </c>
      <c r="C3572" s="49">
        <f>IF(A3572&lt;&gt;"",TIME(HOUR(TRANSACTIONS!$A3572),MINUTE(TRANSACTIONS!$A3572),SECOND(TRANSACTIONS!$A3572)),"")</f>
        <v>0.6844675925925926</v>
      </c>
      <c r="D3572" s="82" t="s">
        <v>62</v>
      </c>
      <c r="E3572" s="82" t="s">
        <v>6</v>
      </c>
      <c r="F3572" s="126">
        <v>2000</v>
      </c>
      <c r="G3572" s="46"/>
      <c r="H3572" s="46">
        <f>IFERROR(TRANSACTIONS!$F3572+TRANSACTIONS!$G3572,"")</f>
        <v>2000</v>
      </c>
      <c r="I3572" s="40" t="s">
        <v>41</v>
      </c>
    </row>
    <row r="3573" spans="1:9" x14ac:dyDescent="0.25">
      <c r="A3573" s="41">
        <v>45365.684472222223</v>
      </c>
      <c r="B3573" s="48">
        <f>IF(A3573&lt;&gt;"",DATE(YEAR(TRANSACTIONS!$A3573),MONTH(TRANSACTIONS!$A3573),DAY(TRANSACTIONS!$A3573)),"")</f>
        <v>45365</v>
      </c>
      <c r="C3573" s="49">
        <f>IF(A3573&lt;&gt;"",TIME(HOUR(TRANSACTIONS!$A3573),MINUTE(TRANSACTIONS!$A3573),SECOND(TRANSACTIONS!$A3573)),"")</f>
        <v>0.6844675925925926</v>
      </c>
      <c r="D3573" s="82" t="s">
        <v>62</v>
      </c>
      <c r="E3573" s="82" t="s">
        <v>7</v>
      </c>
      <c r="F3573" s="126">
        <v>2000</v>
      </c>
      <c r="G3573" s="46"/>
      <c r="H3573" s="46">
        <f>IFERROR(TRANSACTIONS!$F3573+TRANSACTIONS!$G3573,"")</f>
        <v>2000</v>
      </c>
      <c r="I3573" s="40" t="s">
        <v>41</v>
      </c>
    </row>
    <row r="3574" spans="1:9" x14ac:dyDescent="0.25">
      <c r="A3574" s="41">
        <v>45365.684479282405</v>
      </c>
      <c r="B3574" s="48">
        <f>IF(A3574&lt;&gt;"",DATE(YEAR(TRANSACTIONS!$A3574),MONTH(TRANSACTIONS!$A3574),DAY(TRANSACTIONS!$A3574)),"")</f>
        <v>45365</v>
      </c>
      <c r="C3574" s="49">
        <f>IF(A3574&lt;&gt;"",TIME(HOUR(TRANSACTIONS!$A3574),MINUTE(TRANSACTIONS!$A3574),SECOND(TRANSACTIONS!$A3574)),"")</f>
        <v>0.68447916666666664</v>
      </c>
      <c r="D3574" s="82" t="s">
        <v>62</v>
      </c>
      <c r="E3574" s="82" t="s">
        <v>7</v>
      </c>
      <c r="F3574" s="126">
        <v>5000</v>
      </c>
      <c r="G3574" s="46"/>
      <c r="H3574" s="46">
        <f>IFERROR(TRANSACTIONS!$F3574+TRANSACTIONS!$G3574,"")</f>
        <v>5000</v>
      </c>
      <c r="I3574" s="40" t="s">
        <v>41</v>
      </c>
    </row>
    <row r="3575" spans="1:9" x14ac:dyDescent="0.25">
      <c r="A3575" s="41">
        <v>45365.684486458333</v>
      </c>
      <c r="B3575" s="48">
        <f>IF(A3575&lt;&gt;"",DATE(YEAR(TRANSACTIONS!$A3575),MONTH(TRANSACTIONS!$A3575),DAY(TRANSACTIONS!$A3575)),"")</f>
        <v>45365</v>
      </c>
      <c r="C3575" s="49">
        <f>IF(A3575&lt;&gt;"",TIME(HOUR(TRANSACTIONS!$A3575),MINUTE(TRANSACTIONS!$A3575),SECOND(TRANSACTIONS!$A3575)),"")</f>
        <v>0.68449074074074068</v>
      </c>
      <c r="D3575" s="82" t="s">
        <v>62</v>
      </c>
      <c r="E3575" s="82" t="s">
        <v>7</v>
      </c>
      <c r="F3575" s="126">
        <v>2000</v>
      </c>
      <c r="G3575" s="46"/>
      <c r="H3575" s="46">
        <f>IFERROR(TRANSACTIONS!$F3575+TRANSACTIONS!$G3575,"")</f>
        <v>2000</v>
      </c>
      <c r="I3575" s="40" t="s">
        <v>41</v>
      </c>
    </row>
    <row r="3576" spans="1:9" x14ac:dyDescent="0.25">
      <c r="A3576" s="41">
        <v>45365.724784027778</v>
      </c>
      <c r="B3576" s="48">
        <f>IF(A3576&lt;&gt;"",DATE(YEAR(TRANSACTIONS!$A3576),MONTH(TRANSACTIONS!$A3576),DAY(TRANSACTIONS!$A3576)),"")</f>
        <v>45365</v>
      </c>
      <c r="C3576" s="49">
        <f>IF(A3576&lt;&gt;"",TIME(HOUR(TRANSACTIONS!$A3576),MINUTE(TRANSACTIONS!$A3576),SECOND(TRANSACTIONS!$A3576)),"")</f>
        <v>0.72478009259259257</v>
      </c>
      <c r="D3576" s="82" t="s">
        <v>62</v>
      </c>
      <c r="E3576" s="82" t="s">
        <v>6</v>
      </c>
      <c r="F3576" s="126">
        <v>1000</v>
      </c>
      <c r="G3576" s="46"/>
      <c r="H3576" s="46">
        <f>IFERROR(TRANSACTIONS!$F3576+TRANSACTIONS!$G3576,"")</f>
        <v>1000</v>
      </c>
      <c r="I3576" s="40" t="s">
        <v>41</v>
      </c>
    </row>
    <row r="3577" spans="1:9" x14ac:dyDescent="0.25">
      <c r="A3577" s="41">
        <v>45365.724828703707</v>
      </c>
      <c r="B3577" s="48">
        <f>IF(A3577&lt;&gt;"",DATE(YEAR(TRANSACTIONS!$A3577),MONTH(TRANSACTIONS!$A3577),DAY(TRANSACTIONS!$A3577)),"")</f>
        <v>45365</v>
      </c>
      <c r="C3577" s="49">
        <f>IF(A3577&lt;&gt;"",TIME(HOUR(TRANSACTIONS!$A3577),MINUTE(TRANSACTIONS!$A3577),SECOND(TRANSACTIONS!$A3577)),"")</f>
        <v>0.72482638888888884</v>
      </c>
      <c r="D3577" s="82" t="s">
        <v>62</v>
      </c>
      <c r="E3577" s="82" t="s">
        <v>7</v>
      </c>
      <c r="F3577" s="126">
        <v>2000</v>
      </c>
      <c r="G3577" s="46"/>
      <c r="H3577" s="46">
        <f>IFERROR(TRANSACTIONS!$F3577+TRANSACTIONS!$G3577,"")</f>
        <v>2000</v>
      </c>
      <c r="I3577" s="40" t="s">
        <v>41</v>
      </c>
    </row>
    <row r="3578" spans="1:9" x14ac:dyDescent="0.25">
      <c r="A3578" s="41">
        <v>45365.724836689813</v>
      </c>
      <c r="B3578" s="48">
        <f>IF(A3578&lt;&gt;"",DATE(YEAR(TRANSACTIONS!$A3578),MONTH(TRANSACTIONS!$A3578),DAY(TRANSACTIONS!$A3578)),"")</f>
        <v>45365</v>
      </c>
      <c r="C3578" s="49">
        <f>IF(A3578&lt;&gt;"",TIME(HOUR(TRANSACTIONS!$A3578),MINUTE(TRANSACTIONS!$A3578),SECOND(TRANSACTIONS!$A3578)),"")</f>
        <v>0.72483796296296299</v>
      </c>
      <c r="D3578" s="82" t="s">
        <v>62</v>
      </c>
      <c r="E3578" s="82" t="s">
        <v>7</v>
      </c>
      <c r="F3578" s="126">
        <v>2500</v>
      </c>
      <c r="G3578" s="46"/>
      <c r="H3578" s="46">
        <f>IFERROR(TRANSACTIONS!$F3578+TRANSACTIONS!$G3578,"")</f>
        <v>2500</v>
      </c>
      <c r="I3578" s="40" t="s">
        <v>41</v>
      </c>
    </row>
    <row r="3579" spans="1:9" x14ac:dyDescent="0.25">
      <c r="A3579" s="41">
        <v>45365.724843750002</v>
      </c>
      <c r="B3579" s="48">
        <f>IF(A3579&lt;&gt;"",DATE(YEAR(TRANSACTIONS!$A3579),MONTH(TRANSACTIONS!$A3579),DAY(TRANSACTIONS!$A3579)),"")</f>
        <v>45365</v>
      </c>
      <c r="C3579" s="49">
        <f>IF(A3579&lt;&gt;"",TIME(HOUR(TRANSACTIONS!$A3579),MINUTE(TRANSACTIONS!$A3579),SECOND(TRANSACTIONS!$A3579)),"")</f>
        <v>0.72483796296296299</v>
      </c>
      <c r="D3579" s="82" t="s">
        <v>62</v>
      </c>
      <c r="E3579" s="82" t="s">
        <v>7</v>
      </c>
      <c r="F3579" s="126">
        <v>8000</v>
      </c>
      <c r="G3579" s="46"/>
      <c r="H3579" s="46">
        <f>IFERROR(TRANSACTIONS!$F3579+TRANSACTIONS!$G3579,"")</f>
        <v>8000</v>
      </c>
      <c r="I3579" s="40" t="s">
        <v>41</v>
      </c>
    </row>
    <row r="3580" spans="1:9" x14ac:dyDescent="0.25">
      <c r="A3580" s="41">
        <v>45365.730868634259</v>
      </c>
      <c r="B3580" s="48">
        <f>IF(A3580&lt;&gt;"",DATE(YEAR(TRANSACTIONS!$A3580),MONTH(TRANSACTIONS!$A3580),DAY(TRANSACTIONS!$A3580)),"")</f>
        <v>45365</v>
      </c>
      <c r="C3580" s="49">
        <f>IF(A3580&lt;&gt;"",TIME(HOUR(TRANSACTIONS!$A3580),MINUTE(TRANSACTIONS!$A3580),SECOND(TRANSACTIONS!$A3580)),"")</f>
        <v>0.73086805555555545</v>
      </c>
      <c r="D3580" s="82" t="s">
        <v>62</v>
      </c>
      <c r="E3580" s="82" t="s">
        <v>7</v>
      </c>
      <c r="F3580" s="126">
        <v>2500</v>
      </c>
      <c r="G3580" s="46"/>
      <c r="H3580" s="46">
        <f>IFERROR(TRANSACTIONS!$F3580+TRANSACTIONS!$G3580,"")</f>
        <v>2500</v>
      </c>
      <c r="I3580" s="40" t="s">
        <v>41</v>
      </c>
    </row>
    <row r="3581" spans="1:9" x14ac:dyDescent="0.25">
      <c r="A3581" s="81">
        <v>45365.730900462964</v>
      </c>
      <c r="B3581" s="83">
        <f>IF(A3581&lt;&gt;"",DATE(YEAR(TRANSACTIONS!$A3581),MONTH(TRANSACTIONS!$A3581),DAY(TRANSACTIONS!$A3581)),"")</f>
        <v>45365</v>
      </c>
      <c r="C3581" s="84">
        <f>IF(A3581&lt;&gt;"",TIME(HOUR(TRANSACTIONS!$A3581),MINUTE(TRANSACTIONS!$A3581),SECOND(TRANSACTIONS!$A3581)),"")</f>
        <v>0.73090277777777779</v>
      </c>
      <c r="D3581" s="82" t="s">
        <v>62</v>
      </c>
      <c r="E3581" s="82" t="s">
        <v>7</v>
      </c>
      <c r="F3581" s="126">
        <v>2000</v>
      </c>
      <c r="G3581" s="86"/>
      <c r="H3581" s="86">
        <f>IFERROR(TRANSACTIONS!$F3581+TRANSACTIONS!$G3581,"")</f>
        <v>2000</v>
      </c>
      <c r="I3581" s="88" t="s">
        <v>41</v>
      </c>
    </row>
    <row r="3582" spans="1:9" x14ac:dyDescent="0.25">
      <c r="A3582" s="41">
        <v>45365.730908564816</v>
      </c>
      <c r="B3582" s="48">
        <f>IF(A3582&lt;&gt;"",DATE(YEAR(TRANSACTIONS!$A3582),MONTH(TRANSACTIONS!$A3582),DAY(TRANSACTIONS!$A3582)),"")</f>
        <v>45365</v>
      </c>
      <c r="C3582" s="49">
        <f>IF(A3582&lt;&gt;"",TIME(HOUR(TRANSACTIONS!$A3582),MINUTE(TRANSACTIONS!$A3582),SECOND(TRANSACTIONS!$A3582)),"")</f>
        <v>0.73090277777777779</v>
      </c>
      <c r="D3582" s="82" t="s">
        <v>62</v>
      </c>
      <c r="E3582" s="82" t="s">
        <v>6</v>
      </c>
      <c r="F3582" s="126">
        <v>12000</v>
      </c>
      <c r="G3582" s="46"/>
      <c r="H3582" s="46">
        <f>IFERROR(TRANSACTIONS!$F3582+TRANSACTIONS!$G3582,"")</f>
        <v>12000</v>
      </c>
      <c r="I3582" s="40" t="s">
        <v>41</v>
      </c>
    </row>
    <row r="3583" spans="1:9" x14ac:dyDescent="0.25">
      <c r="A3583" s="41">
        <v>45365.730916666667</v>
      </c>
      <c r="B3583" s="48">
        <f>IF(A3583&lt;&gt;"",DATE(YEAR(TRANSACTIONS!$A3583),MONTH(TRANSACTIONS!$A3583),DAY(TRANSACTIONS!$A3583)),"")</f>
        <v>45365</v>
      </c>
      <c r="C3583" s="49">
        <f>IF(A3583&lt;&gt;"",TIME(HOUR(TRANSACTIONS!$A3583),MINUTE(TRANSACTIONS!$A3583),SECOND(TRANSACTIONS!$A3583)),"")</f>
        <v>0.73091435185185183</v>
      </c>
      <c r="D3583" s="82" t="s">
        <v>25</v>
      </c>
      <c r="E3583" s="82" t="s">
        <v>7</v>
      </c>
      <c r="F3583" s="126">
        <v>5000</v>
      </c>
      <c r="G3583" s="46"/>
      <c r="H3583" s="46">
        <f>IFERROR(TRANSACTIONS!$F3583+TRANSACTIONS!$G3583,"")</f>
        <v>5000</v>
      </c>
      <c r="I3583" s="40" t="s">
        <v>41</v>
      </c>
    </row>
    <row r="3584" spans="1:9" x14ac:dyDescent="0.25">
      <c r="A3584" s="41">
        <v>45365.730924305557</v>
      </c>
      <c r="B3584" s="106">
        <f>IF(A3584&lt;&gt;"",DATE(YEAR(TRANSACTIONS!$A3584),MONTH(TRANSACTIONS!$A3584),DAY(TRANSACTIONS!$A3584)),"")</f>
        <v>45365</v>
      </c>
      <c r="C3584" s="107">
        <f>IF(A3584&lt;&gt;"",TIME(HOUR(TRANSACTIONS!$A3584),MINUTE(TRANSACTIONS!$A3584),SECOND(TRANSACTIONS!$A3584)),"")</f>
        <v>0.73092592592592587</v>
      </c>
      <c r="D3584" s="93" t="s">
        <v>25</v>
      </c>
      <c r="E3584" s="93" t="s">
        <v>6</v>
      </c>
      <c r="F3584" s="126">
        <v>1300</v>
      </c>
      <c r="G3584" s="108"/>
      <c r="H3584" s="108">
        <f>IFERROR(TRANSACTIONS!$F3584+TRANSACTIONS!$G3584,"")</f>
        <v>1300</v>
      </c>
      <c r="I3584" s="109" t="s">
        <v>41</v>
      </c>
    </row>
    <row r="3585" spans="1:9" x14ac:dyDescent="0.25">
      <c r="A3585" s="41">
        <v>45365.730932060185</v>
      </c>
      <c r="B3585" s="48">
        <f>IF(A3585&lt;&gt;"",DATE(YEAR(TRANSACTIONS!$A3585),MONTH(TRANSACTIONS!$A3585),DAY(TRANSACTIONS!$A3585)),"")</f>
        <v>45365</v>
      </c>
      <c r="C3585" s="49">
        <f>IF(A3585&lt;&gt;"",TIME(HOUR(TRANSACTIONS!$A3585),MINUTE(TRANSACTIONS!$A3585),SECOND(TRANSACTIONS!$A3585)),"")</f>
        <v>0.73093750000000002</v>
      </c>
      <c r="D3585" s="82" t="s">
        <v>25</v>
      </c>
      <c r="E3585" s="82" t="s">
        <v>6</v>
      </c>
      <c r="F3585" s="126">
        <v>25000</v>
      </c>
      <c r="G3585" s="46"/>
      <c r="H3585" s="46">
        <f>IFERROR(TRANSACTIONS!$F3585+TRANSACTIONS!$G3585,"")</f>
        <v>25000</v>
      </c>
      <c r="I3585" s="40" t="s">
        <v>41</v>
      </c>
    </row>
    <row r="3586" spans="1:9" x14ac:dyDescent="0.25">
      <c r="A3586" s="41">
        <v>45365.73093888889</v>
      </c>
      <c r="B3586" s="48">
        <f>IF(A3586&lt;&gt;"",DATE(YEAR(TRANSACTIONS!$A3586),MONTH(TRANSACTIONS!$A3586),DAY(TRANSACTIONS!$A3586)),"")</f>
        <v>45365</v>
      </c>
      <c r="C3586" s="49">
        <f>IF(A3586&lt;&gt;"",TIME(HOUR(TRANSACTIONS!$A3586),MINUTE(TRANSACTIONS!$A3586),SECOND(TRANSACTIONS!$A3586)),"")</f>
        <v>0.73093750000000002</v>
      </c>
      <c r="D3586" s="82" t="s">
        <v>25</v>
      </c>
      <c r="E3586" s="82" t="s">
        <v>7</v>
      </c>
      <c r="F3586" s="126">
        <v>12000</v>
      </c>
      <c r="G3586" s="46"/>
      <c r="H3586" s="46">
        <f>IFERROR(TRANSACTIONS!$F3586+TRANSACTIONS!$G3586,"")</f>
        <v>12000</v>
      </c>
      <c r="I3586" s="40" t="s">
        <v>41</v>
      </c>
    </row>
    <row r="3587" spans="1:9" x14ac:dyDescent="0.25">
      <c r="A3587" s="41">
        <v>45365.731514699073</v>
      </c>
      <c r="B3587" s="48">
        <f>IF(A3587&lt;&gt;"",DATE(YEAR(TRANSACTIONS!$A3587),MONTH(TRANSACTIONS!$A3587),DAY(TRANSACTIONS!$A3587)),"")</f>
        <v>45365</v>
      </c>
      <c r="C3587" s="49">
        <f>IF(A3587&lt;&gt;"",TIME(HOUR(TRANSACTIONS!$A3587),MINUTE(TRANSACTIONS!$A3587),SECOND(TRANSACTIONS!$A3587)),"")</f>
        <v>0.73151620370370374</v>
      </c>
      <c r="D3587" s="82" t="s">
        <v>25</v>
      </c>
      <c r="E3587" s="82" t="s">
        <v>7</v>
      </c>
      <c r="F3587" s="126">
        <v>15000</v>
      </c>
      <c r="G3587" s="46"/>
      <c r="H3587" s="46">
        <f>IFERROR(TRANSACTIONS!$F3587+TRANSACTIONS!$G3587,"")</f>
        <v>15000</v>
      </c>
      <c r="I3587" s="40" t="s">
        <v>41</v>
      </c>
    </row>
    <row r="3588" spans="1:9" x14ac:dyDescent="0.25">
      <c r="A3588" s="41">
        <v>45365.731518518522</v>
      </c>
      <c r="B3588" s="48">
        <f>IF(A3588&lt;&gt;"",DATE(YEAR(TRANSACTIONS!$A3588),MONTH(TRANSACTIONS!$A3588),DAY(TRANSACTIONS!$A3588)),"")</f>
        <v>45365</v>
      </c>
      <c r="C3588" s="49">
        <f>IF(A3588&lt;&gt;"",TIME(HOUR(TRANSACTIONS!$A3588),MINUTE(TRANSACTIONS!$A3588),SECOND(TRANSACTIONS!$A3588)),"")</f>
        <v>0.73151620370370374</v>
      </c>
      <c r="D3588" s="82" t="s">
        <v>62</v>
      </c>
      <c r="E3588" s="82" t="s">
        <v>7</v>
      </c>
      <c r="F3588" s="126">
        <v>5000</v>
      </c>
      <c r="G3588" s="46"/>
      <c r="H3588" s="46">
        <f>IFERROR(TRANSACTIONS!$F3588+TRANSACTIONS!$G3588,"")</f>
        <v>5000</v>
      </c>
      <c r="I3588" s="40" t="s">
        <v>41</v>
      </c>
    </row>
    <row r="3589" spans="1:9" x14ac:dyDescent="0.25">
      <c r="A3589" s="41">
        <v>45365.731562847221</v>
      </c>
      <c r="B3589" s="48">
        <f>IF(A3589&lt;&gt;"",DATE(YEAR(TRANSACTIONS!$A3589),MONTH(TRANSACTIONS!$A3589),DAY(TRANSACTIONS!$A3589)),"")</f>
        <v>45365</v>
      </c>
      <c r="C3589" s="49">
        <f>IF(A3589&lt;&gt;"",TIME(HOUR(TRANSACTIONS!$A3589),MINUTE(TRANSACTIONS!$A3589),SECOND(TRANSACTIONS!$A3589)),"")</f>
        <v>0.7315625</v>
      </c>
      <c r="D3589" s="82" t="s">
        <v>63</v>
      </c>
      <c r="E3589" s="82" t="s">
        <v>6</v>
      </c>
      <c r="F3589" s="126">
        <v>2500</v>
      </c>
      <c r="G3589" s="46"/>
      <c r="H3589" s="46">
        <f>IFERROR(TRANSACTIONS!$F3589+TRANSACTIONS!$G3589,"")</f>
        <v>2500</v>
      </c>
      <c r="I3589" s="40" t="s">
        <v>41</v>
      </c>
    </row>
    <row r="3590" spans="1:9" x14ac:dyDescent="0.25">
      <c r="A3590" s="41">
        <v>45365.731570833334</v>
      </c>
      <c r="B3590" s="48">
        <f>IF(A3590&lt;&gt;"",DATE(YEAR(TRANSACTIONS!$A3590),MONTH(TRANSACTIONS!$A3590),DAY(TRANSACTIONS!$A3590)),"")</f>
        <v>45365</v>
      </c>
      <c r="C3590" s="49">
        <f>IF(A3590&lt;&gt;"",TIME(HOUR(TRANSACTIONS!$A3590),MINUTE(TRANSACTIONS!$A3590),SECOND(TRANSACTIONS!$A3590)),"")</f>
        <v>0.73157407407407404</v>
      </c>
      <c r="D3590" s="82" t="s">
        <v>62</v>
      </c>
      <c r="E3590" s="82" t="s">
        <v>6</v>
      </c>
      <c r="F3590" s="126">
        <v>470000</v>
      </c>
      <c r="G3590" s="46"/>
      <c r="H3590" s="46">
        <f>IFERROR(TRANSACTIONS!$F3590+TRANSACTIONS!$G3590,"")</f>
        <v>470000</v>
      </c>
      <c r="I3590" s="40" t="s">
        <v>41</v>
      </c>
    </row>
    <row r="3591" spans="1:9" x14ac:dyDescent="0.25">
      <c r="A3591" s="41"/>
      <c r="B3591" s="48" t="str">
        <f>IF(A3591&lt;&gt;"",DATE(YEAR(TRANSACTIONS!$A3591),MONTH(TRANSACTIONS!$A3591),DAY(TRANSACTIONS!$A3591)),"")</f>
        <v/>
      </c>
      <c r="C3591" s="49" t="str">
        <f>IF(A3591&lt;&gt;"",TIME(HOUR(TRANSACTIONS!$A3591),MINUTE(TRANSACTIONS!$A3591),SECOND(TRANSACTIONS!$A3591)),"")</f>
        <v/>
      </c>
      <c r="D3591" s="82"/>
      <c r="E3591" s="82"/>
      <c r="F3591" s="126"/>
      <c r="G3591" s="46"/>
      <c r="H3591" s="46">
        <f>IFERROR(TRANSACTIONS!$F3591+TRANSACTIONS!$G3591,"")</f>
        <v>0</v>
      </c>
      <c r="I3591" s="40" t="s">
        <v>41</v>
      </c>
    </row>
    <row r="3592" spans="1:9" x14ac:dyDescent="0.25">
      <c r="A3592" s="41">
        <v>45366.387249884261</v>
      </c>
      <c r="B3592" s="48">
        <f>IF(A3592&lt;&gt;"",DATE(YEAR(TRANSACTIONS!$A3592),MONTH(TRANSACTIONS!$A3592),DAY(TRANSACTIONS!$A3592)),"")</f>
        <v>45366</v>
      </c>
      <c r="C3592" s="49">
        <f>IF(A3592&lt;&gt;"",TIME(HOUR(TRANSACTIONS!$A3592),MINUTE(TRANSACTIONS!$A3592),SECOND(TRANSACTIONS!$A3592)),"")</f>
        <v>0.38724537037037038</v>
      </c>
      <c r="D3592" s="82" t="s">
        <v>62</v>
      </c>
      <c r="E3592" s="82" t="s">
        <v>7</v>
      </c>
      <c r="F3592" s="126">
        <v>10000</v>
      </c>
      <c r="G3592" s="46"/>
      <c r="H3592" s="46">
        <f>IFERROR(TRANSACTIONS!$F3592+TRANSACTIONS!$G3592,"")</f>
        <v>10000</v>
      </c>
      <c r="I3592" s="40" t="s">
        <v>41</v>
      </c>
    </row>
    <row r="3593" spans="1:9" x14ac:dyDescent="0.25">
      <c r="A3593" s="41">
        <v>45366.387254050926</v>
      </c>
      <c r="B3593" s="48">
        <f>IF(A3593&lt;&gt;"",DATE(YEAR(TRANSACTIONS!$A3593),MONTH(TRANSACTIONS!$A3593),DAY(TRANSACTIONS!$A3593)),"")</f>
        <v>45366</v>
      </c>
      <c r="C3593" s="49">
        <f>IF(A3593&lt;&gt;"",TIME(HOUR(TRANSACTIONS!$A3593),MINUTE(TRANSACTIONS!$A3593),SECOND(TRANSACTIONS!$A3593)),"")</f>
        <v>0.38725694444444447</v>
      </c>
      <c r="D3593" s="82" t="s">
        <v>62</v>
      </c>
      <c r="E3593" s="82" t="s">
        <v>6</v>
      </c>
      <c r="F3593" s="126">
        <v>12000</v>
      </c>
      <c r="G3593" s="46"/>
      <c r="H3593" s="46">
        <f>IFERROR(TRANSACTIONS!$F3593+TRANSACTIONS!$G3593,"")</f>
        <v>12000</v>
      </c>
      <c r="I3593" s="40" t="s">
        <v>41</v>
      </c>
    </row>
    <row r="3594" spans="1:9" x14ac:dyDescent="0.25">
      <c r="A3594" s="41">
        <v>45366.38728703704</v>
      </c>
      <c r="B3594" s="48">
        <f>IF(A3594&lt;&gt;"",DATE(YEAR(TRANSACTIONS!$A3594),MONTH(TRANSACTIONS!$A3594),DAY(TRANSACTIONS!$A3594)),"")</f>
        <v>45366</v>
      </c>
      <c r="C3594" s="49">
        <f>IF(A3594&lt;&gt;"",TIME(HOUR(TRANSACTIONS!$A3594),MINUTE(TRANSACTIONS!$A3594),SECOND(TRANSACTIONS!$A3594)),"")</f>
        <v>0.38729166666666665</v>
      </c>
      <c r="D3594" s="82" t="s">
        <v>62</v>
      </c>
      <c r="E3594" s="82" t="s">
        <v>7</v>
      </c>
      <c r="F3594" s="126">
        <v>1500</v>
      </c>
      <c r="G3594" s="46"/>
      <c r="H3594" s="46">
        <f>IFERROR(TRANSACTIONS!$F3594+TRANSACTIONS!$G3594,"")</f>
        <v>1500</v>
      </c>
      <c r="I3594" s="40" t="s">
        <v>41</v>
      </c>
    </row>
    <row r="3595" spans="1:9" x14ac:dyDescent="0.25">
      <c r="A3595" s="41">
        <v>45366.387319328707</v>
      </c>
      <c r="B3595" s="48">
        <f>IF(A3595&lt;&gt;"",DATE(YEAR(TRANSACTIONS!$A3595),MONTH(TRANSACTIONS!$A3595),DAY(TRANSACTIONS!$A3595)),"")</f>
        <v>45366</v>
      </c>
      <c r="C3595" s="49">
        <f>IF(A3595&lt;&gt;"",TIME(HOUR(TRANSACTIONS!$A3595),MINUTE(TRANSACTIONS!$A3595),SECOND(TRANSACTIONS!$A3595)),"")</f>
        <v>0.38731481481481483</v>
      </c>
      <c r="D3595" s="82" t="s">
        <v>72</v>
      </c>
      <c r="E3595" s="82" t="s">
        <v>6</v>
      </c>
      <c r="F3595" s="126">
        <v>98500</v>
      </c>
      <c r="G3595" s="46"/>
      <c r="H3595" s="46">
        <f>IFERROR(TRANSACTIONS!$F3595+TRANSACTIONS!$G3595,"")</f>
        <v>98500</v>
      </c>
      <c r="I3595" s="40" t="s">
        <v>41</v>
      </c>
    </row>
    <row r="3596" spans="1:9" x14ac:dyDescent="0.25">
      <c r="A3596" s="41">
        <v>45366.391206018518</v>
      </c>
      <c r="B3596" s="48">
        <f>IF(A3596&lt;&gt;"",DATE(YEAR(TRANSACTIONS!$A3596),MONTH(TRANSACTIONS!$A3596),DAY(TRANSACTIONS!$A3596)),"")</f>
        <v>45366</v>
      </c>
      <c r="C3596" s="49">
        <f>IF(A3596&lt;&gt;"",TIME(HOUR(TRANSACTIONS!$A3596),MINUTE(TRANSACTIONS!$A3596),SECOND(TRANSACTIONS!$A3596)),"")</f>
        <v>0.39120370370370372</v>
      </c>
      <c r="D3596" s="82" t="s">
        <v>72</v>
      </c>
      <c r="E3596" s="82" t="s">
        <v>7</v>
      </c>
      <c r="F3596" s="126">
        <v>100000</v>
      </c>
      <c r="G3596" s="46"/>
      <c r="H3596" s="46">
        <f>IFERROR(TRANSACTIONS!$F3596+TRANSACTIONS!$G3596,"")</f>
        <v>100000</v>
      </c>
      <c r="I3596" s="40" t="s">
        <v>41</v>
      </c>
    </row>
    <row r="3597" spans="1:9" x14ac:dyDescent="0.25">
      <c r="A3597" s="41">
        <v>45366.391223032406</v>
      </c>
      <c r="B3597" s="48">
        <f>IF(A3597&lt;&gt;"",DATE(YEAR(TRANSACTIONS!$A3597),MONTH(TRANSACTIONS!$A3597),DAY(TRANSACTIONS!$A3597)),"")</f>
        <v>45366</v>
      </c>
      <c r="C3597" s="49">
        <f>IF(A3597&lt;&gt;"",TIME(HOUR(TRANSACTIONS!$A3597),MINUTE(TRANSACTIONS!$A3597),SECOND(TRANSACTIONS!$A3597)),"")</f>
        <v>0.39122685185185185</v>
      </c>
      <c r="D3597" s="82" t="s">
        <v>62</v>
      </c>
      <c r="E3597" s="82" t="s">
        <v>7</v>
      </c>
      <c r="F3597" s="126">
        <v>1000</v>
      </c>
      <c r="G3597" s="46"/>
      <c r="H3597" s="46">
        <f>IFERROR(TRANSACTIONS!$F3597+TRANSACTIONS!$G3597,"")</f>
        <v>1000</v>
      </c>
      <c r="I3597" s="40" t="s">
        <v>41</v>
      </c>
    </row>
    <row r="3598" spans="1:9" x14ac:dyDescent="0.25">
      <c r="A3598" s="41">
        <v>45366.391230787034</v>
      </c>
      <c r="B3598" s="48">
        <f>IF(A3598&lt;&gt;"",DATE(YEAR(TRANSACTIONS!$A3598),MONTH(TRANSACTIONS!$A3598),DAY(TRANSACTIONS!$A3598)),"")</f>
        <v>45366</v>
      </c>
      <c r="C3598" s="49">
        <f>IF(A3598&lt;&gt;"",TIME(HOUR(TRANSACTIONS!$A3598),MINUTE(TRANSACTIONS!$A3598),SECOND(TRANSACTIONS!$A3598)),"")</f>
        <v>0.39122685185185185</v>
      </c>
      <c r="D3598" s="82" t="s">
        <v>62</v>
      </c>
      <c r="E3598" s="82" t="s">
        <v>7</v>
      </c>
      <c r="F3598" s="126">
        <v>10000</v>
      </c>
      <c r="G3598" s="46"/>
      <c r="H3598" s="46">
        <f>IFERROR(TRANSACTIONS!$F3598+TRANSACTIONS!$G3598,"")</f>
        <v>10000</v>
      </c>
      <c r="I3598" s="40" t="s">
        <v>41</v>
      </c>
    </row>
    <row r="3599" spans="1:9" x14ac:dyDescent="0.25">
      <c r="A3599" s="41">
        <v>45366.391679282409</v>
      </c>
      <c r="B3599" s="48">
        <f>IF(A3599&lt;&gt;"",DATE(YEAR(TRANSACTIONS!$A3599),MONTH(TRANSACTIONS!$A3599),DAY(TRANSACTIONS!$A3599)),"")</f>
        <v>45366</v>
      </c>
      <c r="C3599" s="49">
        <f>IF(A3599&lt;&gt;"",TIME(HOUR(TRANSACTIONS!$A3599),MINUTE(TRANSACTIONS!$A3599),SECOND(TRANSACTIONS!$A3599)),"")</f>
        <v>0.3916782407407407</v>
      </c>
      <c r="D3599" s="82" t="s">
        <v>62</v>
      </c>
      <c r="E3599" s="82" t="s">
        <v>7</v>
      </c>
      <c r="F3599" s="126">
        <v>10000</v>
      </c>
      <c r="G3599" s="46"/>
      <c r="H3599" s="46">
        <f>IFERROR(TRANSACTIONS!$F3599+TRANSACTIONS!$G3599,"")</f>
        <v>10000</v>
      </c>
      <c r="I3599" s="40" t="s">
        <v>41</v>
      </c>
    </row>
    <row r="3600" spans="1:9" x14ac:dyDescent="0.25">
      <c r="A3600" s="41">
        <v>45366.419454166666</v>
      </c>
      <c r="B3600" s="48">
        <f>IF(A3600&lt;&gt;"",DATE(YEAR(TRANSACTIONS!$A3600),MONTH(TRANSACTIONS!$A3600),DAY(TRANSACTIONS!$A3600)),"")</f>
        <v>45366</v>
      </c>
      <c r="C3600" s="49">
        <f>IF(A3600&lt;&gt;"",TIME(HOUR(TRANSACTIONS!$A3600),MINUTE(TRANSACTIONS!$A3600),SECOND(TRANSACTIONS!$A3600)),"")</f>
        <v>0.41945601851851855</v>
      </c>
      <c r="D3600" s="82" t="s">
        <v>62</v>
      </c>
      <c r="E3600" s="82" t="s">
        <v>6</v>
      </c>
      <c r="F3600" s="126">
        <v>500</v>
      </c>
      <c r="G3600" s="46"/>
      <c r="H3600" s="46">
        <f>IFERROR(TRANSACTIONS!$F3600+TRANSACTIONS!$G3600,"")</f>
        <v>500</v>
      </c>
      <c r="I3600" s="40" t="s">
        <v>41</v>
      </c>
    </row>
    <row r="3601" spans="1:10" x14ac:dyDescent="0.25">
      <c r="A3601" s="41">
        <v>45366.511572569441</v>
      </c>
      <c r="B3601" s="48">
        <f>IF(A3601&lt;&gt;"",DATE(YEAR(TRANSACTIONS!$A3601),MONTH(TRANSACTIONS!$A3601),DAY(TRANSACTIONS!$A3601)),"")</f>
        <v>45366</v>
      </c>
      <c r="C3601" s="49">
        <f>IF(A3601&lt;&gt;"",TIME(HOUR(TRANSACTIONS!$A3601),MINUTE(TRANSACTIONS!$A3601),SECOND(TRANSACTIONS!$A3601)),"")</f>
        <v>0.51157407407407407</v>
      </c>
      <c r="D3601" s="82" t="s">
        <v>62</v>
      </c>
      <c r="E3601" s="82" t="s">
        <v>7</v>
      </c>
      <c r="F3601" s="126">
        <v>5000</v>
      </c>
      <c r="G3601" s="46"/>
      <c r="H3601" s="46">
        <f>IFERROR(TRANSACTIONS!$F3601+TRANSACTIONS!$G3601,"")</f>
        <v>5000</v>
      </c>
      <c r="I3601" s="40" t="s">
        <v>41</v>
      </c>
    </row>
    <row r="3602" spans="1:10" x14ac:dyDescent="0.25">
      <c r="A3602" s="41">
        <v>45366.512071643519</v>
      </c>
      <c r="B3602" s="48">
        <f>IF(A3602&lt;&gt;"",DATE(YEAR(TRANSACTIONS!$A3602),MONTH(TRANSACTIONS!$A3602),DAY(TRANSACTIONS!$A3602)),"")</f>
        <v>45366</v>
      </c>
      <c r="C3602" s="49">
        <f>IF(A3602&lt;&gt;"",TIME(HOUR(TRANSACTIONS!$A3602),MINUTE(TRANSACTIONS!$A3602),SECOND(TRANSACTIONS!$A3602)),"")</f>
        <v>0.5120717592592593</v>
      </c>
      <c r="D3602" s="82" t="s">
        <v>62</v>
      </c>
      <c r="E3602" s="82" t="s">
        <v>7</v>
      </c>
      <c r="F3602" s="126">
        <v>10000</v>
      </c>
      <c r="G3602" s="46"/>
      <c r="H3602" s="46">
        <f>IFERROR(TRANSACTIONS!$F3602+TRANSACTIONS!$G3602,"")</f>
        <v>10000</v>
      </c>
      <c r="I3602" s="40" t="s">
        <v>41</v>
      </c>
    </row>
    <row r="3603" spans="1:10" x14ac:dyDescent="0.25">
      <c r="A3603" s="41">
        <v>45366.512078587963</v>
      </c>
      <c r="B3603" s="48">
        <f>IF(A3603&lt;&gt;"",DATE(YEAR(TRANSACTIONS!$A3603),MONTH(TRANSACTIONS!$A3603),DAY(TRANSACTIONS!$A3603)),"")</f>
        <v>45366</v>
      </c>
      <c r="C3603" s="49">
        <f>IF(A3603&lt;&gt;"",TIME(HOUR(TRANSACTIONS!$A3603),MINUTE(TRANSACTIONS!$A3603),SECOND(TRANSACTIONS!$A3603)),"")</f>
        <v>0.51208333333333333</v>
      </c>
      <c r="D3603" s="82" t="s">
        <v>62</v>
      </c>
      <c r="E3603" s="82" t="s">
        <v>6</v>
      </c>
      <c r="F3603" s="126">
        <v>1000</v>
      </c>
      <c r="G3603" s="46"/>
      <c r="H3603" s="46">
        <f>IFERROR(TRANSACTIONS!$F3603+TRANSACTIONS!$G3603,"")</f>
        <v>1000</v>
      </c>
      <c r="I3603" s="40" t="s">
        <v>41</v>
      </c>
    </row>
    <row r="3604" spans="1:10" x14ac:dyDescent="0.25">
      <c r="A3604" s="41">
        <v>45366.512086111114</v>
      </c>
      <c r="B3604" s="48">
        <f>IF(A3604&lt;&gt;"",DATE(YEAR(TRANSACTIONS!$A3604),MONTH(TRANSACTIONS!$A3604),DAY(TRANSACTIONS!$A3604)),"")</f>
        <v>45366</v>
      </c>
      <c r="C3604" s="49">
        <f>IF(A3604&lt;&gt;"",TIME(HOUR(TRANSACTIONS!$A3604),MINUTE(TRANSACTIONS!$A3604),SECOND(TRANSACTIONS!$A3604)),"")</f>
        <v>0.51208333333333333</v>
      </c>
      <c r="D3604" s="82" t="s">
        <v>62</v>
      </c>
      <c r="E3604" s="82" t="s">
        <v>6</v>
      </c>
      <c r="F3604" s="126">
        <v>10000</v>
      </c>
      <c r="G3604" s="46"/>
      <c r="H3604" s="46">
        <f>IFERROR(TRANSACTIONS!$F3604+TRANSACTIONS!$G3604,"")</f>
        <v>10000</v>
      </c>
      <c r="I3604" s="40" t="s">
        <v>41</v>
      </c>
    </row>
    <row r="3605" spans="1:10" x14ac:dyDescent="0.25">
      <c r="A3605" s="41">
        <v>45366.512095138889</v>
      </c>
      <c r="B3605" s="48">
        <f>IF(A3605&lt;&gt;"",DATE(YEAR(TRANSACTIONS!$A3605),MONTH(TRANSACTIONS!$A3605),DAY(TRANSACTIONS!$A3605)),"")</f>
        <v>45366</v>
      </c>
      <c r="C3605" s="49">
        <f>IF(A3605&lt;&gt;"",TIME(HOUR(TRANSACTIONS!$A3605),MINUTE(TRANSACTIONS!$A3605),SECOND(TRANSACTIONS!$A3605)),"")</f>
        <v>0.51209490740740737</v>
      </c>
      <c r="D3605" s="82" t="s">
        <v>62</v>
      </c>
      <c r="E3605" s="82" t="s">
        <v>7</v>
      </c>
      <c r="F3605" s="126">
        <v>8000</v>
      </c>
      <c r="G3605" s="46"/>
      <c r="H3605" s="46">
        <f>IFERROR(TRANSACTIONS!$F3605+TRANSACTIONS!$G3605,"")</f>
        <v>8000</v>
      </c>
      <c r="I3605" s="40" t="s">
        <v>41</v>
      </c>
    </row>
    <row r="3606" spans="1:10" x14ac:dyDescent="0.25">
      <c r="A3606" s="41">
        <v>45366.512102893517</v>
      </c>
      <c r="B3606" s="48">
        <f>IF(A3606&lt;&gt;"",DATE(YEAR(TRANSACTIONS!$A3606),MONTH(TRANSACTIONS!$A3606),DAY(TRANSACTIONS!$A3606)),"")</f>
        <v>45366</v>
      </c>
      <c r="C3606" s="49">
        <f>IF(A3606&lt;&gt;"",TIME(HOUR(TRANSACTIONS!$A3606),MINUTE(TRANSACTIONS!$A3606),SECOND(TRANSACTIONS!$A3606)),"")</f>
        <v>0.51210648148148141</v>
      </c>
      <c r="D3606" s="82" t="s">
        <v>62</v>
      </c>
      <c r="E3606" s="82" t="s">
        <v>7</v>
      </c>
      <c r="F3606" s="126">
        <v>5000</v>
      </c>
      <c r="G3606" s="46"/>
      <c r="H3606" s="46">
        <f>IFERROR(TRANSACTIONS!$F3606+TRANSACTIONS!$G3606,"")</f>
        <v>5000</v>
      </c>
      <c r="I3606" s="40" t="s">
        <v>41</v>
      </c>
    </row>
    <row r="3607" spans="1:10" x14ac:dyDescent="0.25">
      <c r="A3607" s="41">
        <v>45366.513847569448</v>
      </c>
      <c r="B3607" s="114">
        <f>IF(A3607&lt;&gt;"",DATE(YEAR(TRANSACTIONS!$A3607),MONTH(TRANSACTIONS!$A3607),DAY(TRANSACTIONS!$A3607)),"")</f>
        <v>45366</v>
      </c>
      <c r="C3607" s="115">
        <f>IF(A3607&lt;&gt;"",TIME(HOUR(TRANSACTIONS!$A3607),MINUTE(TRANSACTIONS!$A3607),SECOND(TRANSACTIONS!$A3607)),"")</f>
        <v>0.51384259259259257</v>
      </c>
      <c r="D3607" s="82" t="s">
        <v>62</v>
      </c>
      <c r="E3607" s="82" t="s">
        <v>6</v>
      </c>
      <c r="F3607" s="126">
        <v>39500</v>
      </c>
      <c r="G3607" s="117"/>
      <c r="H3607" s="117">
        <f>IFERROR(TRANSACTIONS!$F3607+TRANSACTIONS!$G3607,"")</f>
        <v>39500</v>
      </c>
      <c r="I3607" s="118" t="s">
        <v>41</v>
      </c>
    </row>
    <row r="3608" spans="1:10" x14ac:dyDescent="0.25">
      <c r="A3608" s="41">
        <v>45366.513873495373</v>
      </c>
      <c r="B3608" s="48">
        <f>IF(A3608&lt;&gt;"",DATE(YEAR(TRANSACTIONS!$A3608),MONTH(TRANSACTIONS!$A3608),DAY(TRANSACTIONS!$A3608)),"")</f>
        <v>45366</v>
      </c>
      <c r="C3608" s="49">
        <f>IF(A3608&lt;&gt;"",TIME(HOUR(TRANSACTIONS!$A3608),MINUTE(TRANSACTIONS!$A3608),SECOND(TRANSACTIONS!$A3608)),"")</f>
        <v>0.5138773148148148</v>
      </c>
      <c r="D3608" s="82" t="s">
        <v>62</v>
      </c>
      <c r="E3608" s="82" t="s">
        <v>6</v>
      </c>
      <c r="F3608" s="126">
        <v>14500</v>
      </c>
      <c r="G3608" s="46"/>
      <c r="H3608" s="46">
        <f>IFERROR(TRANSACTIONS!$F3608+TRANSACTIONS!$G3608,"")</f>
        <v>14500</v>
      </c>
      <c r="I3608" s="40" t="s">
        <v>41</v>
      </c>
    </row>
    <row r="3609" spans="1:10" x14ac:dyDescent="0.25">
      <c r="A3609" s="41">
        <v>45366.513881828701</v>
      </c>
      <c r="B3609" s="48">
        <f>IF(A3609&lt;&gt;"",DATE(YEAR(TRANSACTIONS!$A3609),MONTH(TRANSACTIONS!$A3609),DAY(TRANSACTIONS!$A3609)),"")</f>
        <v>45366</v>
      </c>
      <c r="C3609" s="49">
        <f>IF(A3609&lt;&gt;"",TIME(HOUR(TRANSACTIONS!$A3609),MINUTE(TRANSACTIONS!$A3609),SECOND(TRANSACTIONS!$A3609)),"")</f>
        <v>0.5138773148148148</v>
      </c>
      <c r="D3609" s="82" t="s">
        <v>62</v>
      </c>
      <c r="E3609" s="82" t="s">
        <v>7</v>
      </c>
      <c r="F3609" s="126">
        <v>100000</v>
      </c>
      <c r="G3609" s="46"/>
      <c r="H3609" s="46">
        <f>IFERROR(TRANSACTIONS!$F3609+TRANSACTIONS!$G3609,"")</f>
        <v>100000</v>
      </c>
      <c r="I3609" s="40" t="s">
        <v>41</v>
      </c>
    </row>
    <row r="3610" spans="1:10" x14ac:dyDescent="0.25">
      <c r="A3610" s="41">
        <v>45366.513908680558</v>
      </c>
      <c r="B3610" s="48">
        <f>IF(A3610&lt;&gt;"",DATE(YEAR(TRANSACTIONS!$A3610),MONTH(TRANSACTIONS!$A3610),DAY(TRANSACTIONS!$A3610)),"")</f>
        <v>45366</v>
      </c>
      <c r="C3610" s="49">
        <f>IF(A3610&lt;&gt;"",TIME(HOUR(TRANSACTIONS!$A3610),MINUTE(TRANSACTIONS!$A3610),SECOND(TRANSACTIONS!$A3610)),"")</f>
        <v>0.51391203703703703</v>
      </c>
      <c r="D3610" s="82" t="s">
        <v>62</v>
      </c>
      <c r="E3610" s="82" t="s">
        <v>7</v>
      </c>
      <c r="F3610" s="126">
        <v>4000</v>
      </c>
      <c r="G3610" s="46"/>
      <c r="H3610" s="46">
        <f>IFERROR(TRANSACTIONS!$F3610+TRANSACTIONS!$G3610,"")</f>
        <v>4000</v>
      </c>
      <c r="I3610" s="40" t="s">
        <v>41</v>
      </c>
    </row>
    <row r="3611" spans="1:10" x14ac:dyDescent="0.25">
      <c r="A3611" s="41">
        <v>45366.513891898147</v>
      </c>
      <c r="B3611" s="114">
        <f>IF(A3611&lt;&gt;"",DATE(YEAR(TRANSACTIONS!$A3611),MONTH(TRANSACTIONS!$A3611),DAY(TRANSACTIONS!$A3611)),"")</f>
        <v>45366</v>
      </c>
      <c r="C3611" s="115">
        <f>IF(A3611&lt;&gt;"",TIME(HOUR(TRANSACTIONS!$A3611),MINUTE(TRANSACTIONS!$A3611),SECOND(TRANSACTIONS!$A3611)),"")</f>
        <v>0.51388888888888895</v>
      </c>
      <c r="D3611" s="116" t="s">
        <v>62</v>
      </c>
      <c r="E3611" s="116" t="s">
        <v>6</v>
      </c>
      <c r="F3611" s="187">
        <v>1700</v>
      </c>
      <c r="G3611" s="117"/>
      <c r="H3611" s="117">
        <f>IFERROR(TRANSACTIONS!$F3611+TRANSACTIONS!$G3611,"")</f>
        <v>1700</v>
      </c>
      <c r="I3611" s="118" t="s">
        <v>41</v>
      </c>
      <c r="J3611" s="118"/>
    </row>
    <row r="3612" spans="1:10" x14ac:dyDescent="0.25">
      <c r="A3612" s="41">
        <v>45366.51391898148</v>
      </c>
      <c r="B3612" s="48">
        <f>IF(A3612&lt;&gt;"",DATE(YEAR(TRANSACTIONS!$A3612),MONTH(TRANSACTIONS!$A3612),DAY(TRANSACTIONS!$A3612)),"")</f>
        <v>45366</v>
      </c>
      <c r="C3612" s="49">
        <f>IF(A3612&lt;&gt;"",TIME(HOUR(TRANSACTIONS!$A3612),MINUTE(TRANSACTIONS!$A3612),SECOND(TRANSACTIONS!$A3612)),"")</f>
        <v>0.51392361111111107</v>
      </c>
      <c r="D3612" s="82" t="s">
        <v>62</v>
      </c>
      <c r="E3612" s="82" t="s">
        <v>6</v>
      </c>
      <c r="F3612" s="126">
        <v>3000</v>
      </c>
      <c r="G3612" s="46"/>
      <c r="H3612" s="46">
        <f>IFERROR(TRANSACTIONS!$F3612+TRANSACTIONS!$G3612,"")</f>
        <v>3000</v>
      </c>
      <c r="I3612" s="40" t="s">
        <v>41</v>
      </c>
    </row>
    <row r="3613" spans="1:10" x14ac:dyDescent="0.25">
      <c r="A3613" s="41">
        <v>45366.513928125001</v>
      </c>
      <c r="B3613" s="48">
        <f>IF(A3613&lt;&gt;"",DATE(YEAR(TRANSACTIONS!$A3613),MONTH(TRANSACTIONS!$A3613),DAY(TRANSACTIONS!$A3613)),"")</f>
        <v>45366</v>
      </c>
      <c r="C3613" s="49">
        <f>IF(A3613&lt;&gt;"",TIME(HOUR(TRANSACTIONS!$A3613),MINUTE(TRANSACTIONS!$A3613),SECOND(TRANSACTIONS!$A3613)),"")</f>
        <v>0.51392361111111107</v>
      </c>
      <c r="D3613" s="82" t="s">
        <v>62</v>
      </c>
      <c r="E3613" s="82" t="s">
        <v>7</v>
      </c>
      <c r="F3613" s="126">
        <v>10000</v>
      </c>
      <c r="G3613" s="46"/>
      <c r="H3613" s="46">
        <f>IFERROR(TRANSACTIONS!$F3613+TRANSACTIONS!$G3613,"")</f>
        <v>10000</v>
      </c>
      <c r="I3613" s="40" t="s">
        <v>41</v>
      </c>
    </row>
    <row r="3614" spans="1:10" x14ac:dyDescent="0.25">
      <c r="A3614" s="41">
        <v>45366.513935532406</v>
      </c>
      <c r="B3614" s="48">
        <f>IF(A3614&lt;&gt;"",DATE(YEAR(TRANSACTIONS!$A3614),MONTH(TRANSACTIONS!$A3614),DAY(TRANSACTIONS!$A3614)),"")</f>
        <v>45366</v>
      </c>
      <c r="C3614" s="49">
        <f>IF(A3614&lt;&gt;"",TIME(HOUR(TRANSACTIONS!$A3614),MINUTE(TRANSACTIONS!$A3614),SECOND(TRANSACTIONS!$A3614)),"")</f>
        <v>0.51393518518518522</v>
      </c>
      <c r="D3614" s="82" t="s">
        <v>62</v>
      </c>
      <c r="E3614" s="82" t="s">
        <v>7</v>
      </c>
      <c r="F3614" s="126">
        <v>42500</v>
      </c>
      <c r="G3614" s="46"/>
      <c r="H3614" s="46">
        <f>IFERROR(TRANSACTIONS!$F3614+TRANSACTIONS!$G3614,"")</f>
        <v>42500</v>
      </c>
      <c r="I3614" s="40" t="s">
        <v>41</v>
      </c>
    </row>
    <row r="3615" spans="1:10" x14ac:dyDescent="0.25">
      <c r="A3615" s="41">
        <v>45366.513968055559</v>
      </c>
      <c r="B3615" s="48">
        <f>IF(A3615&lt;&gt;"",DATE(YEAR(TRANSACTIONS!$A3615),MONTH(TRANSACTIONS!$A3615),DAY(TRANSACTIONS!$A3615)),"")</f>
        <v>45366</v>
      </c>
      <c r="C3615" s="49">
        <f>IF(A3615&lt;&gt;"",TIME(HOUR(TRANSACTIONS!$A3615),MINUTE(TRANSACTIONS!$A3615),SECOND(TRANSACTIONS!$A3615)),"")</f>
        <v>0.51396990740740744</v>
      </c>
      <c r="D3615" s="82" t="s">
        <v>62</v>
      </c>
      <c r="E3615" s="82" t="s">
        <v>7</v>
      </c>
      <c r="F3615" s="126">
        <v>10000</v>
      </c>
      <c r="G3615" s="46"/>
      <c r="H3615" s="46">
        <f>IFERROR(TRANSACTIONS!$F3615+TRANSACTIONS!$G3615,"")</f>
        <v>10000</v>
      </c>
      <c r="I3615" s="40" t="s">
        <v>41</v>
      </c>
    </row>
    <row r="3616" spans="1:10" x14ac:dyDescent="0.25">
      <c r="A3616" s="41">
        <v>45366.513992245367</v>
      </c>
      <c r="B3616" s="48">
        <f>IF(A3616&lt;&gt;"",DATE(YEAR(TRANSACTIONS!$A3616),MONTH(TRANSACTIONS!$A3616),DAY(TRANSACTIONS!$A3616)),"")</f>
        <v>45366</v>
      </c>
      <c r="C3616" s="49">
        <f>IF(A3616&lt;&gt;"",TIME(HOUR(TRANSACTIONS!$A3616),MINUTE(TRANSACTIONS!$A3616),SECOND(TRANSACTIONS!$A3616)),"")</f>
        <v>0.51399305555555552</v>
      </c>
      <c r="D3616" s="82" t="s">
        <v>62</v>
      </c>
      <c r="E3616" s="82" t="s">
        <v>7</v>
      </c>
      <c r="F3616" s="126">
        <v>5000</v>
      </c>
      <c r="G3616" s="46"/>
      <c r="H3616" s="46">
        <f>IFERROR(TRANSACTIONS!$F3616+TRANSACTIONS!$G3616,"")</f>
        <v>5000</v>
      </c>
      <c r="I3616" s="40" t="s">
        <v>41</v>
      </c>
    </row>
    <row r="3617" spans="1:9" x14ac:dyDescent="0.25">
      <c r="A3617" s="41">
        <v>45366.514003472221</v>
      </c>
      <c r="B3617" s="48">
        <f>IF(A3617&lt;&gt;"",DATE(YEAR(TRANSACTIONS!$A3617),MONTH(TRANSACTIONS!$A3617),DAY(TRANSACTIONS!$A3617)),"")</f>
        <v>45366</v>
      </c>
      <c r="C3617" s="49">
        <f>IF(A3617&lt;&gt;"",TIME(HOUR(TRANSACTIONS!$A3617),MINUTE(TRANSACTIONS!$A3617),SECOND(TRANSACTIONS!$A3617)),"")</f>
        <v>0.51400462962962956</v>
      </c>
      <c r="D3617" s="82" t="s">
        <v>62</v>
      </c>
      <c r="E3617" s="82"/>
      <c r="F3617" s="126">
        <v>50000</v>
      </c>
      <c r="G3617" s="46"/>
      <c r="H3617" s="46">
        <f>IFERROR(TRANSACTIONS!$F3617+TRANSACTIONS!$G3617,"")</f>
        <v>50000</v>
      </c>
      <c r="I3617" s="40" t="s">
        <v>41</v>
      </c>
    </row>
    <row r="3618" spans="1:9" x14ac:dyDescent="0.25">
      <c r="A3618" s="41">
        <v>45366.514011458334</v>
      </c>
      <c r="B3618" s="48">
        <f>IF(A3618&lt;&gt;"",DATE(YEAR(TRANSACTIONS!$A3618),MONTH(TRANSACTIONS!$A3618),DAY(TRANSACTIONS!$A3618)),"")</f>
        <v>45366</v>
      </c>
      <c r="C3618" s="49">
        <f>IF(A3618&lt;&gt;"",TIME(HOUR(TRANSACTIONS!$A3618),MINUTE(TRANSACTIONS!$A3618),SECOND(TRANSACTIONS!$A3618)),"")</f>
        <v>0.51401620370370371</v>
      </c>
      <c r="D3618" s="82" t="s">
        <v>62</v>
      </c>
      <c r="E3618" s="82" t="s">
        <v>7</v>
      </c>
      <c r="F3618" s="126">
        <v>900</v>
      </c>
      <c r="G3618" s="46"/>
      <c r="H3618" s="46">
        <f>IFERROR(TRANSACTIONS!$F3618+TRANSACTIONS!$G3618,"")</f>
        <v>900</v>
      </c>
      <c r="I3618" s="40" t="s">
        <v>41</v>
      </c>
    </row>
    <row r="3619" spans="1:9" x14ac:dyDescent="0.25">
      <c r="A3619" s="41">
        <v>45366.514018634261</v>
      </c>
      <c r="B3619" s="48">
        <f>IF(A3619&lt;&gt;"",DATE(YEAR(TRANSACTIONS!$A3619),MONTH(TRANSACTIONS!$A3619),DAY(TRANSACTIONS!$A3619)),"")</f>
        <v>45366</v>
      </c>
      <c r="C3619" s="49">
        <f>IF(A3619&lt;&gt;"",TIME(HOUR(TRANSACTIONS!$A3619),MINUTE(TRANSACTIONS!$A3619),SECOND(TRANSACTIONS!$A3619)),"")</f>
        <v>0.51401620370370371</v>
      </c>
      <c r="D3619" s="82" t="s">
        <v>62</v>
      </c>
      <c r="E3619" s="82" t="s">
        <v>6</v>
      </c>
      <c r="F3619" s="126">
        <v>12000</v>
      </c>
      <c r="G3619" s="46"/>
      <c r="H3619" s="46">
        <f>IFERROR(TRANSACTIONS!$F3619+TRANSACTIONS!$G3619,"")</f>
        <v>12000</v>
      </c>
      <c r="I3619" s="40" t="s">
        <v>41</v>
      </c>
    </row>
    <row r="3620" spans="1:9" x14ac:dyDescent="0.25">
      <c r="A3620" s="41">
        <v>45366.514025694443</v>
      </c>
      <c r="B3620" s="48">
        <f>IF(A3620&lt;&gt;"",DATE(YEAR(TRANSACTIONS!$A3620),MONTH(TRANSACTIONS!$A3620),DAY(TRANSACTIONS!$A3620)),"")</f>
        <v>45366</v>
      </c>
      <c r="C3620" s="49">
        <f>IF(A3620&lt;&gt;"",TIME(HOUR(TRANSACTIONS!$A3620),MINUTE(TRANSACTIONS!$A3620),SECOND(TRANSACTIONS!$A3620)),"")</f>
        <v>0.51402777777777775</v>
      </c>
      <c r="D3620" s="82" t="s">
        <v>62</v>
      </c>
      <c r="E3620" s="82" t="s">
        <v>6</v>
      </c>
      <c r="F3620" s="126">
        <v>500</v>
      </c>
      <c r="G3620" s="46"/>
      <c r="H3620" s="46">
        <f>IFERROR(TRANSACTIONS!$F3620+TRANSACTIONS!$G3620,"")</f>
        <v>500</v>
      </c>
      <c r="I3620" s="40" t="s">
        <v>41</v>
      </c>
    </row>
    <row r="3621" spans="1:9" x14ac:dyDescent="0.25">
      <c r="A3621" s="41">
        <v>45366.514035185188</v>
      </c>
      <c r="B3621" s="48">
        <f>IF(A3621&lt;&gt;"",DATE(YEAR(TRANSACTIONS!$A3621),MONTH(TRANSACTIONS!$A3621),DAY(TRANSACTIONS!$A3621)),"")</f>
        <v>45366</v>
      </c>
      <c r="C3621" s="49">
        <f>IF(A3621&lt;&gt;"",TIME(HOUR(TRANSACTIONS!$A3621),MINUTE(TRANSACTIONS!$A3621),SECOND(TRANSACTIONS!$A3621)),"")</f>
        <v>0.5140393518518519</v>
      </c>
      <c r="D3621" s="82" t="s">
        <v>25</v>
      </c>
      <c r="E3621" s="82" t="s">
        <v>7</v>
      </c>
      <c r="F3621" s="126">
        <v>12000</v>
      </c>
      <c r="G3621" s="46"/>
      <c r="H3621" s="46">
        <f>IFERROR(TRANSACTIONS!$F3621+TRANSACTIONS!$G3621,"")</f>
        <v>12000</v>
      </c>
      <c r="I3621" s="40" t="s">
        <v>41</v>
      </c>
    </row>
    <row r="3622" spans="1:9" x14ac:dyDescent="0.25">
      <c r="A3622" s="41">
        <v>45366.514042013892</v>
      </c>
      <c r="B3622" s="48">
        <f>IF(A3622&lt;&gt;"",DATE(YEAR(TRANSACTIONS!$A3622),MONTH(TRANSACTIONS!$A3622),DAY(TRANSACTIONS!$A3622)),"")</f>
        <v>45366</v>
      </c>
      <c r="C3622" s="49">
        <f>IF(A3622&lt;&gt;"",TIME(HOUR(TRANSACTIONS!$A3622),MINUTE(TRANSACTIONS!$A3622),SECOND(TRANSACTIONS!$A3622)),"")</f>
        <v>0.5140393518518519</v>
      </c>
      <c r="D3622" s="82" t="s">
        <v>25</v>
      </c>
      <c r="E3622" s="82" t="s">
        <v>6</v>
      </c>
      <c r="F3622" s="126">
        <v>1300</v>
      </c>
      <c r="G3622" s="46"/>
      <c r="H3622" s="46">
        <f>IFERROR(TRANSACTIONS!$F3622+TRANSACTIONS!$G3622,"")</f>
        <v>1300</v>
      </c>
      <c r="I3622" s="40" t="s">
        <v>41</v>
      </c>
    </row>
    <row r="3623" spans="1:9" x14ac:dyDescent="0.25">
      <c r="A3623" s="41">
        <v>45366.514048958335</v>
      </c>
      <c r="B3623" s="48">
        <f>IF(A3623&lt;&gt;"",DATE(YEAR(TRANSACTIONS!$A3623),MONTH(TRANSACTIONS!$A3623),DAY(TRANSACTIONS!$A3623)),"")</f>
        <v>45366</v>
      </c>
      <c r="C3623" s="49">
        <f>IF(A3623&lt;&gt;"",TIME(HOUR(TRANSACTIONS!$A3623),MINUTE(TRANSACTIONS!$A3623),SECOND(TRANSACTIONS!$A3623)),"")</f>
        <v>0.51405092592592594</v>
      </c>
      <c r="D3623" s="82" t="s">
        <v>25</v>
      </c>
      <c r="E3623" s="82" t="s">
        <v>6</v>
      </c>
      <c r="F3623" s="126">
        <v>2000</v>
      </c>
      <c r="G3623" s="46"/>
      <c r="H3623" s="46">
        <f>IFERROR(TRANSACTIONS!$F3623+TRANSACTIONS!$G3623,"")</f>
        <v>2000</v>
      </c>
      <c r="I3623" s="40" t="s">
        <v>41</v>
      </c>
    </row>
    <row r="3624" spans="1:9" x14ac:dyDescent="0.25">
      <c r="A3624" s="41">
        <v>45366.514055902779</v>
      </c>
      <c r="B3624" s="48">
        <f>IF(A3624&lt;&gt;"",DATE(YEAR(TRANSACTIONS!$A3624),MONTH(TRANSACTIONS!$A3624),DAY(TRANSACTIONS!$A3624)),"")</f>
        <v>45366</v>
      </c>
      <c r="C3624" s="49">
        <f>IF(A3624&lt;&gt;"",TIME(HOUR(TRANSACTIONS!$A3624),MINUTE(TRANSACTIONS!$A3624),SECOND(TRANSACTIONS!$A3624)),"")</f>
        <v>0.51405092592592594</v>
      </c>
      <c r="D3624" s="82" t="s">
        <v>25</v>
      </c>
      <c r="E3624" s="82" t="s">
        <v>7</v>
      </c>
      <c r="F3624" s="126">
        <v>10000</v>
      </c>
      <c r="G3624" s="46"/>
      <c r="H3624" s="46">
        <f>IFERROR(TRANSACTIONS!$F3624+TRANSACTIONS!$G3624,"")</f>
        <v>10000</v>
      </c>
      <c r="I3624" s="40" t="s">
        <v>41</v>
      </c>
    </row>
    <row r="3625" spans="1:9" x14ac:dyDescent="0.25">
      <c r="A3625" s="41">
        <v>45366.514062847222</v>
      </c>
      <c r="B3625" s="48">
        <f>IF(A3625&lt;&gt;"",DATE(YEAR(TRANSACTIONS!$A3625),MONTH(TRANSACTIONS!$A3625),DAY(TRANSACTIONS!$A3625)),"")</f>
        <v>45366</v>
      </c>
      <c r="C3625" s="49">
        <f>IF(A3625&lt;&gt;"",TIME(HOUR(TRANSACTIONS!$A3625),MINUTE(TRANSACTIONS!$A3625),SECOND(TRANSACTIONS!$A3625)),"")</f>
        <v>0.51406249999999998</v>
      </c>
      <c r="D3625" s="82" t="s">
        <v>25</v>
      </c>
      <c r="E3625" s="82" t="s">
        <v>6</v>
      </c>
      <c r="F3625" s="126">
        <v>1300</v>
      </c>
      <c r="G3625" s="46"/>
      <c r="H3625" s="46">
        <f>IFERROR(TRANSACTIONS!$F3625+TRANSACTIONS!$G3625,"")</f>
        <v>1300</v>
      </c>
      <c r="I3625" s="40" t="s">
        <v>41</v>
      </c>
    </row>
    <row r="3626" spans="1:9" x14ac:dyDescent="0.25">
      <c r="A3626" s="41">
        <v>45366.51407002315</v>
      </c>
      <c r="B3626" s="48">
        <f>IF(A3626&lt;&gt;"",DATE(YEAR(TRANSACTIONS!$A3626),MONTH(TRANSACTIONS!$A3626),DAY(TRANSACTIONS!$A3626)),"")</f>
        <v>45366</v>
      </c>
      <c r="C3626" s="49">
        <f>IF(A3626&lt;&gt;"",TIME(HOUR(TRANSACTIONS!$A3626),MINUTE(TRANSACTIONS!$A3626),SECOND(TRANSACTIONS!$A3626)),"")</f>
        <v>0.51407407407407402</v>
      </c>
      <c r="D3626" s="82" t="s">
        <v>59</v>
      </c>
      <c r="E3626" s="82" t="s">
        <v>7</v>
      </c>
      <c r="F3626" s="126">
        <v>14000</v>
      </c>
      <c r="G3626" s="46"/>
      <c r="H3626" s="46">
        <f>IFERROR(TRANSACTIONS!$F3626+TRANSACTIONS!$G3626,"")</f>
        <v>14000</v>
      </c>
      <c r="I3626" s="40" t="s">
        <v>41</v>
      </c>
    </row>
    <row r="3627" spans="1:9" x14ac:dyDescent="0.25">
      <c r="A3627" s="41">
        <v>45366.514076736108</v>
      </c>
      <c r="B3627" s="83">
        <f>IF(A3627&lt;&gt;"",DATE(YEAR(TRANSACTIONS!$A3627),MONTH(TRANSACTIONS!$A3627),DAY(TRANSACTIONS!$A3627)),"")</f>
        <v>45366</v>
      </c>
      <c r="C3627" s="84">
        <f>IF(A3627&lt;&gt;"",TIME(HOUR(TRANSACTIONS!$A3627),MINUTE(TRANSACTIONS!$A3627),SECOND(TRANSACTIONS!$A3627)),"")</f>
        <v>0.51407407407407402</v>
      </c>
      <c r="D3627" s="82" t="s">
        <v>62</v>
      </c>
      <c r="E3627" s="82" t="s">
        <v>7</v>
      </c>
      <c r="F3627" s="126">
        <v>2500</v>
      </c>
      <c r="G3627" s="86"/>
      <c r="H3627" s="86">
        <f>IFERROR(TRANSACTIONS!$F3627+TRANSACTIONS!$G3627,"")</f>
        <v>2500</v>
      </c>
      <c r="I3627" s="88" t="s">
        <v>41</v>
      </c>
    </row>
    <row r="3628" spans="1:9" x14ac:dyDescent="0.25">
      <c r="A3628" s="41">
        <v>45366.514083796297</v>
      </c>
      <c r="B3628" s="48">
        <f>IF(A3628&lt;&gt;"",DATE(YEAR(TRANSACTIONS!$A3628),MONTH(TRANSACTIONS!$A3628),DAY(TRANSACTIONS!$A3628)),"")</f>
        <v>45366</v>
      </c>
      <c r="C3628" s="49">
        <f>IF(A3628&lt;&gt;"",TIME(HOUR(TRANSACTIONS!$A3628),MINUTE(TRANSACTIONS!$A3628),SECOND(TRANSACTIONS!$A3628)),"")</f>
        <v>0.51408564814814817</v>
      </c>
      <c r="D3628" s="82" t="s">
        <v>62</v>
      </c>
      <c r="E3628" s="82" t="s">
        <v>6</v>
      </c>
      <c r="F3628" s="126">
        <v>2000</v>
      </c>
      <c r="G3628" s="46"/>
      <c r="H3628" s="46">
        <f>IFERROR(TRANSACTIONS!$F3628+TRANSACTIONS!$G3628,"")</f>
        <v>2000</v>
      </c>
      <c r="I3628" s="40" t="s">
        <v>41</v>
      </c>
    </row>
    <row r="3629" spans="1:9" x14ac:dyDescent="0.25">
      <c r="A3629" s="41">
        <v>45366.514090856479</v>
      </c>
      <c r="B3629" s="48">
        <f>IF(A3629&lt;&gt;"",DATE(YEAR(TRANSACTIONS!$A3629),MONTH(TRANSACTIONS!$A3629),DAY(TRANSACTIONS!$A3629)),"")</f>
        <v>45366</v>
      </c>
      <c r="C3629" s="49">
        <f>IF(A3629&lt;&gt;"",TIME(HOUR(TRANSACTIONS!$A3629),MINUTE(TRANSACTIONS!$A3629),SECOND(TRANSACTIONS!$A3629)),"")</f>
        <v>0.51408564814814817</v>
      </c>
      <c r="D3629" s="82" t="s">
        <v>62</v>
      </c>
      <c r="E3629" s="82" t="s">
        <v>7</v>
      </c>
      <c r="F3629" s="126">
        <v>2000</v>
      </c>
      <c r="G3629" s="46"/>
      <c r="H3629" s="46">
        <f>IFERROR(TRANSACTIONS!$F3629+TRANSACTIONS!$G3629,"")</f>
        <v>2000</v>
      </c>
      <c r="I3629" s="40" t="s">
        <v>41</v>
      </c>
    </row>
    <row r="3630" spans="1:9" x14ac:dyDescent="0.25">
      <c r="A3630" s="41">
        <v>45366.563127199071</v>
      </c>
      <c r="B3630" s="48">
        <f>IF(A3630&lt;&gt;"",DATE(YEAR(TRANSACTIONS!$A3630),MONTH(TRANSACTIONS!$A3630),DAY(TRANSACTIONS!$A3630)),"")</f>
        <v>45366</v>
      </c>
      <c r="C3630" s="49">
        <f>IF(A3630&lt;&gt;"",TIME(HOUR(TRANSACTIONS!$A3630),MINUTE(TRANSACTIONS!$A3630),SECOND(TRANSACTIONS!$A3630)),"")</f>
        <v>0.56312499999999999</v>
      </c>
      <c r="D3630" s="82" t="s">
        <v>62</v>
      </c>
      <c r="E3630" s="82" t="s">
        <v>6</v>
      </c>
      <c r="F3630" s="126">
        <v>1000</v>
      </c>
      <c r="G3630" s="46"/>
      <c r="H3630" s="46">
        <f>IFERROR(TRANSACTIONS!$F3630+TRANSACTIONS!$G3630,"")</f>
        <v>1000</v>
      </c>
      <c r="I3630" s="40" t="s">
        <v>41</v>
      </c>
    </row>
    <row r="3631" spans="1:9" x14ac:dyDescent="0.25">
      <c r="A3631" s="41">
        <v>45366.56313101852</v>
      </c>
      <c r="B3631" s="48">
        <f>IF(A3631&lt;&gt;"",DATE(YEAR(TRANSACTIONS!$A3631),MONTH(TRANSACTIONS!$A3631),DAY(TRANSACTIONS!$A3631)),"")</f>
        <v>45366</v>
      </c>
      <c r="C3631" s="49">
        <f>IF(A3631&lt;&gt;"",TIME(HOUR(TRANSACTIONS!$A3631),MINUTE(TRANSACTIONS!$A3631),SECOND(TRANSACTIONS!$A3631)),"")</f>
        <v>0.56313657407407403</v>
      </c>
      <c r="D3631" s="82" t="s">
        <v>62</v>
      </c>
      <c r="E3631" s="82" t="s">
        <v>6</v>
      </c>
      <c r="F3631" s="126">
        <v>80000</v>
      </c>
      <c r="G3631" s="46"/>
      <c r="H3631" s="46">
        <f>IFERROR(TRANSACTIONS!$F3631+TRANSACTIONS!$G3631,"")</f>
        <v>80000</v>
      </c>
      <c r="I3631" s="40" t="s">
        <v>41</v>
      </c>
    </row>
    <row r="3632" spans="1:9" x14ac:dyDescent="0.25">
      <c r="A3632" s="41">
        <v>45366.563165740743</v>
      </c>
      <c r="B3632" s="48">
        <f>IF(A3632&lt;&gt;"",DATE(YEAR(TRANSACTIONS!$A3632),MONTH(TRANSACTIONS!$A3632),DAY(TRANSACTIONS!$A3632)),"")</f>
        <v>45366</v>
      </c>
      <c r="C3632" s="49">
        <f>IF(A3632&lt;&gt;"",TIME(HOUR(TRANSACTIONS!$A3632),MINUTE(TRANSACTIONS!$A3632),SECOND(TRANSACTIONS!$A3632)),"")</f>
        <v>0.56317129629629636</v>
      </c>
      <c r="D3632" s="82" t="s">
        <v>62</v>
      </c>
      <c r="E3632" s="82" t="s">
        <v>7</v>
      </c>
      <c r="F3632" s="126">
        <v>29000</v>
      </c>
      <c r="G3632" s="46"/>
      <c r="H3632" s="46">
        <f>IFERROR(TRANSACTIONS!$F3632+TRANSACTIONS!$G3632,"")</f>
        <v>29000</v>
      </c>
      <c r="I3632" s="40" t="s">
        <v>41</v>
      </c>
    </row>
    <row r="3633" spans="1:10" x14ac:dyDescent="0.25">
      <c r="A3633" s="41">
        <v>45366.563174537034</v>
      </c>
      <c r="B3633" s="48">
        <f>IF(A3633&lt;&gt;"",DATE(YEAR(TRANSACTIONS!$A3633),MONTH(TRANSACTIONS!$A3633),DAY(TRANSACTIONS!$A3633)),"")</f>
        <v>45366</v>
      </c>
      <c r="C3633" s="49">
        <f>IF(A3633&lt;&gt;"",TIME(HOUR(TRANSACTIONS!$A3633),MINUTE(TRANSACTIONS!$A3633),SECOND(TRANSACTIONS!$A3633)),"")</f>
        <v>0.56317129629629636</v>
      </c>
      <c r="D3633" s="82" t="s">
        <v>62</v>
      </c>
      <c r="E3633" s="82" t="s">
        <v>6</v>
      </c>
      <c r="F3633" s="126">
        <v>29000</v>
      </c>
      <c r="G3633" s="46"/>
      <c r="H3633" s="46">
        <f>IFERROR(TRANSACTIONS!$F3633+TRANSACTIONS!$G3633,"")</f>
        <v>29000</v>
      </c>
      <c r="I3633" s="40" t="s">
        <v>41</v>
      </c>
    </row>
    <row r="3634" spans="1:10" x14ac:dyDescent="0.25">
      <c r="A3634" s="41">
        <v>45366.563181944446</v>
      </c>
      <c r="B3634" s="48">
        <f>IF(A3634&lt;&gt;"",DATE(YEAR(TRANSACTIONS!$A3634),MONTH(TRANSACTIONS!$A3634),DAY(TRANSACTIONS!$A3634)),"")</f>
        <v>45366</v>
      </c>
      <c r="C3634" s="49">
        <f>IF(A3634&lt;&gt;"",TIME(HOUR(TRANSACTIONS!$A3634),MINUTE(TRANSACTIONS!$A3634),SECOND(TRANSACTIONS!$A3634)),"")</f>
        <v>0.5631828703703704</v>
      </c>
      <c r="D3634" s="82" t="s">
        <v>62</v>
      </c>
      <c r="E3634" s="82" t="s">
        <v>6</v>
      </c>
      <c r="F3634" s="126">
        <v>4000</v>
      </c>
      <c r="G3634" s="46"/>
      <c r="H3634" s="46">
        <f>IFERROR(TRANSACTIONS!$F3634+TRANSACTIONS!$G3634,"")</f>
        <v>4000</v>
      </c>
      <c r="I3634" s="40" t="s">
        <v>41</v>
      </c>
    </row>
    <row r="3635" spans="1:10" x14ac:dyDescent="0.25">
      <c r="A3635" s="41">
        <v>45366.563189351851</v>
      </c>
      <c r="B3635" s="48">
        <f>IF(A3635&lt;&gt;"",DATE(YEAR(TRANSACTIONS!$A3635),MONTH(TRANSACTIONS!$A3635),DAY(TRANSACTIONS!$A3635)),"")</f>
        <v>45366</v>
      </c>
      <c r="C3635" s="49">
        <f>IF(A3635&lt;&gt;"",TIME(HOUR(TRANSACTIONS!$A3635),MINUTE(TRANSACTIONS!$A3635),SECOND(TRANSACTIONS!$A3635)),"")</f>
        <v>0.56319444444444444</v>
      </c>
      <c r="D3635" s="82" t="s">
        <v>62</v>
      </c>
      <c r="E3635" s="82" t="s">
        <v>6</v>
      </c>
      <c r="F3635" s="126">
        <v>6000</v>
      </c>
      <c r="G3635" s="46"/>
      <c r="H3635" s="46">
        <f>IFERROR(TRANSACTIONS!$F3635+TRANSACTIONS!$G3635,"")</f>
        <v>6000</v>
      </c>
      <c r="I3635" s="40" t="s">
        <v>41</v>
      </c>
    </row>
    <row r="3636" spans="1:10" x14ac:dyDescent="0.25">
      <c r="A3636" s="41">
        <v>45366.563197106479</v>
      </c>
      <c r="B3636" s="48">
        <f>IF(A3636&lt;&gt;"",DATE(YEAR(TRANSACTIONS!$A3636),MONTH(TRANSACTIONS!$A3636),DAY(TRANSACTIONS!$A3636)),"")</f>
        <v>45366</v>
      </c>
      <c r="C3636" s="49">
        <f>IF(A3636&lt;&gt;"",TIME(HOUR(TRANSACTIONS!$A3636),MINUTE(TRANSACTIONS!$A3636),SECOND(TRANSACTIONS!$A3636)),"")</f>
        <v>0.56319444444444444</v>
      </c>
      <c r="D3636" s="82" t="s">
        <v>62</v>
      </c>
      <c r="E3636" s="82" t="s">
        <v>6</v>
      </c>
      <c r="F3636" s="126">
        <v>15000</v>
      </c>
      <c r="G3636" s="46"/>
      <c r="H3636" s="46">
        <f>IFERROR(TRANSACTIONS!$F3636+TRANSACTIONS!$G3636,"")</f>
        <v>15000</v>
      </c>
      <c r="I3636" s="40" t="s">
        <v>41</v>
      </c>
    </row>
    <row r="3637" spans="1:10" x14ac:dyDescent="0.25">
      <c r="A3637" s="41">
        <v>45366.563204398146</v>
      </c>
      <c r="B3637" s="48">
        <f>IF(A3637&lt;&gt;"",DATE(YEAR(TRANSACTIONS!$A3637),MONTH(TRANSACTIONS!$A3637),DAY(TRANSACTIONS!$A3637)),"")</f>
        <v>45366</v>
      </c>
      <c r="C3637" s="49">
        <f>IF(A3637&lt;&gt;"",TIME(HOUR(TRANSACTIONS!$A3637),MINUTE(TRANSACTIONS!$A3637),SECOND(TRANSACTIONS!$A3637)),"")</f>
        <v>0.56320601851851848</v>
      </c>
      <c r="D3637" s="82" t="s">
        <v>62</v>
      </c>
      <c r="E3637" s="82" t="s">
        <v>7</v>
      </c>
      <c r="F3637" s="126">
        <v>5000</v>
      </c>
      <c r="G3637" s="46"/>
      <c r="H3637" s="46">
        <f>IFERROR(TRANSACTIONS!$F3637+TRANSACTIONS!$G3637,"")</f>
        <v>5000</v>
      </c>
      <c r="I3637" s="40" t="s">
        <v>41</v>
      </c>
    </row>
    <row r="3638" spans="1:10" x14ac:dyDescent="0.25">
      <c r="A3638" s="41">
        <v>45366.563211805558</v>
      </c>
      <c r="B3638" s="48">
        <f>IF(A3638&lt;&gt;"",DATE(YEAR(TRANSACTIONS!$A3638),MONTH(TRANSACTIONS!$A3638),DAY(TRANSACTIONS!$A3638)),"")</f>
        <v>45366</v>
      </c>
      <c r="C3638" s="49">
        <f>IF(A3638&lt;&gt;"",TIME(HOUR(TRANSACTIONS!$A3638),MINUTE(TRANSACTIONS!$A3638),SECOND(TRANSACTIONS!$A3638)),"")</f>
        <v>0.56321759259259263</v>
      </c>
      <c r="D3638" s="82" t="s">
        <v>25</v>
      </c>
      <c r="E3638" s="82" t="s">
        <v>7</v>
      </c>
      <c r="F3638" s="126">
        <v>80000</v>
      </c>
      <c r="G3638" s="46"/>
      <c r="H3638" s="46">
        <f>IFERROR(TRANSACTIONS!$F3638+TRANSACTIONS!$G3638,"")</f>
        <v>80000</v>
      </c>
      <c r="I3638" s="40" t="s">
        <v>41</v>
      </c>
    </row>
    <row r="3639" spans="1:10" x14ac:dyDescent="0.25">
      <c r="A3639" s="41">
        <v>45366.563226620368</v>
      </c>
      <c r="B3639" s="48">
        <f>IF(A3639&lt;&gt;"",DATE(YEAR(TRANSACTIONS!$A3639),MONTH(TRANSACTIONS!$A3639),DAY(TRANSACTIONS!$A3639)),"")</f>
        <v>45366</v>
      </c>
      <c r="C3639" s="49">
        <f>IF(A3639&lt;&gt;"",TIME(HOUR(TRANSACTIONS!$A3639),MINUTE(TRANSACTIONS!$A3639),SECOND(TRANSACTIONS!$A3639)),"")</f>
        <v>0.56322916666666667</v>
      </c>
      <c r="D3639" s="82" t="s">
        <v>25</v>
      </c>
      <c r="E3639" s="82" t="s">
        <v>6</v>
      </c>
      <c r="F3639" s="126">
        <v>600</v>
      </c>
      <c r="G3639" s="46"/>
      <c r="H3639" s="46">
        <f>IFERROR(TRANSACTIONS!$F3639+TRANSACTIONS!$G3639,"")</f>
        <v>600</v>
      </c>
      <c r="I3639" s="40" t="s">
        <v>41</v>
      </c>
    </row>
    <row r="3640" spans="1:10" x14ac:dyDescent="0.25">
      <c r="A3640" s="41">
        <v>45366.563233333334</v>
      </c>
      <c r="B3640" s="83">
        <f>IF(A3640&lt;&gt;"",DATE(YEAR(TRANSACTIONS!$A3640),MONTH(TRANSACTIONS!$A3640),DAY(TRANSACTIONS!$A3640)),"")</f>
        <v>45366</v>
      </c>
      <c r="C3640" s="84">
        <f>IF(A3640&lt;&gt;"",TIME(HOUR(TRANSACTIONS!$A3640),MINUTE(TRANSACTIONS!$A3640),SECOND(TRANSACTIONS!$A3640)),"")</f>
        <v>0.56322916666666667</v>
      </c>
      <c r="D3640" s="82" t="s">
        <v>62</v>
      </c>
      <c r="E3640" s="82" t="s">
        <v>7</v>
      </c>
      <c r="F3640" s="126">
        <v>7000</v>
      </c>
      <c r="G3640" s="86"/>
      <c r="H3640" s="86">
        <f>IFERROR(TRANSACTIONS!$F3640+TRANSACTIONS!$G3640,"")</f>
        <v>7000</v>
      </c>
      <c r="I3640" s="88" t="s">
        <v>41</v>
      </c>
      <c r="J3640" s="88"/>
    </row>
    <row r="3641" spans="1:10" x14ac:dyDescent="0.25">
      <c r="A3641" s="41">
        <v>45366.563240162039</v>
      </c>
      <c r="B3641" s="83">
        <f>IF(A3641&lt;&gt;"",DATE(YEAR(TRANSACTIONS!$A3641),MONTH(TRANSACTIONS!$A3641),DAY(TRANSACTIONS!$A3641)),"")</f>
        <v>45366</v>
      </c>
      <c r="C3641" s="84">
        <f>IF(A3641&lt;&gt;"",TIME(HOUR(TRANSACTIONS!$A3641),MINUTE(TRANSACTIONS!$A3641),SECOND(TRANSACTIONS!$A3641)),"")</f>
        <v>0.56324074074074071</v>
      </c>
      <c r="D3641" s="82" t="s">
        <v>62</v>
      </c>
      <c r="E3641" s="82" t="s">
        <v>7</v>
      </c>
      <c r="F3641" s="126">
        <v>1000</v>
      </c>
      <c r="G3641" s="86"/>
      <c r="H3641" s="86">
        <f>IFERROR(TRANSACTIONS!$F3641+TRANSACTIONS!$G3641,"")</f>
        <v>1000</v>
      </c>
      <c r="I3641" s="88" t="s">
        <v>41</v>
      </c>
    </row>
    <row r="3642" spans="1:10" x14ac:dyDescent="0.25">
      <c r="A3642" s="71">
        <v>45366.563246527781</v>
      </c>
      <c r="B3642" s="73">
        <f>IF(A3642&lt;&gt;"",DATE(YEAR(TRANSACTIONS!$A3642),MONTH(TRANSACTIONS!$A3642),DAY(TRANSACTIONS!$A3642)),"")</f>
        <v>45366</v>
      </c>
      <c r="C3642" s="74">
        <f>IF(A3642&lt;&gt;"",TIME(HOUR(TRANSACTIONS!$A3642),MINUTE(TRANSACTIONS!$A3642),SECOND(TRANSACTIONS!$A3642)),"")</f>
        <v>0.56325231481481486</v>
      </c>
      <c r="D3642" s="72" t="s">
        <v>62</v>
      </c>
      <c r="E3642" s="72" t="s">
        <v>7</v>
      </c>
      <c r="F3642" s="183">
        <v>10000</v>
      </c>
      <c r="G3642" s="75"/>
      <c r="H3642" s="75">
        <f>IFERROR(TRANSACTIONS!$F3642+TRANSACTIONS!$G3642,"")</f>
        <v>10000</v>
      </c>
      <c r="I3642" s="76" t="s">
        <v>41</v>
      </c>
    </row>
    <row r="3643" spans="1:10" x14ac:dyDescent="0.25">
      <c r="A3643" s="41">
        <v>45366.563253356479</v>
      </c>
      <c r="B3643" s="48">
        <f>IF(A3643&lt;&gt;"",DATE(YEAR(TRANSACTIONS!$A3643),MONTH(TRANSACTIONS!$A3643),DAY(TRANSACTIONS!$A3643)),"")</f>
        <v>45366</v>
      </c>
      <c r="C3643" s="49">
        <f>IF(A3643&lt;&gt;"",TIME(HOUR(TRANSACTIONS!$A3643),MINUTE(TRANSACTIONS!$A3643),SECOND(TRANSACTIONS!$A3643)),"")</f>
        <v>0.56325231481481486</v>
      </c>
      <c r="D3643" s="82" t="s">
        <v>62</v>
      </c>
      <c r="E3643" s="82" t="s">
        <v>7</v>
      </c>
      <c r="F3643" s="126">
        <v>5000</v>
      </c>
      <c r="G3643" s="46"/>
      <c r="H3643" s="46">
        <f>IFERROR(TRANSACTIONS!$F3643+TRANSACTIONS!$G3643,"")</f>
        <v>5000</v>
      </c>
      <c r="I3643" s="40" t="s">
        <v>41</v>
      </c>
    </row>
    <row r="3644" spans="1:10" x14ac:dyDescent="0.25">
      <c r="A3644" s="41">
        <v>45366.633161226855</v>
      </c>
      <c r="B3644" s="48">
        <f>IF(A3644&lt;&gt;"",DATE(YEAR(TRANSACTIONS!$A3644),MONTH(TRANSACTIONS!$A3644),DAY(TRANSACTIONS!$A3644)),"")</f>
        <v>45366</v>
      </c>
      <c r="C3644" s="49">
        <f>IF(A3644&lt;&gt;"",TIME(HOUR(TRANSACTIONS!$A3644),MINUTE(TRANSACTIONS!$A3644),SECOND(TRANSACTIONS!$A3644)),"")</f>
        <v>0.63315972222222217</v>
      </c>
      <c r="D3644" s="82" t="s">
        <v>62</v>
      </c>
      <c r="E3644" s="82" t="s">
        <v>7</v>
      </c>
      <c r="F3644" s="126">
        <v>5000</v>
      </c>
      <c r="G3644" s="46"/>
      <c r="H3644" s="46">
        <f>IFERROR(TRANSACTIONS!$F3644+TRANSACTIONS!$G3644,"")</f>
        <v>5000</v>
      </c>
      <c r="I3644" s="40" t="s">
        <v>41</v>
      </c>
    </row>
    <row r="3645" spans="1:10" x14ac:dyDescent="0.25">
      <c r="A3645" s="41">
        <v>45366.633187615742</v>
      </c>
      <c r="B3645" s="48">
        <f>IF(A3645&lt;&gt;"",DATE(YEAR(TRANSACTIONS!$A3645),MONTH(TRANSACTIONS!$A3645),DAY(TRANSACTIONS!$A3645)),"")</f>
        <v>45366</v>
      </c>
      <c r="C3645" s="49">
        <f>IF(A3645&lt;&gt;"",TIME(HOUR(TRANSACTIONS!$A3645),MINUTE(TRANSACTIONS!$A3645),SECOND(TRANSACTIONS!$A3645)),"")</f>
        <v>0.63318287037037035</v>
      </c>
      <c r="D3645" s="82" t="s">
        <v>62</v>
      </c>
      <c r="E3645" s="82" t="s">
        <v>7</v>
      </c>
      <c r="F3645" s="126">
        <v>82500</v>
      </c>
      <c r="G3645" s="46"/>
      <c r="H3645" s="46">
        <f>IFERROR(TRANSACTIONS!$F3645+TRANSACTIONS!$G3645,"")</f>
        <v>82500</v>
      </c>
      <c r="I3645" s="40" t="s">
        <v>41</v>
      </c>
    </row>
    <row r="3646" spans="1:10" x14ac:dyDescent="0.25">
      <c r="A3646" s="41">
        <v>45366.633196296294</v>
      </c>
      <c r="B3646" s="48">
        <f>IF(A3646&lt;&gt;"",DATE(YEAR(TRANSACTIONS!$A3646),MONTH(TRANSACTIONS!$A3646),DAY(TRANSACTIONS!$A3646)),"")</f>
        <v>45366</v>
      </c>
      <c r="C3646" s="49">
        <f>IF(A3646&lt;&gt;"",TIME(HOUR(TRANSACTIONS!$A3646),MINUTE(TRANSACTIONS!$A3646),SECOND(TRANSACTIONS!$A3646)),"")</f>
        <v>0.6331944444444445</v>
      </c>
      <c r="D3646" s="82" t="s">
        <v>62</v>
      </c>
      <c r="E3646" s="82" t="s">
        <v>7</v>
      </c>
      <c r="F3646" s="126">
        <v>3000</v>
      </c>
      <c r="G3646" s="46"/>
      <c r="H3646" s="46">
        <f>IFERROR(TRANSACTIONS!$F3646+TRANSACTIONS!$G3646,"")</f>
        <v>3000</v>
      </c>
      <c r="I3646" s="40" t="s">
        <v>41</v>
      </c>
    </row>
    <row r="3647" spans="1:10" x14ac:dyDescent="0.25">
      <c r="A3647" s="41">
        <v>45366.633204050922</v>
      </c>
      <c r="B3647" s="48">
        <f>IF(A3647&lt;&gt;"",DATE(YEAR(TRANSACTIONS!$A3647),MONTH(TRANSACTIONS!$A3647),DAY(TRANSACTIONS!$A3647)),"")</f>
        <v>45366</v>
      </c>
      <c r="C3647" s="49">
        <f>IF(A3647&lt;&gt;"",TIME(HOUR(TRANSACTIONS!$A3647),MINUTE(TRANSACTIONS!$A3647),SECOND(TRANSACTIONS!$A3647)),"")</f>
        <v>0.63320601851851854</v>
      </c>
      <c r="D3647" s="82" t="s">
        <v>62</v>
      </c>
      <c r="E3647" s="82" t="s">
        <v>6</v>
      </c>
      <c r="F3647" s="126">
        <v>50000</v>
      </c>
      <c r="G3647" s="46"/>
      <c r="H3647" s="46">
        <f>IFERROR(TRANSACTIONS!$F3647+TRANSACTIONS!$G3647,"")</f>
        <v>50000</v>
      </c>
      <c r="I3647" s="40" t="s">
        <v>41</v>
      </c>
    </row>
    <row r="3648" spans="1:10" x14ac:dyDescent="0.25">
      <c r="A3648" s="41">
        <v>45366.633213310182</v>
      </c>
      <c r="B3648" s="48">
        <f>IF(A3648&lt;&gt;"",DATE(YEAR(TRANSACTIONS!$A3648),MONTH(TRANSACTIONS!$A3648),DAY(TRANSACTIONS!$A3648)),"")</f>
        <v>45366</v>
      </c>
      <c r="C3648" s="49">
        <f>IF(A3648&lt;&gt;"",TIME(HOUR(TRANSACTIONS!$A3648),MINUTE(TRANSACTIONS!$A3648),SECOND(TRANSACTIONS!$A3648)),"")</f>
        <v>0.63321759259259258</v>
      </c>
      <c r="D3648" s="82" t="s">
        <v>62</v>
      </c>
      <c r="E3648" s="82" t="s">
        <v>6</v>
      </c>
      <c r="F3648" s="126">
        <v>1000</v>
      </c>
      <c r="G3648" s="46"/>
      <c r="H3648" s="46">
        <f>IFERROR(TRANSACTIONS!$F3648+TRANSACTIONS!$G3648,"")</f>
        <v>1000</v>
      </c>
      <c r="I3648" s="40" t="s">
        <v>41</v>
      </c>
    </row>
    <row r="3649" spans="1:9" x14ac:dyDescent="0.25">
      <c r="A3649" s="41">
        <v>45366.633220949072</v>
      </c>
      <c r="B3649" s="48">
        <f>IF(A3649&lt;&gt;"",DATE(YEAR(TRANSACTIONS!$A3649),MONTH(TRANSACTIONS!$A3649),DAY(TRANSACTIONS!$A3649)),"")</f>
        <v>45366</v>
      </c>
      <c r="C3649" s="49">
        <f>IF(A3649&lt;&gt;"",TIME(HOUR(TRANSACTIONS!$A3649),MINUTE(TRANSACTIONS!$A3649),SECOND(TRANSACTIONS!$A3649)),"")</f>
        <v>0.63321759259259258</v>
      </c>
      <c r="D3649" s="82" t="s">
        <v>62</v>
      </c>
      <c r="E3649" s="82" t="s">
        <v>6</v>
      </c>
      <c r="F3649" s="126">
        <v>3000</v>
      </c>
      <c r="G3649" s="46"/>
      <c r="H3649" s="46">
        <f>IFERROR(TRANSACTIONS!$F3649+TRANSACTIONS!$G3649,"")</f>
        <v>3000</v>
      </c>
      <c r="I3649" s="40" t="s">
        <v>41</v>
      </c>
    </row>
    <row r="3650" spans="1:9" x14ac:dyDescent="0.25">
      <c r="A3650" s="41">
        <v>45366.633228472223</v>
      </c>
      <c r="B3650" s="48">
        <f>IF(A3650&lt;&gt;"",DATE(YEAR(TRANSACTIONS!$A3650),MONTH(TRANSACTIONS!$A3650),DAY(TRANSACTIONS!$A3650)),"")</f>
        <v>45366</v>
      </c>
      <c r="C3650" s="49">
        <f>IF(A3650&lt;&gt;"",TIME(HOUR(TRANSACTIONS!$A3650),MINUTE(TRANSACTIONS!$A3650),SECOND(TRANSACTIONS!$A3650)),"")</f>
        <v>0.63322916666666662</v>
      </c>
      <c r="D3650" s="82" t="s">
        <v>62</v>
      </c>
      <c r="E3650" s="82" t="s">
        <v>7</v>
      </c>
      <c r="F3650" s="126">
        <v>7000</v>
      </c>
      <c r="G3650" s="46"/>
      <c r="H3650" s="46">
        <f>IFERROR(TRANSACTIONS!$F3650+TRANSACTIONS!$G3650,"")</f>
        <v>7000</v>
      </c>
      <c r="I3650" s="40" t="s">
        <v>41</v>
      </c>
    </row>
    <row r="3651" spans="1:9" x14ac:dyDescent="0.25">
      <c r="A3651" s="41">
        <v>45366.633235416666</v>
      </c>
      <c r="B3651" s="83">
        <f>IF(A3651&lt;&gt;"",DATE(YEAR(TRANSACTIONS!$A3651),MONTH(TRANSACTIONS!$A3651),DAY(TRANSACTIONS!$A3651)),"")</f>
        <v>45366</v>
      </c>
      <c r="C3651" s="84">
        <f>IF(A3651&lt;&gt;"",TIME(HOUR(TRANSACTIONS!$A3651),MINUTE(TRANSACTIONS!$A3651),SECOND(TRANSACTIONS!$A3651)),"")</f>
        <v>0.63324074074074077</v>
      </c>
      <c r="D3651" s="82" t="s">
        <v>62</v>
      </c>
      <c r="E3651" s="82" t="s">
        <v>7</v>
      </c>
      <c r="F3651" s="126">
        <v>1400</v>
      </c>
      <c r="G3651" s="86"/>
      <c r="H3651" s="86">
        <f>IFERROR(TRANSACTIONS!$F3651+TRANSACTIONS!$G3651,"")</f>
        <v>1400</v>
      </c>
      <c r="I3651" s="88" t="s">
        <v>41</v>
      </c>
    </row>
    <row r="3652" spans="1:9" x14ac:dyDescent="0.25">
      <c r="A3652" s="41">
        <v>45366.633243055556</v>
      </c>
      <c r="B3652" s="48">
        <f>IF(A3652&lt;&gt;"",DATE(YEAR(TRANSACTIONS!$A3652),MONTH(TRANSACTIONS!$A3652),DAY(TRANSACTIONS!$A3652)),"")</f>
        <v>45366</v>
      </c>
      <c r="C3652" s="49">
        <f>IF(A3652&lt;&gt;"",TIME(HOUR(TRANSACTIONS!$A3652),MINUTE(TRANSACTIONS!$A3652),SECOND(TRANSACTIONS!$A3652)),"")</f>
        <v>0.63324074074074077</v>
      </c>
      <c r="D3652" s="82" t="s">
        <v>25</v>
      </c>
      <c r="E3652" s="82" t="s">
        <v>7</v>
      </c>
      <c r="F3652" s="126">
        <v>1000</v>
      </c>
      <c r="G3652" s="46"/>
      <c r="H3652" s="46">
        <f>IFERROR(TRANSACTIONS!$F3652+TRANSACTIONS!$G3652,"")</f>
        <v>1000</v>
      </c>
      <c r="I3652" s="40" t="s">
        <v>41</v>
      </c>
    </row>
    <row r="3653" spans="1:9" x14ac:dyDescent="0.25">
      <c r="A3653" s="41">
        <v>45366.633267824072</v>
      </c>
      <c r="B3653" s="48">
        <f>IF(A3653&lt;&gt;"",DATE(YEAR(TRANSACTIONS!$A3653),MONTH(TRANSACTIONS!$A3653),DAY(TRANSACTIONS!$A3653)),"")</f>
        <v>45366</v>
      </c>
      <c r="C3653" s="49">
        <f>IF(A3653&lt;&gt;"",TIME(HOUR(TRANSACTIONS!$A3653),MINUTE(TRANSACTIONS!$A3653),SECOND(TRANSACTIONS!$A3653)),"")</f>
        <v>0.63326388888888896</v>
      </c>
      <c r="D3653" s="82" t="s">
        <v>63</v>
      </c>
      <c r="E3653" s="82" t="s">
        <v>7</v>
      </c>
      <c r="F3653" s="126">
        <v>500</v>
      </c>
      <c r="G3653" s="46"/>
      <c r="H3653" s="46">
        <f>IFERROR(TRANSACTIONS!$F3653+TRANSACTIONS!$G3653,"")</f>
        <v>500</v>
      </c>
      <c r="I3653" s="40" t="s">
        <v>41</v>
      </c>
    </row>
    <row r="3654" spans="1:9" x14ac:dyDescent="0.25">
      <c r="A3654" s="41">
        <v>45366.633274768516</v>
      </c>
      <c r="B3654" s="48">
        <f>IF(A3654&lt;&gt;"",DATE(YEAR(TRANSACTIONS!$A3654),MONTH(TRANSACTIONS!$A3654),DAY(TRANSACTIONS!$A3654)),"")</f>
        <v>45366</v>
      </c>
      <c r="C3654" s="49">
        <f>IF(A3654&lt;&gt;"",TIME(HOUR(TRANSACTIONS!$A3654),MINUTE(TRANSACTIONS!$A3654),SECOND(TRANSACTIONS!$A3654)),"")</f>
        <v>0.633275462962963</v>
      </c>
      <c r="D3654" s="82" t="s">
        <v>62</v>
      </c>
      <c r="E3654" s="82" t="s">
        <v>6</v>
      </c>
      <c r="F3654" s="126">
        <v>11000</v>
      </c>
      <c r="G3654" s="46"/>
      <c r="H3654" s="46">
        <f>IFERROR(TRANSACTIONS!$F3654+TRANSACTIONS!$G3654,"")</f>
        <v>11000</v>
      </c>
      <c r="I3654" s="40" t="s">
        <v>41</v>
      </c>
    </row>
    <row r="3655" spans="1:9" x14ac:dyDescent="0.25">
      <c r="A3655" s="41">
        <v>45366.633283101852</v>
      </c>
      <c r="B3655" s="48">
        <f>IF(A3655&lt;&gt;"",DATE(YEAR(TRANSACTIONS!$A3655),MONTH(TRANSACTIONS!$A3655),DAY(TRANSACTIONS!$A3655)),"")</f>
        <v>45366</v>
      </c>
      <c r="C3655" s="49">
        <f>IF(A3655&lt;&gt;"",TIME(HOUR(TRANSACTIONS!$A3655),MINUTE(TRANSACTIONS!$A3655),SECOND(TRANSACTIONS!$A3655)),"")</f>
        <v>0.63328703703703704</v>
      </c>
      <c r="D3655" s="82" t="s">
        <v>25</v>
      </c>
      <c r="E3655" s="82" t="s">
        <v>7</v>
      </c>
      <c r="F3655" s="126">
        <v>30000</v>
      </c>
      <c r="G3655" s="46"/>
      <c r="H3655" s="46">
        <f>IFERROR(TRANSACTIONS!$F3655+TRANSACTIONS!$G3655,"")</f>
        <v>30000</v>
      </c>
      <c r="I3655" s="40" t="s">
        <v>41</v>
      </c>
    </row>
    <row r="3656" spans="1:9" x14ac:dyDescent="0.25">
      <c r="A3656" s="41">
        <v>45366.633294907406</v>
      </c>
      <c r="B3656" s="48">
        <f>IF(A3656&lt;&gt;"",DATE(YEAR(TRANSACTIONS!$A3656),MONTH(TRANSACTIONS!$A3656),DAY(TRANSACTIONS!$A3656)),"")</f>
        <v>45366</v>
      </c>
      <c r="C3656" s="49">
        <f>IF(A3656&lt;&gt;"",TIME(HOUR(TRANSACTIONS!$A3656),MINUTE(TRANSACTIONS!$A3656),SECOND(TRANSACTIONS!$A3656)),"")</f>
        <v>0.63329861111111108</v>
      </c>
      <c r="D3656" s="82" t="s">
        <v>62</v>
      </c>
      <c r="E3656" s="82" t="s">
        <v>7</v>
      </c>
      <c r="F3656" s="126">
        <v>1000</v>
      </c>
      <c r="G3656" s="46"/>
      <c r="H3656" s="46">
        <f>IFERROR(TRANSACTIONS!$F3656+TRANSACTIONS!$G3656,"")</f>
        <v>1000</v>
      </c>
      <c r="I3656" s="40" t="s">
        <v>41</v>
      </c>
    </row>
    <row r="3657" spans="1:9" x14ac:dyDescent="0.25">
      <c r="A3657" s="41">
        <v>45366.633304282404</v>
      </c>
      <c r="B3657" s="48">
        <f>IF(A3657&lt;&gt;"",DATE(YEAR(TRANSACTIONS!$A3657),MONTH(TRANSACTIONS!$A3657),DAY(TRANSACTIONS!$A3657)),"")</f>
        <v>45366</v>
      </c>
      <c r="C3657" s="49">
        <f>IF(A3657&lt;&gt;"",TIME(HOUR(TRANSACTIONS!$A3657),MINUTE(TRANSACTIONS!$A3657),SECOND(TRANSACTIONS!$A3657)),"")</f>
        <v>0.63329861111111108</v>
      </c>
      <c r="D3657" s="82" t="s">
        <v>62</v>
      </c>
      <c r="E3657" s="82" t="s">
        <v>7</v>
      </c>
      <c r="F3657" s="126">
        <v>3000</v>
      </c>
      <c r="G3657" s="46"/>
      <c r="H3657" s="46">
        <f>IFERROR(TRANSACTIONS!$F3657+TRANSACTIONS!$G3657,"")</f>
        <v>3000</v>
      </c>
      <c r="I3657" s="40" t="s">
        <v>41</v>
      </c>
    </row>
    <row r="3658" spans="1:9" x14ac:dyDescent="0.25">
      <c r="A3658" s="41">
        <v>45366.633311111109</v>
      </c>
      <c r="B3658" s="48">
        <f>IF(A3658&lt;&gt;"",DATE(YEAR(TRANSACTIONS!$A3658),MONTH(TRANSACTIONS!$A3658),DAY(TRANSACTIONS!$A3658)),"")</f>
        <v>45366</v>
      </c>
      <c r="C3658" s="49">
        <f>IF(A3658&lt;&gt;"",TIME(HOUR(TRANSACTIONS!$A3658),MINUTE(TRANSACTIONS!$A3658),SECOND(TRANSACTIONS!$A3658)),"")</f>
        <v>0.63331018518518511</v>
      </c>
      <c r="D3658" s="82" t="s">
        <v>62</v>
      </c>
      <c r="E3658" s="82" t="s">
        <v>7</v>
      </c>
      <c r="F3658" s="126">
        <v>500</v>
      </c>
      <c r="G3658" s="46"/>
      <c r="H3658" s="46">
        <f>IFERROR(TRANSACTIONS!$F3658+TRANSACTIONS!$G3658,"")</f>
        <v>500</v>
      </c>
      <c r="I3658" s="40" t="s">
        <v>41</v>
      </c>
    </row>
    <row r="3659" spans="1:9" x14ac:dyDescent="0.25">
      <c r="A3659" s="41">
        <v>45366.725650694447</v>
      </c>
      <c r="B3659" s="48">
        <f>IF(A3659&lt;&gt;"",DATE(YEAR(TRANSACTIONS!$A3659),MONTH(TRANSACTIONS!$A3659),DAY(TRANSACTIONS!$A3659)),"")</f>
        <v>45366</v>
      </c>
      <c r="C3659" s="49">
        <f>IF(A3659&lt;&gt;"",TIME(HOUR(TRANSACTIONS!$A3659),MINUTE(TRANSACTIONS!$A3659),SECOND(TRANSACTIONS!$A3659)),"")</f>
        <v>0.72564814814814815</v>
      </c>
      <c r="D3659" s="82" t="s">
        <v>62</v>
      </c>
      <c r="E3659" s="82" t="s">
        <v>7</v>
      </c>
      <c r="F3659" s="126">
        <v>3000</v>
      </c>
      <c r="G3659" s="46"/>
      <c r="H3659" s="46">
        <f>IFERROR(TRANSACTIONS!$F3659+TRANSACTIONS!$G3659,"")</f>
        <v>3000</v>
      </c>
      <c r="I3659" s="40" t="s">
        <v>41</v>
      </c>
    </row>
    <row r="3660" spans="1:9" x14ac:dyDescent="0.25">
      <c r="A3660" s="41">
        <v>45366.725653703703</v>
      </c>
      <c r="B3660" s="48">
        <f>IF(A3660&lt;&gt;"",DATE(YEAR(TRANSACTIONS!$A3660),MONTH(TRANSACTIONS!$A3660),DAY(TRANSACTIONS!$A3660)),"")</f>
        <v>45366</v>
      </c>
      <c r="C3660" s="49">
        <f>IF(A3660&lt;&gt;"",TIME(HOUR(TRANSACTIONS!$A3660),MINUTE(TRANSACTIONS!$A3660),SECOND(TRANSACTIONS!$A3660)),"")</f>
        <v>0.72564814814814815</v>
      </c>
      <c r="D3660" s="82" t="s">
        <v>62</v>
      </c>
      <c r="E3660" s="82" t="s">
        <v>6</v>
      </c>
      <c r="F3660" s="126">
        <v>1000</v>
      </c>
      <c r="G3660" s="46"/>
      <c r="H3660" s="46">
        <f>IFERROR(TRANSACTIONS!$F3660+TRANSACTIONS!$G3660,"")</f>
        <v>1000</v>
      </c>
      <c r="I3660" s="40" t="s">
        <v>41</v>
      </c>
    </row>
    <row r="3661" spans="1:9" x14ac:dyDescent="0.25">
      <c r="A3661" s="41">
        <v>45366.725689004626</v>
      </c>
      <c r="B3661" s="48">
        <f>IF(A3661&lt;&gt;"",DATE(YEAR(TRANSACTIONS!$A3661),MONTH(TRANSACTIONS!$A3661),DAY(TRANSACTIONS!$A3661)),"")</f>
        <v>45366</v>
      </c>
      <c r="C3661" s="49">
        <f>IF(A3661&lt;&gt;"",TIME(HOUR(TRANSACTIONS!$A3661),MINUTE(TRANSACTIONS!$A3661),SECOND(TRANSACTIONS!$A3661)),"")</f>
        <v>0.72569444444444453</v>
      </c>
      <c r="D3661" s="82" t="s">
        <v>62</v>
      </c>
      <c r="E3661" s="82" t="s">
        <v>7</v>
      </c>
      <c r="F3661" s="126">
        <v>15500</v>
      </c>
      <c r="G3661" s="46"/>
      <c r="H3661" s="46">
        <f>IFERROR(TRANSACTIONS!$F3661+TRANSACTIONS!$G3661,"")</f>
        <v>15500</v>
      </c>
      <c r="I3661" s="40" t="s">
        <v>41</v>
      </c>
    </row>
    <row r="3662" spans="1:9" x14ac:dyDescent="0.25">
      <c r="A3662" s="41">
        <v>45366.725697337963</v>
      </c>
      <c r="B3662" s="48">
        <f>IF(A3662&lt;&gt;"",DATE(YEAR(TRANSACTIONS!$A3662),MONTH(TRANSACTIONS!$A3662),DAY(TRANSACTIONS!$A3662)),"")</f>
        <v>45366</v>
      </c>
      <c r="C3662" s="49">
        <f>IF(A3662&lt;&gt;"",TIME(HOUR(TRANSACTIONS!$A3662),MINUTE(TRANSACTIONS!$A3662),SECOND(TRANSACTIONS!$A3662)),"")</f>
        <v>0.72569444444444453</v>
      </c>
      <c r="D3662" s="82" t="s">
        <v>62</v>
      </c>
      <c r="E3662" s="82"/>
      <c r="F3662" s="126">
        <v>1000</v>
      </c>
      <c r="G3662" s="46"/>
      <c r="H3662" s="46">
        <f>IFERROR(TRANSACTIONS!$F3662+TRANSACTIONS!$G3662,"")</f>
        <v>1000</v>
      </c>
      <c r="I3662" s="40" t="s">
        <v>41</v>
      </c>
    </row>
    <row r="3663" spans="1:9" x14ac:dyDescent="0.25">
      <c r="A3663" s="41">
        <v>45366.725709375001</v>
      </c>
      <c r="B3663" s="48">
        <f>IF(A3663&lt;&gt;"",DATE(YEAR(TRANSACTIONS!$A3663),MONTH(TRANSACTIONS!$A3663),DAY(TRANSACTIONS!$A3663)),"")</f>
        <v>45366</v>
      </c>
      <c r="C3663" s="49">
        <f>IF(A3663&lt;&gt;"",TIME(HOUR(TRANSACTIONS!$A3663),MINUTE(TRANSACTIONS!$A3663),SECOND(TRANSACTIONS!$A3663)),"")</f>
        <v>0.72570601851851846</v>
      </c>
      <c r="D3663" s="82" t="s">
        <v>62</v>
      </c>
      <c r="E3663" s="82" t="s">
        <v>6</v>
      </c>
      <c r="F3663" s="126">
        <v>1500</v>
      </c>
      <c r="G3663" s="46"/>
      <c r="H3663" s="46">
        <f>IFERROR(TRANSACTIONS!$F3663+TRANSACTIONS!$G3663,"")</f>
        <v>1500</v>
      </c>
      <c r="I3663" s="40" t="s">
        <v>41</v>
      </c>
    </row>
    <row r="3664" spans="1:9" x14ac:dyDescent="0.25">
      <c r="A3664" s="41">
        <v>45366.725719328701</v>
      </c>
      <c r="B3664" s="48">
        <f>IF(A3664&lt;&gt;"",DATE(YEAR(TRANSACTIONS!$A3664),MONTH(TRANSACTIONS!$A3664),DAY(TRANSACTIONS!$A3664)),"")</f>
        <v>45366</v>
      </c>
      <c r="C3664" s="49">
        <f>IF(A3664&lt;&gt;"",TIME(HOUR(TRANSACTIONS!$A3664),MINUTE(TRANSACTIONS!$A3664),SECOND(TRANSACTIONS!$A3664)),"")</f>
        <v>0.72571759259259261</v>
      </c>
      <c r="D3664" s="82" t="s">
        <v>62</v>
      </c>
      <c r="E3664" s="82" t="s">
        <v>6</v>
      </c>
      <c r="F3664" s="126">
        <v>200</v>
      </c>
      <c r="G3664" s="46"/>
      <c r="H3664" s="46">
        <f>IFERROR(TRANSACTIONS!$F3664+TRANSACTIONS!$G3664,"")</f>
        <v>200</v>
      </c>
      <c r="I3664" s="40" t="s">
        <v>41</v>
      </c>
    </row>
    <row r="3665" spans="1:9" x14ac:dyDescent="0.25">
      <c r="A3665" s="41">
        <v>45366.725726620367</v>
      </c>
      <c r="B3665" s="48">
        <f>IF(A3665&lt;&gt;"",DATE(YEAR(TRANSACTIONS!$A3665),MONTH(TRANSACTIONS!$A3665),DAY(TRANSACTIONS!$A3665)),"")</f>
        <v>45366</v>
      </c>
      <c r="C3665" s="49">
        <f>IF(A3665&lt;&gt;"",TIME(HOUR(TRANSACTIONS!$A3665),MINUTE(TRANSACTIONS!$A3665),SECOND(TRANSACTIONS!$A3665)),"")</f>
        <v>0.72572916666666665</v>
      </c>
      <c r="D3665" s="82" t="s">
        <v>62</v>
      </c>
      <c r="E3665" s="82" t="s">
        <v>7</v>
      </c>
      <c r="F3665" s="126">
        <v>10000</v>
      </c>
      <c r="G3665" s="46"/>
      <c r="H3665" s="46">
        <f>IFERROR(TRANSACTIONS!$F3665+TRANSACTIONS!$G3665,"")</f>
        <v>10000</v>
      </c>
      <c r="I3665" s="40" t="s">
        <v>41</v>
      </c>
    </row>
    <row r="3666" spans="1:9" x14ac:dyDescent="0.25">
      <c r="A3666" s="41">
        <v>45366.725739467591</v>
      </c>
      <c r="B3666" s="48">
        <f>IF(A3666&lt;&gt;"",DATE(YEAR(TRANSACTIONS!$A3666),MONTH(TRANSACTIONS!$A3666),DAY(TRANSACTIONS!$A3666)),"")</f>
        <v>45366</v>
      </c>
      <c r="C3666" s="49">
        <f>IF(A3666&lt;&gt;"",TIME(HOUR(TRANSACTIONS!$A3666),MINUTE(TRANSACTIONS!$A3666),SECOND(TRANSACTIONS!$A3666)),"")</f>
        <v>0.7257407407407408</v>
      </c>
      <c r="D3666" s="82" t="s">
        <v>62</v>
      </c>
      <c r="E3666" s="82" t="s">
        <v>7</v>
      </c>
      <c r="F3666" s="126">
        <v>1000</v>
      </c>
      <c r="G3666" s="46"/>
      <c r="H3666" s="46">
        <f>IFERROR(TRANSACTIONS!$F3666+TRANSACTIONS!$G3666,"")</f>
        <v>1000</v>
      </c>
      <c r="I3666" s="40" t="s">
        <v>41</v>
      </c>
    </row>
    <row r="3667" spans="1:9" x14ac:dyDescent="0.25">
      <c r="A3667" s="41">
        <v>45366.725748842589</v>
      </c>
      <c r="B3667" s="48">
        <f>IF(A3667&lt;&gt;"",DATE(YEAR(TRANSACTIONS!$A3667),MONTH(TRANSACTIONS!$A3667),DAY(TRANSACTIONS!$A3667)),"")</f>
        <v>45366</v>
      </c>
      <c r="C3667" s="49">
        <f>IF(A3667&lt;&gt;"",TIME(HOUR(TRANSACTIONS!$A3667),MINUTE(TRANSACTIONS!$A3667),SECOND(TRANSACTIONS!$A3667)),"")</f>
        <v>0.72575231481481473</v>
      </c>
      <c r="D3667" s="82" t="s">
        <v>62</v>
      </c>
      <c r="E3667" s="82" t="s">
        <v>7</v>
      </c>
      <c r="F3667" s="126">
        <v>1500</v>
      </c>
      <c r="G3667" s="46"/>
      <c r="H3667" s="46">
        <f>IFERROR(TRANSACTIONS!$F3667+TRANSACTIONS!$G3667,"")</f>
        <v>1500</v>
      </c>
      <c r="I3667" s="40" t="s">
        <v>41</v>
      </c>
    </row>
    <row r="3668" spans="1:9" x14ac:dyDescent="0.25">
      <c r="A3668" s="41">
        <v>45366.725756250002</v>
      </c>
      <c r="B3668" s="48">
        <f>IF(A3668&lt;&gt;"",DATE(YEAR(TRANSACTIONS!$A3668),MONTH(TRANSACTIONS!$A3668),DAY(TRANSACTIONS!$A3668)),"")</f>
        <v>45366</v>
      </c>
      <c r="C3668" s="49">
        <f>IF(A3668&lt;&gt;"",TIME(HOUR(TRANSACTIONS!$A3668),MINUTE(TRANSACTIONS!$A3668),SECOND(TRANSACTIONS!$A3668)),"")</f>
        <v>0.72575231481481473</v>
      </c>
      <c r="D3668" s="82" t="s">
        <v>62</v>
      </c>
      <c r="E3668" s="82" t="s">
        <v>6</v>
      </c>
      <c r="F3668" s="126">
        <v>500</v>
      </c>
      <c r="G3668" s="46"/>
      <c r="H3668" s="46">
        <f>IFERROR(TRANSACTIONS!$F3668+TRANSACTIONS!$G3668,"")</f>
        <v>500</v>
      </c>
      <c r="I3668" s="40" t="s">
        <v>41</v>
      </c>
    </row>
    <row r="3669" spans="1:9" x14ac:dyDescent="0.25">
      <c r="A3669" s="41">
        <v>45366.725763078706</v>
      </c>
      <c r="B3669" s="48">
        <f>IF(A3669&lt;&gt;"",DATE(YEAR(TRANSACTIONS!$A3669),MONTH(TRANSACTIONS!$A3669),DAY(TRANSACTIONS!$A3669)),"")</f>
        <v>45366</v>
      </c>
      <c r="C3669" s="49">
        <f>IF(A3669&lt;&gt;"",TIME(HOUR(TRANSACTIONS!$A3669),MINUTE(TRANSACTIONS!$A3669),SECOND(TRANSACTIONS!$A3669)),"")</f>
        <v>0.72576388888888888</v>
      </c>
      <c r="D3669" s="82" t="s">
        <v>62</v>
      </c>
      <c r="E3669" s="82" t="s">
        <v>7</v>
      </c>
      <c r="F3669" s="126">
        <v>7000</v>
      </c>
      <c r="G3669" s="46"/>
      <c r="H3669" s="46">
        <f>IFERROR(TRANSACTIONS!$F3669+TRANSACTIONS!$G3669,"")</f>
        <v>7000</v>
      </c>
      <c r="I3669" s="40" t="s">
        <v>41</v>
      </c>
    </row>
    <row r="3670" spans="1:9" x14ac:dyDescent="0.25">
      <c r="A3670" s="41">
        <v>45366.725770486111</v>
      </c>
      <c r="B3670" s="48">
        <f>IF(A3670&lt;&gt;"",DATE(YEAR(TRANSACTIONS!$A3670),MONTH(TRANSACTIONS!$A3670),DAY(TRANSACTIONS!$A3670)),"")</f>
        <v>45366</v>
      </c>
      <c r="C3670" s="49">
        <f>IF(A3670&lt;&gt;"",TIME(HOUR(TRANSACTIONS!$A3670),MINUTE(TRANSACTIONS!$A3670),SECOND(TRANSACTIONS!$A3670)),"")</f>
        <v>0.72577546296296302</v>
      </c>
      <c r="D3670" s="82" t="s">
        <v>62</v>
      </c>
      <c r="E3670" s="82" t="s">
        <v>7</v>
      </c>
      <c r="F3670" s="126">
        <v>33000</v>
      </c>
      <c r="G3670" s="46"/>
      <c r="H3670" s="46">
        <f>IFERROR(TRANSACTIONS!$F3670+TRANSACTIONS!$G3670,"")</f>
        <v>33000</v>
      </c>
      <c r="I3670" s="40" t="s">
        <v>41</v>
      </c>
    </row>
    <row r="3671" spans="1:9" x14ac:dyDescent="0.25">
      <c r="A3671" s="41">
        <v>45366.725777199077</v>
      </c>
      <c r="B3671" s="48">
        <f>IF(A3671&lt;&gt;"",DATE(YEAR(TRANSACTIONS!$A3671),MONTH(TRANSACTIONS!$A3671),DAY(TRANSACTIONS!$A3671)),"")</f>
        <v>45366</v>
      </c>
      <c r="C3671" s="49">
        <f>IF(A3671&lt;&gt;"",TIME(HOUR(TRANSACTIONS!$A3671),MINUTE(TRANSACTIONS!$A3671),SECOND(TRANSACTIONS!$A3671)),"")</f>
        <v>0.72577546296296302</v>
      </c>
      <c r="D3671" s="82" t="s">
        <v>62</v>
      </c>
      <c r="E3671" s="82" t="s">
        <v>7</v>
      </c>
      <c r="F3671" s="126">
        <v>165000</v>
      </c>
      <c r="G3671" s="46"/>
      <c r="H3671" s="46">
        <f>IFERROR(TRANSACTIONS!$F3671+TRANSACTIONS!$G3671,"")</f>
        <v>165000</v>
      </c>
      <c r="I3671" s="40" t="s">
        <v>41</v>
      </c>
    </row>
    <row r="3672" spans="1:9" x14ac:dyDescent="0.25">
      <c r="A3672" s="81">
        <v>45366.72578483796</v>
      </c>
      <c r="B3672" s="83">
        <f>IF(A3672&lt;&gt;"",DATE(YEAR(TRANSACTIONS!$A3672),MONTH(TRANSACTIONS!$A3672),DAY(TRANSACTIONS!$A3672)),"")</f>
        <v>45366</v>
      </c>
      <c r="C3672" s="84">
        <f>IF(A3672&lt;&gt;"",TIME(HOUR(TRANSACTIONS!$A3672),MINUTE(TRANSACTIONS!$A3672),SECOND(TRANSACTIONS!$A3672)),"")</f>
        <v>0.72578703703703706</v>
      </c>
      <c r="D3672" s="82" t="s">
        <v>25</v>
      </c>
      <c r="E3672" s="82" t="s">
        <v>7</v>
      </c>
      <c r="F3672" s="126">
        <v>1000</v>
      </c>
      <c r="G3672" s="86"/>
      <c r="H3672" s="86">
        <f>IFERROR(TRANSACTIONS!$F3672+TRANSACTIONS!$G3672,"")</f>
        <v>1000</v>
      </c>
      <c r="I3672" s="88" t="s">
        <v>41</v>
      </c>
    </row>
    <row r="3673" spans="1:9" x14ac:dyDescent="0.25">
      <c r="A3673" s="41">
        <v>45366.72580266204</v>
      </c>
      <c r="B3673" s="48">
        <f>IF(A3673&lt;&gt;"",DATE(YEAR(TRANSACTIONS!$A3673),MONTH(TRANSACTIONS!$A3673),DAY(TRANSACTIONS!$A3673)),"")</f>
        <v>45366</v>
      </c>
      <c r="C3673" s="49">
        <f>IF(A3673&lt;&gt;"",TIME(HOUR(TRANSACTIONS!$A3673),MINUTE(TRANSACTIONS!$A3673),SECOND(TRANSACTIONS!$A3673)),"")</f>
        <v>0.7257986111111111</v>
      </c>
      <c r="D3673" s="82" t="s">
        <v>25</v>
      </c>
      <c r="E3673" s="82" t="s">
        <v>6</v>
      </c>
      <c r="F3673" s="126">
        <v>500</v>
      </c>
      <c r="G3673" s="46"/>
      <c r="H3673" s="46">
        <f>IFERROR(TRANSACTIONS!$F3673+TRANSACTIONS!$G3673,"")</f>
        <v>500</v>
      </c>
      <c r="I3673" s="40" t="s">
        <v>41</v>
      </c>
    </row>
    <row r="3674" spans="1:9" x14ac:dyDescent="0.25">
      <c r="A3674" s="41">
        <v>45366.725809722222</v>
      </c>
      <c r="B3674" s="48">
        <f>IF(A3674&lt;&gt;"",DATE(YEAR(TRANSACTIONS!$A3674),MONTH(TRANSACTIONS!$A3674),DAY(TRANSACTIONS!$A3674)),"")</f>
        <v>45366</v>
      </c>
      <c r="C3674" s="49">
        <f>IF(A3674&lt;&gt;"",TIME(HOUR(TRANSACTIONS!$A3674),MINUTE(TRANSACTIONS!$A3674),SECOND(TRANSACTIONS!$A3674)),"")</f>
        <v>0.72581018518518514</v>
      </c>
      <c r="D3674" s="82" t="s">
        <v>25</v>
      </c>
      <c r="E3674" s="82" t="s">
        <v>6</v>
      </c>
      <c r="F3674" s="126">
        <v>10000</v>
      </c>
      <c r="G3674" s="46"/>
      <c r="H3674" s="46">
        <f>IFERROR(TRANSACTIONS!$F3674+TRANSACTIONS!$G3674,"")</f>
        <v>10000</v>
      </c>
      <c r="I3674" s="40" t="s">
        <v>41</v>
      </c>
    </row>
    <row r="3675" spans="1:9" x14ac:dyDescent="0.25">
      <c r="A3675" s="172">
        <v>45366.725817939812</v>
      </c>
      <c r="B3675" s="48">
        <f>IF(A3675&lt;&gt;"",DATE(YEAR(TRANSACTIONS!$A3675),MONTH(TRANSACTIONS!$A3675),DAY(TRANSACTIONS!$A3675)),"")</f>
        <v>45366</v>
      </c>
      <c r="C3675" s="49">
        <f>IF(A3675&lt;&gt;"",TIME(HOUR(TRANSACTIONS!$A3675),MINUTE(TRANSACTIONS!$A3675),SECOND(TRANSACTIONS!$A3675)),"")</f>
        <v>0.72582175925925929</v>
      </c>
      <c r="D3675" s="82" t="s">
        <v>25</v>
      </c>
      <c r="E3675" s="82" t="s">
        <v>7</v>
      </c>
      <c r="F3675" s="126">
        <v>100000</v>
      </c>
      <c r="G3675" s="46"/>
      <c r="H3675" s="46">
        <f>IFERROR(TRANSACTIONS!$F3675+TRANSACTIONS!$G3675,"")</f>
        <v>100000</v>
      </c>
      <c r="I3675" s="40" t="s">
        <v>41</v>
      </c>
    </row>
    <row r="3676" spans="1:9" x14ac:dyDescent="0.25">
      <c r="A3676" s="113">
        <v>45366.725825000001</v>
      </c>
      <c r="B3676" s="114">
        <f>IF(A3676&lt;&gt;"",DATE(YEAR(TRANSACTIONS!$A3676),MONTH(TRANSACTIONS!$A3676),DAY(TRANSACTIONS!$A3676)),"")</f>
        <v>45366</v>
      </c>
      <c r="C3676" s="115">
        <f>IF(A3676&lt;&gt;"",TIME(HOUR(TRANSACTIONS!$A3676),MINUTE(TRANSACTIONS!$A3676),SECOND(TRANSACTIONS!$A3676)),"")</f>
        <v>0.72582175925925929</v>
      </c>
      <c r="D3676" s="82" t="s">
        <v>25</v>
      </c>
      <c r="E3676" s="82" t="s">
        <v>7</v>
      </c>
      <c r="F3676" s="126">
        <v>65000</v>
      </c>
      <c r="G3676" s="117"/>
      <c r="H3676" s="117">
        <f>IFERROR(TRANSACTIONS!$F3676+TRANSACTIONS!$G3676,"")</f>
        <v>65000</v>
      </c>
      <c r="I3676" s="118" t="s">
        <v>41</v>
      </c>
    </row>
    <row r="3677" spans="1:9" x14ac:dyDescent="0.25">
      <c r="A3677" s="41">
        <v>45366.725832870368</v>
      </c>
      <c r="B3677" s="48">
        <f>IF(A3677&lt;&gt;"",DATE(YEAR(TRANSACTIONS!$A3677),MONTH(TRANSACTIONS!$A3677),DAY(TRANSACTIONS!$A3677)),"")</f>
        <v>45366</v>
      </c>
      <c r="C3677" s="49">
        <f>IF(A3677&lt;&gt;"",TIME(HOUR(TRANSACTIONS!$A3677),MINUTE(TRANSACTIONS!$A3677),SECOND(TRANSACTIONS!$A3677)),"")</f>
        <v>0.72583333333333344</v>
      </c>
      <c r="D3677" s="82" t="s">
        <v>72</v>
      </c>
      <c r="E3677" s="82" t="s">
        <v>6</v>
      </c>
      <c r="F3677" s="126">
        <v>14000</v>
      </c>
      <c r="G3677" s="46"/>
      <c r="H3677" s="46">
        <f>IFERROR(TRANSACTIONS!$F3677+TRANSACTIONS!$G3677,"")</f>
        <v>14000</v>
      </c>
      <c r="I3677" s="40" t="s">
        <v>41</v>
      </c>
    </row>
    <row r="3678" spans="1:9" x14ac:dyDescent="0.25">
      <c r="A3678" s="41">
        <v>45366.725840162035</v>
      </c>
      <c r="B3678" s="48">
        <f>IF(A3678&lt;&gt;"",DATE(YEAR(TRANSACTIONS!$A3678),MONTH(TRANSACTIONS!$A3678),DAY(TRANSACTIONS!$A3678)),"")</f>
        <v>45366</v>
      </c>
      <c r="C3678" s="49">
        <f>IF(A3678&lt;&gt;"",TIME(HOUR(TRANSACTIONS!$A3678),MINUTE(TRANSACTIONS!$A3678),SECOND(TRANSACTIONS!$A3678)),"")</f>
        <v>0.72584490740740737</v>
      </c>
      <c r="D3678" s="82" t="s">
        <v>62</v>
      </c>
      <c r="E3678" s="82" t="s">
        <v>7</v>
      </c>
      <c r="F3678" s="126">
        <v>4900</v>
      </c>
      <c r="G3678" s="46"/>
      <c r="H3678" s="46">
        <f>IFERROR(TRANSACTIONS!$F3678+TRANSACTIONS!$G3678,"")</f>
        <v>4900</v>
      </c>
      <c r="I3678" s="40" t="s">
        <v>41</v>
      </c>
    </row>
    <row r="3679" spans="1:9" x14ac:dyDescent="0.25">
      <c r="A3679" s="41"/>
      <c r="B3679" s="48" t="str">
        <f>IF(A3679&lt;&gt;"",DATE(YEAR(TRANSACTIONS!$A3679),MONTH(TRANSACTIONS!$A3679),DAY(TRANSACTIONS!$A3679)),"")</f>
        <v/>
      </c>
      <c r="C3679" s="49" t="str">
        <f>IF(A3679&lt;&gt;"",TIME(HOUR(TRANSACTIONS!$A3679),MINUTE(TRANSACTIONS!$A3679),SECOND(TRANSACTIONS!$A3679)),"")</f>
        <v/>
      </c>
      <c r="D3679" s="82"/>
      <c r="E3679" s="82"/>
      <c r="F3679" s="126"/>
      <c r="G3679" s="46"/>
      <c r="H3679" s="46">
        <f>IFERROR(TRANSACTIONS!$F3679+TRANSACTIONS!$G3679,"")</f>
        <v>0</v>
      </c>
      <c r="I3679" s="40" t="s">
        <v>41</v>
      </c>
    </row>
    <row r="3680" spans="1:9" x14ac:dyDescent="0.25">
      <c r="A3680" s="41">
        <v>45367.395076851855</v>
      </c>
      <c r="B3680" s="48">
        <f>IF(A3680&lt;&gt;"",DATE(YEAR(TRANSACTIONS!$A3680),MONTH(TRANSACTIONS!$A3680),DAY(TRANSACTIONS!$A3680)),"")</f>
        <v>45367</v>
      </c>
      <c r="C3680" s="49">
        <f>IF(A3680&lt;&gt;"",TIME(HOUR(TRANSACTIONS!$A3680),MINUTE(TRANSACTIONS!$A3680),SECOND(TRANSACTIONS!$A3680)),"")</f>
        <v>0.39508101851851851</v>
      </c>
      <c r="D3680" s="82" t="s">
        <v>62</v>
      </c>
      <c r="E3680" s="82" t="s">
        <v>7</v>
      </c>
      <c r="F3680" s="126">
        <v>20000</v>
      </c>
      <c r="G3680" s="46"/>
      <c r="H3680" s="46">
        <f>IFERROR(TRANSACTIONS!$F3680+TRANSACTIONS!$G3680,"")</f>
        <v>20000</v>
      </c>
      <c r="I3680" s="40" t="s">
        <v>41</v>
      </c>
    </row>
    <row r="3681" spans="1:9" x14ac:dyDescent="0.25">
      <c r="A3681" s="41">
        <v>45367.395088657409</v>
      </c>
      <c r="B3681" s="48">
        <f>IF(A3681&lt;&gt;"",DATE(YEAR(TRANSACTIONS!$A3681),MONTH(TRANSACTIONS!$A3681),DAY(TRANSACTIONS!$A3681)),"")</f>
        <v>45367</v>
      </c>
      <c r="C3681" s="49">
        <f>IF(A3681&lt;&gt;"",TIME(HOUR(TRANSACTIONS!$A3681),MINUTE(TRANSACTIONS!$A3681),SECOND(TRANSACTIONS!$A3681)),"")</f>
        <v>0.39509259259259261</v>
      </c>
      <c r="D3681" s="82" t="s">
        <v>62</v>
      </c>
      <c r="E3681" s="82" t="s">
        <v>7</v>
      </c>
      <c r="F3681" s="126">
        <v>15000</v>
      </c>
      <c r="G3681" s="46"/>
      <c r="H3681" s="46">
        <f>IFERROR(TRANSACTIONS!$F3681+TRANSACTIONS!$G3681,"")</f>
        <v>15000</v>
      </c>
      <c r="I3681" s="40" t="s">
        <v>41</v>
      </c>
    </row>
    <row r="3682" spans="1:9" x14ac:dyDescent="0.25">
      <c r="A3682" s="41">
        <v>45367.395121412039</v>
      </c>
      <c r="B3682" s="48">
        <f>IF(A3682&lt;&gt;"",DATE(YEAR(TRANSACTIONS!$A3682),MONTH(TRANSACTIONS!$A3682),DAY(TRANSACTIONS!$A3682)),"")</f>
        <v>45367</v>
      </c>
      <c r="C3682" s="49">
        <f>IF(A3682&lt;&gt;"",TIME(HOUR(TRANSACTIONS!$A3682),MINUTE(TRANSACTIONS!$A3682),SECOND(TRANSACTIONS!$A3682)),"")</f>
        <v>0.39511574074074068</v>
      </c>
      <c r="D3682" s="82" t="s">
        <v>62</v>
      </c>
      <c r="E3682" s="82" t="s">
        <v>6</v>
      </c>
      <c r="F3682" s="126">
        <v>1000</v>
      </c>
      <c r="G3682" s="46"/>
      <c r="H3682" s="46">
        <f>IFERROR(TRANSACTIONS!$F3682+TRANSACTIONS!$G3682,"")</f>
        <v>1000</v>
      </c>
      <c r="I3682" s="40" t="s">
        <v>41</v>
      </c>
    </row>
    <row r="3683" spans="1:9" x14ac:dyDescent="0.25">
      <c r="A3683" s="41">
        <v>45367.395129166667</v>
      </c>
      <c r="B3683" s="48">
        <f>IF(A3683&lt;&gt;"",DATE(YEAR(TRANSACTIONS!$A3683),MONTH(TRANSACTIONS!$A3683),DAY(TRANSACTIONS!$A3683)),"")</f>
        <v>45367</v>
      </c>
      <c r="C3683" s="49">
        <f>IF(A3683&lt;&gt;"",TIME(HOUR(TRANSACTIONS!$A3683),MINUTE(TRANSACTIONS!$A3683),SECOND(TRANSACTIONS!$A3683)),"")</f>
        <v>0.39512731481481483</v>
      </c>
      <c r="D3683" s="82" t="s">
        <v>62</v>
      </c>
      <c r="E3683" s="82" t="s">
        <v>6</v>
      </c>
      <c r="F3683" s="126">
        <v>5000</v>
      </c>
      <c r="G3683" s="46"/>
      <c r="H3683" s="46">
        <f>IFERROR(TRANSACTIONS!$F3683+TRANSACTIONS!$G3683,"")</f>
        <v>5000</v>
      </c>
      <c r="I3683" s="40" t="s">
        <v>41</v>
      </c>
    </row>
    <row r="3684" spans="1:9" x14ac:dyDescent="0.25">
      <c r="A3684" s="41">
        <v>45367.395141203706</v>
      </c>
      <c r="B3684" s="48">
        <f>IF(A3684&lt;&gt;"",DATE(YEAR(TRANSACTIONS!$A3684),MONTH(TRANSACTIONS!$A3684),DAY(TRANSACTIONS!$A3684)),"")</f>
        <v>45367</v>
      </c>
      <c r="C3684" s="49">
        <f>IF(A3684&lt;&gt;"",TIME(HOUR(TRANSACTIONS!$A3684),MINUTE(TRANSACTIONS!$A3684),SECOND(TRANSACTIONS!$A3684)),"")</f>
        <v>0.39513888888888887</v>
      </c>
      <c r="D3684" s="82" t="s">
        <v>62</v>
      </c>
      <c r="E3684" s="82" t="s">
        <v>6</v>
      </c>
      <c r="F3684" s="126">
        <v>10000</v>
      </c>
      <c r="G3684" s="46"/>
      <c r="H3684" s="46">
        <f>IFERROR(TRANSACTIONS!$F3684+TRANSACTIONS!$G3684,"")</f>
        <v>10000</v>
      </c>
      <c r="I3684" s="40" t="s">
        <v>41</v>
      </c>
    </row>
    <row r="3685" spans="1:9" x14ac:dyDescent="0.25">
      <c r="A3685" s="41">
        <v>45367.395150578704</v>
      </c>
      <c r="B3685" s="48">
        <f>IF(A3685&lt;&gt;"",DATE(YEAR(TRANSACTIONS!$A3685),MONTH(TRANSACTIONS!$A3685),DAY(TRANSACTIONS!$A3685)),"")</f>
        <v>45367</v>
      </c>
      <c r="C3685" s="49">
        <f>IF(A3685&lt;&gt;"",TIME(HOUR(TRANSACTIONS!$A3685),MINUTE(TRANSACTIONS!$A3685),SECOND(TRANSACTIONS!$A3685)),"")</f>
        <v>0.39515046296296297</v>
      </c>
      <c r="D3685" s="82" t="s">
        <v>62</v>
      </c>
      <c r="E3685" s="82" t="s">
        <v>6</v>
      </c>
      <c r="F3685" s="126">
        <v>5000</v>
      </c>
      <c r="G3685" s="46"/>
      <c r="H3685" s="46">
        <f>IFERROR(TRANSACTIONS!$F3685+TRANSACTIONS!$G3685,"")</f>
        <v>5000</v>
      </c>
      <c r="I3685" s="40" t="s">
        <v>41</v>
      </c>
    </row>
    <row r="3686" spans="1:9" x14ac:dyDescent="0.25">
      <c r="A3686" s="41">
        <v>45367.395199537037</v>
      </c>
      <c r="B3686" s="48">
        <f>IF(A3686&lt;&gt;"",DATE(YEAR(TRANSACTIONS!$A3686),MONTH(TRANSACTIONS!$A3686),DAY(TRANSACTIONS!$A3686)),"")</f>
        <v>45367</v>
      </c>
      <c r="C3686" s="49">
        <f>IF(A3686&lt;&gt;"",TIME(HOUR(TRANSACTIONS!$A3686),MINUTE(TRANSACTIONS!$A3686),SECOND(TRANSACTIONS!$A3686)),"")</f>
        <v>0.39519675925925929</v>
      </c>
      <c r="D3686" s="82" t="s">
        <v>62</v>
      </c>
      <c r="E3686" s="82" t="s">
        <v>6</v>
      </c>
      <c r="F3686" s="126">
        <v>50000</v>
      </c>
      <c r="G3686" s="46"/>
      <c r="H3686" s="46">
        <f>IFERROR(TRANSACTIONS!$F3686+TRANSACTIONS!$G3686,"")</f>
        <v>50000</v>
      </c>
      <c r="I3686" s="40" t="s">
        <v>41</v>
      </c>
    </row>
    <row r="3687" spans="1:9" x14ac:dyDescent="0.25">
      <c r="A3687" s="41">
        <v>45367.395207175927</v>
      </c>
      <c r="B3687" s="48">
        <f>IF(A3687&lt;&gt;"",DATE(YEAR(TRANSACTIONS!$A3687),MONTH(TRANSACTIONS!$A3687),DAY(TRANSACTIONS!$A3687)),"")</f>
        <v>45367</v>
      </c>
      <c r="C3687" s="49">
        <f>IF(A3687&lt;&gt;"",TIME(HOUR(TRANSACTIONS!$A3687),MINUTE(TRANSACTIONS!$A3687),SECOND(TRANSACTIONS!$A3687)),"")</f>
        <v>0.39520833333333333</v>
      </c>
      <c r="D3687" s="82" t="s">
        <v>62</v>
      </c>
      <c r="E3687" s="82" t="s">
        <v>6</v>
      </c>
      <c r="F3687" s="126">
        <v>20000</v>
      </c>
      <c r="G3687" s="46"/>
      <c r="H3687" s="46">
        <f>IFERROR(TRANSACTIONS!$F3687+TRANSACTIONS!$G3687,"")</f>
        <v>20000</v>
      </c>
      <c r="I3687" s="40" t="s">
        <v>41</v>
      </c>
    </row>
    <row r="3688" spans="1:9" x14ac:dyDescent="0.25">
      <c r="A3688" s="41">
        <v>45367.395214583332</v>
      </c>
      <c r="B3688" s="48">
        <f>IF(A3688&lt;&gt;"",DATE(YEAR(TRANSACTIONS!$A3688),MONTH(TRANSACTIONS!$A3688),DAY(TRANSACTIONS!$A3688)),"")</f>
        <v>45367</v>
      </c>
      <c r="C3688" s="49">
        <f>IF(A3688&lt;&gt;"",TIME(HOUR(TRANSACTIONS!$A3688),MINUTE(TRANSACTIONS!$A3688),SECOND(TRANSACTIONS!$A3688)),"")</f>
        <v>0.39521990740740742</v>
      </c>
      <c r="D3688" s="82" t="s">
        <v>62</v>
      </c>
      <c r="E3688" s="82" t="s">
        <v>6</v>
      </c>
      <c r="F3688" s="126">
        <v>10000</v>
      </c>
      <c r="G3688" s="46"/>
      <c r="H3688" s="46">
        <f>IFERROR(TRANSACTIONS!$F3688+TRANSACTIONS!$G3688,"")</f>
        <v>10000</v>
      </c>
      <c r="I3688" s="40" t="s">
        <v>41</v>
      </c>
    </row>
    <row r="3689" spans="1:9" x14ac:dyDescent="0.25">
      <c r="A3689" s="41">
        <v>45367.395221643521</v>
      </c>
      <c r="B3689" s="48">
        <f>IF(A3689&lt;&gt;"",DATE(YEAR(TRANSACTIONS!$A3689),MONTH(TRANSACTIONS!$A3689),DAY(TRANSACTIONS!$A3689)),"")</f>
        <v>45367</v>
      </c>
      <c r="C3689" s="49">
        <f>IF(A3689&lt;&gt;"",TIME(HOUR(TRANSACTIONS!$A3689),MINUTE(TRANSACTIONS!$A3689),SECOND(TRANSACTIONS!$A3689)),"")</f>
        <v>0.39521990740740742</v>
      </c>
      <c r="D3689" s="82" t="s">
        <v>62</v>
      </c>
      <c r="E3689" s="82" t="s">
        <v>6</v>
      </c>
      <c r="F3689" s="126">
        <v>1000</v>
      </c>
      <c r="G3689" s="46"/>
      <c r="H3689" s="46">
        <f>IFERROR(TRANSACTIONS!$F3689+TRANSACTIONS!$G3689,"")</f>
        <v>1000</v>
      </c>
      <c r="I3689" s="40" t="s">
        <v>41</v>
      </c>
    </row>
    <row r="3690" spans="1:9" x14ac:dyDescent="0.25">
      <c r="A3690" s="41">
        <v>45367.395234837961</v>
      </c>
      <c r="B3690" s="48">
        <f>IF(A3690&lt;&gt;"",DATE(YEAR(TRANSACTIONS!$A3690),MONTH(TRANSACTIONS!$A3690),DAY(TRANSACTIONS!$A3690)),"")</f>
        <v>45367</v>
      </c>
      <c r="C3690" s="49">
        <f>IF(A3690&lt;&gt;"",TIME(HOUR(TRANSACTIONS!$A3690),MINUTE(TRANSACTIONS!$A3690),SECOND(TRANSACTIONS!$A3690)),"")</f>
        <v>0.39523148148148146</v>
      </c>
      <c r="D3690" s="82" t="s">
        <v>62</v>
      </c>
      <c r="E3690" s="82" t="s">
        <v>6</v>
      </c>
      <c r="F3690" s="126">
        <v>21000</v>
      </c>
      <c r="G3690" s="46"/>
      <c r="H3690" s="46">
        <f>IFERROR(TRANSACTIONS!$F3690+TRANSACTIONS!$G3690,"")</f>
        <v>21000</v>
      </c>
      <c r="I3690" s="40" t="s">
        <v>41</v>
      </c>
    </row>
    <row r="3691" spans="1:9" x14ac:dyDescent="0.25">
      <c r="A3691" s="41">
        <v>45367.395251620372</v>
      </c>
      <c r="B3691" s="48">
        <f>IF(A3691&lt;&gt;"",DATE(YEAR(TRANSACTIONS!$A3691),MONTH(TRANSACTIONS!$A3691),DAY(TRANSACTIONS!$A3691)),"")</f>
        <v>45367</v>
      </c>
      <c r="C3691" s="49">
        <f>IF(A3691&lt;&gt;"",TIME(HOUR(TRANSACTIONS!$A3691),MINUTE(TRANSACTIONS!$A3691),SECOND(TRANSACTIONS!$A3691)),"")</f>
        <v>0.39525462962962959</v>
      </c>
      <c r="D3691" s="82" t="s">
        <v>62</v>
      </c>
      <c r="E3691" s="82" t="s">
        <v>7</v>
      </c>
      <c r="F3691" s="126">
        <v>2000</v>
      </c>
      <c r="G3691" s="46"/>
      <c r="H3691" s="46">
        <f>IFERROR(TRANSACTIONS!$F3692+TRANSACTIONS!$G3691,"")</f>
        <v>0</v>
      </c>
      <c r="I3691" s="40" t="s">
        <v>41</v>
      </c>
    </row>
    <row r="3692" spans="1:9" x14ac:dyDescent="0.25">
      <c r="A3692" s="81">
        <v>45367.395291319444</v>
      </c>
      <c r="B3692" s="83">
        <f>IF(A3692&lt;&gt;"",DATE(YEAR(TRANSACTIONS!$A3692),MONTH(TRANSACTIONS!$A3692),DAY(TRANSACTIONS!$A3692)),"")</f>
        <v>45367</v>
      </c>
      <c r="C3692" s="84">
        <f>IF(A3692&lt;&gt;"",TIME(HOUR(TRANSACTIONS!$A3692),MINUTE(TRANSACTIONS!$A3692),SECOND(TRANSACTIONS!$A3692)),"")</f>
        <v>0.39528935185185188</v>
      </c>
      <c r="D3692" s="82" t="s">
        <v>62</v>
      </c>
      <c r="E3692" s="82"/>
      <c r="F3692" s="176"/>
      <c r="G3692" s="86"/>
      <c r="H3692" s="86" t="str">
        <f>IFERROR(TRANSACTIONS!#REF!+TRANSACTIONS!$G3692,"")</f>
        <v/>
      </c>
      <c r="I3692" s="88" t="s">
        <v>41</v>
      </c>
    </row>
    <row r="3693" spans="1:9" x14ac:dyDescent="0.25">
      <c r="A3693" s="41">
        <v>45367.395298842595</v>
      </c>
      <c r="B3693" s="48">
        <f>IF(A3693&lt;&gt;"",DATE(YEAR(TRANSACTIONS!$A3693),MONTH(TRANSACTIONS!$A3693),DAY(TRANSACTIONS!$A3693)),"")</f>
        <v>45367</v>
      </c>
      <c r="C3693" s="49">
        <f>IF(A3693&lt;&gt;"",TIME(HOUR(TRANSACTIONS!$A3693),MINUTE(TRANSACTIONS!$A3693),SECOND(TRANSACTIONS!$A3693)),"")</f>
        <v>0.39530092592592592</v>
      </c>
      <c r="D3693" s="82" t="s">
        <v>62</v>
      </c>
      <c r="E3693" s="82" t="s">
        <v>7</v>
      </c>
      <c r="F3693" s="126">
        <v>10000</v>
      </c>
      <c r="G3693" s="46"/>
      <c r="H3693" s="46">
        <f>IFERROR(TRANSACTIONS!$F3693+TRANSACTIONS!$G3693,"")</f>
        <v>10000</v>
      </c>
      <c r="I3693" s="40" t="s">
        <v>41</v>
      </c>
    </row>
    <row r="3694" spans="1:9" x14ac:dyDescent="0.25">
      <c r="A3694" s="41">
        <v>45367.395305902777</v>
      </c>
      <c r="B3694" s="48">
        <f>IF(A3694&lt;&gt;"",DATE(YEAR(TRANSACTIONS!$A3694),MONTH(TRANSACTIONS!$A3694),DAY(TRANSACTIONS!$A3694)),"")</f>
        <v>45367</v>
      </c>
      <c r="C3694" s="49">
        <f>IF(A3694&lt;&gt;"",TIME(HOUR(TRANSACTIONS!$A3694),MINUTE(TRANSACTIONS!$A3694),SECOND(TRANSACTIONS!$A3694)),"")</f>
        <v>0.39530092592592592</v>
      </c>
      <c r="D3694" s="82" t="s">
        <v>62</v>
      </c>
      <c r="E3694" s="82" t="s">
        <v>6</v>
      </c>
      <c r="F3694" s="126">
        <v>35000</v>
      </c>
      <c r="G3694" s="46"/>
      <c r="H3694" s="46">
        <f>IFERROR(TRANSACTIONS!$F3694+TRANSACTIONS!$G3694,"")</f>
        <v>35000</v>
      </c>
      <c r="I3694" s="40" t="s">
        <v>41</v>
      </c>
    </row>
    <row r="3695" spans="1:9" x14ac:dyDescent="0.25">
      <c r="A3695" s="41">
        <v>45367.395331250002</v>
      </c>
      <c r="B3695" s="48">
        <f>IF(A3695&lt;&gt;"",DATE(YEAR(TRANSACTIONS!$A3695),MONTH(TRANSACTIONS!$A3695),DAY(TRANSACTIONS!$A3695)),"")</f>
        <v>45367</v>
      </c>
      <c r="C3695" s="49">
        <f>IF(A3695&lt;&gt;"",TIME(HOUR(TRANSACTIONS!$A3695),MINUTE(TRANSACTIONS!$A3695),SECOND(TRANSACTIONS!$A3695)),"")</f>
        <v>0.3953356481481482</v>
      </c>
      <c r="D3695" s="82" t="s">
        <v>62</v>
      </c>
      <c r="E3695" s="82" t="s">
        <v>7</v>
      </c>
      <c r="F3695" s="126">
        <v>20000</v>
      </c>
      <c r="G3695" s="46"/>
      <c r="H3695" s="46">
        <f>IFERROR(TRANSACTIONS!$F3695+TRANSACTIONS!$G3695,"")</f>
        <v>20000</v>
      </c>
      <c r="I3695" s="40" t="s">
        <v>41</v>
      </c>
    </row>
    <row r="3696" spans="1:9" x14ac:dyDescent="0.25">
      <c r="A3696" s="41">
        <v>45367.395361226852</v>
      </c>
      <c r="B3696" s="48">
        <f>IF(A3696&lt;&gt;"",DATE(YEAR(TRANSACTIONS!$A3696),MONTH(TRANSACTIONS!$A3696),DAY(TRANSACTIONS!$A3696)),"")</f>
        <v>45367</v>
      </c>
      <c r="C3696" s="49">
        <f>IF(A3696&lt;&gt;"",TIME(HOUR(TRANSACTIONS!$A3696),MINUTE(TRANSACTIONS!$A3696),SECOND(TRANSACTIONS!$A3696)),"")</f>
        <v>0.39535879629629633</v>
      </c>
      <c r="D3696" s="82" t="s">
        <v>62</v>
      </c>
      <c r="E3696" s="82" t="s">
        <v>7</v>
      </c>
      <c r="F3696" s="126">
        <v>1000</v>
      </c>
      <c r="G3696" s="46"/>
      <c r="H3696" s="46">
        <f>IFERROR(TRANSACTIONS!$F3696+TRANSACTIONS!$G3696,"")</f>
        <v>1000</v>
      </c>
      <c r="I3696" s="40" t="s">
        <v>41</v>
      </c>
    </row>
    <row r="3697" spans="1:9" x14ac:dyDescent="0.25">
      <c r="A3697" s="41">
        <v>45367.395368634257</v>
      </c>
      <c r="B3697" s="48">
        <f>IF(A3697&lt;&gt;"",DATE(YEAR(TRANSACTIONS!$A3697),MONTH(TRANSACTIONS!$A3697),DAY(TRANSACTIONS!$A3697)),"")</f>
        <v>45367</v>
      </c>
      <c r="C3697" s="49">
        <f>IF(A3697&lt;&gt;"",TIME(HOUR(TRANSACTIONS!$A3697),MINUTE(TRANSACTIONS!$A3697),SECOND(TRANSACTIONS!$A3697)),"")</f>
        <v>0.39537037037037037</v>
      </c>
      <c r="D3697" s="82" t="s">
        <v>62</v>
      </c>
      <c r="E3697" s="82" t="s">
        <v>6</v>
      </c>
      <c r="F3697" s="126">
        <v>11500</v>
      </c>
      <c r="G3697" s="46"/>
      <c r="H3697" s="46">
        <f>IFERROR(TRANSACTIONS!$F3697+TRANSACTIONS!$G3697,"")</f>
        <v>11500</v>
      </c>
      <c r="I3697" s="40" t="s">
        <v>41</v>
      </c>
    </row>
    <row r="3698" spans="1:9" x14ac:dyDescent="0.25">
      <c r="A3698" s="41">
        <v>45367.395376273147</v>
      </c>
      <c r="B3698" s="48">
        <f>IF(A3698&lt;&gt;"",DATE(YEAR(TRANSACTIONS!$A3698),MONTH(TRANSACTIONS!$A3698),DAY(TRANSACTIONS!$A3698)),"")</f>
        <v>45367</v>
      </c>
      <c r="C3698" s="49">
        <f>IF(A3698&lt;&gt;"",TIME(HOUR(TRANSACTIONS!$A3698),MINUTE(TRANSACTIONS!$A3698),SECOND(TRANSACTIONS!$A3698)),"")</f>
        <v>0.39538194444444441</v>
      </c>
      <c r="D3698" s="82" t="s">
        <v>62</v>
      </c>
      <c r="E3698" s="82" t="s">
        <v>7</v>
      </c>
      <c r="F3698" s="126">
        <v>10000</v>
      </c>
      <c r="G3698" s="46"/>
      <c r="H3698" s="46">
        <f>IFERROR(TRANSACTIONS!$F3698+TRANSACTIONS!$G3698,"")</f>
        <v>10000</v>
      </c>
      <c r="I3698" s="40" t="s">
        <v>41</v>
      </c>
    </row>
    <row r="3699" spans="1:9" x14ac:dyDescent="0.25">
      <c r="A3699" s="41">
        <v>45367.756543981479</v>
      </c>
      <c r="B3699" s="48">
        <f>IF(A3699&lt;&gt;"",DATE(YEAR(TRANSACTIONS!$A3699),MONTH(TRANSACTIONS!$A3699),DAY(TRANSACTIONS!$A3699)),"")</f>
        <v>45367</v>
      </c>
      <c r="C3699" s="49">
        <f>IF(A3699&lt;&gt;"",TIME(HOUR(TRANSACTIONS!$A3699),MINUTE(TRANSACTIONS!$A3699),SECOND(TRANSACTIONS!$A3699)),"")</f>
        <v>0.75653935185185184</v>
      </c>
      <c r="D3699" s="82" t="s">
        <v>62</v>
      </c>
      <c r="E3699" s="82" t="s">
        <v>7</v>
      </c>
      <c r="F3699" s="126">
        <v>5000</v>
      </c>
      <c r="G3699" s="46"/>
      <c r="H3699" s="46">
        <f>IFERROR(TRANSACTIONS!$F3699+TRANSACTIONS!$G3699,"")</f>
        <v>5000</v>
      </c>
      <c r="I3699" s="40" t="s">
        <v>41</v>
      </c>
    </row>
    <row r="3700" spans="1:9" x14ac:dyDescent="0.25">
      <c r="A3700" s="41">
        <v>45367.760692013886</v>
      </c>
      <c r="B3700" s="48">
        <f>IF(A3700&lt;&gt;"",DATE(YEAR(TRANSACTIONS!$A3700),MONTH(TRANSACTIONS!$A3700),DAY(TRANSACTIONS!$A3700)),"")</f>
        <v>45367</v>
      </c>
      <c r="C3700" s="49">
        <f>IF(A3700&lt;&gt;"",TIME(HOUR(TRANSACTIONS!$A3700),MINUTE(TRANSACTIONS!$A3700),SECOND(TRANSACTIONS!$A3700)),"")</f>
        <v>0.76069444444444445</v>
      </c>
      <c r="D3700" s="82" t="s">
        <v>62</v>
      </c>
      <c r="E3700" s="82" t="s">
        <v>6</v>
      </c>
      <c r="F3700" s="126">
        <v>35350</v>
      </c>
      <c r="G3700" s="46"/>
      <c r="H3700" s="46">
        <f>IFERROR(TRANSACTIONS!$F3700+TRANSACTIONS!$G3700,"")</f>
        <v>35350</v>
      </c>
      <c r="I3700" s="40" t="s">
        <v>41</v>
      </c>
    </row>
    <row r="3701" spans="1:9" x14ac:dyDescent="0.25">
      <c r="A3701" s="41">
        <v>45367.760706712965</v>
      </c>
      <c r="B3701" s="48">
        <f>IF(A3701&lt;&gt;"",DATE(YEAR(TRANSACTIONS!$A3701),MONTH(TRANSACTIONS!$A3701),DAY(TRANSACTIONS!$A3701)),"")</f>
        <v>45367</v>
      </c>
      <c r="C3701" s="49">
        <f>IF(A3701&lt;&gt;"",TIME(HOUR(TRANSACTIONS!$A3701),MINUTE(TRANSACTIONS!$A3701),SECOND(TRANSACTIONS!$A3701)),"")</f>
        <v>0.76070601851851849</v>
      </c>
      <c r="D3701" s="82" t="s">
        <v>62</v>
      </c>
      <c r="E3701" s="82" t="s">
        <v>7</v>
      </c>
      <c r="F3701" s="126">
        <v>700</v>
      </c>
      <c r="G3701" s="46"/>
      <c r="H3701" s="46">
        <f>IFERROR(TRANSACTIONS!$F3701+TRANSACTIONS!$G3701,"")</f>
        <v>700</v>
      </c>
      <c r="I3701" s="40" t="s">
        <v>41</v>
      </c>
    </row>
    <row r="3702" spans="1:9" x14ac:dyDescent="0.25">
      <c r="A3702" s="41">
        <v>45367.760713888892</v>
      </c>
      <c r="B3702" s="48">
        <f>IF(A3702&lt;&gt;"",DATE(YEAR(TRANSACTIONS!$A3702),MONTH(TRANSACTIONS!$A3702),DAY(TRANSACTIONS!$A3702)),"")</f>
        <v>45367</v>
      </c>
      <c r="C3702" s="49">
        <f>IF(A3702&lt;&gt;"",TIME(HOUR(TRANSACTIONS!$A3702),MINUTE(TRANSACTIONS!$A3702),SECOND(TRANSACTIONS!$A3702)),"")</f>
        <v>0.76071759259259253</v>
      </c>
      <c r="D3702" s="82" t="s">
        <v>62</v>
      </c>
      <c r="E3702" s="82" t="s">
        <v>7</v>
      </c>
      <c r="F3702" s="126">
        <v>10000</v>
      </c>
      <c r="G3702" s="46"/>
      <c r="H3702" s="46">
        <f>IFERROR(TRANSACTIONS!$F3702+TRANSACTIONS!$G3702,"")</f>
        <v>10000</v>
      </c>
      <c r="I3702" s="40" t="s">
        <v>41</v>
      </c>
    </row>
    <row r="3703" spans="1:9" x14ac:dyDescent="0.25">
      <c r="A3703" s="41">
        <v>45367.760721064813</v>
      </c>
      <c r="B3703" s="48">
        <f>IF(A3703&lt;&gt;"",DATE(YEAR(TRANSACTIONS!$A3703),MONTH(TRANSACTIONS!$A3703),DAY(TRANSACTIONS!$A3703)),"")</f>
        <v>45367</v>
      </c>
      <c r="C3703" s="49">
        <f>IF(A3703&lt;&gt;"",TIME(HOUR(TRANSACTIONS!$A3703),MINUTE(TRANSACTIONS!$A3703),SECOND(TRANSACTIONS!$A3703)),"")</f>
        <v>0.76071759259259253</v>
      </c>
      <c r="D3703" s="82" t="s">
        <v>62</v>
      </c>
      <c r="E3703" s="82" t="s">
        <v>7</v>
      </c>
      <c r="F3703" s="126">
        <v>28500</v>
      </c>
      <c r="G3703" s="46"/>
      <c r="H3703" s="46">
        <f>IFERROR(TRANSACTIONS!$F3703+TRANSACTIONS!$G3703,"")</f>
        <v>28500</v>
      </c>
      <c r="I3703" s="40" t="s">
        <v>41</v>
      </c>
    </row>
    <row r="3704" spans="1:9" x14ac:dyDescent="0.25">
      <c r="A3704" s="41">
        <v>45367.772832754628</v>
      </c>
      <c r="B3704" s="48">
        <f>IF(A3704&lt;&gt;"",DATE(YEAR(TRANSACTIONS!$A3704),MONTH(TRANSACTIONS!$A3704),DAY(TRANSACTIONS!$A3704)),"")</f>
        <v>45367</v>
      </c>
      <c r="C3704" s="49">
        <f>IF(A3704&lt;&gt;"",TIME(HOUR(TRANSACTIONS!$A3704),MINUTE(TRANSACTIONS!$A3704),SECOND(TRANSACTIONS!$A3704)),"")</f>
        <v>0.7728356481481482</v>
      </c>
      <c r="D3704" s="82" t="s">
        <v>62</v>
      </c>
      <c r="E3704" s="82" t="s">
        <v>7</v>
      </c>
      <c r="F3704" s="126">
        <v>5000</v>
      </c>
      <c r="G3704" s="46"/>
      <c r="H3704" s="46">
        <f>IFERROR(TRANSACTIONS!$F3704+TRANSACTIONS!$G3704,"")</f>
        <v>5000</v>
      </c>
      <c r="I3704" s="40" t="s">
        <v>41</v>
      </c>
    </row>
    <row r="3705" spans="1:9" x14ac:dyDescent="0.25">
      <c r="A3705" s="41">
        <v>45367.77289803241</v>
      </c>
      <c r="B3705" s="48">
        <f>IF(A3705&lt;&gt;"",DATE(YEAR(TRANSACTIONS!$A3705),MONTH(TRANSACTIONS!$A3705),DAY(TRANSACTIONS!$A3705)),"")</f>
        <v>45367</v>
      </c>
      <c r="C3705" s="49">
        <f>IF(A3705&lt;&gt;"",TIME(HOUR(TRANSACTIONS!$A3705),MINUTE(TRANSACTIONS!$A3705),SECOND(TRANSACTIONS!$A3705)),"")</f>
        <v>0.77289351851851851</v>
      </c>
      <c r="D3705" s="82" t="s">
        <v>62</v>
      </c>
      <c r="E3705" s="82" t="s">
        <v>6</v>
      </c>
      <c r="F3705" s="126">
        <v>7000</v>
      </c>
      <c r="G3705" s="46"/>
      <c r="H3705" s="46">
        <f>IFERROR(TRANSACTIONS!$F3705+TRANSACTIONS!$G3705,"")</f>
        <v>7000</v>
      </c>
      <c r="I3705" s="40" t="s">
        <v>41</v>
      </c>
    </row>
    <row r="3706" spans="1:9" x14ac:dyDescent="0.25">
      <c r="A3706" s="41">
        <v>45367.772906712962</v>
      </c>
      <c r="B3706" s="48">
        <f>IF(A3706&lt;&gt;"",DATE(YEAR(TRANSACTIONS!$A3706),MONTH(TRANSACTIONS!$A3706),DAY(TRANSACTIONS!$A3706)),"")</f>
        <v>45367</v>
      </c>
      <c r="C3706" s="49">
        <f>IF(A3706&lt;&gt;"",TIME(HOUR(TRANSACTIONS!$A3706),MINUTE(TRANSACTIONS!$A3706),SECOND(TRANSACTIONS!$A3706)),"")</f>
        <v>0.77290509259259255</v>
      </c>
      <c r="D3706" s="82" t="s">
        <v>62</v>
      </c>
      <c r="E3706" s="82" t="s">
        <v>7</v>
      </c>
      <c r="F3706" s="126">
        <v>100000</v>
      </c>
      <c r="G3706" s="46"/>
      <c r="H3706" s="46">
        <f>IFERROR(TRANSACTIONS!$F3706+TRANSACTIONS!$G3706,"")</f>
        <v>100000</v>
      </c>
      <c r="I3706" s="40" t="s">
        <v>41</v>
      </c>
    </row>
    <row r="3707" spans="1:9" x14ac:dyDescent="0.25">
      <c r="A3707" s="113">
        <v>45367.772914120367</v>
      </c>
      <c r="B3707" s="114">
        <f>IF(A3707&lt;&gt;"",DATE(YEAR(TRANSACTIONS!$A3707),MONTH(TRANSACTIONS!$A3707),DAY(TRANSACTIONS!$A3707)),"")</f>
        <v>45367</v>
      </c>
      <c r="C3707" s="115">
        <f>IF(A3707&lt;&gt;"",TIME(HOUR(TRANSACTIONS!$A3707),MINUTE(TRANSACTIONS!$A3707),SECOND(TRANSACTIONS!$A3707)),"")</f>
        <v>0.7729166666666667</v>
      </c>
      <c r="D3707" s="82" t="s">
        <v>62</v>
      </c>
      <c r="E3707" s="82" t="s">
        <v>7</v>
      </c>
      <c r="F3707" s="126">
        <v>1000</v>
      </c>
      <c r="G3707" s="117"/>
      <c r="H3707" s="117">
        <f>IFERROR(TRANSACTIONS!$F3707+TRANSACTIONS!$G3707,"")</f>
        <v>1000</v>
      </c>
      <c r="I3707" s="118" t="s">
        <v>41</v>
      </c>
    </row>
    <row r="3708" spans="1:9" x14ac:dyDescent="0.25">
      <c r="A3708" s="41">
        <v>45367.77292152778</v>
      </c>
      <c r="B3708" s="48">
        <f>IF(A3708&lt;&gt;"",DATE(YEAR(TRANSACTIONS!$A3708),MONTH(TRANSACTIONS!$A3708),DAY(TRANSACTIONS!$A3708)),"")</f>
        <v>45367</v>
      </c>
      <c r="C3708" s="49">
        <f>IF(A3708&lt;&gt;"",TIME(HOUR(TRANSACTIONS!$A3708),MINUTE(TRANSACTIONS!$A3708),SECOND(TRANSACTIONS!$A3708)),"")</f>
        <v>0.7729166666666667</v>
      </c>
      <c r="D3708" s="82" t="s">
        <v>62</v>
      </c>
      <c r="E3708" s="82" t="s">
        <v>7</v>
      </c>
      <c r="F3708" s="126">
        <v>20000</v>
      </c>
      <c r="G3708" s="46"/>
      <c r="H3708" s="46">
        <f>IFERROR(TRANSACTIONS!$F3708+TRANSACTIONS!$G3708,"")</f>
        <v>20000</v>
      </c>
      <c r="I3708" s="40" t="s">
        <v>41</v>
      </c>
    </row>
    <row r="3709" spans="1:9" x14ac:dyDescent="0.25">
      <c r="A3709" s="41">
        <v>45367.772928819446</v>
      </c>
      <c r="B3709" s="48">
        <f>IF(A3709&lt;&gt;"",DATE(YEAR(TRANSACTIONS!$A3709),MONTH(TRANSACTIONS!$A3709),DAY(TRANSACTIONS!$A3709)),"")</f>
        <v>45367</v>
      </c>
      <c r="C3709" s="49">
        <f>IF(A3709&lt;&gt;"",TIME(HOUR(TRANSACTIONS!$A3709),MINUTE(TRANSACTIONS!$A3709),SECOND(TRANSACTIONS!$A3709)),"")</f>
        <v>0.77292824074074085</v>
      </c>
      <c r="D3709" s="82" t="s">
        <v>62</v>
      </c>
      <c r="E3709" s="82" t="s">
        <v>6</v>
      </c>
      <c r="F3709" s="126">
        <v>1500</v>
      </c>
      <c r="G3709" s="46"/>
      <c r="H3709" s="46">
        <f>IFERROR(TRANSACTIONS!$F3709+TRANSACTIONS!$G3709,"")</f>
        <v>1500</v>
      </c>
      <c r="I3709" s="40" t="s">
        <v>41</v>
      </c>
    </row>
    <row r="3710" spans="1:9" x14ac:dyDescent="0.25">
      <c r="A3710" s="41">
        <v>45367.772943518517</v>
      </c>
      <c r="B3710" s="48">
        <f>IF(A3710&lt;&gt;"",DATE(YEAR(TRANSACTIONS!$A3710),MONTH(TRANSACTIONS!$A3710),DAY(TRANSACTIONS!$A3710)),"")</f>
        <v>45367</v>
      </c>
      <c r="C3710" s="49">
        <f>IF(A3710&lt;&gt;"",TIME(HOUR(TRANSACTIONS!$A3710),MINUTE(TRANSACTIONS!$A3710),SECOND(TRANSACTIONS!$A3710)),"")</f>
        <v>0.77293981481481477</v>
      </c>
      <c r="D3710" s="82" t="s">
        <v>62</v>
      </c>
      <c r="E3710" s="82" t="s">
        <v>6</v>
      </c>
      <c r="F3710" s="229">
        <v>12125</v>
      </c>
      <c r="G3710" s="46"/>
      <c r="H3710" s="46">
        <f>IFERROR(TRANSACTIONS!$F3710+TRANSACTIONS!$G3710,"")</f>
        <v>12125</v>
      </c>
      <c r="I3710" s="40" t="s">
        <v>41</v>
      </c>
    </row>
    <row r="3711" spans="1:9" x14ac:dyDescent="0.25">
      <c r="A3711" s="41">
        <v>45367.772951620369</v>
      </c>
      <c r="B3711" s="48">
        <f>IF(A3711&lt;&gt;"",DATE(YEAR(TRANSACTIONS!$A3711),MONTH(TRANSACTIONS!$A3711),DAY(TRANSACTIONS!$A3711)),"")</f>
        <v>45367</v>
      </c>
      <c r="C3711" s="49">
        <f>IF(A3711&lt;&gt;"",TIME(HOUR(TRANSACTIONS!$A3711),MINUTE(TRANSACTIONS!$A3711),SECOND(TRANSACTIONS!$A3711)),"")</f>
        <v>0.77295138888888892</v>
      </c>
      <c r="D3711" s="82" t="s">
        <v>62</v>
      </c>
      <c r="E3711" s="82" t="s">
        <v>7</v>
      </c>
      <c r="F3711" s="126">
        <v>5000</v>
      </c>
      <c r="G3711" s="46"/>
      <c r="H3711" s="46">
        <f>IFERROR(TRANSACTIONS!$F3711+TRANSACTIONS!$G3711,"")</f>
        <v>5000</v>
      </c>
      <c r="I3711" s="40" t="s">
        <v>41</v>
      </c>
    </row>
    <row r="3712" spans="1:9" x14ac:dyDescent="0.25">
      <c r="A3712" s="41">
        <v>45367.772972453706</v>
      </c>
      <c r="B3712" s="48">
        <f>IF(A3712&lt;&gt;"",DATE(YEAR(TRANSACTIONS!$A3712),MONTH(TRANSACTIONS!$A3712),DAY(TRANSACTIONS!$A3712)),"")</f>
        <v>45367</v>
      </c>
      <c r="C3712" s="49">
        <f>IF(A3712&lt;&gt;"",TIME(HOUR(TRANSACTIONS!$A3712),MINUTE(TRANSACTIONS!$A3712),SECOND(TRANSACTIONS!$A3712)),"")</f>
        <v>0.772974537037037</v>
      </c>
      <c r="D3712" s="82" t="s">
        <v>62</v>
      </c>
      <c r="E3712" s="82" t="s">
        <v>7</v>
      </c>
      <c r="F3712" s="126">
        <v>2000</v>
      </c>
      <c r="G3712" s="46"/>
      <c r="H3712" s="46">
        <f>IFERROR(TRANSACTIONS!$F3712+TRANSACTIONS!$G3712,"")</f>
        <v>2000</v>
      </c>
      <c r="I3712" s="40" t="s">
        <v>41</v>
      </c>
    </row>
    <row r="3713" spans="1:10" x14ac:dyDescent="0.25">
      <c r="A3713" s="41">
        <v>45367.773018402775</v>
      </c>
      <c r="B3713" s="48">
        <f>IF(A3713&lt;&gt;"",DATE(YEAR(TRANSACTIONS!$A3713),MONTH(TRANSACTIONS!$A3713),DAY(TRANSACTIONS!$A3713)),"")</f>
        <v>45367</v>
      </c>
      <c r="C3713" s="49">
        <f>IF(A3713&lt;&gt;"",TIME(HOUR(TRANSACTIONS!$A3713),MINUTE(TRANSACTIONS!$A3713),SECOND(TRANSACTIONS!$A3713)),"")</f>
        <v>0.77302083333333327</v>
      </c>
      <c r="D3713" s="82" t="s">
        <v>62</v>
      </c>
      <c r="E3713" s="82" t="s">
        <v>7</v>
      </c>
      <c r="F3713" s="126">
        <v>20000</v>
      </c>
      <c r="G3713" s="46"/>
      <c r="H3713" s="46">
        <f>IFERROR(TRANSACTIONS!$F3713+TRANSACTIONS!$G3713,"")</f>
        <v>20000</v>
      </c>
      <c r="I3713" s="40" t="s">
        <v>41</v>
      </c>
    </row>
    <row r="3714" spans="1:10" x14ac:dyDescent="0.25">
      <c r="A3714" s="41">
        <v>45367.77302685185</v>
      </c>
      <c r="B3714" s="48">
        <f>IF(A3714&lt;&gt;"",DATE(YEAR(TRANSACTIONS!$A3714),MONTH(TRANSACTIONS!$A3714),DAY(TRANSACTIONS!$A3714)),"")</f>
        <v>45367</v>
      </c>
      <c r="C3714" s="49">
        <f>IF(A3714&lt;&gt;"",TIME(HOUR(TRANSACTIONS!$A3714),MINUTE(TRANSACTIONS!$A3714),SECOND(TRANSACTIONS!$A3714)),"")</f>
        <v>0.77303240740740742</v>
      </c>
      <c r="D3714" s="82" t="s">
        <v>62</v>
      </c>
      <c r="E3714" s="82" t="s">
        <v>6</v>
      </c>
      <c r="F3714" s="126">
        <v>10000</v>
      </c>
      <c r="G3714" s="46"/>
      <c r="H3714" s="46">
        <f>IFERROR(TRANSACTIONS!$F3714+TRANSACTIONS!$G3714,"")</f>
        <v>10000</v>
      </c>
      <c r="I3714" s="40" t="s">
        <v>41</v>
      </c>
    </row>
    <row r="3715" spans="1:10" x14ac:dyDescent="0.25">
      <c r="A3715" s="41">
        <v>45367.773034375001</v>
      </c>
      <c r="B3715" s="48">
        <f>IF(A3715&lt;&gt;"",DATE(YEAR(TRANSACTIONS!$A3715),MONTH(TRANSACTIONS!$A3715),DAY(TRANSACTIONS!$A3715)),"")</f>
        <v>45367</v>
      </c>
      <c r="C3715" s="49">
        <f>IF(A3715&lt;&gt;"",TIME(HOUR(TRANSACTIONS!$A3715),MINUTE(TRANSACTIONS!$A3715),SECOND(TRANSACTIONS!$A3715)),"")</f>
        <v>0.77303240740740742</v>
      </c>
      <c r="D3715" s="82" t="s">
        <v>62</v>
      </c>
      <c r="E3715" s="82" t="s">
        <v>6</v>
      </c>
      <c r="F3715" s="126">
        <v>1000</v>
      </c>
      <c r="G3715" s="46"/>
      <c r="H3715" s="46">
        <f>IFERROR(TRANSACTIONS!$F3715+TRANSACTIONS!$G3715,"")</f>
        <v>1000</v>
      </c>
      <c r="I3715" s="40" t="s">
        <v>41</v>
      </c>
    </row>
    <row r="3716" spans="1:10" x14ac:dyDescent="0.25">
      <c r="A3716" s="41">
        <v>45367.773041782406</v>
      </c>
      <c r="B3716" s="48">
        <f>IF(A3716&lt;&gt;"",DATE(YEAR(TRANSACTIONS!$A3716),MONTH(TRANSACTIONS!$A3716),DAY(TRANSACTIONS!$A3716)),"")</f>
        <v>45367</v>
      </c>
      <c r="C3716" s="49">
        <f>IF(A3716&lt;&gt;"",TIME(HOUR(TRANSACTIONS!$A3716),MINUTE(TRANSACTIONS!$A3716),SECOND(TRANSACTIONS!$A3716)),"")</f>
        <v>0.77304398148148146</v>
      </c>
      <c r="D3716" s="82" t="s">
        <v>62</v>
      </c>
      <c r="E3716" s="82" t="s">
        <v>6</v>
      </c>
      <c r="F3716" s="126">
        <v>12000</v>
      </c>
      <c r="G3716" s="46"/>
      <c r="H3716" s="46">
        <f>IFERROR(TRANSACTIONS!$F3716+TRANSACTIONS!$G3716,"")</f>
        <v>12000</v>
      </c>
      <c r="I3716" s="40" t="s">
        <v>41</v>
      </c>
    </row>
    <row r="3717" spans="1:10" x14ac:dyDescent="0.25">
      <c r="A3717" s="41">
        <v>45367.773054050929</v>
      </c>
      <c r="B3717" s="48">
        <f>IF(A3717&lt;&gt;"",DATE(YEAR(TRANSACTIONS!$A3717),MONTH(TRANSACTIONS!$A3717),DAY(TRANSACTIONS!$A3717)),"")</f>
        <v>45367</v>
      </c>
      <c r="C3717" s="49">
        <f>IF(A3717&lt;&gt;"",TIME(HOUR(TRANSACTIONS!$A3717),MINUTE(TRANSACTIONS!$A3717),SECOND(TRANSACTIONS!$A3717)),"")</f>
        <v>0.77305555555555561</v>
      </c>
      <c r="D3717" s="82" t="s">
        <v>62</v>
      </c>
      <c r="E3717" s="82" t="s">
        <v>7</v>
      </c>
      <c r="F3717" s="178">
        <v>1500</v>
      </c>
      <c r="G3717" s="46"/>
      <c r="H3717" s="46">
        <f>IFERROR(TRANSACTIONS!$F3717+TRANSACTIONS!$G3717,"")</f>
        <v>1500</v>
      </c>
      <c r="I3717" s="40" t="s">
        <v>41</v>
      </c>
    </row>
    <row r="3718" spans="1:10" x14ac:dyDescent="0.25">
      <c r="A3718" s="41">
        <v>45367.77306712963</v>
      </c>
      <c r="B3718" s="48">
        <f>IF(A3718&lt;&gt;"",DATE(YEAR(TRANSACTIONS!$A3718),MONTH(TRANSACTIONS!$A3718),DAY(TRANSACTIONS!$A3718)),"")</f>
        <v>45367</v>
      </c>
      <c r="C3718" s="49">
        <f>IF(A3718&lt;&gt;"",TIME(HOUR(TRANSACTIONS!$A3718),MINUTE(TRANSACTIONS!$A3718),SECOND(TRANSACTIONS!$A3718)),"")</f>
        <v>0.77306712962962953</v>
      </c>
      <c r="D3718" s="82" t="s">
        <v>62</v>
      </c>
      <c r="E3718" s="82" t="s">
        <v>7</v>
      </c>
      <c r="F3718" s="126">
        <v>1500</v>
      </c>
      <c r="G3718" s="46"/>
      <c r="H3718" s="46">
        <f>IFERROR(TRANSACTIONS!$F3718+TRANSACTIONS!$G3718,"")</f>
        <v>1500</v>
      </c>
      <c r="I3718" s="40" t="s">
        <v>41</v>
      </c>
    </row>
    <row r="3719" spans="1:10" x14ac:dyDescent="0.25">
      <c r="A3719" s="41">
        <v>45367.773103356485</v>
      </c>
      <c r="B3719" s="48">
        <f>IF(A3719&lt;&gt;"",DATE(YEAR(TRANSACTIONS!$A3719),MONTH(TRANSACTIONS!$A3719),DAY(TRANSACTIONS!$A3719)),"")</f>
        <v>45367</v>
      </c>
      <c r="C3719" s="49">
        <f>IF(A3719&lt;&gt;"",TIME(HOUR(TRANSACTIONS!$A3719),MINUTE(TRANSACTIONS!$A3719),SECOND(TRANSACTIONS!$A3719)),"")</f>
        <v>0.77310185185185187</v>
      </c>
      <c r="D3719" s="82" t="s">
        <v>62</v>
      </c>
      <c r="E3719" s="82" t="s">
        <v>7</v>
      </c>
      <c r="F3719" s="126">
        <v>7000</v>
      </c>
      <c r="G3719" s="46"/>
      <c r="H3719" s="46">
        <f>IFERROR(TRANSACTIONS!$F3719+TRANSACTIONS!$G3719,"")</f>
        <v>7000</v>
      </c>
      <c r="I3719" s="40" t="s">
        <v>41</v>
      </c>
    </row>
    <row r="3720" spans="1:10" x14ac:dyDescent="0.25">
      <c r="A3720" s="71">
        <v>45367.773111458337</v>
      </c>
      <c r="B3720" s="73">
        <f>IF(A3720&lt;&gt;"",DATE(YEAR(TRANSACTIONS!$A3720),MONTH(TRANSACTIONS!$A3720),DAY(TRANSACTIONS!$A3720)),"")</f>
        <v>45367</v>
      </c>
      <c r="C3720" s="74">
        <f>IF(A3720&lt;&gt;"",TIME(HOUR(TRANSACTIONS!$A3720),MINUTE(TRANSACTIONS!$A3720),SECOND(TRANSACTIONS!$A3720)),"")</f>
        <v>0.77311342592592591</v>
      </c>
      <c r="D3720" s="72" t="s">
        <v>62</v>
      </c>
      <c r="E3720" s="72" t="s">
        <v>7</v>
      </c>
      <c r="F3720" s="183">
        <v>5000</v>
      </c>
      <c r="G3720" s="75"/>
      <c r="H3720" s="75">
        <f>IFERROR(TRANSACTIONS!$F3720+TRANSACTIONS!$G3720,"")</f>
        <v>5000</v>
      </c>
      <c r="I3720" s="76" t="s">
        <v>41</v>
      </c>
    </row>
    <row r="3721" spans="1:10" x14ac:dyDescent="0.25">
      <c r="A3721" s="41">
        <v>45367.773119675927</v>
      </c>
      <c r="B3721" s="48">
        <f>IF(A3721&lt;&gt;"",DATE(YEAR(TRANSACTIONS!$A3721),MONTH(TRANSACTIONS!$A3721),DAY(TRANSACTIONS!$A3721)),"")</f>
        <v>45367</v>
      </c>
      <c r="C3721" s="49">
        <f>IF(A3721&lt;&gt;"",TIME(HOUR(TRANSACTIONS!$A3721),MINUTE(TRANSACTIONS!$A3721),SECOND(TRANSACTIONS!$A3721)),"")</f>
        <v>0.77312499999999995</v>
      </c>
      <c r="D3721" s="82" t="s">
        <v>62</v>
      </c>
      <c r="E3721" s="82" t="s">
        <v>6</v>
      </c>
      <c r="F3721" s="126">
        <v>45000</v>
      </c>
      <c r="G3721" s="46"/>
      <c r="H3721" s="46">
        <f>IFERROR(TRANSACTIONS!$F3721+TRANSACTIONS!$G3721,"")</f>
        <v>45000</v>
      </c>
      <c r="I3721" s="40" t="s">
        <v>41</v>
      </c>
    </row>
    <row r="3722" spans="1:10" x14ac:dyDescent="0.25">
      <c r="A3722" s="81">
        <v>45367.773127083332</v>
      </c>
      <c r="B3722" s="83">
        <f>IF(A3722&lt;&gt;"",DATE(YEAR(TRANSACTIONS!$A3722),MONTH(TRANSACTIONS!$A3722),DAY(TRANSACTIONS!$A3722)),"")</f>
        <v>45367</v>
      </c>
      <c r="C3722" s="84">
        <f>IF(A3722&lt;&gt;"",TIME(HOUR(TRANSACTIONS!$A3722),MINUTE(TRANSACTIONS!$A3722),SECOND(TRANSACTIONS!$A3722)),"")</f>
        <v>0.77312499999999995</v>
      </c>
      <c r="D3722" s="82" t="s">
        <v>62</v>
      </c>
      <c r="E3722" s="82" t="s">
        <v>6</v>
      </c>
      <c r="F3722" s="126">
        <v>2500</v>
      </c>
      <c r="G3722" s="86"/>
      <c r="H3722" s="86">
        <f>IFERROR(TRANSACTIONS!$F3722+TRANSACTIONS!$G3722,"")</f>
        <v>2500</v>
      </c>
      <c r="I3722" s="88" t="s">
        <v>41</v>
      </c>
      <c r="J3722" s="88"/>
    </row>
    <row r="3723" spans="1:10" x14ac:dyDescent="0.25">
      <c r="A3723" s="41">
        <v>45367.773135069445</v>
      </c>
      <c r="B3723" s="48">
        <f>IF(A3723&lt;&gt;"",DATE(YEAR(TRANSACTIONS!$A3723),MONTH(TRANSACTIONS!$A3723),DAY(TRANSACTIONS!$A3723)),"")</f>
        <v>45367</v>
      </c>
      <c r="C3723" s="49">
        <f>IF(A3723&lt;&gt;"",TIME(HOUR(TRANSACTIONS!$A3723),MINUTE(TRANSACTIONS!$A3723),SECOND(TRANSACTIONS!$A3723)),"")</f>
        <v>0.7731365740740741</v>
      </c>
      <c r="D3723" s="82" t="s">
        <v>62</v>
      </c>
      <c r="E3723" s="82" t="s">
        <v>7</v>
      </c>
      <c r="F3723" s="126">
        <v>50000</v>
      </c>
      <c r="G3723" s="46"/>
      <c r="H3723" s="46">
        <f>IFERROR(TRANSACTIONS!$F3723+TRANSACTIONS!$G3723,"")</f>
        <v>50000</v>
      </c>
      <c r="I3723" s="40" t="s">
        <v>41</v>
      </c>
    </row>
    <row r="3724" spans="1:10" x14ac:dyDescent="0.25">
      <c r="A3724" s="81">
        <v>45367.773151157409</v>
      </c>
      <c r="B3724" s="83">
        <f>IF(A3724&lt;&gt;"",DATE(YEAR(TRANSACTIONS!$A3724),MONTH(TRANSACTIONS!$A3724),DAY(TRANSACTIONS!$A3724)),"")</f>
        <v>45367</v>
      </c>
      <c r="C3724" s="84">
        <f>IF(A3724&lt;&gt;"",TIME(HOUR(TRANSACTIONS!$A3724),MINUTE(TRANSACTIONS!$A3724),SECOND(TRANSACTIONS!$A3724)),"")</f>
        <v>0.77314814814814825</v>
      </c>
      <c r="D3724" s="82" t="s">
        <v>62</v>
      </c>
      <c r="E3724" s="82" t="s">
        <v>7</v>
      </c>
      <c r="F3724" s="126">
        <v>5000</v>
      </c>
      <c r="G3724" s="86"/>
      <c r="H3724" s="86">
        <f>IFERROR(TRANSACTIONS!$F3724+TRANSACTIONS!$G3724,"")</f>
        <v>5000</v>
      </c>
      <c r="I3724" s="88" t="s">
        <v>41</v>
      </c>
      <c r="J3724" s="88"/>
    </row>
    <row r="3725" spans="1:10" x14ac:dyDescent="0.25">
      <c r="A3725" s="41">
        <v>45367.773160879631</v>
      </c>
      <c r="B3725" s="48">
        <f>IF(A3725&lt;&gt;"",DATE(YEAR(TRANSACTIONS!$A3725),MONTH(TRANSACTIONS!$A3725),DAY(TRANSACTIONS!$A3725)),"")</f>
        <v>45367</v>
      </c>
      <c r="C3725" s="49">
        <f>IF(A3725&lt;&gt;"",TIME(HOUR(TRANSACTIONS!$A3725),MINUTE(TRANSACTIONS!$A3725),SECOND(TRANSACTIONS!$A3725)),"")</f>
        <v>0.77315972222222218</v>
      </c>
      <c r="D3725" s="82" t="s">
        <v>62</v>
      </c>
      <c r="E3725" s="82"/>
      <c r="G3725" s="46"/>
      <c r="H3725" s="46">
        <f>IFERROR(TRANSACTIONS!$F3733+TRANSACTIONS!$G3725,"")</f>
        <v>0</v>
      </c>
      <c r="I3725" s="40" t="s">
        <v>41</v>
      </c>
    </row>
    <row r="3726" spans="1:10" x14ac:dyDescent="0.25">
      <c r="A3726" s="41">
        <v>45367.77316921296</v>
      </c>
      <c r="B3726" s="48">
        <f>IF(A3726&lt;&gt;"",DATE(YEAR(TRANSACTIONS!$A3726),MONTH(TRANSACTIONS!$A3726),DAY(TRANSACTIONS!$A3726)),"")</f>
        <v>45367</v>
      </c>
      <c r="C3726" s="49">
        <f>IF(A3726&lt;&gt;"",TIME(HOUR(TRANSACTIONS!$A3726),MINUTE(TRANSACTIONS!$A3726),SECOND(TRANSACTIONS!$A3726)),"")</f>
        <v>0.77317129629629633</v>
      </c>
      <c r="D3726" s="82" t="s">
        <v>62</v>
      </c>
      <c r="E3726" s="82" t="s">
        <v>6</v>
      </c>
      <c r="F3726" s="126">
        <v>20000</v>
      </c>
      <c r="G3726" s="46"/>
      <c r="H3726" s="46">
        <f>IFERROR(TRANSACTIONS!$F3726+TRANSACTIONS!$G3726,"")</f>
        <v>20000</v>
      </c>
      <c r="I3726" s="40" t="s">
        <v>41</v>
      </c>
    </row>
    <row r="3727" spans="1:10" x14ac:dyDescent="0.25">
      <c r="A3727" s="41">
        <v>45367.773180208336</v>
      </c>
      <c r="B3727" s="48">
        <f>IF(A3727&lt;&gt;"",DATE(YEAR(TRANSACTIONS!$A3727),MONTH(TRANSACTIONS!$A3727),DAY(TRANSACTIONS!$A3727)),"")</f>
        <v>45367</v>
      </c>
      <c r="C3727" s="49">
        <f>IF(A3727&lt;&gt;"",TIME(HOUR(TRANSACTIONS!$A3727),MINUTE(TRANSACTIONS!$A3727),SECOND(TRANSACTIONS!$A3727)),"")</f>
        <v>0.77318287037037037</v>
      </c>
      <c r="D3727" s="82" t="s">
        <v>62</v>
      </c>
      <c r="E3727" s="82" t="s">
        <v>6</v>
      </c>
      <c r="F3727" s="126">
        <v>20000</v>
      </c>
      <c r="G3727" s="46"/>
      <c r="H3727" s="46">
        <f>IFERROR(TRANSACTIONS!$F3727+TRANSACTIONS!$G3727,"")</f>
        <v>20000</v>
      </c>
      <c r="I3727" s="40" t="s">
        <v>41</v>
      </c>
    </row>
    <row r="3728" spans="1:10" x14ac:dyDescent="0.25">
      <c r="A3728" s="41">
        <v>45367.773187962965</v>
      </c>
      <c r="B3728" s="48">
        <f>IF(A3728&lt;&gt;"",DATE(YEAR(TRANSACTIONS!$A3728),MONTH(TRANSACTIONS!$A3728),DAY(TRANSACTIONS!$A3728)),"")</f>
        <v>45367</v>
      </c>
      <c r="C3728" s="49">
        <f>IF(A3728&lt;&gt;"",TIME(HOUR(TRANSACTIONS!$A3728),MINUTE(TRANSACTIONS!$A3728),SECOND(TRANSACTIONS!$A3728)),"")</f>
        <v>0.77318287037037037</v>
      </c>
      <c r="D3728" s="82" t="s">
        <v>62</v>
      </c>
      <c r="E3728" s="82" t="s">
        <v>7</v>
      </c>
      <c r="F3728" s="126">
        <v>5000</v>
      </c>
      <c r="G3728" s="46"/>
      <c r="H3728" s="46">
        <f>IFERROR(TRANSACTIONS!$F3728+TRANSACTIONS!$G3728,"")</f>
        <v>5000</v>
      </c>
      <c r="I3728" s="40" t="s">
        <v>41</v>
      </c>
    </row>
    <row r="3729" spans="1:10" x14ac:dyDescent="0.25">
      <c r="A3729" s="41">
        <v>45367.773195486108</v>
      </c>
      <c r="B3729" s="48">
        <f>IF(A3729&lt;&gt;"",DATE(YEAR(TRANSACTIONS!$A3729),MONTH(TRANSACTIONS!$A3729),DAY(TRANSACTIONS!$A3729)),"")</f>
        <v>45367</v>
      </c>
      <c r="C3729" s="49">
        <f>IF(A3729&lt;&gt;"",TIME(HOUR(TRANSACTIONS!$A3729),MINUTE(TRANSACTIONS!$A3729),SECOND(TRANSACTIONS!$A3729)),"")</f>
        <v>0.77319444444444441</v>
      </c>
      <c r="D3729" s="82" t="s">
        <v>62</v>
      </c>
      <c r="E3729" s="82" t="s">
        <v>7</v>
      </c>
      <c r="F3729" s="126">
        <v>39000</v>
      </c>
      <c r="G3729" s="46"/>
      <c r="H3729" s="46">
        <f>IFERROR(TRANSACTIONS!$F3729+TRANSACTIONS!$G3729,"")</f>
        <v>39000</v>
      </c>
      <c r="I3729" s="40" t="s">
        <v>41</v>
      </c>
    </row>
    <row r="3730" spans="1:10" x14ac:dyDescent="0.25">
      <c r="A3730" s="41">
        <v>45367.773203819444</v>
      </c>
      <c r="B3730" s="48">
        <f>IF(A3730&lt;&gt;"",DATE(YEAR(TRANSACTIONS!$A3730),MONTH(TRANSACTIONS!$A3730),DAY(TRANSACTIONS!$A3730)),"")</f>
        <v>45367</v>
      </c>
      <c r="C3730" s="49">
        <f>IF(A3730&lt;&gt;"",TIME(HOUR(TRANSACTIONS!$A3730),MINUTE(TRANSACTIONS!$A3730),SECOND(TRANSACTIONS!$A3730)),"")</f>
        <v>0.77320601851851845</v>
      </c>
      <c r="D3730" s="82" t="s">
        <v>62</v>
      </c>
      <c r="E3730" s="82" t="s">
        <v>6</v>
      </c>
      <c r="F3730" s="126">
        <v>15000</v>
      </c>
      <c r="G3730" s="46"/>
      <c r="H3730" s="46">
        <f>IFERROR(TRANSACTIONS!$F3730+TRANSACTIONS!$G3730,"")</f>
        <v>15000</v>
      </c>
      <c r="I3730" s="40" t="s">
        <v>41</v>
      </c>
    </row>
    <row r="3731" spans="1:10" x14ac:dyDescent="0.25">
      <c r="A3731" s="41">
        <v>45367.773212037035</v>
      </c>
      <c r="B3731" s="48">
        <f>IF(A3731&lt;&gt;"",DATE(YEAR(TRANSACTIONS!$A3731),MONTH(TRANSACTIONS!$A3731),DAY(TRANSACTIONS!$A3731)),"")</f>
        <v>45367</v>
      </c>
      <c r="C3731" s="49">
        <f>IF(A3731&lt;&gt;"",TIME(HOUR(TRANSACTIONS!$A3731),MINUTE(TRANSACTIONS!$A3731),SECOND(TRANSACTIONS!$A3731)),"")</f>
        <v>0.7732175925925926</v>
      </c>
      <c r="D3731" s="82" t="s">
        <v>62</v>
      </c>
      <c r="E3731" s="82" t="s">
        <v>7</v>
      </c>
      <c r="F3731" s="126">
        <v>2000</v>
      </c>
      <c r="G3731" s="46"/>
      <c r="H3731" s="46">
        <f>IFERROR(TRANSACTIONS!$F3731+TRANSACTIONS!$G3731,"")</f>
        <v>2000</v>
      </c>
      <c r="I3731" s="40" t="s">
        <v>41</v>
      </c>
    </row>
    <row r="3732" spans="1:10" x14ac:dyDescent="0.25">
      <c r="A3732" s="41">
        <v>45367.773220023148</v>
      </c>
      <c r="B3732" s="48">
        <f>IF(A3732&lt;&gt;"",DATE(YEAR(TRANSACTIONS!$A3732),MONTH(TRANSACTIONS!$A3732),DAY(TRANSACTIONS!$A3732)),"")</f>
        <v>45367</v>
      </c>
      <c r="C3732" s="49">
        <f>IF(A3732&lt;&gt;"",TIME(HOUR(TRANSACTIONS!$A3732),MINUTE(TRANSACTIONS!$A3732),SECOND(TRANSACTIONS!$A3732)),"")</f>
        <v>0.7732175925925926</v>
      </c>
      <c r="D3732" s="82" t="s">
        <v>62</v>
      </c>
      <c r="E3732" s="82" t="s">
        <v>7</v>
      </c>
      <c r="F3732" s="126">
        <v>13000</v>
      </c>
      <c r="G3732" s="46"/>
      <c r="H3732" s="46">
        <f>IFERROR(TRANSACTIONS!$F3732+TRANSACTIONS!$G3732,"")</f>
        <v>13000</v>
      </c>
      <c r="I3732" s="40" t="s">
        <v>41</v>
      </c>
    </row>
    <row r="3733" spans="1:10" x14ac:dyDescent="0.25">
      <c r="A3733" s="41">
        <v>45367.77322800926</v>
      </c>
      <c r="B3733" s="48">
        <f>IF(A3733&lt;&gt;"",DATE(YEAR(TRANSACTIONS!$A3733),MONTH(TRANSACTIONS!$A3733),DAY(TRANSACTIONS!$A3733)),"")</f>
        <v>45367</v>
      </c>
      <c r="C3733" s="49">
        <f>IF(A3733&lt;&gt;"",TIME(HOUR(TRANSACTIONS!$A3733),MINUTE(TRANSACTIONS!$A3733),SECOND(TRANSACTIONS!$A3733)),"")</f>
        <v>0.77322916666666675</v>
      </c>
      <c r="D3733" s="82"/>
      <c r="E3733" s="82"/>
      <c r="F3733" s="126"/>
      <c r="G3733" s="46"/>
      <c r="H3733" s="46" t="str">
        <f>IFERROR(TRANSACTIONS!#REF!+TRANSACTIONS!$G3733,"")</f>
        <v/>
      </c>
      <c r="I3733" s="40" t="s">
        <v>41</v>
      </c>
    </row>
    <row r="3734" spans="1:10" x14ac:dyDescent="0.25">
      <c r="A3734" s="41">
        <v>45367.773271759259</v>
      </c>
      <c r="B3734" s="48">
        <f>IF(A3734&lt;&gt;"",DATE(YEAR(TRANSACTIONS!$A3734),MONTH(TRANSACTIONS!$A3734),DAY(TRANSACTIONS!$A3734)),"")</f>
        <v>45367</v>
      </c>
      <c r="C3734" s="49">
        <f>IF(A3734&lt;&gt;"",TIME(HOUR(TRANSACTIONS!$A3734),MINUTE(TRANSACTIONS!$A3734),SECOND(TRANSACTIONS!$A3734)),"")</f>
        <v>0.77327546296296301</v>
      </c>
      <c r="D3734" s="82" t="s">
        <v>62</v>
      </c>
      <c r="E3734" s="82" t="s">
        <v>6</v>
      </c>
      <c r="F3734" s="126">
        <v>2000</v>
      </c>
      <c r="G3734" s="46"/>
      <c r="H3734" s="46">
        <f>IFERROR(TRANSACTIONS!$F3734+TRANSACTIONS!$G3734,"")</f>
        <v>2000</v>
      </c>
      <c r="I3734" s="40" t="s">
        <v>41</v>
      </c>
    </row>
    <row r="3735" spans="1:10" x14ac:dyDescent="0.25">
      <c r="A3735" s="41">
        <v>45367.773277083332</v>
      </c>
      <c r="B3735" s="48">
        <f>IF(A3735&lt;&gt;"",DATE(YEAR(TRANSACTIONS!$A3735),MONTH(TRANSACTIONS!$A3735),DAY(TRANSACTIONS!$A3735)),"")</f>
        <v>45367</v>
      </c>
      <c r="C3735" s="49">
        <f>IF(A3735&lt;&gt;"",TIME(HOUR(TRANSACTIONS!$A3735),MINUTE(TRANSACTIONS!$A3735),SECOND(TRANSACTIONS!$A3735)),"")</f>
        <v>0.77327546296296301</v>
      </c>
      <c r="D3735" s="82" t="s">
        <v>62</v>
      </c>
      <c r="E3735" s="82" t="s">
        <v>6</v>
      </c>
      <c r="F3735" s="126">
        <v>6000</v>
      </c>
      <c r="G3735" s="46"/>
      <c r="H3735" s="46">
        <f>IFERROR(TRANSACTIONS!$F3735+TRANSACTIONS!$G3735,"")</f>
        <v>6000</v>
      </c>
      <c r="I3735" s="40" t="s">
        <v>41</v>
      </c>
    </row>
    <row r="3736" spans="1:10" x14ac:dyDescent="0.25">
      <c r="A3736" s="41">
        <v>45367.773294791667</v>
      </c>
      <c r="B3736" s="48">
        <f>IF(A3736&lt;&gt;"",DATE(YEAR(TRANSACTIONS!$A3736),MONTH(TRANSACTIONS!$A3736),DAY(TRANSACTIONS!$A3736)),"")</f>
        <v>45367</v>
      </c>
      <c r="C3736" s="49">
        <f>IF(A3736&lt;&gt;"",TIME(HOUR(TRANSACTIONS!$A3736),MINUTE(TRANSACTIONS!$A3736),SECOND(TRANSACTIONS!$A3736)),"")</f>
        <v>0.77329861111111109</v>
      </c>
      <c r="D3736" s="82" t="s">
        <v>62</v>
      </c>
      <c r="E3736" s="82" t="s">
        <v>7</v>
      </c>
      <c r="F3736" s="126">
        <v>12000</v>
      </c>
      <c r="G3736" s="46"/>
      <c r="H3736" s="46">
        <f>IFERROR(TRANSACTIONS!$F3736+TRANSACTIONS!$G3736,"")</f>
        <v>12000</v>
      </c>
      <c r="I3736" s="40" t="s">
        <v>41</v>
      </c>
    </row>
    <row r="3737" spans="1:10" x14ac:dyDescent="0.25">
      <c r="A3737" s="81">
        <v>45367.773337500003</v>
      </c>
      <c r="B3737" s="83">
        <f>IF(A3737&lt;&gt;"",DATE(YEAR(TRANSACTIONS!$A3737),MONTH(TRANSACTIONS!$A3737),DAY(TRANSACTIONS!$A3737)),"")</f>
        <v>45367</v>
      </c>
      <c r="C3737" s="84">
        <f>IF(A3737&lt;&gt;"",TIME(HOUR(TRANSACTIONS!$A3737),MINUTE(TRANSACTIONS!$A3737),SECOND(TRANSACTIONS!$A3737)),"")</f>
        <v>0.77333333333333332</v>
      </c>
      <c r="D3737" s="82" t="s">
        <v>62</v>
      </c>
      <c r="E3737" s="82" t="s">
        <v>6</v>
      </c>
      <c r="F3737" s="126">
        <v>11000</v>
      </c>
      <c r="G3737" s="86"/>
      <c r="H3737" s="86">
        <f>IFERROR(TRANSACTIONS!$F3737+TRANSACTIONS!$G3737,"")</f>
        <v>11000</v>
      </c>
      <c r="I3737" s="88" t="s">
        <v>41</v>
      </c>
      <c r="J3737" s="88"/>
    </row>
    <row r="3738" spans="1:10" x14ac:dyDescent="0.25">
      <c r="A3738" s="41">
        <v>45367.773345601854</v>
      </c>
      <c r="B3738" s="48">
        <f>IF(A3738&lt;&gt;"",DATE(YEAR(TRANSACTIONS!$A3738),MONTH(TRANSACTIONS!$A3738),DAY(TRANSACTIONS!$A3738)),"")</f>
        <v>45367</v>
      </c>
      <c r="C3738" s="49">
        <f>IF(A3738&lt;&gt;"",TIME(HOUR(TRANSACTIONS!$A3738),MINUTE(TRANSACTIONS!$A3738),SECOND(TRANSACTIONS!$A3738)),"")</f>
        <v>0.77334490740740736</v>
      </c>
      <c r="D3738" s="82" t="s">
        <v>62</v>
      </c>
      <c r="E3738" s="82" t="s">
        <v>6</v>
      </c>
      <c r="F3738" s="126">
        <v>20000</v>
      </c>
      <c r="G3738" s="46"/>
      <c r="H3738" s="46">
        <f>IFERROR(TRANSACTIONS!$F3738+TRANSACTIONS!$G3738,"")</f>
        <v>20000</v>
      </c>
      <c r="I3738" s="40" t="s">
        <v>41</v>
      </c>
    </row>
    <row r="3739" spans="1:10" x14ac:dyDescent="0.25">
      <c r="A3739" s="41">
        <v>45367.773354282406</v>
      </c>
      <c r="B3739" s="48">
        <f>IF(A3739&lt;&gt;"",DATE(YEAR(TRANSACTIONS!$A3739),MONTH(TRANSACTIONS!$A3739),DAY(TRANSACTIONS!$A3739)),"")</f>
        <v>45367</v>
      </c>
      <c r="C3739" s="49">
        <f>IF(A3739&lt;&gt;"",TIME(HOUR(TRANSACTIONS!$A3739),MINUTE(TRANSACTIONS!$A3739),SECOND(TRANSACTIONS!$A3739)),"")</f>
        <v>0.77335648148148151</v>
      </c>
      <c r="D3739" s="82" t="s">
        <v>64</v>
      </c>
      <c r="E3739" s="82" t="s">
        <v>6</v>
      </c>
      <c r="F3739" s="126">
        <v>100000</v>
      </c>
      <c r="G3739" s="46"/>
      <c r="H3739" s="46">
        <f>IFERROR(TRANSACTIONS!$F3739+TRANSACTIONS!$G3739,"")</f>
        <v>100000</v>
      </c>
      <c r="I3739" s="40" t="s">
        <v>41</v>
      </c>
    </row>
    <row r="3740" spans="1:10" x14ac:dyDescent="0.25">
      <c r="A3740" s="41">
        <v>45367.773362731481</v>
      </c>
      <c r="B3740" s="48">
        <f>IF(A3740&lt;&gt;"",DATE(YEAR(TRANSACTIONS!$A3740),MONTH(TRANSACTIONS!$A3740),DAY(TRANSACTIONS!$A3740)),"")</f>
        <v>45367</v>
      </c>
      <c r="C3740" s="49">
        <f>IF(A3740&lt;&gt;"",TIME(HOUR(TRANSACTIONS!$A3740),MINUTE(TRANSACTIONS!$A3740),SECOND(TRANSACTIONS!$A3740)),"")</f>
        <v>0.77336805555555566</v>
      </c>
      <c r="D3740" s="82" t="s">
        <v>62</v>
      </c>
      <c r="E3740" s="82" t="s">
        <v>7</v>
      </c>
      <c r="F3740" s="126">
        <v>15000</v>
      </c>
      <c r="G3740" s="46"/>
      <c r="H3740" s="46">
        <f>IFERROR(TRANSACTIONS!$F3740+TRANSACTIONS!$G3740,"")</f>
        <v>15000</v>
      </c>
      <c r="I3740" s="40" t="s">
        <v>41</v>
      </c>
    </row>
    <row r="3741" spans="1:10" x14ac:dyDescent="0.25">
      <c r="A3741" s="41">
        <v>45367.773371990741</v>
      </c>
      <c r="B3741" s="48">
        <f>IF(A3741&lt;&gt;"",DATE(YEAR(TRANSACTIONS!$A3741),MONTH(TRANSACTIONS!$A3741),DAY(TRANSACTIONS!$A3741)),"")</f>
        <v>45367</v>
      </c>
      <c r="C3741" s="49">
        <f>IF(A3741&lt;&gt;"",TIME(HOUR(TRANSACTIONS!$A3741),MINUTE(TRANSACTIONS!$A3741),SECOND(TRANSACTIONS!$A3741)),"")</f>
        <v>0.77336805555555566</v>
      </c>
      <c r="D3741" s="82" t="s">
        <v>62</v>
      </c>
      <c r="E3741" s="82" t="s">
        <v>6</v>
      </c>
      <c r="F3741" s="126">
        <v>5050</v>
      </c>
      <c r="G3741" s="46"/>
      <c r="H3741" s="46">
        <f>IFERROR(TRANSACTIONS!$F3741+TRANSACTIONS!$G3741,"")</f>
        <v>5050</v>
      </c>
      <c r="I3741" s="40" t="s">
        <v>41</v>
      </c>
    </row>
    <row r="3742" spans="1:10" x14ac:dyDescent="0.25">
      <c r="A3742" s="41">
        <v>45367.773380208331</v>
      </c>
      <c r="B3742" s="48">
        <f>IF(A3742&lt;&gt;"",DATE(YEAR(TRANSACTIONS!$A3742),MONTH(TRANSACTIONS!$A3742),DAY(TRANSACTIONS!$A3742)),"")</f>
        <v>45367</v>
      </c>
      <c r="C3742" s="49">
        <f>IF(A3742&lt;&gt;"",TIME(HOUR(TRANSACTIONS!$A3742),MINUTE(TRANSACTIONS!$A3742),SECOND(TRANSACTIONS!$A3742)),"")</f>
        <v>0.77337962962962958</v>
      </c>
      <c r="D3742" s="82" t="s">
        <v>62</v>
      </c>
      <c r="E3742" s="82" t="s">
        <v>7</v>
      </c>
      <c r="F3742" s="126">
        <v>70000</v>
      </c>
      <c r="G3742" s="46"/>
      <c r="H3742" s="46">
        <f>IFERROR(TRANSACTIONS!$F3742+TRANSACTIONS!$G3742,"")</f>
        <v>70000</v>
      </c>
      <c r="I3742" s="40" t="s">
        <v>41</v>
      </c>
    </row>
    <row r="3743" spans="1:10" x14ac:dyDescent="0.25">
      <c r="A3743" s="41">
        <v>45367.773388657406</v>
      </c>
      <c r="B3743" s="48">
        <f>IF(A3743&lt;&gt;"",DATE(YEAR(TRANSACTIONS!$A3743),MONTH(TRANSACTIONS!$A3743),DAY(TRANSACTIONS!$A3743)),"")</f>
        <v>45367</v>
      </c>
      <c r="C3743" s="49">
        <f>IF(A3743&lt;&gt;"",TIME(HOUR(TRANSACTIONS!$A3743),MINUTE(TRANSACTIONS!$A3743),SECOND(TRANSACTIONS!$A3743)),"")</f>
        <v>0.77339120370370373</v>
      </c>
      <c r="D3743" s="82" t="s">
        <v>62</v>
      </c>
      <c r="E3743" s="82" t="s">
        <v>7</v>
      </c>
      <c r="F3743" s="126">
        <v>5000</v>
      </c>
      <c r="G3743" s="46"/>
      <c r="H3743" s="46">
        <f>IFERROR(TRANSACTIONS!$F3743+TRANSACTIONS!$G3743,"")</f>
        <v>5000</v>
      </c>
      <c r="I3743" s="40" t="s">
        <v>41</v>
      </c>
    </row>
    <row r="3744" spans="1:10" x14ac:dyDescent="0.25">
      <c r="A3744" s="41">
        <v>45367.773396412034</v>
      </c>
      <c r="B3744" s="48">
        <f>IF(A3744&lt;&gt;"",DATE(YEAR(TRANSACTIONS!$A3744),MONTH(TRANSACTIONS!$A3744),DAY(TRANSACTIONS!$A3744)),"")</f>
        <v>45367</v>
      </c>
      <c r="C3744" s="49">
        <f>IF(A3744&lt;&gt;"",TIME(HOUR(TRANSACTIONS!$A3744),MINUTE(TRANSACTIONS!$A3744),SECOND(TRANSACTIONS!$A3744)),"")</f>
        <v>0.77339120370370373</v>
      </c>
      <c r="D3744" s="82" t="s">
        <v>62</v>
      </c>
      <c r="E3744" s="82" t="s">
        <v>7</v>
      </c>
      <c r="F3744" s="126">
        <v>10000</v>
      </c>
      <c r="G3744" s="46"/>
      <c r="H3744" s="46">
        <f>IFERROR(TRANSACTIONS!$F3744+TRANSACTIONS!$G3744,"")</f>
        <v>10000</v>
      </c>
      <c r="I3744" s="40" t="s">
        <v>41</v>
      </c>
    </row>
    <row r="3745" spans="1:9" x14ac:dyDescent="0.25">
      <c r="A3745" s="41">
        <v>45367.773404861109</v>
      </c>
      <c r="B3745" s="48">
        <f>IF(A3745&lt;&gt;"",DATE(YEAR(TRANSACTIONS!$A3745),MONTH(TRANSACTIONS!$A3745),DAY(TRANSACTIONS!$A3745)),"")</f>
        <v>45367</v>
      </c>
      <c r="C3745" s="49">
        <f>IF(A3745&lt;&gt;"",TIME(HOUR(TRANSACTIONS!$A3745),MINUTE(TRANSACTIONS!$A3745),SECOND(TRANSACTIONS!$A3745)),"")</f>
        <v>0.77340277777777777</v>
      </c>
      <c r="D3745" s="82" t="s">
        <v>62</v>
      </c>
      <c r="E3745" s="82" t="s">
        <v>6</v>
      </c>
      <c r="F3745" s="126">
        <v>11000</v>
      </c>
      <c r="G3745" s="46"/>
      <c r="H3745" s="46">
        <f>IFERROR(TRANSACTIONS!$F3745+TRANSACTIONS!$G3745,"")</f>
        <v>11000</v>
      </c>
      <c r="I3745" s="40" t="s">
        <v>41</v>
      </c>
    </row>
    <row r="3746" spans="1:9" x14ac:dyDescent="0.25">
      <c r="A3746" s="41">
        <v>45367.773413425923</v>
      </c>
      <c r="B3746" s="48">
        <f>IF(A3746&lt;&gt;"",DATE(YEAR(TRANSACTIONS!$A3746),MONTH(TRANSACTIONS!$A3746),DAY(TRANSACTIONS!$A3746)),"")</f>
        <v>45367</v>
      </c>
      <c r="C3746" s="49">
        <f>IF(A3746&lt;&gt;"",TIME(HOUR(TRANSACTIONS!$A3746),MINUTE(TRANSACTIONS!$A3746),SECOND(TRANSACTIONS!$A3746)),"")</f>
        <v>0.77341435185185192</v>
      </c>
      <c r="D3746" s="82" t="s">
        <v>62</v>
      </c>
      <c r="E3746" s="82" t="s">
        <v>6</v>
      </c>
      <c r="F3746" s="126">
        <v>1000</v>
      </c>
      <c r="G3746" s="46"/>
      <c r="H3746" s="46">
        <f>IFERROR(TRANSACTIONS!$F3746+TRANSACTIONS!$G3746,"")</f>
        <v>1000</v>
      </c>
      <c r="I3746" s="40" t="s">
        <v>41</v>
      </c>
    </row>
    <row r="3747" spans="1:9" x14ac:dyDescent="0.25">
      <c r="A3747" s="41">
        <v>45367.773437384261</v>
      </c>
      <c r="B3747" s="48">
        <f>IF(A3747&lt;&gt;"",DATE(YEAR(TRANSACTIONS!$A3747),MONTH(TRANSACTIONS!$A3747),DAY(TRANSACTIONS!$A3747)),"")</f>
        <v>45367</v>
      </c>
      <c r="C3747" s="49">
        <f>IF(A3747&lt;&gt;"",TIME(HOUR(TRANSACTIONS!$A3747),MINUTE(TRANSACTIONS!$A3747),SECOND(TRANSACTIONS!$A3747)),"")</f>
        <v>0.7734375</v>
      </c>
      <c r="D3747" s="82" t="s">
        <v>62</v>
      </c>
      <c r="E3747" s="82" t="s">
        <v>6</v>
      </c>
      <c r="F3747" s="126">
        <v>10000</v>
      </c>
      <c r="G3747" s="46"/>
      <c r="H3747" s="46">
        <f>IFERROR(TRANSACTIONS!$F3747+TRANSACTIONS!$G3747,"")</f>
        <v>10000</v>
      </c>
      <c r="I3747" s="40" t="s">
        <v>41</v>
      </c>
    </row>
    <row r="3748" spans="1:9" x14ac:dyDescent="0.25">
      <c r="A3748" s="41">
        <v>45367.773445254628</v>
      </c>
      <c r="B3748" s="48">
        <f>IF(A3748&lt;&gt;"",DATE(YEAR(TRANSACTIONS!$A3748),MONTH(TRANSACTIONS!$A3748),DAY(TRANSACTIONS!$A3748)),"")</f>
        <v>45367</v>
      </c>
      <c r="C3748" s="49">
        <f>IF(A3748&lt;&gt;"",TIME(HOUR(TRANSACTIONS!$A3748),MINUTE(TRANSACTIONS!$A3748),SECOND(TRANSACTIONS!$A3748)),"")</f>
        <v>0.77344907407407415</v>
      </c>
      <c r="D3748" s="82" t="s">
        <v>62</v>
      </c>
      <c r="E3748" s="82" t="s">
        <v>6</v>
      </c>
      <c r="F3748" s="126">
        <v>6000</v>
      </c>
      <c r="G3748" s="46"/>
      <c r="H3748" s="46">
        <f>IFERROR(TRANSACTIONS!$F3748+TRANSACTIONS!$G3748,"")</f>
        <v>6000</v>
      </c>
      <c r="I3748" s="40" t="s">
        <v>41</v>
      </c>
    </row>
    <row r="3749" spans="1:9" x14ac:dyDescent="0.25">
      <c r="A3749" s="41">
        <v>45367.773452546295</v>
      </c>
      <c r="B3749" s="48">
        <f>IF(A3749&lt;&gt;"",DATE(YEAR(TRANSACTIONS!$A3749),MONTH(TRANSACTIONS!$A3749),DAY(TRANSACTIONS!$A3749)),"")</f>
        <v>45367</v>
      </c>
      <c r="C3749" s="49">
        <f>IF(A3749&lt;&gt;"",TIME(HOUR(TRANSACTIONS!$A3749),MINUTE(TRANSACTIONS!$A3749),SECOND(TRANSACTIONS!$A3749)),"")</f>
        <v>0.77344907407407415</v>
      </c>
      <c r="D3749" s="82" t="s">
        <v>62</v>
      </c>
      <c r="E3749" s="82" t="s">
        <v>6</v>
      </c>
      <c r="F3749" s="126">
        <v>20000</v>
      </c>
      <c r="G3749" s="46"/>
      <c r="H3749" s="46">
        <f>IFERROR(TRANSACTIONS!$F3749+TRANSACTIONS!$G3749,"")</f>
        <v>20000</v>
      </c>
      <c r="I3749" s="40" t="s">
        <v>41</v>
      </c>
    </row>
    <row r="3750" spans="1:9" x14ac:dyDescent="0.25">
      <c r="A3750" s="41">
        <v>45367.773459837961</v>
      </c>
      <c r="B3750" s="48">
        <f>IF(A3750&lt;&gt;"",DATE(YEAR(TRANSACTIONS!$A3750),MONTH(TRANSACTIONS!$A3750),DAY(TRANSACTIONS!$A3750)),"")</f>
        <v>45367</v>
      </c>
      <c r="C3750" s="49">
        <f>IF(A3750&lt;&gt;"",TIME(HOUR(TRANSACTIONS!$A3750),MINUTE(TRANSACTIONS!$A3750),SECOND(TRANSACTIONS!$A3750)),"")</f>
        <v>0.77346064814814808</v>
      </c>
      <c r="D3750" s="82" t="s">
        <v>62</v>
      </c>
      <c r="E3750" s="82" t="s">
        <v>7</v>
      </c>
      <c r="F3750" s="126">
        <v>35000</v>
      </c>
      <c r="G3750" s="46"/>
      <c r="H3750" s="46">
        <f>IFERROR(TRANSACTIONS!$F3750+TRANSACTIONS!$G3750,"")</f>
        <v>35000</v>
      </c>
      <c r="I3750" s="40" t="s">
        <v>41</v>
      </c>
    </row>
    <row r="3751" spans="1:9" x14ac:dyDescent="0.25">
      <c r="A3751" s="41">
        <v>45367.773467824074</v>
      </c>
      <c r="B3751" s="48">
        <f>IF(A3751&lt;&gt;"",DATE(YEAR(TRANSACTIONS!$A3751),MONTH(TRANSACTIONS!$A3751),DAY(TRANSACTIONS!$A3751)),"")</f>
        <v>45367</v>
      </c>
      <c r="C3751" s="49">
        <f>IF(A3751&lt;&gt;"",TIME(HOUR(TRANSACTIONS!$A3751),MINUTE(TRANSACTIONS!$A3751),SECOND(TRANSACTIONS!$A3751)),"")</f>
        <v>0.77347222222222223</v>
      </c>
      <c r="D3751" s="82" t="s">
        <v>62</v>
      </c>
      <c r="E3751" s="82" t="s">
        <v>7</v>
      </c>
      <c r="F3751" s="126">
        <v>10000</v>
      </c>
      <c r="G3751" s="46"/>
      <c r="H3751" s="46">
        <f>IFERROR(TRANSACTIONS!$F3751+TRANSACTIONS!$G3751,"")</f>
        <v>10000</v>
      </c>
      <c r="I3751" s="40" t="s">
        <v>41</v>
      </c>
    </row>
    <row r="3752" spans="1:9" x14ac:dyDescent="0.25">
      <c r="A3752" s="41">
        <v>45367.773477314811</v>
      </c>
      <c r="B3752" s="48">
        <f>IF(A3752&lt;&gt;"",DATE(YEAR(TRANSACTIONS!$A3752),MONTH(TRANSACTIONS!$A3752),DAY(TRANSACTIONS!$A3752)),"")</f>
        <v>45367</v>
      </c>
      <c r="C3752" s="49">
        <f>IF(A3752&lt;&gt;"",TIME(HOUR(TRANSACTIONS!$A3752),MINUTE(TRANSACTIONS!$A3752),SECOND(TRANSACTIONS!$A3752)),"")</f>
        <v>0.77347222222222223</v>
      </c>
      <c r="D3752" s="82" t="s">
        <v>62</v>
      </c>
      <c r="E3752" s="82" t="s">
        <v>7</v>
      </c>
      <c r="F3752" s="126">
        <v>12500</v>
      </c>
      <c r="G3752" s="46"/>
      <c r="H3752" s="46">
        <f>IFERROR(TRANSACTIONS!$F3752+TRANSACTIONS!$G3752,"")</f>
        <v>12500</v>
      </c>
      <c r="I3752" s="40" t="s">
        <v>41</v>
      </c>
    </row>
    <row r="3753" spans="1:9" x14ac:dyDescent="0.25">
      <c r="A3753" s="81">
        <v>45367.773492824075</v>
      </c>
      <c r="B3753" s="83">
        <f>IF(A3753&lt;&gt;"",DATE(YEAR(TRANSACTIONS!$A3753),MONTH(TRANSACTIONS!$A3753),DAY(TRANSACTIONS!$A3753)),"")</f>
        <v>45367</v>
      </c>
      <c r="C3753" s="84">
        <f>IF(A3753&lt;&gt;"",TIME(HOUR(TRANSACTIONS!$A3753),MINUTE(TRANSACTIONS!$A3753),SECOND(TRANSACTIONS!$A3753)),"")</f>
        <v>0.77349537037037042</v>
      </c>
      <c r="D3753" s="82" t="s">
        <v>62</v>
      </c>
      <c r="E3753" s="82" t="s">
        <v>6</v>
      </c>
      <c r="F3753" s="126">
        <v>50000</v>
      </c>
      <c r="G3753" s="86"/>
      <c r="H3753" s="86">
        <f>IFERROR(TRANSACTIONS!$F3753+TRANSACTIONS!$G3753,"")</f>
        <v>50000</v>
      </c>
      <c r="I3753" s="88" t="s">
        <v>41</v>
      </c>
    </row>
    <row r="3754" spans="1:9" x14ac:dyDescent="0.25">
      <c r="A3754" s="41">
        <v>45367.773498148148</v>
      </c>
      <c r="B3754" s="48">
        <f>IF(A3754&lt;&gt;"",DATE(YEAR(TRANSACTIONS!$A3754),MONTH(TRANSACTIONS!$A3754),DAY(TRANSACTIONS!$A3754)),"")</f>
        <v>45367</v>
      </c>
      <c r="C3754" s="49">
        <f>IF(A3754&lt;&gt;"",TIME(HOUR(TRANSACTIONS!$A3754),MINUTE(TRANSACTIONS!$A3754),SECOND(TRANSACTIONS!$A3754)),"")</f>
        <v>0.77349537037037042</v>
      </c>
      <c r="D3754" s="82" t="s">
        <v>62</v>
      </c>
      <c r="E3754" s="93" t="s">
        <v>7</v>
      </c>
      <c r="F3754" s="126">
        <v>4000</v>
      </c>
      <c r="G3754" s="46"/>
      <c r="H3754" s="46">
        <f>IFERROR(TRANSACTIONS!$F3754+TRANSACTIONS!$G3754,"")</f>
        <v>4000</v>
      </c>
      <c r="I3754" s="40" t="s">
        <v>41</v>
      </c>
    </row>
    <row r="3755" spans="1:9" x14ac:dyDescent="0.25">
      <c r="A3755" s="41">
        <v>45367.773515162036</v>
      </c>
      <c r="B3755" s="48">
        <f>IF(A3755&lt;&gt;"",DATE(YEAR(TRANSACTIONS!$A3755),MONTH(TRANSACTIONS!$A3755),DAY(TRANSACTIONS!$A3755)),"")</f>
        <v>45367</v>
      </c>
      <c r="C3755" s="49">
        <f>IF(A3755&lt;&gt;"",TIME(HOUR(TRANSACTIONS!$A3755),MINUTE(TRANSACTIONS!$A3755),SECOND(TRANSACTIONS!$A3755)),"")</f>
        <v>0.77351851851851849</v>
      </c>
      <c r="D3755" s="82" t="s">
        <v>62</v>
      </c>
      <c r="E3755" s="82" t="s">
        <v>6</v>
      </c>
      <c r="F3755" s="126">
        <v>4500</v>
      </c>
      <c r="G3755" s="46"/>
      <c r="H3755" s="46">
        <f>IFERROR(TRANSACTIONS!$F3755+TRANSACTIONS!$G3755,"")</f>
        <v>4500</v>
      </c>
      <c r="I3755" s="40" t="s">
        <v>41</v>
      </c>
    </row>
    <row r="3756" spans="1:9" x14ac:dyDescent="0.25">
      <c r="A3756" s="41">
        <v>45367.773557175926</v>
      </c>
      <c r="B3756" s="48">
        <f>IF(A3756&lt;&gt;"",DATE(YEAR(TRANSACTIONS!$A3756),MONTH(TRANSACTIONS!$A3756),DAY(TRANSACTIONS!$A3756)),"")</f>
        <v>45367</v>
      </c>
      <c r="C3756" s="49">
        <f>IF(A3756&lt;&gt;"",TIME(HOUR(TRANSACTIONS!$A3756),MINUTE(TRANSACTIONS!$A3756),SECOND(TRANSACTIONS!$A3756)),"")</f>
        <v>0.77355324074074072</v>
      </c>
      <c r="D3756" s="82" t="s">
        <v>62</v>
      </c>
      <c r="E3756" s="82" t="s">
        <v>6</v>
      </c>
      <c r="F3756" s="126">
        <v>4000</v>
      </c>
      <c r="G3756" s="46"/>
      <c r="H3756" s="46">
        <f>IFERROR(TRANSACTIONS!$F3756+TRANSACTIONS!$G3756,"")</f>
        <v>4000</v>
      </c>
      <c r="I3756" s="40" t="s">
        <v>41</v>
      </c>
    </row>
    <row r="3757" spans="1:9" x14ac:dyDescent="0.25">
      <c r="A3757" s="41">
        <v>45367.773564930554</v>
      </c>
      <c r="B3757" s="48">
        <f>IF(A3757&lt;&gt;"",DATE(YEAR(TRANSACTIONS!$A3757),MONTH(TRANSACTIONS!$A3757),DAY(TRANSACTIONS!$A3757)),"")</f>
        <v>45367</v>
      </c>
      <c r="C3757" s="49">
        <f>IF(A3757&lt;&gt;"",TIME(HOUR(TRANSACTIONS!$A3757),MINUTE(TRANSACTIONS!$A3757),SECOND(TRANSACTIONS!$A3757)),"")</f>
        <v>0.77356481481481476</v>
      </c>
      <c r="D3757" s="82" t="s">
        <v>62</v>
      </c>
      <c r="E3757" s="93" t="s">
        <v>6</v>
      </c>
      <c r="F3757" s="126">
        <v>30000</v>
      </c>
      <c r="G3757" s="46"/>
      <c r="H3757" s="46">
        <f>IFERROR(TRANSACTIONS!$F3757+TRANSACTIONS!$G3757,"")</f>
        <v>30000</v>
      </c>
      <c r="I3757" s="40" t="s">
        <v>41</v>
      </c>
    </row>
    <row r="3758" spans="1:9" x14ac:dyDescent="0.25">
      <c r="A3758" s="41">
        <v>45367.773571990743</v>
      </c>
      <c r="B3758" s="48">
        <f>IF(A3758&lt;&gt;"",DATE(YEAR(TRANSACTIONS!$A3758),MONTH(TRANSACTIONS!$A3758),DAY(TRANSACTIONS!$A3758)),"")</f>
        <v>45367</v>
      </c>
      <c r="C3758" s="49">
        <f>IF(A3758&lt;&gt;"",TIME(HOUR(TRANSACTIONS!$A3758),MINUTE(TRANSACTIONS!$A3758),SECOND(TRANSACTIONS!$A3758)),"")</f>
        <v>0.77357638888888891</v>
      </c>
      <c r="D3758" s="82" t="s">
        <v>62</v>
      </c>
      <c r="E3758" s="82" t="s">
        <v>7</v>
      </c>
      <c r="F3758" s="126">
        <v>100000</v>
      </c>
      <c r="G3758" s="46"/>
      <c r="H3758" s="46">
        <f>IFERROR(TRANSACTIONS!$F3758+TRANSACTIONS!$G3758,"")</f>
        <v>100000</v>
      </c>
      <c r="I3758" s="40" t="s">
        <v>41</v>
      </c>
    </row>
    <row r="3759" spans="1:9" x14ac:dyDescent="0.25">
      <c r="A3759" s="41">
        <v>45367.773584027775</v>
      </c>
      <c r="B3759" s="48">
        <f>IF(A3759&lt;&gt;"",DATE(YEAR(TRANSACTIONS!$A3759),MONTH(TRANSACTIONS!$A3759),DAY(TRANSACTIONS!$A3759)),"")</f>
        <v>45367</v>
      </c>
      <c r="C3759" s="49">
        <f>IF(A3759&lt;&gt;"",TIME(HOUR(TRANSACTIONS!$A3759),MINUTE(TRANSACTIONS!$A3759),SECOND(TRANSACTIONS!$A3759)),"")</f>
        <v>0.77358796296296306</v>
      </c>
      <c r="D3759" s="82" t="s">
        <v>62</v>
      </c>
      <c r="E3759" s="93" t="s">
        <v>7</v>
      </c>
      <c r="F3759" s="126">
        <v>5000</v>
      </c>
      <c r="G3759" s="46"/>
      <c r="H3759" s="46">
        <f>IFERROR(TRANSACTIONS!$F3759+TRANSACTIONS!$G3759,"")</f>
        <v>5000</v>
      </c>
      <c r="I3759" s="40" t="s">
        <v>41</v>
      </c>
    </row>
    <row r="3760" spans="1:9" x14ac:dyDescent="0.25">
      <c r="A3760" s="41">
        <v>45367.773597106483</v>
      </c>
      <c r="B3760" s="48">
        <f>IF(A3760&lt;&gt;"",DATE(YEAR(TRANSACTIONS!$A3760),MONTH(TRANSACTIONS!$A3760),DAY(TRANSACTIONS!$A3760)),"")</f>
        <v>45367</v>
      </c>
      <c r="C3760" s="49">
        <f>IF(A3760&lt;&gt;"",TIME(HOUR(TRANSACTIONS!$A3760),MINUTE(TRANSACTIONS!$A3760),SECOND(TRANSACTIONS!$A3760)),"")</f>
        <v>0.77359953703703699</v>
      </c>
      <c r="D3760" s="82" t="s">
        <v>62</v>
      </c>
      <c r="E3760" s="93" t="s">
        <v>6</v>
      </c>
      <c r="F3760" s="126">
        <v>10000</v>
      </c>
      <c r="G3760" s="46"/>
      <c r="H3760" s="46">
        <f>IFERROR(TRANSACTIONS!$F3760+TRANSACTIONS!$G3760,"")</f>
        <v>10000</v>
      </c>
      <c r="I3760" s="40" t="s">
        <v>41</v>
      </c>
    </row>
    <row r="3761" spans="1:10" x14ac:dyDescent="0.25">
      <c r="A3761" s="41">
        <v>45367.773624884256</v>
      </c>
      <c r="B3761" s="48">
        <f>IF(A3761&lt;&gt;"",DATE(YEAR(TRANSACTIONS!$A3761),MONTH(TRANSACTIONS!$A3761),DAY(TRANSACTIONS!$A3761)),"")</f>
        <v>45367</v>
      </c>
      <c r="C3761" s="49">
        <f>IF(A3761&lt;&gt;"",TIME(HOUR(TRANSACTIONS!$A3761),MINUTE(TRANSACTIONS!$A3761),SECOND(TRANSACTIONS!$A3761)),"")</f>
        <v>0.77362268518518518</v>
      </c>
      <c r="D3761" s="82" t="s">
        <v>62</v>
      </c>
      <c r="E3761" s="82" t="s">
        <v>7</v>
      </c>
      <c r="F3761" s="126">
        <v>5000</v>
      </c>
      <c r="G3761" s="46"/>
      <c r="H3761" s="46">
        <f>IFERROR(TRANSACTIONS!$F3761+TRANSACTIONS!$G3761,"")</f>
        <v>5000</v>
      </c>
      <c r="I3761" s="40" t="s">
        <v>41</v>
      </c>
    </row>
    <row r="3762" spans="1:10" x14ac:dyDescent="0.25">
      <c r="A3762" s="41">
        <v>45367.773633101853</v>
      </c>
      <c r="B3762" s="48">
        <f>IF(A3762&lt;&gt;"",DATE(YEAR(TRANSACTIONS!$A3762),MONTH(TRANSACTIONS!$A3762),DAY(TRANSACTIONS!$A3762)),"")</f>
        <v>45367</v>
      </c>
      <c r="C3762" s="49">
        <f>IF(A3762&lt;&gt;"",TIME(HOUR(TRANSACTIONS!$A3762),MINUTE(TRANSACTIONS!$A3762),SECOND(TRANSACTIONS!$A3762)),"")</f>
        <v>0.77363425925925933</v>
      </c>
      <c r="D3762" s="82" t="s">
        <v>62</v>
      </c>
      <c r="E3762" s="82" t="s">
        <v>7</v>
      </c>
      <c r="F3762" s="126">
        <v>5000</v>
      </c>
      <c r="G3762" s="46"/>
      <c r="H3762" s="46">
        <f>IFERROR(TRANSACTIONS!$F3762+TRANSACTIONS!$G3762,"")</f>
        <v>5000</v>
      </c>
      <c r="I3762" s="40" t="s">
        <v>41</v>
      </c>
    </row>
    <row r="3763" spans="1:10" x14ac:dyDescent="0.25">
      <c r="A3763" s="41">
        <v>45367.773641319443</v>
      </c>
      <c r="B3763" s="48">
        <f>IF(A3763&lt;&gt;"",DATE(YEAR(TRANSACTIONS!$A3763),MONTH(TRANSACTIONS!$A3763),DAY(TRANSACTIONS!$A3763)),"")</f>
        <v>45367</v>
      </c>
      <c r="C3763" s="49">
        <f>IF(A3763&lt;&gt;"",TIME(HOUR(TRANSACTIONS!$A3763),MINUTE(TRANSACTIONS!$A3763),SECOND(TRANSACTIONS!$A3763)),"")</f>
        <v>0.77364583333333325</v>
      </c>
      <c r="D3763" s="82" t="s">
        <v>62</v>
      </c>
      <c r="E3763" s="82" t="s">
        <v>7</v>
      </c>
      <c r="F3763" s="126">
        <v>10000</v>
      </c>
      <c r="G3763" s="46"/>
      <c r="H3763" s="46">
        <f>IFERROR(TRANSACTIONS!$F3763+TRANSACTIONS!$G3763,"")</f>
        <v>10000</v>
      </c>
      <c r="I3763" s="40" t="s">
        <v>41</v>
      </c>
    </row>
    <row r="3764" spans="1:10" x14ac:dyDescent="0.25">
      <c r="A3764" s="41">
        <v>45367.77364861111</v>
      </c>
      <c r="B3764" s="48">
        <f>IF(A3764&lt;&gt;"",DATE(YEAR(TRANSACTIONS!$A3764),MONTH(TRANSACTIONS!$A3764),DAY(TRANSACTIONS!$A3764)),"")</f>
        <v>45367</v>
      </c>
      <c r="C3764" s="49">
        <f>IF(A3764&lt;&gt;"",TIME(HOUR(TRANSACTIONS!$A3764),MINUTE(TRANSACTIONS!$A3764),SECOND(TRANSACTIONS!$A3764)),"")</f>
        <v>0.77364583333333325</v>
      </c>
      <c r="D3764" s="82" t="s">
        <v>62</v>
      </c>
      <c r="E3764" s="82" t="s">
        <v>7</v>
      </c>
      <c r="F3764" s="126">
        <v>3000</v>
      </c>
      <c r="G3764" s="46"/>
      <c r="H3764" s="46">
        <f>IFERROR(TRANSACTIONS!$F3764+TRANSACTIONS!$G3764,"")</f>
        <v>3000</v>
      </c>
      <c r="I3764" s="40" t="s">
        <v>41</v>
      </c>
    </row>
    <row r="3765" spans="1:10" x14ac:dyDescent="0.25">
      <c r="A3765" s="41">
        <v>45367.773661458334</v>
      </c>
      <c r="B3765" s="48">
        <f>IF(A3765&lt;&gt;"",DATE(YEAR(TRANSACTIONS!$A3765),MONTH(TRANSACTIONS!$A3765),DAY(TRANSACTIONS!$A3765)),"")</f>
        <v>45367</v>
      </c>
      <c r="C3765" s="49">
        <f>IF(A3765&lt;&gt;"",TIME(HOUR(TRANSACTIONS!$A3765),MINUTE(TRANSACTIONS!$A3765),SECOND(TRANSACTIONS!$A3765)),"")</f>
        <v>0.7736574074074074</v>
      </c>
      <c r="D3765" s="82" t="s">
        <v>62</v>
      </c>
      <c r="E3765" s="82" t="s">
        <v>6</v>
      </c>
      <c r="F3765" s="126">
        <v>19000</v>
      </c>
      <c r="G3765" s="46"/>
      <c r="H3765" s="46">
        <f>IFERROR(TRANSACTIONS!$F3765+TRANSACTIONS!$G3765,"")</f>
        <v>19000</v>
      </c>
      <c r="I3765" s="40" t="s">
        <v>41</v>
      </c>
    </row>
    <row r="3766" spans="1:10" x14ac:dyDescent="0.25">
      <c r="A3766" s="41">
        <v>45367.773672800926</v>
      </c>
      <c r="B3766" s="48">
        <f>IF(A3766&lt;&gt;"",DATE(YEAR(TRANSACTIONS!$A3766),MONTH(TRANSACTIONS!$A3766),DAY(TRANSACTIONS!$A3766)),"")</f>
        <v>45367</v>
      </c>
      <c r="C3766" s="49">
        <f>IF(A3766&lt;&gt;"",TIME(HOUR(TRANSACTIONS!$A3766),MINUTE(TRANSACTIONS!$A3766),SECOND(TRANSACTIONS!$A3766)),"")</f>
        <v>0.77366898148148155</v>
      </c>
      <c r="D3766" s="82" t="s">
        <v>62</v>
      </c>
      <c r="E3766" s="82" t="s">
        <v>7</v>
      </c>
      <c r="F3766" s="88">
        <v>6000</v>
      </c>
      <c r="G3766" s="46"/>
      <c r="H3766" s="46">
        <f>IFERROR(TRANSACTIONS!$F3766+TRANSACTIONS!$G3766,"")</f>
        <v>6000</v>
      </c>
      <c r="I3766" s="40" t="s">
        <v>41</v>
      </c>
    </row>
    <row r="3767" spans="1:10" x14ac:dyDescent="0.25">
      <c r="A3767" s="41">
        <v>45367.773700810183</v>
      </c>
      <c r="B3767" s="48">
        <f>IF(A3767&lt;&gt;"",DATE(YEAR(TRANSACTIONS!$A3767),MONTH(TRANSACTIONS!$A3767),DAY(TRANSACTIONS!$A3767)),"")</f>
        <v>45367</v>
      </c>
      <c r="C3767" s="49">
        <f>IF(A3767&lt;&gt;"",TIME(HOUR(TRANSACTIONS!$A3767),MINUTE(TRANSACTIONS!$A3767),SECOND(TRANSACTIONS!$A3767)),"")</f>
        <v>0.77370370370370367</v>
      </c>
      <c r="D3767" s="82" t="s">
        <v>62</v>
      </c>
      <c r="E3767" s="82" t="s">
        <v>6</v>
      </c>
      <c r="F3767" s="88">
        <v>4500</v>
      </c>
      <c r="G3767" s="46"/>
      <c r="H3767" s="46">
        <f>IFERROR(TRANSACTIONS!$F3767+TRANSACTIONS!$G3767,"")</f>
        <v>4500</v>
      </c>
      <c r="I3767" s="40" t="s">
        <v>41</v>
      </c>
    </row>
    <row r="3768" spans="1:10" x14ac:dyDescent="0.25">
      <c r="A3768" s="81">
        <v>45367.773716319447</v>
      </c>
      <c r="B3768" s="83">
        <f>IF(A3768&lt;&gt;"",DATE(YEAR(TRANSACTIONS!$A3768),MONTH(TRANSACTIONS!$A3768),DAY(TRANSACTIONS!$A3768)),"")</f>
        <v>45367</v>
      </c>
      <c r="C3768" s="84">
        <f>IF(A3768&lt;&gt;"",TIME(HOUR(TRANSACTIONS!$A3768),MINUTE(TRANSACTIONS!$A3768),SECOND(TRANSACTIONS!$A3768)),"")</f>
        <v>0.77371527777777782</v>
      </c>
      <c r="D3768" s="82" t="s">
        <v>62</v>
      </c>
      <c r="E3768" s="82" t="s">
        <v>6</v>
      </c>
      <c r="F3768" s="88">
        <v>1000</v>
      </c>
      <c r="G3768" s="86"/>
      <c r="H3768" s="86">
        <f>IFERROR(TRANSACTIONS!$F3768+TRANSACTIONS!$G3768,"")</f>
        <v>1000</v>
      </c>
      <c r="I3768" s="88" t="s">
        <v>41</v>
      </c>
    </row>
    <row r="3769" spans="1:10" x14ac:dyDescent="0.25">
      <c r="A3769" s="41">
        <v>45367.773726041669</v>
      </c>
      <c r="B3769" s="48">
        <f>IF(A3769&lt;&gt;"",DATE(YEAR(TRANSACTIONS!$A3769),MONTH(TRANSACTIONS!$A3769),DAY(TRANSACTIONS!$A3769)),"")</f>
        <v>45367</v>
      </c>
      <c r="C3769" s="49">
        <f>IF(A3769&lt;&gt;"",TIME(HOUR(TRANSACTIONS!$A3769),MINUTE(TRANSACTIONS!$A3769),SECOND(TRANSACTIONS!$A3769)),"")</f>
        <v>0.77372685185185175</v>
      </c>
      <c r="D3769" s="82" t="s">
        <v>62</v>
      </c>
      <c r="E3769" s="82" t="s">
        <v>7</v>
      </c>
      <c r="F3769" s="88">
        <v>50000</v>
      </c>
      <c r="G3769" s="46"/>
      <c r="H3769" s="46">
        <f>IFERROR(TRANSACTIONS!$F3769+TRANSACTIONS!$G3769,"")</f>
        <v>50000</v>
      </c>
      <c r="I3769" s="40" t="s">
        <v>41</v>
      </c>
    </row>
    <row r="3770" spans="1:10" x14ac:dyDescent="0.25">
      <c r="A3770" s="113">
        <v>45367.773734259259</v>
      </c>
      <c r="B3770" s="114">
        <f>IF(A3770&lt;&gt;"",DATE(YEAR(TRANSACTIONS!$A3770),MONTH(TRANSACTIONS!$A3770),DAY(TRANSACTIONS!$A3770)),"")</f>
        <v>45367</v>
      </c>
      <c r="C3770" s="115">
        <f>IF(A3770&lt;&gt;"",TIME(HOUR(TRANSACTIONS!$A3770),MINUTE(TRANSACTIONS!$A3770),SECOND(TRANSACTIONS!$A3770)),"")</f>
        <v>0.7737384259259259</v>
      </c>
      <c r="D3770" s="82" t="s">
        <v>62</v>
      </c>
      <c r="E3770" s="82" t="s">
        <v>6</v>
      </c>
      <c r="F3770" s="88">
        <v>10000</v>
      </c>
      <c r="G3770" s="117"/>
      <c r="H3770" s="117">
        <f>IFERROR(TRANSACTIONS!$F3770+TRANSACTIONS!$G3770,"")</f>
        <v>10000</v>
      </c>
      <c r="I3770" s="118" t="s">
        <v>41</v>
      </c>
      <c r="J3770" s="118"/>
    </row>
    <row r="3771" spans="1:10" x14ac:dyDescent="0.25">
      <c r="A3771" s="113">
        <v>45367.773748842592</v>
      </c>
      <c r="B3771" s="114">
        <f>IF(A3771&lt;&gt;"",DATE(YEAR(TRANSACTIONS!$A3771),MONTH(TRANSACTIONS!$A3771),DAY(TRANSACTIONS!$A3771)),"")</f>
        <v>45367</v>
      </c>
      <c r="C3771" s="115">
        <f>IF(A3771&lt;&gt;"",TIME(HOUR(TRANSACTIONS!$A3771),MINUTE(TRANSACTIONS!$A3771),SECOND(TRANSACTIONS!$A3771)),"")</f>
        <v>0.77375000000000005</v>
      </c>
      <c r="D3771" s="82" t="s">
        <v>25</v>
      </c>
      <c r="E3771" s="82" t="s">
        <v>6</v>
      </c>
      <c r="F3771" s="88">
        <v>5000</v>
      </c>
      <c r="G3771" s="117"/>
      <c r="H3771" s="117">
        <f>IFERROR(TRANSACTIONS!$F3771+TRANSACTIONS!$G3771,"")</f>
        <v>5000</v>
      </c>
      <c r="I3771" s="118" t="s">
        <v>41</v>
      </c>
    </row>
    <row r="3772" spans="1:10" x14ac:dyDescent="0.25">
      <c r="A3772" s="41">
        <v>45367.77375601852</v>
      </c>
      <c r="B3772" s="48">
        <f>IF(A3772&lt;&gt;"",DATE(YEAR(TRANSACTIONS!$A3772),MONTH(TRANSACTIONS!$A3772),DAY(TRANSACTIONS!$A3772)),"")</f>
        <v>45367</v>
      </c>
      <c r="C3772" s="49">
        <f>IF(A3772&lt;&gt;"",TIME(HOUR(TRANSACTIONS!$A3772),MINUTE(TRANSACTIONS!$A3772),SECOND(TRANSACTIONS!$A3772)),"")</f>
        <v>0.77376157407407409</v>
      </c>
      <c r="D3772" s="82" t="s">
        <v>25</v>
      </c>
      <c r="E3772" s="82" t="s">
        <v>6</v>
      </c>
      <c r="F3772" s="88">
        <v>110000</v>
      </c>
      <c r="G3772" s="46"/>
      <c r="H3772" s="46">
        <f>IFERROR(TRANSACTIONS!$F3772+TRANSACTIONS!$G3772,"")</f>
        <v>110000</v>
      </c>
      <c r="I3772" s="40" t="s">
        <v>41</v>
      </c>
    </row>
    <row r="3773" spans="1:10" x14ac:dyDescent="0.25">
      <c r="A3773" s="41">
        <v>45367.773786574071</v>
      </c>
      <c r="B3773" s="48">
        <f>IF(A3773&lt;&gt;"",DATE(YEAR(TRANSACTIONS!$A3773),MONTH(TRANSACTIONS!$A3773),DAY(TRANSACTIONS!$A3773)),"")</f>
        <v>45367</v>
      </c>
      <c r="C3773" s="49">
        <f>IF(A3773&lt;&gt;"",TIME(HOUR(TRANSACTIONS!$A3773),MINUTE(TRANSACTIONS!$A3773),SECOND(TRANSACTIONS!$A3773)),"")</f>
        <v>0.77378472222222217</v>
      </c>
      <c r="D3773" s="82" t="s">
        <v>25</v>
      </c>
      <c r="E3773" s="82" t="s">
        <v>6</v>
      </c>
      <c r="F3773" s="88">
        <v>5000</v>
      </c>
      <c r="G3773" s="46"/>
      <c r="H3773" s="46">
        <f>IFERROR(TRANSACTIONS!$F3773+TRANSACTIONS!$G3773,"")</f>
        <v>5000</v>
      </c>
      <c r="I3773" s="40" t="s">
        <v>41</v>
      </c>
    </row>
    <row r="3774" spans="1:10" x14ac:dyDescent="0.25">
      <c r="A3774" s="41">
        <v>45367.773795601854</v>
      </c>
      <c r="B3774" s="48">
        <f>IF(A3774&lt;&gt;"",DATE(YEAR(TRANSACTIONS!$A3774),MONTH(TRANSACTIONS!$A3774),DAY(TRANSACTIONS!$A3774)),"")</f>
        <v>45367</v>
      </c>
      <c r="C3774" s="49">
        <f>IF(A3774&lt;&gt;"",TIME(HOUR(TRANSACTIONS!$A3774),MINUTE(TRANSACTIONS!$A3774),SECOND(TRANSACTIONS!$A3774)),"")</f>
        <v>0.77379629629629632</v>
      </c>
      <c r="D3774" s="82" t="s">
        <v>25</v>
      </c>
      <c r="E3774" s="82" t="s">
        <v>6</v>
      </c>
      <c r="F3774" s="88">
        <v>25200</v>
      </c>
      <c r="G3774" s="46"/>
      <c r="H3774" s="46">
        <f>IFERROR(TRANSACTIONS!$F3774+TRANSACTIONS!$G3774,"")</f>
        <v>25200</v>
      </c>
      <c r="I3774" s="40" t="s">
        <v>41</v>
      </c>
    </row>
    <row r="3775" spans="1:10" x14ac:dyDescent="0.25">
      <c r="A3775" s="41">
        <v>45367.773803356482</v>
      </c>
      <c r="B3775" s="48">
        <f>IF(A3775&lt;&gt;"",DATE(YEAR(TRANSACTIONS!$A3775),MONTH(TRANSACTIONS!$A3775),DAY(TRANSACTIONS!$A3775)),"")</f>
        <v>45367</v>
      </c>
      <c r="C3775" s="49">
        <f>IF(A3775&lt;&gt;"",TIME(HOUR(TRANSACTIONS!$A3775),MINUTE(TRANSACTIONS!$A3775),SECOND(TRANSACTIONS!$A3775)),"")</f>
        <v>0.77380787037037047</v>
      </c>
      <c r="D3775" s="82" t="s">
        <v>25</v>
      </c>
      <c r="E3775" s="82" t="s">
        <v>7</v>
      </c>
      <c r="F3775" s="88">
        <v>6000</v>
      </c>
      <c r="G3775" s="46"/>
      <c r="H3775" s="46">
        <f>IFERROR(TRANSACTIONS!$F3775+TRANSACTIONS!$G3775,"")</f>
        <v>6000</v>
      </c>
      <c r="I3775" s="40" t="s">
        <v>41</v>
      </c>
    </row>
    <row r="3776" spans="1:10" x14ac:dyDescent="0.25">
      <c r="A3776" s="41">
        <v>45367.773811458334</v>
      </c>
      <c r="B3776" s="48">
        <f>IF(A3776&lt;&gt;"",DATE(YEAR(TRANSACTIONS!$A3776),MONTH(TRANSACTIONS!$A3776),DAY(TRANSACTIONS!$A3776)),"")</f>
        <v>45367</v>
      </c>
      <c r="C3776" s="49">
        <f>IF(A3776&lt;&gt;"",TIME(HOUR(TRANSACTIONS!$A3776),MINUTE(TRANSACTIONS!$A3776),SECOND(TRANSACTIONS!$A3776)),"")</f>
        <v>0.77380787037037047</v>
      </c>
      <c r="D3776" s="82" t="s">
        <v>25</v>
      </c>
      <c r="E3776" s="82" t="s">
        <v>7</v>
      </c>
      <c r="F3776" s="88">
        <v>100000</v>
      </c>
      <c r="G3776" s="46"/>
      <c r="H3776" s="46">
        <f>IFERROR(TRANSACTIONS!$F3776+TRANSACTIONS!$G3776,"")</f>
        <v>100000</v>
      </c>
      <c r="I3776" s="40" t="s">
        <v>41</v>
      </c>
    </row>
    <row r="3777" spans="1:9" x14ac:dyDescent="0.25">
      <c r="A3777" s="41">
        <v>45367.773819675924</v>
      </c>
      <c r="B3777" s="48">
        <f>IF(A3777&lt;&gt;"",DATE(YEAR(TRANSACTIONS!$A3777),MONTH(TRANSACTIONS!$A3777),DAY(TRANSACTIONS!$A3777)),"")</f>
        <v>45367</v>
      </c>
      <c r="C3777" s="49">
        <f>IF(A3777&lt;&gt;"",TIME(HOUR(TRANSACTIONS!$A3777),MINUTE(TRANSACTIONS!$A3777),SECOND(TRANSACTIONS!$A3777)),"")</f>
        <v>0.77381944444444439</v>
      </c>
      <c r="D3777" s="82" t="s">
        <v>25</v>
      </c>
      <c r="E3777" s="82" t="s">
        <v>6</v>
      </c>
      <c r="F3777" s="88">
        <v>5000</v>
      </c>
      <c r="G3777" s="46"/>
      <c r="H3777" s="46">
        <f>IFERROR(TRANSACTIONS!$F3777+TRANSACTIONS!$G3777,"")</f>
        <v>5000</v>
      </c>
      <c r="I3777" s="40" t="s">
        <v>41</v>
      </c>
    </row>
    <row r="3778" spans="1:9" x14ac:dyDescent="0.25">
      <c r="A3778" s="41">
        <v>45367.77384710648</v>
      </c>
      <c r="B3778" s="48">
        <f>IF(A3778&lt;&gt;"",DATE(YEAR(TRANSACTIONS!$A3778),MONTH(TRANSACTIONS!$A3778),DAY(TRANSACTIONS!$A3778)),"")</f>
        <v>45367</v>
      </c>
      <c r="C3778" s="49">
        <f>IF(A3778&lt;&gt;"",TIME(HOUR(TRANSACTIONS!$A3778),MINUTE(TRANSACTIONS!$A3778),SECOND(TRANSACTIONS!$A3778)),"")</f>
        <v>0.77384259259259258</v>
      </c>
      <c r="D3778" s="82" t="s">
        <v>25</v>
      </c>
      <c r="E3778" s="82" t="s">
        <v>7</v>
      </c>
      <c r="F3778" s="88">
        <v>10000</v>
      </c>
      <c r="G3778" s="46"/>
      <c r="H3778" s="46">
        <f>IFERROR(TRANSACTIONS!$F3778+TRANSACTIONS!$G3778,"")</f>
        <v>10000</v>
      </c>
      <c r="I3778" s="40" t="s">
        <v>41</v>
      </c>
    </row>
    <row r="3779" spans="1:9" x14ac:dyDescent="0.25">
      <c r="A3779" s="41">
        <v>45367.77385740741</v>
      </c>
      <c r="B3779" s="48">
        <f>IF(A3779&lt;&gt;"",DATE(YEAR(TRANSACTIONS!$A3779),MONTH(TRANSACTIONS!$A3779),DAY(TRANSACTIONS!$A3779)),"")</f>
        <v>45367</v>
      </c>
      <c r="C3779" s="49">
        <f>IF(A3779&lt;&gt;"",TIME(HOUR(TRANSACTIONS!$A3779),MINUTE(TRANSACTIONS!$A3779),SECOND(TRANSACTIONS!$A3779)),"")</f>
        <v>0.77385416666666673</v>
      </c>
      <c r="D3779" s="82" t="s">
        <v>25</v>
      </c>
      <c r="E3779" s="82" t="s">
        <v>7</v>
      </c>
      <c r="F3779" s="88">
        <v>10000</v>
      </c>
      <c r="G3779" s="46"/>
      <c r="H3779" s="46">
        <f>IFERROR(TRANSACTIONS!$F3779+TRANSACTIONS!$G3779,"")</f>
        <v>10000</v>
      </c>
      <c r="I3779" s="40" t="s">
        <v>41</v>
      </c>
    </row>
    <row r="3780" spans="1:9" x14ac:dyDescent="0.25">
      <c r="A3780" s="41">
        <v>45367.7738650463</v>
      </c>
      <c r="B3780" s="48">
        <f>IF(A3780&lt;&gt;"",DATE(YEAR(TRANSACTIONS!$A3780),MONTH(TRANSACTIONS!$A3780),DAY(TRANSACTIONS!$A3780)),"")</f>
        <v>45367</v>
      </c>
      <c r="C3780" s="49">
        <f>IF(A3780&lt;&gt;"",TIME(HOUR(TRANSACTIONS!$A3780),MINUTE(TRANSACTIONS!$A3780),SECOND(TRANSACTIONS!$A3780)),"")</f>
        <v>0.77386574074074066</v>
      </c>
      <c r="D3780" s="82" t="s">
        <v>25</v>
      </c>
      <c r="E3780" s="82" t="s">
        <v>7</v>
      </c>
      <c r="F3780" s="88">
        <v>1000</v>
      </c>
      <c r="G3780" s="46"/>
      <c r="H3780" s="46">
        <f>IFERROR(TRANSACTIONS!$F3780+TRANSACTIONS!$G3780,"")</f>
        <v>1000</v>
      </c>
      <c r="I3780" s="40" t="s">
        <v>41</v>
      </c>
    </row>
    <row r="3781" spans="1:9" x14ac:dyDescent="0.25">
      <c r="A3781" s="41">
        <v>45367.773872337966</v>
      </c>
      <c r="B3781" s="48">
        <f>IF(A3781&lt;&gt;"",DATE(YEAR(TRANSACTIONS!$A3781),MONTH(TRANSACTIONS!$A3781),DAY(TRANSACTIONS!$A3781)),"")</f>
        <v>45367</v>
      </c>
      <c r="C3781" s="49">
        <f>IF(A3781&lt;&gt;"",TIME(HOUR(TRANSACTIONS!$A3781),MINUTE(TRANSACTIONS!$A3781),SECOND(TRANSACTIONS!$A3781)),"")</f>
        <v>0.77387731481481481</v>
      </c>
      <c r="D3781" s="82" t="s">
        <v>25</v>
      </c>
      <c r="E3781" s="82" t="s">
        <v>7</v>
      </c>
      <c r="F3781" s="88">
        <v>15000</v>
      </c>
      <c r="G3781" s="46"/>
      <c r="H3781" s="46">
        <f>IFERROR(TRANSACTIONS!$F3781+TRANSACTIONS!$G3781,"")</f>
        <v>15000</v>
      </c>
      <c r="I3781" s="40" t="s">
        <v>41</v>
      </c>
    </row>
    <row r="3782" spans="1:9" x14ac:dyDescent="0.25">
      <c r="A3782" s="41">
        <v>45367.773885185183</v>
      </c>
      <c r="B3782" s="48">
        <f>IF(A3782&lt;&gt;"",DATE(YEAR(TRANSACTIONS!$A3782),MONTH(TRANSACTIONS!$A3782),DAY(TRANSACTIONS!$A3782)),"")</f>
        <v>45367</v>
      </c>
      <c r="C3782" s="49">
        <f>IF(A3782&lt;&gt;"",TIME(HOUR(TRANSACTIONS!$A3782),MINUTE(TRANSACTIONS!$A3782),SECOND(TRANSACTIONS!$A3782)),"")</f>
        <v>0.77388888888888896</v>
      </c>
      <c r="D3782" s="82" t="s">
        <v>25</v>
      </c>
      <c r="E3782" s="82" t="s">
        <v>6</v>
      </c>
      <c r="F3782" s="88">
        <v>12000</v>
      </c>
      <c r="G3782" s="46"/>
      <c r="H3782" s="46">
        <f>IFERROR(TRANSACTIONS!$F3782+TRANSACTIONS!$G3782,"")</f>
        <v>12000</v>
      </c>
      <c r="I3782" s="40" t="s">
        <v>41</v>
      </c>
    </row>
    <row r="3783" spans="1:9" x14ac:dyDescent="0.25">
      <c r="A3783" s="41">
        <v>45367.77389236111</v>
      </c>
      <c r="B3783" s="48">
        <f>IF(A3783&lt;&gt;"",DATE(YEAR(TRANSACTIONS!$A3783),MONTH(TRANSACTIONS!$A3783),DAY(TRANSACTIONS!$A3783)),"")</f>
        <v>45367</v>
      </c>
      <c r="C3783" s="49">
        <f>IF(A3783&lt;&gt;"",TIME(HOUR(TRANSACTIONS!$A3783),MINUTE(TRANSACTIONS!$A3783),SECOND(TRANSACTIONS!$A3783)),"")</f>
        <v>0.77388888888888896</v>
      </c>
      <c r="D3783" s="82" t="s">
        <v>25</v>
      </c>
      <c r="E3783" s="82" t="s">
        <v>6</v>
      </c>
      <c r="F3783" s="88">
        <v>28225</v>
      </c>
      <c r="G3783" s="46"/>
      <c r="H3783" s="46">
        <f>IFERROR(TRANSACTIONS!$F3783+TRANSACTIONS!$G3783,"")</f>
        <v>28225</v>
      </c>
      <c r="I3783" s="40" t="s">
        <v>41</v>
      </c>
    </row>
    <row r="3784" spans="1:9" x14ac:dyDescent="0.25">
      <c r="A3784" s="41">
        <v>45367.773900231485</v>
      </c>
      <c r="B3784" s="48">
        <f>IF(A3784&lt;&gt;"",DATE(YEAR(TRANSACTIONS!$A3784),MONTH(TRANSACTIONS!$A3784),DAY(TRANSACTIONS!$A3784)),"")</f>
        <v>45367</v>
      </c>
      <c r="C3784" s="49">
        <f>IF(A3784&lt;&gt;"",TIME(HOUR(TRANSACTIONS!$A3784),MINUTE(TRANSACTIONS!$A3784),SECOND(TRANSACTIONS!$A3784)),"")</f>
        <v>0.773900462962963</v>
      </c>
      <c r="D3784" s="82" t="s">
        <v>25</v>
      </c>
      <c r="E3784" s="82" t="s">
        <v>6</v>
      </c>
      <c r="F3784" s="88">
        <v>5000</v>
      </c>
      <c r="G3784" s="46"/>
      <c r="H3784" s="46">
        <f>IFERROR(TRANSACTIONS!$F3784+TRANSACTIONS!$G3784,"")</f>
        <v>5000</v>
      </c>
      <c r="I3784" s="40" t="s">
        <v>41</v>
      </c>
    </row>
    <row r="3785" spans="1:9" x14ac:dyDescent="0.25">
      <c r="A3785" s="41">
        <v>45367.773910532407</v>
      </c>
      <c r="B3785" s="48">
        <f>IF(A3785&lt;&gt;"",DATE(YEAR(TRANSACTIONS!$A3785),MONTH(TRANSACTIONS!$A3785),DAY(TRANSACTIONS!$A3785)),"")</f>
        <v>45367</v>
      </c>
      <c r="C3785" s="49">
        <f>IF(A3785&lt;&gt;"",TIME(HOUR(TRANSACTIONS!$A3785),MINUTE(TRANSACTIONS!$A3785),SECOND(TRANSACTIONS!$A3785)),"")</f>
        <v>0.77391203703703704</v>
      </c>
      <c r="D3785" s="82" t="s">
        <v>25</v>
      </c>
      <c r="E3785" s="82" t="s">
        <v>6</v>
      </c>
      <c r="F3785" s="88">
        <v>600</v>
      </c>
      <c r="G3785" s="46"/>
      <c r="H3785" s="46">
        <f>IFERROR(TRANSACTIONS!$F3785+TRANSACTIONS!$G3785,"")</f>
        <v>600</v>
      </c>
      <c r="I3785" s="40" t="s">
        <v>41</v>
      </c>
    </row>
    <row r="3786" spans="1:9" x14ac:dyDescent="0.25">
      <c r="A3786" s="41"/>
      <c r="B3786" s="48" t="str">
        <f>IF(A3786&lt;&gt;"",DATE(YEAR(TRANSACTIONS!$A3786),MONTH(TRANSACTIONS!$A3786),DAY(TRANSACTIONS!$A3786)),"")</f>
        <v/>
      </c>
      <c r="C3786" s="49" t="str">
        <f>IF(A3786&lt;&gt;"",TIME(HOUR(TRANSACTIONS!$A3786),MINUTE(TRANSACTIONS!$A3786),SECOND(TRANSACTIONS!$A3786)),"")</f>
        <v/>
      </c>
      <c r="D3786" s="82"/>
      <c r="E3786" s="82"/>
      <c r="F3786" s="88"/>
      <c r="G3786" s="46"/>
      <c r="H3786" s="46">
        <f>IFERROR(TRANSACTIONS!$F3786+TRANSACTIONS!$G3786,"")</f>
        <v>0</v>
      </c>
      <c r="I3786" s="40" t="s">
        <v>41</v>
      </c>
    </row>
    <row r="3787" spans="1:9" x14ac:dyDescent="0.25">
      <c r="A3787" s="41">
        <v>45369.386050000001</v>
      </c>
      <c r="B3787" s="48">
        <f>IF(A3787&lt;&gt;"",DATE(YEAR(TRANSACTIONS!$A3787),MONTH(TRANSACTIONS!$A3787),DAY(TRANSACTIONS!$A3787)),"")</f>
        <v>45369</v>
      </c>
      <c r="C3787" s="49">
        <f>IF(A3787&lt;&gt;"",TIME(HOUR(TRANSACTIONS!$A3787),MINUTE(TRANSACTIONS!$A3787),SECOND(TRANSACTIONS!$A3787)),"")</f>
        <v>0.38605324074074071</v>
      </c>
      <c r="D3787" s="82" t="s">
        <v>72</v>
      </c>
      <c r="E3787" s="82" t="s">
        <v>7</v>
      </c>
      <c r="F3787" s="88">
        <v>600000</v>
      </c>
      <c r="G3787" s="46"/>
      <c r="H3787" s="46">
        <f>IFERROR(TRANSACTIONS!$F3787+TRANSACTIONS!$G3787,"")</f>
        <v>600000</v>
      </c>
      <c r="I3787" s="40" t="s">
        <v>41</v>
      </c>
    </row>
    <row r="3788" spans="1:9" x14ac:dyDescent="0.25">
      <c r="A3788" s="41">
        <v>45369.386915162038</v>
      </c>
      <c r="B3788" s="48">
        <f>IF(A3788&lt;&gt;"",DATE(YEAR(TRANSACTIONS!$A3788),MONTH(TRANSACTIONS!$A3788),DAY(TRANSACTIONS!$A3788)),"")</f>
        <v>45369</v>
      </c>
      <c r="C3788" s="49">
        <f>IF(A3788&lt;&gt;"",TIME(HOUR(TRANSACTIONS!$A3788),MINUTE(TRANSACTIONS!$A3788),SECOND(TRANSACTIONS!$A3788)),"")</f>
        <v>0.3869097222222222</v>
      </c>
      <c r="D3788" s="82" t="s">
        <v>62</v>
      </c>
      <c r="E3788" s="82" t="s">
        <v>7</v>
      </c>
      <c r="F3788" s="88">
        <v>6000</v>
      </c>
      <c r="G3788" s="46"/>
      <c r="H3788" s="46">
        <f>IFERROR(TRANSACTIONS!$F3788+TRANSACTIONS!$G3788,"")</f>
        <v>6000</v>
      </c>
      <c r="I3788" s="40" t="s">
        <v>41</v>
      </c>
    </row>
    <row r="3789" spans="1:9" x14ac:dyDescent="0.25">
      <c r="A3789" s="41">
        <v>45369.400521875003</v>
      </c>
      <c r="B3789" s="48">
        <f>IF(A3789&lt;&gt;"",DATE(YEAR(TRANSACTIONS!$A3789),MONTH(TRANSACTIONS!$A3789),DAY(TRANSACTIONS!$A3789)),"")</f>
        <v>45369</v>
      </c>
      <c r="C3789" s="49">
        <f>IF(A3789&lt;&gt;"",TIME(HOUR(TRANSACTIONS!$A3789),MINUTE(TRANSACTIONS!$A3789),SECOND(TRANSACTIONS!$A3789)),"")</f>
        <v>0.40052083333333338</v>
      </c>
      <c r="D3789" s="82" t="s">
        <v>62</v>
      </c>
      <c r="E3789" s="82" t="s">
        <v>6</v>
      </c>
      <c r="F3789" s="88">
        <v>20000</v>
      </c>
      <c r="G3789" s="46"/>
      <c r="H3789" s="46">
        <f>IFERROR(TRANSACTIONS!$F3789+TRANSACTIONS!$G3789,"")</f>
        <v>20000</v>
      </c>
      <c r="I3789" s="40" t="s">
        <v>41</v>
      </c>
    </row>
    <row r="3790" spans="1:9" x14ac:dyDescent="0.25">
      <c r="A3790" s="41">
        <v>45369.400529629631</v>
      </c>
      <c r="B3790" s="48">
        <f>IF(A3790&lt;&gt;"",DATE(YEAR(TRANSACTIONS!$A3790),MONTH(TRANSACTIONS!$A3790),DAY(TRANSACTIONS!$A3790)),"")</f>
        <v>45369</v>
      </c>
      <c r="C3790" s="49">
        <f>IF(A3790&lt;&gt;"",TIME(HOUR(TRANSACTIONS!$A3790),MINUTE(TRANSACTIONS!$A3790),SECOND(TRANSACTIONS!$A3790)),"")</f>
        <v>0.40053240740740742</v>
      </c>
      <c r="D3790" s="82" t="s">
        <v>62</v>
      </c>
      <c r="E3790" s="82" t="s">
        <v>7</v>
      </c>
      <c r="F3790" s="88">
        <v>7000</v>
      </c>
      <c r="G3790" s="46"/>
      <c r="H3790" s="46">
        <f>IFERROR(TRANSACTIONS!$F3790+TRANSACTIONS!$G3790,"")</f>
        <v>7000</v>
      </c>
      <c r="I3790" s="40" t="s">
        <v>41</v>
      </c>
    </row>
    <row r="3791" spans="1:9" x14ac:dyDescent="0.25">
      <c r="A3791" s="41">
        <v>45369.400537499998</v>
      </c>
      <c r="B3791" s="48">
        <f>IF(A3791&lt;&gt;"",DATE(YEAR(TRANSACTIONS!$A3791),MONTH(TRANSACTIONS!$A3791),DAY(TRANSACTIONS!$A3791)),"")</f>
        <v>45369</v>
      </c>
      <c r="C3791" s="49">
        <f>IF(A3791&lt;&gt;"",TIME(HOUR(TRANSACTIONS!$A3791),MINUTE(TRANSACTIONS!$A3791),SECOND(TRANSACTIONS!$A3791)),"")</f>
        <v>0.40053240740740742</v>
      </c>
      <c r="D3791" s="82" t="s">
        <v>62</v>
      </c>
      <c r="E3791" s="82" t="s">
        <v>6</v>
      </c>
      <c r="F3791" s="88">
        <v>10500</v>
      </c>
      <c r="G3791" s="46"/>
      <c r="H3791" s="46">
        <f>IFERROR(TRANSACTIONS!$F3791+TRANSACTIONS!$G3791,"")</f>
        <v>10500</v>
      </c>
      <c r="I3791" s="40" t="s">
        <v>41</v>
      </c>
    </row>
    <row r="3792" spans="1:9" x14ac:dyDescent="0.25">
      <c r="A3792" s="41">
        <v>45369.400562731484</v>
      </c>
      <c r="B3792" s="48">
        <f>IF(A3792&lt;&gt;"",DATE(YEAR(TRANSACTIONS!$A3792),MONTH(TRANSACTIONS!$A3792),DAY(TRANSACTIONS!$A3792)),"")</f>
        <v>45369</v>
      </c>
      <c r="C3792" s="49">
        <f>IF(A3792&lt;&gt;"",TIME(HOUR(TRANSACTIONS!$A3792),MINUTE(TRANSACTIONS!$A3792),SECOND(TRANSACTIONS!$A3792)),"")</f>
        <v>0.40056712962962965</v>
      </c>
      <c r="D3792" s="82" t="s">
        <v>62</v>
      </c>
      <c r="E3792" s="82" t="s">
        <v>7</v>
      </c>
      <c r="F3792" s="88">
        <v>20000</v>
      </c>
      <c r="G3792" s="46"/>
      <c r="H3792" s="46">
        <f>IFERROR(TRANSACTIONS!$F3792+TRANSACTIONS!$G3792,"")</f>
        <v>20000</v>
      </c>
      <c r="I3792" s="40" t="s">
        <v>41</v>
      </c>
    </row>
    <row r="3793" spans="1:9" x14ac:dyDescent="0.25">
      <c r="A3793" s="41">
        <v>45369.400569212965</v>
      </c>
      <c r="B3793" s="48">
        <f>IF(A3793&lt;&gt;"",DATE(YEAR(TRANSACTIONS!$A3793),MONTH(TRANSACTIONS!$A3793),DAY(TRANSACTIONS!$A3793)),"")</f>
        <v>45369</v>
      </c>
      <c r="C3793" s="49">
        <f>IF(A3793&lt;&gt;"",TIME(HOUR(TRANSACTIONS!$A3793),MINUTE(TRANSACTIONS!$A3793),SECOND(TRANSACTIONS!$A3793)),"")</f>
        <v>0.40056712962962965</v>
      </c>
      <c r="D3793" s="82" t="s">
        <v>25</v>
      </c>
      <c r="E3793" s="82" t="s">
        <v>7</v>
      </c>
      <c r="F3793" s="88">
        <v>2000</v>
      </c>
      <c r="G3793" s="46"/>
      <c r="H3793" s="46">
        <f>IFERROR(TRANSACTIONS!$F3793+TRANSACTIONS!$G3793,"")</f>
        <v>2000</v>
      </c>
      <c r="I3793" s="40" t="s">
        <v>41</v>
      </c>
    </row>
    <row r="3794" spans="1:9" x14ac:dyDescent="0.25">
      <c r="A3794" s="41">
        <v>45369.401829050927</v>
      </c>
      <c r="B3794" s="48">
        <f>IF(A3794&lt;&gt;"",DATE(YEAR(TRANSACTIONS!$A3794),MONTH(TRANSACTIONS!$A3794),DAY(TRANSACTIONS!$A3794)),"")</f>
        <v>45369</v>
      </c>
      <c r="C3794" s="49">
        <f>IF(A3794&lt;&gt;"",TIME(HOUR(TRANSACTIONS!$A3794),MINUTE(TRANSACTIONS!$A3794),SECOND(TRANSACTIONS!$A3794)),"")</f>
        <v>0.40182870370370366</v>
      </c>
      <c r="D3794" s="82" t="s">
        <v>25</v>
      </c>
      <c r="E3794" s="82" t="s">
        <v>7</v>
      </c>
      <c r="F3794" s="88">
        <v>5000</v>
      </c>
      <c r="G3794" s="46"/>
      <c r="H3794" s="46">
        <f>IFERROR(TRANSACTIONS!$F3794+TRANSACTIONS!$G3794,"")</f>
        <v>5000</v>
      </c>
      <c r="I3794" s="40" t="s">
        <v>41</v>
      </c>
    </row>
    <row r="3795" spans="1:9" x14ac:dyDescent="0.25">
      <c r="A3795" s="41">
        <v>45369.401831944444</v>
      </c>
      <c r="B3795" s="48">
        <f>IF(A3795&lt;&gt;"",DATE(YEAR(TRANSACTIONS!$A3795),MONTH(TRANSACTIONS!$A3795),DAY(TRANSACTIONS!$A3795)),"")</f>
        <v>45369</v>
      </c>
      <c r="C3795" s="49">
        <f>IF(A3795&lt;&gt;"",TIME(HOUR(TRANSACTIONS!$A3795),MINUTE(TRANSACTIONS!$A3795),SECOND(TRANSACTIONS!$A3795)),"")</f>
        <v>0.40182870370370366</v>
      </c>
      <c r="D3795" s="82" t="s">
        <v>62</v>
      </c>
      <c r="E3795" s="82" t="s">
        <v>6</v>
      </c>
      <c r="F3795" s="88">
        <v>15000</v>
      </c>
      <c r="G3795" s="46"/>
      <c r="H3795" s="46">
        <f>IFERROR(TRANSACTIONS!$F3795+TRANSACTIONS!$G3795,"")</f>
        <v>15000</v>
      </c>
      <c r="I3795" s="40" t="s">
        <v>41</v>
      </c>
    </row>
    <row r="3796" spans="1:9" x14ac:dyDescent="0.25">
      <c r="A3796" s="41">
        <v>45369.40186273148</v>
      </c>
      <c r="B3796" s="48">
        <f>IF(A3796&lt;&gt;"",DATE(YEAR(TRANSACTIONS!$A3796),MONTH(TRANSACTIONS!$A3796),DAY(TRANSACTIONS!$A3796)),"")</f>
        <v>45369</v>
      </c>
      <c r="C3796" s="49">
        <f>IF(A3796&lt;&gt;"",TIME(HOUR(TRANSACTIONS!$A3796),MINUTE(TRANSACTIONS!$A3796),SECOND(TRANSACTIONS!$A3796)),"")</f>
        <v>0.40186342592592594</v>
      </c>
      <c r="D3796" s="82" t="s">
        <v>62</v>
      </c>
      <c r="E3796" s="82" t="s">
        <v>7</v>
      </c>
      <c r="F3796" s="88">
        <v>7000</v>
      </c>
      <c r="G3796" s="46"/>
      <c r="H3796" s="46">
        <f>IFERROR(TRANSACTIONS!$F3796+TRANSACTIONS!$G3796,"")</f>
        <v>7000</v>
      </c>
      <c r="I3796" s="40" t="s">
        <v>41</v>
      </c>
    </row>
    <row r="3797" spans="1:9" x14ac:dyDescent="0.25">
      <c r="A3797" s="41">
        <v>45369.438093171295</v>
      </c>
      <c r="B3797" s="48">
        <f>IF(A3797&lt;&gt;"",DATE(YEAR(TRANSACTIONS!$A3797),MONTH(TRANSACTIONS!$A3797),DAY(TRANSACTIONS!$A3797)),"")</f>
        <v>45369</v>
      </c>
      <c r="C3797" s="49">
        <f>IF(A3797&lt;&gt;"",TIME(HOUR(TRANSACTIONS!$A3797),MINUTE(TRANSACTIONS!$A3797),SECOND(TRANSACTIONS!$A3797)),"")</f>
        <v>0.43809027777777776</v>
      </c>
      <c r="D3797" s="82" t="s">
        <v>62</v>
      </c>
      <c r="E3797" s="82" t="s">
        <v>6</v>
      </c>
      <c r="F3797" s="88">
        <v>39900</v>
      </c>
      <c r="G3797" s="46"/>
      <c r="H3797" s="46">
        <f>IFERROR(TRANSACTIONS!$F3797+TRANSACTIONS!$G3797,"")</f>
        <v>39900</v>
      </c>
      <c r="I3797" s="40" t="s">
        <v>41</v>
      </c>
    </row>
    <row r="3798" spans="1:9" x14ac:dyDescent="0.25">
      <c r="A3798" s="41">
        <v>45369.438119791666</v>
      </c>
      <c r="B3798" s="48">
        <f>IF(A3798&lt;&gt;"",DATE(YEAR(TRANSACTIONS!$A3798),MONTH(TRANSACTIONS!$A3798),DAY(TRANSACTIONS!$A3798)),"")</f>
        <v>45369</v>
      </c>
      <c r="C3798" s="49">
        <f>IF(A3798&lt;&gt;"",TIME(HOUR(TRANSACTIONS!$A3798),MINUTE(TRANSACTIONS!$A3798),SECOND(TRANSACTIONS!$A3798)),"")</f>
        <v>0.43812500000000004</v>
      </c>
      <c r="D3798" s="82" t="s">
        <v>62</v>
      </c>
      <c r="E3798" s="82" t="s">
        <v>6</v>
      </c>
      <c r="F3798" s="88">
        <v>80000</v>
      </c>
      <c r="G3798" s="46"/>
      <c r="H3798" s="46">
        <f>IFERROR(TRANSACTIONS!$F3798+TRANSACTIONS!$G3798,"")</f>
        <v>80000</v>
      </c>
      <c r="I3798" s="40" t="s">
        <v>41</v>
      </c>
    </row>
    <row r="3799" spans="1:9" x14ac:dyDescent="0.25">
      <c r="A3799" s="41">
        <v>45369.438131134259</v>
      </c>
      <c r="B3799" s="48">
        <f>IF(A3799&lt;&gt;"",DATE(YEAR(TRANSACTIONS!$A3799),MONTH(TRANSACTIONS!$A3799),DAY(TRANSACTIONS!$A3799)),"")</f>
        <v>45369</v>
      </c>
      <c r="C3799" s="49">
        <f>IF(A3799&lt;&gt;"",TIME(HOUR(TRANSACTIONS!$A3799),MINUTE(TRANSACTIONS!$A3799),SECOND(TRANSACTIONS!$A3799)),"")</f>
        <v>0.43813657407407408</v>
      </c>
      <c r="D3799" s="82" t="s">
        <v>62</v>
      </c>
      <c r="E3799" s="82" t="s">
        <v>6</v>
      </c>
      <c r="F3799" s="88">
        <v>95000</v>
      </c>
      <c r="G3799" s="46"/>
      <c r="H3799" s="46">
        <f>IFERROR(TRANSACTIONS!$F3799+TRANSACTIONS!$G3799,"")</f>
        <v>95000</v>
      </c>
      <c r="I3799" s="40" t="s">
        <v>41</v>
      </c>
    </row>
    <row r="3800" spans="1:9" x14ac:dyDescent="0.25">
      <c r="A3800" s="41">
        <v>45369.438142245373</v>
      </c>
      <c r="B3800" s="48">
        <f>IF(A3800&lt;&gt;"",DATE(YEAR(TRANSACTIONS!$A3800),MONTH(TRANSACTIONS!$A3800),DAY(TRANSACTIONS!$A3800)),"")</f>
        <v>45369</v>
      </c>
      <c r="C3800" s="49">
        <f>IF(A3800&lt;&gt;"",TIME(HOUR(TRANSACTIONS!$A3800),MINUTE(TRANSACTIONS!$A3800),SECOND(TRANSACTIONS!$A3800)),"")</f>
        <v>0.43813657407407408</v>
      </c>
      <c r="D3800" s="82" t="s">
        <v>62</v>
      </c>
      <c r="E3800" s="82" t="s">
        <v>6</v>
      </c>
      <c r="F3800" s="88">
        <v>11200</v>
      </c>
      <c r="G3800" s="46"/>
      <c r="H3800" s="46">
        <f>IFERROR(TRANSACTIONS!$F3800+TRANSACTIONS!$G3800,"")</f>
        <v>11200</v>
      </c>
      <c r="I3800" s="40" t="s">
        <v>41</v>
      </c>
    </row>
    <row r="3801" spans="1:9" x14ac:dyDescent="0.25">
      <c r="A3801" s="41">
        <v>45369.438152893519</v>
      </c>
      <c r="B3801" s="48">
        <f>IF(A3801&lt;&gt;"",DATE(YEAR(TRANSACTIONS!$A3801),MONTH(TRANSACTIONS!$A3801),DAY(TRANSACTIONS!$A3801)),"")</f>
        <v>45369</v>
      </c>
      <c r="C3801" s="49">
        <f>IF(A3801&lt;&gt;"",TIME(HOUR(TRANSACTIONS!$A3801),MINUTE(TRANSACTIONS!$A3801),SECOND(TRANSACTIONS!$A3801)),"")</f>
        <v>0.43814814814814818</v>
      </c>
      <c r="D3801" s="82" t="s">
        <v>62</v>
      </c>
      <c r="E3801" s="82" t="s">
        <v>6</v>
      </c>
      <c r="F3801" s="88">
        <v>3000</v>
      </c>
      <c r="G3801" s="46"/>
      <c r="H3801" s="46">
        <f>IFERROR(TRANSACTIONS!$F3801+TRANSACTIONS!$G3801,"")</f>
        <v>3000</v>
      </c>
      <c r="I3801" s="40" t="s">
        <v>41</v>
      </c>
    </row>
    <row r="3802" spans="1:9" x14ac:dyDescent="0.25">
      <c r="A3802" s="41">
        <v>45369.438195949071</v>
      </c>
      <c r="B3802" s="48">
        <f>IF(A3802&lt;&gt;"",DATE(YEAR(TRANSACTIONS!$A3802),MONTH(TRANSACTIONS!$A3802),DAY(TRANSACTIONS!$A3802)),"")</f>
        <v>45369</v>
      </c>
      <c r="C3802" s="49">
        <f>IF(A3802&lt;&gt;"",TIME(HOUR(TRANSACTIONS!$A3802),MINUTE(TRANSACTIONS!$A3802),SECOND(TRANSACTIONS!$A3802)),"")</f>
        <v>0.4381944444444445</v>
      </c>
      <c r="D3802" s="82" t="s">
        <v>62</v>
      </c>
      <c r="E3802" s="82" t="s">
        <v>6</v>
      </c>
      <c r="F3802" s="88">
        <v>15000</v>
      </c>
      <c r="G3802" s="46"/>
      <c r="H3802" s="46">
        <f>IFERROR(TRANSACTIONS!$F3802+TRANSACTIONS!$G3802,"")</f>
        <v>15000</v>
      </c>
      <c r="I3802" s="40" t="s">
        <v>41</v>
      </c>
    </row>
    <row r="3803" spans="1:9" x14ac:dyDescent="0.25">
      <c r="A3803" s="41">
        <v>45369.438203703707</v>
      </c>
      <c r="B3803" s="48">
        <f>IF(A3803&lt;&gt;"",DATE(YEAR(TRANSACTIONS!$A3803),MONTH(TRANSACTIONS!$A3803),DAY(TRANSACTIONS!$A3803)),"")</f>
        <v>45369</v>
      </c>
      <c r="C3803" s="49">
        <f>IF(A3803&lt;&gt;"",TIME(HOUR(TRANSACTIONS!$A3803),MINUTE(TRANSACTIONS!$A3803),SECOND(TRANSACTIONS!$A3803)),"")</f>
        <v>0.43820601851851854</v>
      </c>
      <c r="D3803" s="82" t="s">
        <v>62</v>
      </c>
      <c r="E3803" s="82" t="s">
        <v>7</v>
      </c>
      <c r="F3803" s="88">
        <v>10000</v>
      </c>
      <c r="G3803" s="46"/>
      <c r="H3803" s="46">
        <f>IFERROR(TRANSACTIONS!$F3803+TRANSACTIONS!$G3803,"")</f>
        <v>10000</v>
      </c>
      <c r="I3803" s="40" t="s">
        <v>41</v>
      </c>
    </row>
    <row r="3804" spans="1:9" x14ac:dyDescent="0.25">
      <c r="A3804" s="41">
        <v>45369.438211111112</v>
      </c>
      <c r="B3804" s="48">
        <f>IF(A3804&lt;&gt;"",DATE(YEAR(TRANSACTIONS!$A3804),MONTH(TRANSACTIONS!$A3804),DAY(TRANSACTIONS!$A3804)),"")</f>
        <v>45369</v>
      </c>
      <c r="C3804" s="49">
        <f>IF(A3804&lt;&gt;"",TIME(HOUR(TRANSACTIONS!$A3804),MINUTE(TRANSACTIONS!$A3804),SECOND(TRANSACTIONS!$A3804)),"")</f>
        <v>0.43820601851851854</v>
      </c>
      <c r="D3804" s="82" t="s">
        <v>62</v>
      </c>
      <c r="E3804" s="82" t="s">
        <v>7</v>
      </c>
      <c r="F3804" s="88">
        <v>200000</v>
      </c>
      <c r="G3804" s="46"/>
      <c r="H3804" s="46">
        <f>IFERROR(TRANSACTIONS!$F3804+TRANSACTIONS!$G3804,"")</f>
        <v>200000</v>
      </c>
      <c r="I3804" s="110" t="s">
        <v>41</v>
      </c>
    </row>
    <row r="3805" spans="1:9" x14ac:dyDescent="0.25">
      <c r="A3805" s="41">
        <v>45369.438219097225</v>
      </c>
      <c r="B3805" s="48">
        <f>IF(A3805&lt;&gt;"",DATE(YEAR(TRANSACTIONS!$A3805),MONTH(TRANSACTIONS!$A3805),DAY(TRANSACTIONS!$A3805)),"")</f>
        <v>45369</v>
      </c>
      <c r="C3805" s="49">
        <f>IF(A3805&lt;&gt;"",TIME(HOUR(TRANSACTIONS!$A3805),MINUTE(TRANSACTIONS!$A3805),SECOND(TRANSACTIONS!$A3805)),"")</f>
        <v>0.43821759259259263</v>
      </c>
      <c r="D3805" s="82" t="s">
        <v>62</v>
      </c>
      <c r="E3805" s="82" t="s">
        <v>7</v>
      </c>
      <c r="F3805" s="88">
        <v>5000</v>
      </c>
      <c r="G3805" s="46"/>
      <c r="H3805" s="46">
        <f>IFERROR(TRANSACTIONS!$F3805+TRANSACTIONS!$G3805,"")</f>
        <v>5000</v>
      </c>
      <c r="I3805" s="40" t="s">
        <v>41</v>
      </c>
    </row>
    <row r="3806" spans="1:9" x14ac:dyDescent="0.25">
      <c r="A3806" s="41">
        <v>45369.438227199076</v>
      </c>
      <c r="B3806" s="48">
        <f>IF(A3806&lt;&gt;"",DATE(YEAR(TRANSACTIONS!$A3806),MONTH(TRANSACTIONS!$A3806),DAY(TRANSACTIONS!$A3806)),"")</f>
        <v>45369</v>
      </c>
      <c r="C3806" s="49">
        <f>IF(A3806&lt;&gt;"",TIME(HOUR(TRANSACTIONS!$A3806),MINUTE(TRANSACTIONS!$A3806),SECOND(TRANSACTIONS!$A3806)),"")</f>
        <v>0.43822916666666667</v>
      </c>
      <c r="D3806" s="82" t="s">
        <v>62</v>
      </c>
      <c r="E3806" s="82" t="s">
        <v>6</v>
      </c>
      <c r="F3806" s="88">
        <v>10000</v>
      </c>
      <c r="G3806" s="46"/>
      <c r="H3806" s="46">
        <f>IFERROR(TRANSACTIONS!$F3806+TRANSACTIONS!$G3806,"")</f>
        <v>10000</v>
      </c>
      <c r="I3806" s="40" t="s">
        <v>41</v>
      </c>
    </row>
    <row r="3807" spans="1:9" x14ac:dyDescent="0.25">
      <c r="A3807" s="41">
        <v>45369.438253009263</v>
      </c>
      <c r="B3807" s="48">
        <f>IF(A3807&lt;&gt;"",DATE(YEAR(TRANSACTIONS!$A3807),MONTH(TRANSACTIONS!$A3807),DAY(TRANSACTIONS!$A3807)),"")</f>
        <v>45369</v>
      </c>
      <c r="C3807" s="49">
        <f>IF(A3807&lt;&gt;"",TIME(HOUR(TRANSACTIONS!$A3807),MINUTE(TRANSACTIONS!$A3807),SECOND(TRANSACTIONS!$A3807)),"")</f>
        <v>0.4382523148148148</v>
      </c>
      <c r="D3807" s="82" t="s">
        <v>25</v>
      </c>
      <c r="E3807" s="82" t="s">
        <v>6</v>
      </c>
      <c r="F3807" s="88">
        <v>85000</v>
      </c>
      <c r="G3807" s="46"/>
      <c r="H3807" s="46">
        <f>IFERROR(TRANSACTIONS!$F3807+TRANSACTIONS!$G3807,"")</f>
        <v>85000</v>
      </c>
      <c r="I3807" s="40" t="s">
        <v>41</v>
      </c>
    </row>
    <row r="3808" spans="1:9" x14ac:dyDescent="0.25">
      <c r="A3808" s="41">
        <v>45369.438261689815</v>
      </c>
      <c r="B3808" s="48">
        <f>IF(A3808&lt;&gt;"",DATE(YEAR(TRANSACTIONS!$A3808),MONTH(TRANSACTIONS!$A3808),DAY(TRANSACTIONS!$A3808)),"")</f>
        <v>45369</v>
      </c>
      <c r="C3808" s="49">
        <f>IF(A3808&lt;&gt;"",TIME(HOUR(TRANSACTIONS!$A3808),MINUTE(TRANSACTIONS!$A3808),SECOND(TRANSACTIONS!$A3808)),"")</f>
        <v>0.43826388888888884</v>
      </c>
      <c r="D3808" s="82" t="s">
        <v>25</v>
      </c>
      <c r="E3808" s="82" t="s">
        <v>7</v>
      </c>
      <c r="F3808" s="88">
        <v>15000</v>
      </c>
      <c r="G3808" s="46"/>
      <c r="H3808" s="46">
        <f>IFERROR(TRANSACTIONS!$F3808+TRANSACTIONS!$G3808,"")</f>
        <v>15000</v>
      </c>
      <c r="I3808" s="40" t="s">
        <v>41</v>
      </c>
    </row>
    <row r="3809" spans="1:9" x14ac:dyDescent="0.25">
      <c r="A3809" s="41">
        <v>45369.438270023151</v>
      </c>
      <c r="B3809" s="48">
        <f>IF(A3809&lt;&gt;"",DATE(YEAR(TRANSACTIONS!$A3809),MONTH(TRANSACTIONS!$A3809),DAY(TRANSACTIONS!$A3809)),"")</f>
        <v>45369</v>
      </c>
      <c r="C3809" s="49">
        <f>IF(A3809&lt;&gt;"",TIME(HOUR(TRANSACTIONS!$A3809),MINUTE(TRANSACTIONS!$A3809),SECOND(TRANSACTIONS!$A3809)),"")</f>
        <v>0.43827546296296299</v>
      </c>
      <c r="D3809" s="82" t="s">
        <v>25</v>
      </c>
      <c r="E3809" s="82" t="s">
        <v>6</v>
      </c>
      <c r="F3809" s="88">
        <v>70000</v>
      </c>
      <c r="G3809" s="46"/>
      <c r="H3809" s="46">
        <f>IFERROR(TRANSACTIONS!$F3809+TRANSACTIONS!$G3809,"")</f>
        <v>70000</v>
      </c>
      <c r="I3809" s="40" t="s">
        <v>41</v>
      </c>
    </row>
    <row r="3810" spans="1:9" x14ac:dyDescent="0.25">
      <c r="A3810" s="81">
        <v>45369.438277314817</v>
      </c>
      <c r="B3810" s="83">
        <f>IF(A3810&lt;&gt;"",DATE(YEAR(TRANSACTIONS!$A3810),MONTH(TRANSACTIONS!$A3810),DAY(TRANSACTIONS!$A3810)),"")</f>
        <v>45369</v>
      </c>
      <c r="C3810" s="84">
        <f>IF(A3810&lt;&gt;"",TIME(HOUR(TRANSACTIONS!$A3810),MINUTE(TRANSACTIONS!$A3810),SECOND(TRANSACTIONS!$A3810)),"")</f>
        <v>0.43827546296296299</v>
      </c>
      <c r="D3810" s="82" t="s">
        <v>25</v>
      </c>
      <c r="E3810" s="82" t="s">
        <v>6</v>
      </c>
      <c r="F3810" s="88">
        <v>90000</v>
      </c>
      <c r="G3810" s="86"/>
      <c r="H3810" s="86">
        <f>IFERROR(TRANSACTIONS!$F3810+TRANSACTIONS!$G3810,"")</f>
        <v>90000</v>
      </c>
      <c r="I3810" s="88" t="s">
        <v>41</v>
      </c>
    </row>
    <row r="3811" spans="1:9" x14ac:dyDescent="0.25">
      <c r="A3811" s="41">
        <v>45369.438289699072</v>
      </c>
      <c r="B3811" s="48">
        <f>IF(A3811&lt;&gt;"",DATE(YEAR(TRANSACTIONS!$A3811),MONTH(TRANSACTIONS!$A3811),DAY(TRANSACTIONS!$A3811)),"")</f>
        <v>45369</v>
      </c>
      <c r="C3811" s="49">
        <f>IF(A3811&lt;&gt;"",TIME(HOUR(TRANSACTIONS!$A3811),MINUTE(TRANSACTIONS!$A3811),SECOND(TRANSACTIONS!$A3811)),"")</f>
        <v>0.43828703703703703</v>
      </c>
      <c r="D3811" s="82" t="s">
        <v>25</v>
      </c>
      <c r="E3811" s="82" t="s">
        <v>7</v>
      </c>
      <c r="F3811" s="88">
        <v>20000</v>
      </c>
      <c r="G3811" s="46"/>
      <c r="H3811" s="46">
        <f>IFERROR(TRANSACTIONS!$F3811+TRANSACTIONS!$G3811,"")</f>
        <v>20000</v>
      </c>
      <c r="I3811" s="40" t="s">
        <v>41</v>
      </c>
    </row>
    <row r="3812" spans="1:9" x14ac:dyDescent="0.25">
      <c r="A3812" s="71">
        <v>45369.438296990738</v>
      </c>
      <c r="B3812" s="73">
        <f>IF(A3812&lt;&gt;"",DATE(YEAR(TRANSACTIONS!$A3812),MONTH(TRANSACTIONS!$A3812),DAY(TRANSACTIONS!$A3812)),"")</f>
        <v>45369</v>
      </c>
      <c r="C3812" s="74">
        <f>IF(A3812&lt;&gt;"",TIME(HOUR(TRANSACTIONS!$A3812),MINUTE(TRANSACTIONS!$A3812),SECOND(TRANSACTIONS!$A3812)),"")</f>
        <v>0.43829861111111112</v>
      </c>
      <c r="D3812" s="72" t="s">
        <v>25</v>
      </c>
      <c r="E3812" s="72" t="s">
        <v>7</v>
      </c>
      <c r="F3812" s="76">
        <v>10000</v>
      </c>
      <c r="G3812" s="75"/>
      <c r="H3812" s="75">
        <f>IFERROR(TRANSACTIONS!$F3812+TRANSACTIONS!$G3812,"")</f>
        <v>10000</v>
      </c>
      <c r="I3812" s="76" t="s">
        <v>41</v>
      </c>
    </row>
    <row r="3813" spans="1:9" x14ac:dyDescent="0.25">
      <c r="A3813" s="41">
        <v>45369.438324768518</v>
      </c>
      <c r="B3813" s="48">
        <f>IF(A3813&lt;&gt;"",DATE(YEAR(TRANSACTIONS!$A3813),MONTH(TRANSACTIONS!$A3813),DAY(TRANSACTIONS!$A3813)),"")</f>
        <v>45369</v>
      </c>
      <c r="C3813" s="49">
        <f>IF(A3813&lt;&gt;"",TIME(HOUR(TRANSACTIONS!$A3813),MINUTE(TRANSACTIONS!$A3813),SECOND(TRANSACTIONS!$A3813)),"")</f>
        <v>0.43832175925925926</v>
      </c>
      <c r="D3813" s="82" t="s">
        <v>25</v>
      </c>
      <c r="E3813" s="82" t="s">
        <v>7</v>
      </c>
      <c r="F3813" s="88">
        <v>500000</v>
      </c>
      <c r="G3813" s="46"/>
      <c r="H3813" s="46">
        <f>IFERROR(TRANSACTIONS!$F3813+TRANSACTIONS!$G3813,"")</f>
        <v>500000</v>
      </c>
      <c r="I3813" s="40" t="s">
        <v>41</v>
      </c>
    </row>
    <row r="3814" spans="1:9" x14ac:dyDescent="0.25">
      <c r="A3814" s="41">
        <v>45369.438308217592</v>
      </c>
      <c r="B3814" s="48">
        <f>IF(A3814&lt;&gt;"",DATE(YEAR(TRANSACTIONS!$A3814),MONTH(TRANSACTIONS!$A3814),DAY(TRANSACTIONS!$A3814)),"")</f>
        <v>45369</v>
      </c>
      <c r="C3814" s="49">
        <f>IF(A3814&lt;&gt;"",TIME(HOUR(TRANSACTIONS!$A3814),MINUTE(TRANSACTIONS!$A3814),SECOND(TRANSACTIONS!$A3814)),"")</f>
        <v>0.43831018518518516</v>
      </c>
      <c r="D3814" s="82" t="s">
        <v>25</v>
      </c>
      <c r="E3814" s="82" t="s">
        <v>6</v>
      </c>
      <c r="F3814" s="88">
        <v>500000</v>
      </c>
      <c r="G3814" s="46"/>
      <c r="H3814" s="46">
        <f>IFERROR(TRANSACTIONS!$F3814+TRANSACTIONS!$G3814,"")</f>
        <v>500000</v>
      </c>
      <c r="I3814" s="40" t="s">
        <v>41</v>
      </c>
    </row>
    <row r="3815" spans="1:9" x14ac:dyDescent="0.25">
      <c r="A3815" s="41">
        <v>45369.438464583334</v>
      </c>
      <c r="B3815" s="48">
        <f>IF(A3815&lt;&gt;"",DATE(YEAR(TRANSACTIONS!$A3815),MONTH(TRANSACTIONS!$A3815),DAY(TRANSACTIONS!$A3815)),"")</f>
        <v>45369</v>
      </c>
      <c r="C3815" s="49">
        <f>IF(A3815&lt;&gt;"",TIME(HOUR(TRANSACTIONS!$A3815),MINUTE(TRANSACTIONS!$A3815),SECOND(TRANSACTIONS!$A3815)),"")</f>
        <v>0.43846064814814811</v>
      </c>
      <c r="D3815" s="82" t="s">
        <v>25</v>
      </c>
      <c r="E3815" s="82" t="s">
        <v>7</v>
      </c>
      <c r="F3815" s="88">
        <v>10000</v>
      </c>
      <c r="G3815" s="46"/>
      <c r="H3815" s="46">
        <f>IFERROR(TRANSACTIONS!$F3815+TRANSACTIONS!$G3815,"")</f>
        <v>10000</v>
      </c>
      <c r="I3815" s="40" t="s">
        <v>41</v>
      </c>
    </row>
    <row r="3816" spans="1:9" x14ac:dyDescent="0.25">
      <c r="A3816" s="81">
        <v>45369.440398611114</v>
      </c>
      <c r="B3816" s="83">
        <f>IF(A3816&lt;&gt;"",DATE(YEAR(TRANSACTIONS!$A3816),MONTH(TRANSACTIONS!$A3816),DAY(TRANSACTIONS!$A3816)),"")</f>
        <v>45369</v>
      </c>
      <c r="C3816" s="84">
        <f>IF(A3816&lt;&gt;"",TIME(HOUR(TRANSACTIONS!$A3816),MINUTE(TRANSACTIONS!$A3816),SECOND(TRANSACTIONS!$A3816)),"")</f>
        <v>0.44039351851851855</v>
      </c>
      <c r="D3816" s="82" t="s">
        <v>62</v>
      </c>
      <c r="E3816" s="82" t="s">
        <v>7</v>
      </c>
      <c r="F3816" s="88">
        <v>6000</v>
      </c>
      <c r="G3816" s="86"/>
      <c r="H3816" s="86">
        <f>IFERROR(TRANSACTIONS!$F3816+TRANSACTIONS!$G3816,"")</f>
        <v>6000</v>
      </c>
      <c r="I3816" s="88" t="s">
        <v>41</v>
      </c>
    </row>
    <row r="3817" spans="1:9" x14ac:dyDescent="0.25">
      <c r="A3817" s="41">
        <v>45369.440412962962</v>
      </c>
      <c r="B3817" s="48">
        <f>IF(A3817&lt;&gt;"",DATE(YEAR(TRANSACTIONS!$A3817),MONTH(TRANSACTIONS!$A3817),DAY(TRANSACTIONS!$A3817)),"")</f>
        <v>45369</v>
      </c>
      <c r="C3817" s="49">
        <f>IF(A3817&lt;&gt;"",TIME(HOUR(TRANSACTIONS!$A3817),MINUTE(TRANSACTIONS!$A3817),SECOND(TRANSACTIONS!$A3817)),"")</f>
        <v>0.44041666666666668</v>
      </c>
      <c r="D3817" s="82" t="s">
        <v>62</v>
      </c>
      <c r="E3817" s="82" t="s">
        <v>7</v>
      </c>
      <c r="F3817" s="88">
        <v>5000</v>
      </c>
      <c r="G3817" s="46"/>
      <c r="H3817" s="46">
        <f>IFERROR(TRANSACTIONS!$F3817+TRANSACTIONS!$G3817,"")</f>
        <v>5000</v>
      </c>
      <c r="I3817" s="40" t="s">
        <v>41</v>
      </c>
    </row>
    <row r="3818" spans="1:9" x14ac:dyDescent="0.25">
      <c r="A3818" s="41">
        <v>45369.504117476848</v>
      </c>
      <c r="B3818" s="48">
        <f>IF(A3818&lt;&gt;"",DATE(YEAR(TRANSACTIONS!$A3818),MONTH(TRANSACTIONS!$A3818),DAY(TRANSACTIONS!$A3818)),"")</f>
        <v>45369</v>
      </c>
      <c r="C3818" s="49">
        <f>IF(A3818&lt;&gt;"",TIME(HOUR(TRANSACTIONS!$A3818),MINUTE(TRANSACTIONS!$A3818),SECOND(TRANSACTIONS!$A3818)),"")</f>
        <v>0.50412037037037039</v>
      </c>
      <c r="D3818" s="82" t="s">
        <v>62</v>
      </c>
      <c r="E3818" s="82" t="s">
        <v>7</v>
      </c>
      <c r="F3818" s="88">
        <v>5000</v>
      </c>
      <c r="G3818" s="46"/>
      <c r="H3818" s="46">
        <f>IFERROR(TRANSACTIONS!$F3818+TRANSACTIONS!$G3818,"")</f>
        <v>5000</v>
      </c>
      <c r="I3818" s="40" t="s">
        <v>41</v>
      </c>
    </row>
    <row r="3819" spans="1:9" x14ac:dyDescent="0.25">
      <c r="A3819" s="41">
        <v>45369.504136689815</v>
      </c>
      <c r="B3819" s="48">
        <f>IF(A3819&lt;&gt;"",DATE(YEAR(TRANSACTIONS!$A3819),MONTH(TRANSACTIONS!$A3819),DAY(TRANSACTIONS!$A3819)),"")</f>
        <v>45369</v>
      </c>
      <c r="C3819" s="49">
        <f>IF(A3819&lt;&gt;"",TIME(HOUR(TRANSACTIONS!$A3819),MINUTE(TRANSACTIONS!$A3819),SECOND(TRANSACTIONS!$A3819)),"")</f>
        <v>0.50413194444444442</v>
      </c>
      <c r="D3819" s="82" t="s">
        <v>62</v>
      </c>
      <c r="E3819" s="82" t="s">
        <v>6</v>
      </c>
      <c r="F3819" s="88">
        <v>4000</v>
      </c>
      <c r="G3819" s="46"/>
      <c r="H3819" s="46">
        <f>IFERROR(TRANSACTIONS!$F3819+TRANSACTIONS!$G3819,"")</f>
        <v>4000</v>
      </c>
      <c r="I3819" s="40" t="s">
        <v>41</v>
      </c>
    </row>
    <row r="3820" spans="1:9" x14ac:dyDescent="0.25">
      <c r="A3820" s="41">
        <v>45369.504163773148</v>
      </c>
      <c r="B3820" s="48">
        <f>IF(A3820&lt;&gt;"",DATE(YEAR(TRANSACTIONS!$A3820),MONTH(TRANSACTIONS!$A3820),DAY(TRANSACTIONS!$A3820)),"")</f>
        <v>45369</v>
      </c>
      <c r="C3820" s="49">
        <f>IF(A3820&lt;&gt;"",TIME(HOUR(TRANSACTIONS!$A3820),MINUTE(TRANSACTIONS!$A3820),SECOND(TRANSACTIONS!$A3820)),"")</f>
        <v>0.50416666666666665</v>
      </c>
      <c r="D3820" s="82" t="s">
        <v>62</v>
      </c>
      <c r="E3820" s="82" t="s">
        <v>7</v>
      </c>
      <c r="F3820" s="88">
        <v>5000</v>
      </c>
      <c r="G3820" s="46"/>
      <c r="H3820" s="46">
        <f>IFERROR(TRANSACTIONS!$F3820+TRANSACTIONS!$G3820,"")</f>
        <v>5000</v>
      </c>
      <c r="I3820" s="40" t="s">
        <v>41</v>
      </c>
    </row>
    <row r="3821" spans="1:9" x14ac:dyDescent="0.25">
      <c r="A3821" s="41">
        <v>45369.5041724537</v>
      </c>
      <c r="B3821" s="48">
        <f>IF(A3821&lt;&gt;"",DATE(YEAR(TRANSACTIONS!$A3821),MONTH(TRANSACTIONS!$A3821),DAY(TRANSACTIONS!$A3821)),"")</f>
        <v>45369</v>
      </c>
      <c r="C3821" s="49">
        <f>IF(A3821&lt;&gt;"",TIME(HOUR(TRANSACTIONS!$A3821),MINUTE(TRANSACTIONS!$A3821),SECOND(TRANSACTIONS!$A3821)),"")</f>
        <v>0.50416666666666665</v>
      </c>
      <c r="D3821" s="82" t="s">
        <v>62</v>
      </c>
      <c r="E3821" s="82" t="s">
        <v>7</v>
      </c>
      <c r="F3821" s="88">
        <v>5000</v>
      </c>
      <c r="G3821" s="46"/>
      <c r="H3821" s="46">
        <f>IFERROR(TRANSACTIONS!$F3821+TRANSACTIONS!$G3821,"")</f>
        <v>5000</v>
      </c>
      <c r="I3821" s="40" t="s">
        <v>41</v>
      </c>
    </row>
    <row r="3822" spans="1:9" x14ac:dyDescent="0.25">
      <c r="A3822" s="41">
        <v>45369.504195023146</v>
      </c>
      <c r="B3822" s="48">
        <f>IF(A3822&lt;&gt;"",DATE(YEAR(TRANSACTIONS!$A3822),MONTH(TRANSACTIONS!$A3822),DAY(TRANSACTIONS!$A3822)),"")</f>
        <v>45369</v>
      </c>
      <c r="C3822" s="49">
        <f>IF(A3822&lt;&gt;"",TIME(HOUR(TRANSACTIONS!$A3822),MINUTE(TRANSACTIONS!$A3822),SECOND(TRANSACTIONS!$A3822)),"")</f>
        <v>0.50418981481481484</v>
      </c>
      <c r="D3822" s="82" t="s">
        <v>62</v>
      </c>
      <c r="E3822" s="82" t="s">
        <v>7</v>
      </c>
      <c r="F3822" s="88">
        <v>2000</v>
      </c>
      <c r="G3822" s="46"/>
      <c r="H3822" s="46">
        <f>IFERROR(TRANSACTIONS!$F3822+TRANSACTIONS!$G3822,"")</f>
        <v>2000</v>
      </c>
      <c r="I3822" s="40" t="s">
        <v>41</v>
      </c>
    </row>
    <row r="3823" spans="1:9" x14ac:dyDescent="0.25">
      <c r="A3823" s="41">
        <v>45369.504180555552</v>
      </c>
      <c r="B3823" s="48">
        <f>IF(A3823&lt;&gt;"",DATE(YEAR(TRANSACTIONS!$A3823),MONTH(TRANSACTIONS!$A3823),DAY(TRANSACTIONS!$A3823)),"")</f>
        <v>45369</v>
      </c>
      <c r="C3823" s="49">
        <f>IF(A3823&lt;&gt;"",TIME(HOUR(TRANSACTIONS!$A3823),MINUTE(TRANSACTIONS!$A3823),SECOND(TRANSACTIONS!$A3823)),"")</f>
        <v>0.5041782407407408</v>
      </c>
      <c r="D3823" s="82" t="s">
        <v>62</v>
      </c>
      <c r="E3823" s="82" t="s">
        <v>6</v>
      </c>
      <c r="F3823" s="88">
        <v>240000</v>
      </c>
      <c r="G3823" s="46"/>
      <c r="H3823" s="46">
        <f>IFERROR(TRANSACTIONS!$F3823+TRANSACTIONS!$G3823,"")</f>
        <v>240000</v>
      </c>
      <c r="I3823" s="40" t="s">
        <v>41</v>
      </c>
    </row>
    <row r="3824" spans="1:9" x14ac:dyDescent="0.25">
      <c r="A3824" s="41">
        <v>45369.504211342595</v>
      </c>
      <c r="B3824" s="48">
        <f>IF(A3824&lt;&gt;"",DATE(YEAR(TRANSACTIONS!$A3824),MONTH(TRANSACTIONS!$A3824),DAY(TRANSACTIONS!$A3824)),"")</f>
        <v>45369</v>
      </c>
      <c r="C3824" s="49">
        <f>IF(A3824&lt;&gt;"",TIME(HOUR(TRANSACTIONS!$A3824),MINUTE(TRANSACTIONS!$A3824),SECOND(TRANSACTIONS!$A3824)),"")</f>
        <v>0.50421296296296292</v>
      </c>
      <c r="D3824" s="82" t="s">
        <v>62</v>
      </c>
      <c r="E3824" s="82" t="s">
        <v>6</v>
      </c>
      <c r="F3824" s="88">
        <v>1000</v>
      </c>
      <c r="G3824" s="46"/>
      <c r="H3824" s="46">
        <f>IFERROR(TRANSACTIONS!$F3824+TRANSACTIONS!$G3824,"")</f>
        <v>1000</v>
      </c>
      <c r="I3824" s="40" t="s">
        <v>41</v>
      </c>
    </row>
    <row r="3825" spans="1:10" x14ac:dyDescent="0.25">
      <c r="A3825" s="41">
        <v>45369.504224999997</v>
      </c>
      <c r="B3825" s="48">
        <f>IF(A3825&lt;&gt;"",DATE(YEAR(TRANSACTIONS!$A3825),MONTH(TRANSACTIONS!$A3825),DAY(TRANSACTIONS!$A3825)),"")</f>
        <v>45369</v>
      </c>
      <c r="C3825" s="49">
        <f>IF(A3825&lt;&gt;"",TIME(HOUR(TRANSACTIONS!$A3825),MINUTE(TRANSACTIONS!$A3825),SECOND(TRANSACTIONS!$A3825)),"")</f>
        <v>0.50422453703703707</v>
      </c>
      <c r="D3825" s="82" t="s">
        <v>62</v>
      </c>
      <c r="E3825" s="82" t="s">
        <v>7</v>
      </c>
      <c r="F3825" s="88">
        <v>1000</v>
      </c>
      <c r="G3825" s="46"/>
      <c r="H3825" s="46">
        <f>IFERROR(TRANSACTIONS!$F3825+TRANSACTIONS!$G3825,"")</f>
        <v>1000</v>
      </c>
      <c r="I3825" s="40" t="s">
        <v>41</v>
      </c>
    </row>
    <row r="3826" spans="1:10" x14ac:dyDescent="0.25">
      <c r="A3826" s="41">
        <v>45369.504233217594</v>
      </c>
      <c r="B3826" s="48">
        <f>IF(A3826&lt;&gt;"",DATE(YEAR(TRANSACTIONS!$A3826),MONTH(TRANSACTIONS!$A3826),DAY(TRANSACTIONS!$A3826)),"")</f>
        <v>45369</v>
      </c>
      <c r="C3826" s="49">
        <f>IF(A3826&lt;&gt;"",TIME(HOUR(TRANSACTIONS!$A3826),MINUTE(TRANSACTIONS!$A3826),SECOND(TRANSACTIONS!$A3826)),"")</f>
        <v>0.50423611111111111</v>
      </c>
      <c r="D3826" s="82" t="s">
        <v>25</v>
      </c>
      <c r="E3826" s="82" t="s">
        <v>7</v>
      </c>
      <c r="F3826" s="88">
        <v>1000</v>
      </c>
      <c r="G3826" s="46"/>
      <c r="H3826" s="46">
        <f>IFERROR(TRANSACTIONS!$F3826+TRANSACTIONS!$G3826,"")</f>
        <v>1000</v>
      </c>
      <c r="I3826" s="40" t="s">
        <v>41</v>
      </c>
    </row>
    <row r="3827" spans="1:10" x14ac:dyDescent="0.25">
      <c r="A3827" s="41">
        <v>45369.504240277776</v>
      </c>
      <c r="B3827" s="48">
        <f>IF(A3827&lt;&gt;"",DATE(YEAR(TRANSACTIONS!$A3827),MONTH(TRANSACTIONS!$A3827),DAY(TRANSACTIONS!$A3827)),"")</f>
        <v>45369</v>
      </c>
      <c r="C3827" s="49">
        <f>IF(A3827&lt;&gt;"",TIME(HOUR(TRANSACTIONS!$A3827),MINUTE(TRANSACTIONS!$A3827),SECOND(TRANSACTIONS!$A3827)),"")</f>
        <v>0.50423611111111111</v>
      </c>
      <c r="D3827" s="82" t="s">
        <v>25</v>
      </c>
      <c r="E3827" s="82" t="s">
        <v>6</v>
      </c>
      <c r="F3827" s="88">
        <v>3000</v>
      </c>
      <c r="G3827" s="46"/>
      <c r="H3827" s="46">
        <f>IFERROR(TRANSACTIONS!$F3827+TRANSACTIONS!$G3827,"")</f>
        <v>3000</v>
      </c>
      <c r="I3827" s="40" t="s">
        <v>41</v>
      </c>
    </row>
    <row r="3828" spans="1:10" x14ac:dyDescent="0.25">
      <c r="A3828" s="41">
        <v>45369.504248148151</v>
      </c>
      <c r="B3828" s="48">
        <f>IF(A3828&lt;&gt;"",DATE(YEAR(TRANSACTIONS!$A3828),MONTH(TRANSACTIONS!$A3828),DAY(TRANSACTIONS!$A3828)),"")</f>
        <v>45369</v>
      </c>
      <c r="C3828" s="49">
        <f>IF(A3828&lt;&gt;"",TIME(HOUR(TRANSACTIONS!$A3828),MINUTE(TRANSACTIONS!$A3828),SECOND(TRANSACTIONS!$A3828)),"")</f>
        <v>0.50424768518518526</v>
      </c>
      <c r="D3828" s="82" t="s">
        <v>62</v>
      </c>
      <c r="E3828" s="82" t="s">
        <v>6</v>
      </c>
      <c r="F3828" s="88">
        <v>5050</v>
      </c>
      <c r="G3828" s="46"/>
      <c r="H3828" s="46">
        <f>IFERROR(TRANSACTIONS!$F3828+TRANSACTIONS!$G3828,"")</f>
        <v>5050</v>
      </c>
      <c r="I3828" s="40" t="s">
        <v>41</v>
      </c>
    </row>
    <row r="3829" spans="1:10" x14ac:dyDescent="0.25">
      <c r="A3829" s="41">
        <v>45369.526864583335</v>
      </c>
      <c r="B3829" s="48">
        <f>IF(A3829&lt;&gt;"",DATE(YEAR(TRANSACTIONS!$A3829),MONTH(TRANSACTIONS!$A3829),DAY(TRANSACTIONS!$A3829)),"")</f>
        <v>45369</v>
      </c>
      <c r="C3829" s="49">
        <f>IF(A3829&lt;&gt;"",TIME(HOUR(TRANSACTIONS!$A3829),MINUTE(TRANSACTIONS!$A3829),SECOND(TRANSACTIONS!$A3829)),"")</f>
        <v>0.52686342592592594</v>
      </c>
      <c r="D3829" s="82" t="s">
        <v>62</v>
      </c>
      <c r="E3829" s="82" t="s">
        <v>7</v>
      </c>
      <c r="F3829" s="88">
        <v>2500</v>
      </c>
      <c r="G3829" s="46"/>
      <c r="H3829" s="46">
        <f>IFERROR(TRANSACTIONS!$F3829+TRANSACTIONS!$G3829,"")</f>
        <v>2500</v>
      </c>
      <c r="I3829" s="40" t="s">
        <v>41</v>
      </c>
    </row>
    <row r="3830" spans="1:10" x14ac:dyDescent="0.25">
      <c r="A3830" s="41">
        <v>45369.53539837963</v>
      </c>
      <c r="B3830" s="48">
        <f>IF(A3830&lt;&gt;"",DATE(YEAR(TRANSACTIONS!$A3830),MONTH(TRANSACTIONS!$A3830),DAY(TRANSACTIONS!$A3830)),"")</f>
        <v>45369</v>
      </c>
      <c r="C3830" s="49">
        <f>IF(A3830&lt;&gt;"",TIME(HOUR(TRANSACTIONS!$A3830),MINUTE(TRANSACTIONS!$A3830),SECOND(TRANSACTIONS!$A3830)),"")</f>
        <v>0.53539351851851846</v>
      </c>
      <c r="D3830" s="82" t="s">
        <v>62</v>
      </c>
      <c r="E3830" s="82" t="s">
        <v>7</v>
      </c>
      <c r="F3830" s="88">
        <v>10000</v>
      </c>
      <c r="G3830" s="46"/>
      <c r="H3830" s="46">
        <f>IFERROR(TRANSACTIONS!$F3830+TRANSACTIONS!$G3830,"")</f>
        <v>10000</v>
      </c>
      <c r="I3830" s="40" t="s">
        <v>41</v>
      </c>
    </row>
    <row r="3831" spans="1:10" x14ac:dyDescent="0.25">
      <c r="A3831" s="113">
        <v>45369.535422106484</v>
      </c>
      <c r="B3831" s="114">
        <f>IF(A3831&lt;&gt;"",DATE(YEAR(TRANSACTIONS!$A3831),MONTH(TRANSACTIONS!$A3831),DAY(TRANSACTIONS!$A3831)),"")</f>
        <v>45369</v>
      </c>
      <c r="C3831" s="115">
        <f>IF(A3831&lt;&gt;"",TIME(HOUR(TRANSACTIONS!$A3831),MINUTE(TRANSACTIONS!$A3831),SECOND(TRANSACTIONS!$A3831)),"")</f>
        <v>0.53541666666666665</v>
      </c>
      <c r="D3831" s="82" t="s">
        <v>25</v>
      </c>
      <c r="E3831" s="116" t="s">
        <v>7</v>
      </c>
      <c r="F3831" s="88">
        <v>5000</v>
      </c>
      <c r="G3831" s="117"/>
      <c r="H3831" s="117">
        <f>IFERROR(TRANSACTIONS!$F3831+TRANSACTIONS!$G3831,"")</f>
        <v>5000</v>
      </c>
      <c r="I3831" s="118" t="s">
        <v>41</v>
      </c>
    </row>
    <row r="3832" spans="1:10" x14ac:dyDescent="0.25">
      <c r="A3832" s="113">
        <v>45369.535406712967</v>
      </c>
      <c r="B3832" s="114">
        <f>IF(A3832&lt;&gt;"",DATE(YEAR(TRANSACTIONS!$A3832),MONTH(TRANSACTIONS!$A3832),DAY(TRANSACTIONS!$A3832)),"")</f>
        <v>45369</v>
      </c>
      <c r="C3832" s="115">
        <f>IF(A3832&lt;&gt;"",TIME(HOUR(TRANSACTIONS!$A3832),MINUTE(TRANSACTIONS!$A3832),SECOND(TRANSACTIONS!$A3832)),"")</f>
        <v>0.53540509259259261</v>
      </c>
      <c r="D3832" s="116" t="s">
        <v>25</v>
      </c>
      <c r="E3832" s="40" t="s">
        <v>6</v>
      </c>
      <c r="F3832" s="118">
        <v>500</v>
      </c>
      <c r="G3832" s="117"/>
      <c r="H3832" s="117">
        <f>IFERROR(TRANSACTIONS!$F3832+TRANSACTIONS!$G3832,"")</f>
        <v>500</v>
      </c>
      <c r="I3832" s="118" t="s">
        <v>41</v>
      </c>
      <c r="J3832" s="118"/>
    </row>
    <row r="3833" spans="1:10" x14ac:dyDescent="0.25">
      <c r="A3833" s="113">
        <v>45369.535667939817</v>
      </c>
      <c r="B3833" s="114">
        <f>IF(A3833&lt;&gt;"",DATE(YEAR(TRANSACTIONS!$A3833),MONTH(TRANSACTIONS!$A3833),DAY(TRANSACTIONS!$A3833)),"")</f>
        <v>45369</v>
      </c>
      <c r="C3833" s="115">
        <f>IF(A3833&lt;&gt;"",TIME(HOUR(TRANSACTIONS!$A3833),MINUTE(TRANSACTIONS!$A3833),SECOND(TRANSACTIONS!$A3833)),"")</f>
        <v>0.53567129629629628</v>
      </c>
      <c r="D3833" s="116" t="s">
        <v>62</v>
      </c>
      <c r="E3833" s="116" t="s">
        <v>6</v>
      </c>
      <c r="F3833" s="116">
        <v>1000</v>
      </c>
      <c r="G3833" s="117"/>
      <c r="H3833" s="117">
        <f>IFERROR(TRANSACTIONS!$F3833+TRANSACTIONS!$G3833,"")</f>
        <v>1000</v>
      </c>
      <c r="I3833" s="118" t="s">
        <v>41</v>
      </c>
      <c r="J3833" s="118"/>
    </row>
    <row r="3834" spans="1:10" x14ac:dyDescent="0.25">
      <c r="A3834" s="113">
        <v>45369.535681712965</v>
      </c>
      <c r="B3834" s="114">
        <f>IF(A3834&lt;&gt;"",DATE(YEAR(TRANSACTIONS!$A3834),MONTH(TRANSACTIONS!$A3834),DAY(TRANSACTIONS!$A3834)),"")</f>
        <v>45369</v>
      </c>
      <c r="C3834" s="115">
        <f>IF(A3834&lt;&gt;"",TIME(HOUR(TRANSACTIONS!$A3834),MINUTE(TRANSACTIONS!$A3834),SECOND(TRANSACTIONS!$A3834)),"")</f>
        <v>0.53568287037037032</v>
      </c>
      <c r="D3834" s="116" t="s">
        <v>62</v>
      </c>
      <c r="E3834" s="116" t="s">
        <v>7</v>
      </c>
      <c r="F3834" s="118">
        <v>5000</v>
      </c>
      <c r="G3834" s="117"/>
      <c r="H3834" s="117">
        <f>IFERROR(TRANSACTIONS!$F3834+TRANSACTIONS!$G3834,"")</f>
        <v>5000</v>
      </c>
      <c r="I3834" s="118" t="s">
        <v>41</v>
      </c>
      <c r="J3834" s="118"/>
    </row>
    <row r="3835" spans="1:10" x14ac:dyDescent="0.25">
      <c r="A3835" s="41">
        <v>45369.562289814814</v>
      </c>
      <c r="B3835" s="48">
        <f>IF(A3835&lt;&gt;"",DATE(YEAR(TRANSACTIONS!$A3835),MONTH(TRANSACTIONS!$A3835),DAY(TRANSACTIONS!$A3835)),"")</f>
        <v>45369</v>
      </c>
      <c r="C3835" s="49">
        <f>IF(A3835&lt;&gt;"",TIME(HOUR(TRANSACTIONS!$A3835),MINUTE(TRANSACTIONS!$A3835),SECOND(TRANSACTIONS!$A3835)),"")</f>
        <v>0.56229166666666663</v>
      </c>
      <c r="D3835" s="82" t="s">
        <v>62</v>
      </c>
      <c r="E3835" s="82" t="s">
        <v>6</v>
      </c>
      <c r="F3835" s="88">
        <v>5000</v>
      </c>
      <c r="G3835" s="46"/>
      <c r="H3835" s="46">
        <f>IFERROR(TRANSACTIONS!$F3835+TRANSACTIONS!$G3835,"")</f>
        <v>5000</v>
      </c>
      <c r="I3835" s="40" t="s">
        <v>41</v>
      </c>
    </row>
    <row r="3836" spans="1:10" x14ac:dyDescent="0.25">
      <c r="A3836" s="113">
        <v>45369.562393749999</v>
      </c>
      <c r="B3836" s="114">
        <f>IF(A3836&lt;&gt;"",DATE(YEAR(TRANSACTIONS!$A3836),MONTH(TRANSACTIONS!$A3836),DAY(TRANSACTIONS!$A3836)),"")</f>
        <v>45369</v>
      </c>
      <c r="C3836" s="115">
        <f>IF(A3836&lt;&gt;"",TIME(HOUR(TRANSACTIONS!$A3836),MINUTE(TRANSACTIONS!$A3836),SECOND(TRANSACTIONS!$A3836)),"")</f>
        <v>0.56239583333333332</v>
      </c>
      <c r="D3836" s="82" t="s">
        <v>62</v>
      </c>
      <c r="E3836" s="82" t="s">
        <v>6</v>
      </c>
      <c r="F3836" s="88">
        <v>60000</v>
      </c>
      <c r="G3836" s="117"/>
      <c r="H3836" s="117">
        <f>IFERROR(TRANSACTIONS!$F3836+TRANSACTIONS!$G3836,"")</f>
        <v>60000</v>
      </c>
      <c r="I3836" s="118" t="s">
        <v>41</v>
      </c>
    </row>
    <row r="3837" spans="1:10" x14ac:dyDescent="0.25">
      <c r="A3837" s="81">
        <v>45369.562405787037</v>
      </c>
      <c r="B3837" s="83">
        <f>IF(A3837&lt;&gt;"",DATE(YEAR(TRANSACTIONS!$A3837),MONTH(TRANSACTIONS!$A3837),DAY(TRANSACTIONS!$A3837)),"")</f>
        <v>45369</v>
      </c>
      <c r="C3837" s="84">
        <f>IF(A3837&lt;&gt;"",TIME(HOUR(TRANSACTIONS!$A3837),MINUTE(TRANSACTIONS!$A3837),SECOND(TRANSACTIONS!$A3837)),"")</f>
        <v>0.56240740740740736</v>
      </c>
      <c r="D3837" s="82" t="s">
        <v>62</v>
      </c>
      <c r="E3837" s="82" t="s">
        <v>7</v>
      </c>
      <c r="F3837" s="88">
        <v>15000</v>
      </c>
      <c r="G3837" s="86"/>
      <c r="H3837" s="86">
        <f>IFERROR(TRANSACTIONS!$F3837+TRANSACTIONS!$G3837,"")</f>
        <v>15000</v>
      </c>
      <c r="I3837" s="88" t="s">
        <v>41</v>
      </c>
      <c r="J3837" s="88"/>
    </row>
    <row r="3838" spans="1:10" x14ac:dyDescent="0.25">
      <c r="A3838" s="113">
        <v>45369.562416203706</v>
      </c>
      <c r="B3838" s="114">
        <f>IF(A3838&lt;&gt;"",DATE(YEAR(TRANSACTIONS!$A3838),MONTH(TRANSACTIONS!$A3838),DAY(TRANSACTIONS!$A3838)),"")</f>
        <v>45369</v>
      </c>
      <c r="C3838" s="115">
        <f>IF(A3838&lt;&gt;"",TIME(HOUR(TRANSACTIONS!$A3838),MINUTE(TRANSACTIONS!$A3838),SECOND(TRANSACTIONS!$A3838)),"")</f>
        <v>0.56241898148148151</v>
      </c>
      <c r="D3838" s="82" t="s">
        <v>62</v>
      </c>
      <c r="E3838" s="82" t="s">
        <v>6</v>
      </c>
      <c r="F3838" s="88">
        <v>31000</v>
      </c>
      <c r="G3838" s="117"/>
      <c r="H3838" s="117">
        <f>IFERROR(TRANSACTIONS!$F3838+TRANSACTIONS!$G3838,"")</f>
        <v>31000</v>
      </c>
      <c r="I3838" s="118" t="s">
        <v>41</v>
      </c>
    </row>
    <row r="3839" spans="1:10" x14ac:dyDescent="0.25">
      <c r="A3839" s="113">
        <v>45369.562424768519</v>
      </c>
      <c r="B3839" s="114">
        <f>IF(A3839&lt;&gt;"",DATE(YEAR(TRANSACTIONS!$A3839),MONTH(TRANSACTIONS!$A3839),DAY(TRANSACTIONS!$A3839)),"")</f>
        <v>45369</v>
      </c>
      <c r="C3839" s="115">
        <f>IF(A3839&lt;&gt;"",TIME(HOUR(TRANSACTIONS!$A3839),MINUTE(TRANSACTIONS!$A3839),SECOND(TRANSACTIONS!$A3839)),"")</f>
        <v>0.56241898148148151</v>
      </c>
      <c r="D3839" s="82" t="s">
        <v>25</v>
      </c>
      <c r="E3839" s="82" t="s">
        <v>7</v>
      </c>
      <c r="F3839" s="88">
        <v>10000</v>
      </c>
      <c r="G3839" s="117"/>
      <c r="H3839" s="117">
        <f>IFERROR(TRANSACTIONS!$F3839+TRANSACTIONS!$G3839,"")</f>
        <v>10000</v>
      </c>
      <c r="I3839" s="118" t="s">
        <v>41</v>
      </c>
      <c r="J3839" s="118"/>
    </row>
    <row r="3840" spans="1:10" x14ac:dyDescent="0.25">
      <c r="A3840" s="81">
        <v>45369.562433564817</v>
      </c>
      <c r="B3840" s="83">
        <f>IF(A3840&lt;&gt;"",DATE(YEAR(TRANSACTIONS!$A3840),MONTH(TRANSACTIONS!$A3840),DAY(TRANSACTIONS!$A3840)),"")</f>
        <v>45369</v>
      </c>
      <c r="C3840" s="84">
        <f>IF(A3840&lt;&gt;"",TIME(HOUR(TRANSACTIONS!$A3840),MINUTE(TRANSACTIONS!$A3840),SECOND(TRANSACTIONS!$A3840)),"")</f>
        <v>0.56243055555555554</v>
      </c>
      <c r="D3840" s="82" t="s">
        <v>25</v>
      </c>
      <c r="E3840" s="82" t="s">
        <v>7</v>
      </c>
      <c r="F3840" s="88">
        <v>5000</v>
      </c>
      <c r="G3840" s="86"/>
      <c r="H3840" s="86">
        <f>IFERROR(TRANSACTIONS!$F3840+TRANSACTIONS!$G3840,"")</f>
        <v>5000</v>
      </c>
      <c r="I3840" s="88" t="s">
        <v>41</v>
      </c>
      <c r="J3840" s="88"/>
    </row>
    <row r="3841" spans="1:10" x14ac:dyDescent="0.25">
      <c r="A3841" s="81">
        <v>45369.562445138887</v>
      </c>
      <c r="B3841" s="83">
        <f>IF(A3841&lt;&gt;"",DATE(YEAR(TRANSACTIONS!$A3841),MONTH(TRANSACTIONS!$A3841),DAY(TRANSACTIONS!$A3841)),"")</f>
        <v>45369</v>
      </c>
      <c r="C3841" s="84">
        <f>IF(A3841&lt;&gt;"",TIME(HOUR(TRANSACTIONS!$A3841),MINUTE(TRANSACTIONS!$A3841),SECOND(TRANSACTIONS!$A3841)),"")</f>
        <v>0.56244212962962969</v>
      </c>
      <c r="D3841" s="82" t="s">
        <v>25</v>
      </c>
      <c r="E3841" s="82" t="s">
        <v>6</v>
      </c>
      <c r="F3841" s="88">
        <v>500</v>
      </c>
      <c r="G3841" s="86"/>
      <c r="H3841" s="86">
        <f>IFERROR(TRANSACTIONS!$F3841+TRANSACTIONS!$G3841,"")</f>
        <v>500</v>
      </c>
      <c r="I3841" s="88" t="s">
        <v>41</v>
      </c>
      <c r="J3841" s="88"/>
    </row>
    <row r="3842" spans="1:10" x14ac:dyDescent="0.25">
      <c r="A3842" s="41">
        <v>45369.563971296295</v>
      </c>
      <c r="B3842" s="48">
        <f>IF(A3842&lt;&gt;"",DATE(YEAR(TRANSACTIONS!$A3842),MONTH(TRANSACTIONS!$A3842),DAY(TRANSACTIONS!$A3842)),"")</f>
        <v>45369</v>
      </c>
      <c r="C3842" s="49">
        <f>IF(A3842&lt;&gt;"",TIME(HOUR(TRANSACTIONS!$A3842),MINUTE(TRANSACTIONS!$A3842),SECOND(TRANSACTIONS!$A3842)),"")</f>
        <v>0.56396990740740738</v>
      </c>
      <c r="D3842" s="82" t="s">
        <v>62</v>
      </c>
      <c r="E3842" s="82" t="s">
        <v>6</v>
      </c>
      <c r="F3842" s="88">
        <v>12625</v>
      </c>
      <c r="G3842" s="46"/>
      <c r="H3842" s="46">
        <f>IFERROR(TRANSACTIONS!$F3842+TRANSACTIONS!$G3842,"")</f>
        <v>12625</v>
      </c>
      <c r="I3842" s="40" t="s">
        <v>41</v>
      </c>
    </row>
    <row r="3843" spans="1:10" x14ac:dyDescent="0.25">
      <c r="A3843" s="41">
        <v>45369.564010185182</v>
      </c>
      <c r="B3843" s="48">
        <f>IF(A3843&lt;&gt;"",DATE(YEAR(TRANSACTIONS!$A3843),MONTH(TRANSACTIONS!$A3843),DAY(TRANSACTIONS!$A3843)),"")</f>
        <v>45369</v>
      </c>
      <c r="C3843" s="49">
        <f>IF(A3843&lt;&gt;"",TIME(HOUR(TRANSACTIONS!$A3843),MINUTE(TRANSACTIONS!$A3843),SECOND(TRANSACTIONS!$A3843)),"")</f>
        <v>0.56400462962962961</v>
      </c>
      <c r="D3843" s="82" t="s">
        <v>62</v>
      </c>
      <c r="E3843" s="82" t="s">
        <v>6</v>
      </c>
      <c r="F3843" s="88">
        <v>70000</v>
      </c>
      <c r="G3843" s="46"/>
      <c r="H3843" s="46">
        <f>IFERROR(TRANSACTIONS!$F3843+TRANSACTIONS!$G3843,"")</f>
        <v>70000</v>
      </c>
      <c r="I3843" s="40" t="s">
        <v>41</v>
      </c>
    </row>
    <row r="3844" spans="1:10" x14ac:dyDescent="0.25">
      <c r="A3844" s="41">
        <v>45369.564017592595</v>
      </c>
      <c r="B3844" s="48">
        <f>IF(A3844&lt;&gt;"",DATE(YEAR(TRANSACTIONS!$A3844),MONTH(TRANSACTIONS!$A3844),DAY(TRANSACTIONS!$A3844)),"")</f>
        <v>45369</v>
      </c>
      <c r="C3844" s="49">
        <f>IF(A3844&lt;&gt;"",TIME(HOUR(TRANSACTIONS!$A3844),MINUTE(TRANSACTIONS!$A3844),SECOND(TRANSACTIONS!$A3844)),"")</f>
        <v>0.56401620370370364</v>
      </c>
      <c r="D3844" s="82" t="s">
        <v>62</v>
      </c>
      <c r="E3844" s="82" t="s">
        <v>7</v>
      </c>
      <c r="F3844" s="88">
        <v>5000</v>
      </c>
      <c r="G3844" s="46"/>
      <c r="H3844" s="46">
        <f>IFERROR(TRANSACTIONS!$F3844+TRANSACTIONS!$G3844,"")</f>
        <v>5000</v>
      </c>
      <c r="I3844" s="40" t="s">
        <v>41</v>
      </c>
    </row>
    <row r="3845" spans="1:10" x14ac:dyDescent="0.25">
      <c r="A3845" s="41">
        <v>45369.564027546294</v>
      </c>
      <c r="B3845" s="48">
        <f>IF(A3845&lt;&gt;"",DATE(YEAR(TRANSACTIONS!$A3845),MONTH(TRANSACTIONS!$A3845),DAY(TRANSACTIONS!$A3845)),"")</f>
        <v>45369</v>
      </c>
      <c r="C3845" s="49">
        <f>IF(A3845&lt;&gt;"",TIME(HOUR(TRANSACTIONS!$A3845),MINUTE(TRANSACTIONS!$A3845),SECOND(TRANSACTIONS!$A3845)),"")</f>
        <v>0.56402777777777779</v>
      </c>
      <c r="D3845" s="82" t="s">
        <v>62</v>
      </c>
      <c r="E3845" s="82" t="s">
        <v>7</v>
      </c>
      <c r="F3845" s="88">
        <v>3000</v>
      </c>
      <c r="G3845" s="46"/>
      <c r="H3845" s="46">
        <f>IFERROR(TRANSACTIONS!$F3845+TRANSACTIONS!$G3845,"")</f>
        <v>3000</v>
      </c>
      <c r="I3845" s="40" t="s">
        <v>41</v>
      </c>
    </row>
    <row r="3846" spans="1:10" x14ac:dyDescent="0.25">
      <c r="A3846" s="41">
        <v>45369.613488888892</v>
      </c>
      <c r="B3846" s="48">
        <f>IF(A3846&lt;&gt;"",DATE(YEAR(TRANSACTIONS!$A3846),MONTH(TRANSACTIONS!$A3846),DAY(TRANSACTIONS!$A3846)),"")</f>
        <v>45369</v>
      </c>
      <c r="C3846" s="49">
        <f>IF(A3846&lt;&gt;"",TIME(HOUR(TRANSACTIONS!$A3846),MINUTE(TRANSACTIONS!$A3846),SECOND(TRANSACTIONS!$A3846)),"")</f>
        <v>0.61348379629629635</v>
      </c>
      <c r="D3846" s="82" t="s">
        <v>25</v>
      </c>
      <c r="E3846" s="82" t="s">
        <v>6</v>
      </c>
      <c r="F3846" s="88">
        <v>3000</v>
      </c>
      <c r="G3846" s="46"/>
      <c r="H3846" s="46">
        <f>IFERROR(TRANSACTIONS!$F3846+TRANSACTIONS!$G3846,"")</f>
        <v>3000</v>
      </c>
      <c r="I3846" s="40" t="s">
        <v>41</v>
      </c>
    </row>
    <row r="3847" spans="1:10" x14ac:dyDescent="0.25">
      <c r="A3847" s="41">
        <v>45369.613492129633</v>
      </c>
      <c r="B3847" s="48">
        <f>IF(A3847&lt;&gt;"",DATE(YEAR(TRANSACTIONS!$A3847),MONTH(TRANSACTIONS!$A3847),DAY(TRANSACTIONS!$A3847)),"")</f>
        <v>45369</v>
      </c>
      <c r="C3847" s="49">
        <f>IF(A3847&lt;&gt;"",TIME(HOUR(TRANSACTIONS!$A3847),MINUTE(TRANSACTIONS!$A3847),SECOND(TRANSACTIONS!$A3847)),"")</f>
        <v>0.61349537037037039</v>
      </c>
      <c r="D3847" s="82" t="s">
        <v>62</v>
      </c>
      <c r="E3847" s="82" t="s">
        <v>6</v>
      </c>
      <c r="F3847" s="88">
        <v>15150</v>
      </c>
      <c r="G3847" s="46"/>
      <c r="H3847" s="46">
        <f>IFERROR(TRANSACTIONS!$F3847+TRANSACTIONS!$G3847,"")</f>
        <v>15150</v>
      </c>
      <c r="I3847" s="40" t="s">
        <v>41</v>
      </c>
    </row>
    <row r="3848" spans="1:10" x14ac:dyDescent="0.25">
      <c r="A3848" s="41">
        <v>45369.613524189816</v>
      </c>
      <c r="B3848" s="48">
        <f>IF(A3848&lt;&gt;"",DATE(YEAR(TRANSACTIONS!$A3848),MONTH(TRANSACTIONS!$A3848),DAY(TRANSACTIONS!$A3848)),"")</f>
        <v>45369</v>
      </c>
      <c r="C3848" s="49">
        <f>IF(A3848&lt;&gt;"",TIME(HOUR(TRANSACTIONS!$A3848),MINUTE(TRANSACTIONS!$A3848),SECOND(TRANSACTIONS!$A3848)),"")</f>
        <v>0.61351851851851846</v>
      </c>
      <c r="D3848" s="82" t="s">
        <v>62</v>
      </c>
      <c r="E3848" s="82" t="s">
        <v>6</v>
      </c>
      <c r="F3848" s="88">
        <v>3000</v>
      </c>
      <c r="G3848" s="46"/>
      <c r="H3848" s="46">
        <f>IFERROR(TRANSACTIONS!$F3848+TRANSACTIONS!$G3848,"")</f>
        <v>3000</v>
      </c>
      <c r="I3848" s="40" t="s">
        <v>41</v>
      </c>
    </row>
    <row r="3849" spans="1:10" x14ac:dyDescent="0.25">
      <c r="A3849" s="41">
        <v>45369.620703009263</v>
      </c>
      <c r="B3849" s="48">
        <f>IF(A3849&lt;&gt;"",DATE(YEAR(TRANSACTIONS!$A3849),MONTH(TRANSACTIONS!$A3849),DAY(TRANSACTIONS!$A3849)),"")</f>
        <v>45369</v>
      </c>
      <c r="C3849" s="49">
        <f>IF(A3849&lt;&gt;"",TIME(HOUR(TRANSACTIONS!$A3849),MINUTE(TRANSACTIONS!$A3849),SECOND(TRANSACTIONS!$A3849)),"")</f>
        <v>0.62070601851851859</v>
      </c>
      <c r="D3849" s="82" t="s">
        <v>62</v>
      </c>
      <c r="E3849" s="82" t="s">
        <v>7</v>
      </c>
      <c r="F3849" s="88">
        <v>5000</v>
      </c>
      <c r="G3849" s="46"/>
      <c r="H3849" s="46">
        <f>IFERROR(TRANSACTIONS!$F3849+TRANSACTIONS!$G3849,"")</f>
        <v>5000</v>
      </c>
      <c r="I3849" s="40" t="s">
        <v>41</v>
      </c>
    </row>
    <row r="3850" spans="1:10" x14ac:dyDescent="0.25">
      <c r="A3850" s="41">
        <v>45369.632852662035</v>
      </c>
      <c r="B3850" s="48">
        <f>IF(A3850&lt;&gt;"",DATE(YEAR(TRANSACTIONS!$A3850),MONTH(TRANSACTIONS!$A3850),DAY(TRANSACTIONS!$A3850)),"")</f>
        <v>45369</v>
      </c>
      <c r="C3850" s="49">
        <f>IF(A3850&lt;&gt;"",TIME(HOUR(TRANSACTIONS!$A3850),MINUTE(TRANSACTIONS!$A3850),SECOND(TRANSACTIONS!$A3850)),"")</f>
        <v>0.63284722222222223</v>
      </c>
      <c r="D3850" s="82" t="s">
        <v>62</v>
      </c>
      <c r="E3850" s="82" t="s">
        <v>7</v>
      </c>
      <c r="F3850" s="88">
        <v>35000</v>
      </c>
      <c r="G3850" s="46"/>
      <c r="H3850" s="46">
        <f>IFERROR(TRANSACTIONS!$F3850+TRANSACTIONS!$G3850,"")</f>
        <v>35000</v>
      </c>
      <c r="I3850" s="40" t="s">
        <v>41</v>
      </c>
    </row>
    <row r="3851" spans="1:10" x14ac:dyDescent="0.25">
      <c r="A3851" s="41">
        <v>45369.63287361111</v>
      </c>
      <c r="B3851" s="48">
        <f>IF(A3851&lt;&gt;"",DATE(YEAR(TRANSACTIONS!$A3851),MONTH(TRANSACTIONS!$A3851),DAY(TRANSACTIONS!$A3851)),"")</f>
        <v>45369</v>
      </c>
      <c r="C3851" s="49">
        <f>IF(A3851&lt;&gt;"",TIME(HOUR(TRANSACTIONS!$A3851),MINUTE(TRANSACTIONS!$A3851),SECOND(TRANSACTIONS!$A3851)),"")</f>
        <v>0.63287037037037031</v>
      </c>
      <c r="D3851" s="82" t="s">
        <v>62</v>
      </c>
      <c r="E3851" s="82" t="s">
        <v>7</v>
      </c>
      <c r="F3851" s="88">
        <v>20900</v>
      </c>
      <c r="G3851" s="46"/>
      <c r="H3851" s="46">
        <f>IFERROR(TRANSACTIONS!$F3851+TRANSACTIONS!$G3851,"")</f>
        <v>20900</v>
      </c>
      <c r="I3851" s="40" t="s">
        <v>41</v>
      </c>
    </row>
    <row r="3852" spans="1:10" x14ac:dyDescent="0.25">
      <c r="A3852" s="41">
        <v>45369.632886111111</v>
      </c>
      <c r="B3852" s="48">
        <f>IF(A3852&lt;&gt;"",DATE(YEAR(TRANSACTIONS!$A3852),MONTH(TRANSACTIONS!$A3852),DAY(TRANSACTIONS!$A3852)),"")</f>
        <v>45369</v>
      </c>
      <c r="C3852" s="49">
        <f>IF(A3852&lt;&gt;"",TIME(HOUR(TRANSACTIONS!$A3852),MINUTE(TRANSACTIONS!$A3852),SECOND(TRANSACTIONS!$A3852)),"")</f>
        <v>0.63288194444444446</v>
      </c>
      <c r="D3852" s="82" t="s">
        <v>62</v>
      </c>
      <c r="E3852" s="82" t="s">
        <v>7</v>
      </c>
      <c r="F3852" s="88">
        <v>10500</v>
      </c>
      <c r="G3852" s="46"/>
      <c r="H3852" s="46">
        <f>IFERROR(TRANSACTIONS!$F3852+TRANSACTIONS!$G3852,"")</f>
        <v>10500</v>
      </c>
      <c r="I3852" s="40" t="s">
        <v>41</v>
      </c>
    </row>
    <row r="3853" spans="1:10" x14ac:dyDescent="0.25">
      <c r="A3853" s="41">
        <v>45369.63330833333</v>
      </c>
      <c r="B3853" s="48">
        <f>IF(A3853&lt;&gt;"",DATE(YEAR(TRANSACTIONS!$A3853),MONTH(TRANSACTIONS!$A3853),DAY(TRANSACTIONS!$A3853)),"")</f>
        <v>45369</v>
      </c>
      <c r="C3853" s="49">
        <f>IF(A3853&lt;&gt;"",TIME(HOUR(TRANSACTIONS!$A3853),MINUTE(TRANSACTIONS!$A3853),SECOND(TRANSACTIONS!$A3853)),"")</f>
        <v>0.63331018518518511</v>
      </c>
      <c r="D3853" s="82" t="s">
        <v>62</v>
      </c>
      <c r="E3853" s="82" t="s">
        <v>7</v>
      </c>
      <c r="F3853" s="88">
        <v>20000</v>
      </c>
      <c r="G3853" s="46"/>
      <c r="H3853" s="46">
        <f>IFERROR(TRANSACTIONS!$F3853+TRANSACTIONS!$G3853,"")</f>
        <v>20000</v>
      </c>
      <c r="I3853" s="40" t="s">
        <v>41</v>
      </c>
    </row>
    <row r="3854" spans="1:10" x14ac:dyDescent="0.25">
      <c r="A3854" s="41">
        <v>45369.633339583335</v>
      </c>
      <c r="B3854" s="48">
        <f>IF(A3854&lt;&gt;"",DATE(YEAR(TRANSACTIONS!$A3854),MONTH(TRANSACTIONS!$A3854),DAY(TRANSACTIONS!$A3854)),"")</f>
        <v>45369</v>
      </c>
      <c r="C3854" s="49">
        <f>IF(A3854&lt;&gt;"",TIME(HOUR(TRANSACTIONS!$A3854),MINUTE(TRANSACTIONS!$A3854),SECOND(TRANSACTIONS!$A3854)),"")</f>
        <v>0.63334490740740745</v>
      </c>
      <c r="D3854" s="82" t="s">
        <v>25</v>
      </c>
      <c r="E3854" s="82" t="s">
        <v>6</v>
      </c>
      <c r="F3854" s="88">
        <v>207000</v>
      </c>
      <c r="G3854" s="46"/>
      <c r="H3854" s="46">
        <f>IFERROR(TRANSACTIONS!$F3854+TRANSACTIONS!$G3854,"")</f>
        <v>207000</v>
      </c>
      <c r="I3854" s="40" t="s">
        <v>41</v>
      </c>
    </row>
    <row r="3855" spans="1:10" x14ac:dyDescent="0.25">
      <c r="A3855" s="81">
        <v>45369.633350694443</v>
      </c>
      <c r="B3855" s="83">
        <f>IF(A3855&lt;&gt;"",DATE(YEAR(TRANSACTIONS!$A3855),MONTH(TRANSACTIONS!$A3855),DAY(TRANSACTIONS!$A3855)),"")</f>
        <v>45369</v>
      </c>
      <c r="C3855" s="84">
        <f>IF(A3855&lt;&gt;"",TIME(HOUR(TRANSACTIONS!$A3855),MINUTE(TRANSACTIONS!$A3855),SECOND(TRANSACTIONS!$A3855)),"")</f>
        <v>0.63334490740740745</v>
      </c>
      <c r="D3855" s="82" t="s">
        <v>25</v>
      </c>
      <c r="E3855" s="82" t="s">
        <v>7</v>
      </c>
      <c r="F3855" s="88">
        <v>300000</v>
      </c>
      <c r="G3855" s="86"/>
      <c r="H3855" s="86">
        <f>IFERROR(TRANSACTIONS!$F3855+TRANSACTIONS!$G3855,"")</f>
        <v>300000</v>
      </c>
      <c r="I3855" s="88" t="s">
        <v>41</v>
      </c>
    </row>
    <row r="3856" spans="1:10" x14ac:dyDescent="0.25">
      <c r="A3856" s="41">
        <v>45369.633359490741</v>
      </c>
      <c r="B3856" s="48">
        <f>IF(A3856&lt;&gt;"",DATE(YEAR(TRANSACTIONS!$A3856),MONTH(TRANSACTIONS!$A3856),DAY(TRANSACTIONS!$A3856)),"")</f>
        <v>45369</v>
      </c>
      <c r="C3856" s="49">
        <f>IF(A3856&lt;&gt;"",TIME(HOUR(TRANSACTIONS!$A3856),MINUTE(TRANSACTIONS!$A3856),SECOND(TRANSACTIONS!$A3856)),"")</f>
        <v>0.63335648148148149</v>
      </c>
      <c r="D3856" s="82" t="s">
        <v>25</v>
      </c>
      <c r="E3856" s="82" t="s">
        <v>7</v>
      </c>
      <c r="F3856" s="88">
        <v>20000</v>
      </c>
      <c r="G3856" s="46"/>
      <c r="H3856" s="46">
        <f>IFERROR(TRANSACTIONS!$F3856+TRANSACTIONS!$G3856,"")</f>
        <v>20000</v>
      </c>
      <c r="I3856" s="40" t="s">
        <v>41</v>
      </c>
    </row>
    <row r="3857" spans="1:9" x14ac:dyDescent="0.25">
      <c r="A3857" s="41">
        <v>45369.633368055554</v>
      </c>
      <c r="B3857" s="48">
        <f>IF(A3857&lt;&gt;"",DATE(YEAR(TRANSACTIONS!$A3857),MONTH(TRANSACTIONS!$A3857),DAY(TRANSACTIONS!$A3857)),"")</f>
        <v>45369</v>
      </c>
      <c r="C3857" s="49">
        <f>IF(A3857&lt;&gt;"",TIME(HOUR(TRANSACTIONS!$A3857),MINUTE(TRANSACTIONS!$A3857),SECOND(TRANSACTIONS!$A3857)),"")</f>
        <v>0.63336805555555553</v>
      </c>
      <c r="D3857" s="82" t="s">
        <v>25</v>
      </c>
      <c r="E3857" s="82" t="s">
        <v>6</v>
      </c>
      <c r="F3857" s="88">
        <v>2000</v>
      </c>
      <c r="G3857" s="46"/>
      <c r="H3857" s="46">
        <f>IFERROR(TRANSACTIONS!$F3857+TRANSACTIONS!$G3857,"")</f>
        <v>2000</v>
      </c>
      <c r="I3857" s="40" t="s">
        <v>41</v>
      </c>
    </row>
    <row r="3858" spans="1:9" x14ac:dyDescent="0.25">
      <c r="A3858" s="41">
        <v>45369.633376736114</v>
      </c>
      <c r="B3858" s="48">
        <f>IF(A3858&lt;&gt;"",DATE(YEAR(TRANSACTIONS!$A3858),MONTH(TRANSACTIONS!$A3858),DAY(TRANSACTIONS!$A3858)),"")</f>
        <v>45369</v>
      </c>
      <c r="C3858" s="49">
        <f>IF(A3858&lt;&gt;"",TIME(HOUR(TRANSACTIONS!$A3858),MINUTE(TRANSACTIONS!$A3858),SECOND(TRANSACTIONS!$A3858)),"")</f>
        <v>0.63337962962962957</v>
      </c>
      <c r="D3858" s="82" t="s">
        <v>25</v>
      </c>
      <c r="E3858" s="82" t="s">
        <v>7</v>
      </c>
      <c r="F3858" s="88">
        <v>185000</v>
      </c>
      <c r="G3858" s="46"/>
      <c r="H3858" s="46">
        <f>IFERROR(TRANSACTIONS!$F3858+TRANSACTIONS!$G3858,"")</f>
        <v>185000</v>
      </c>
      <c r="I3858" s="40" t="s">
        <v>41</v>
      </c>
    </row>
    <row r="3859" spans="1:9" x14ac:dyDescent="0.25">
      <c r="A3859" s="113">
        <v>45369.659254861108</v>
      </c>
      <c r="B3859" s="114">
        <f>IF(A3859&lt;&gt;"",DATE(YEAR(TRANSACTIONS!$A3859),MONTH(TRANSACTIONS!$A3859),DAY(TRANSACTIONS!$A3859)),"")</f>
        <v>45369</v>
      </c>
      <c r="C3859" s="115">
        <f>IF(A3859&lt;&gt;"",TIME(HOUR(TRANSACTIONS!$A3859),MINUTE(TRANSACTIONS!$A3859),SECOND(TRANSACTIONS!$A3859)),"")</f>
        <v>0.65925925925925932</v>
      </c>
      <c r="D3859" s="82" t="s">
        <v>62</v>
      </c>
      <c r="E3859" s="82" t="s">
        <v>7</v>
      </c>
      <c r="F3859" s="88">
        <v>50000</v>
      </c>
      <c r="G3859" s="117"/>
      <c r="H3859" s="117">
        <f>IFERROR(TRANSACTIONS!$F3859+TRANSACTIONS!$G3859,"")</f>
        <v>50000</v>
      </c>
      <c r="I3859" s="118" t="s">
        <v>41</v>
      </c>
    </row>
    <row r="3860" spans="1:9" x14ac:dyDescent="0.25">
      <c r="A3860" s="41">
        <v>45369.659303703702</v>
      </c>
      <c r="B3860" s="48">
        <f>IF(A3860&lt;&gt;"",DATE(YEAR(TRANSACTIONS!$A3860),MONTH(TRANSACTIONS!$A3860),DAY(TRANSACTIONS!$A3860)),"")</f>
        <v>45369</v>
      </c>
      <c r="C3860" s="49">
        <f>IF(A3860&lt;&gt;"",TIME(HOUR(TRANSACTIONS!$A3860),MINUTE(TRANSACTIONS!$A3860),SECOND(TRANSACTIONS!$A3860)),"")</f>
        <v>0.65930555555555559</v>
      </c>
      <c r="D3860" s="82" t="s">
        <v>62</v>
      </c>
      <c r="E3860" s="82" t="s">
        <v>7</v>
      </c>
      <c r="F3860" s="88">
        <v>17000</v>
      </c>
      <c r="G3860" s="46"/>
      <c r="H3860" s="46">
        <f>IFERROR(TRANSACTIONS!$F3860+TRANSACTIONS!$G3860,"")</f>
        <v>17000</v>
      </c>
      <c r="I3860" s="40" t="s">
        <v>41</v>
      </c>
    </row>
    <row r="3861" spans="1:9" x14ac:dyDescent="0.25">
      <c r="A3861" s="41">
        <v>45369.65925798611</v>
      </c>
      <c r="B3861" s="48">
        <f>IF(A3861&lt;&gt;"",DATE(YEAR(TRANSACTIONS!$A3861),MONTH(TRANSACTIONS!$A3861),DAY(TRANSACTIONS!$A3861)),"")</f>
        <v>45369</v>
      </c>
      <c r="C3861" s="49">
        <f>IF(A3861&lt;&gt;"",TIME(HOUR(TRANSACTIONS!$A3861),MINUTE(TRANSACTIONS!$A3861),SECOND(TRANSACTIONS!$A3861)),"")</f>
        <v>0.65925925925925932</v>
      </c>
      <c r="D3861" s="82" t="s">
        <v>62</v>
      </c>
      <c r="E3861" s="82" t="s">
        <v>6</v>
      </c>
      <c r="F3861" s="88">
        <v>7000</v>
      </c>
      <c r="G3861" s="46"/>
      <c r="H3861" s="46">
        <f>IFERROR(TRANSACTIONS!$F3861+TRANSACTIONS!$G3861,"")</f>
        <v>7000</v>
      </c>
      <c r="I3861" s="40" t="s">
        <v>41</v>
      </c>
    </row>
    <row r="3862" spans="1:9" x14ac:dyDescent="0.25">
      <c r="A3862" s="41">
        <v>45369.659313310185</v>
      </c>
      <c r="B3862" s="48">
        <f>IF(A3862&lt;&gt;"",DATE(YEAR(TRANSACTIONS!$A3862),MONTH(TRANSACTIONS!$A3862),DAY(TRANSACTIONS!$A3862)),"")</f>
        <v>45369</v>
      </c>
      <c r="C3862" s="49">
        <f>IF(A3862&lt;&gt;"",TIME(HOUR(TRANSACTIONS!$A3862),MINUTE(TRANSACTIONS!$A3862),SECOND(TRANSACTIONS!$A3862)),"")</f>
        <v>0.65931712962962963</v>
      </c>
      <c r="D3862" s="82" t="s">
        <v>62</v>
      </c>
      <c r="E3862" s="82" t="s">
        <v>7</v>
      </c>
      <c r="F3862" s="88">
        <v>50000</v>
      </c>
      <c r="G3862" s="46"/>
      <c r="H3862" s="46">
        <f>IFERROR(TRANSACTIONS!$F3862+TRANSACTIONS!$G3862,"")</f>
        <v>50000</v>
      </c>
      <c r="I3862" s="40" t="s">
        <v>41</v>
      </c>
    </row>
    <row r="3863" spans="1:9" x14ac:dyDescent="0.25">
      <c r="A3863" s="41">
        <v>45369.659337847224</v>
      </c>
      <c r="B3863" s="48">
        <f>IF(A3863&lt;&gt;"",DATE(YEAR(TRANSACTIONS!$A3863),MONTH(TRANSACTIONS!$A3863),DAY(TRANSACTIONS!$A3863)),"")</f>
        <v>45369</v>
      </c>
      <c r="C3863" s="49">
        <f>IF(A3863&lt;&gt;"",TIME(HOUR(TRANSACTIONS!$A3863),MINUTE(TRANSACTIONS!$A3863),SECOND(TRANSACTIONS!$A3863)),"")</f>
        <v>0.65934027777777782</v>
      </c>
      <c r="D3863" s="82" t="s">
        <v>62</v>
      </c>
      <c r="E3863" s="82" t="s">
        <v>7</v>
      </c>
      <c r="F3863" s="88">
        <v>10000</v>
      </c>
      <c r="G3863" s="46"/>
      <c r="H3863" s="46">
        <f>IFERROR(TRANSACTIONS!$F3863+TRANSACTIONS!$G3863,"")</f>
        <v>10000</v>
      </c>
      <c r="I3863" s="40" t="s">
        <v>41</v>
      </c>
    </row>
    <row r="3864" spans="1:9" x14ac:dyDescent="0.25">
      <c r="A3864" s="41">
        <v>45369.659346759261</v>
      </c>
      <c r="B3864" s="48">
        <f>IF(A3864&lt;&gt;"",DATE(YEAR(TRANSACTIONS!$A3864),MONTH(TRANSACTIONS!$A3864),DAY(TRANSACTIONS!$A3864)),"")</f>
        <v>45369</v>
      </c>
      <c r="C3864" s="49">
        <f>IF(A3864&lt;&gt;"",TIME(HOUR(TRANSACTIONS!$A3864),MINUTE(TRANSACTIONS!$A3864),SECOND(TRANSACTIONS!$A3864)),"")</f>
        <v>0.65935185185185186</v>
      </c>
      <c r="D3864" s="82" t="s">
        <v>62</v>
      </c>
      <c r="E3864" s="82" t="s">
        <v>7</v>
      </c>
      <c r="F3864" s="88">
        <v>120000</v>
      </c>
      <c r="G3864" s="46"/>
      <c r="H3864" s="46">
        <f>IFERROR(TRANSACTIONS!$F3864+TRANSACTIONS!$G3864,"")</f>
        <v>120000</v>
      </c>
      <c r="I3864" s="40" t="s">
        <v>41</v>
      </c>
    </row>
    <row r="3865" spans="1:9" x14ac:dyDescent="0.25">
      <c r="A3865" s="41">
        <v>45369.659356018521</v>
      </c>
      <c r="B3865" s="48">
        <f>IF(A3865&lt;&gt;"",DATE(YEAR(TRANSACTIONS!$A3865),MONTH(TRANSACTIONS!$A3865),DAY(TRANSACTIONS!$A3865)),"")</f>
        <v>45369</v>
      </c>
      <c r="C3865" s="49">
        <f>IF(A3865&lt;&gt;"",TIME(HOUR(TRANSACTIONS!$A3865),MINUTE(TRANSACTIONS!$A3865),SECOND(TRANSACTIONS!$A3865)),"")</f>
        <v>0.65935185185185186</v>
      </c>
      <c r="D3865" s="82" t="s">
        <v>62</v>
      </c>
      <c r="E3865" s="82" t="s">
        <v>7</v>
      </c>
      <c r="F3865" s="88">
        <v>20000</v>
      </c>
      <c r="G3865" s="46"/>
      <c r="H3865" s="46">
        <f>IFERROR(TRANSACTIONS!$F3865+TRANSACTIONS!$G3865,"")</f>
        <v>20000</v>
      </c>
      <c r="I3865" s="40" t="s">
        <v>41</v>
      </c>
    </row>
    <row r="3866" spans="1:9" x14ac:dyDescent="0.25">
      <c r="A3866" s="41">
        <v>45369.659363888888</v>
      </c>
      <c r="B3866" s="48">
        <f>IF(A3866&lt;&gt;"",DATE(YEAR(TRANSACTIONS!$A3866),MONTH(TRANSACTIONS!$A3866),DAY(TRANSACTIONS!$A3866)),"")</f>
        <v>45369</v>
      </c>
      <c r="C3866" s="49">
        <f>IF(A3866&lt;&gt;"",TIME(HOUR(TRANSACTIONS!$A3866),MINUTE(TRANSACTIONS!$A3866),SECOND(TRANSACTIONS!$A3866)),"")</f>
        <v>0.65936342592592589</v>
      </c>
      <c r="D3866" s="82" t="s">
        <v>62</v>
      </c>
      <c r="E3866" s="82" t="s">
        <v>7</v>
      </c>
      <c r="F3866" s="88">
        <v>10000</v>
      </c>
      <c r="G3866" s="46"/>
      <c r="H3866" s="46">
        <f>IFERROR(TRANSACTIONS!$F3866+TRANSACTIONS!$G3866,"")</f>
        <v>10000</v>
      </c>
      <c r="I3866" s="40" t="s">
        <v>41</v>
      </c>
    </row>
    <row r="3867" spans="1:9" x14ac:dyDescent="0.25">
      <c r="A3867" s="41">
        <v>45369.659371527778</v>
      </c>
      <c r="B3867" s="48">
        <f>IF(A3867&lt;&gt;"",DATE(YEAR(TRANSACTIONS!$A3867),MONTH(TRANSACTIONS!$A3867),DAY(TRANSACTIONS!$A3867)),"")</f>
        <v>45369</v>
      </c>
      <c r="C3867" s="49">
        <f>IF(A3867&lt;&gt;"",TIME(HOUR(TRANSACTIONS!$A3867),MINUTE(TRANSACTIONS!$A3867),SECOND(TRANSACTIONS!$A3867)),"")</f>
        <v>0.65937499999999993</v>
      </c>
      <c r="D3867" s="82" t="s">
        <v>62</v>
      </c>
      <c r="E3867" s="82" t="s">
        <v>7</v>
      </c>
      <c r="F3867" s="88">
        <v>5000</v>
      </c>
      <c r="G3867" s="46"/>
      <c r="H3867" s="46">
        <f>IFERROR(TRANSACTIONS!$F3867+TRANSACTIONS!$G3867,"")</f>
        <v>5000</v>
      </c>
      <c r="I3867" s="40" t="s">
        <v>41</v>
      </c>
    </row>
    <row r="3868" spans="1:9" x14ac:dyDescent="0.25">
      <c r="A3868" s="41">
        <v>45369.689844560184</v>
      </c>
      <c r="B3868" s="48">
        <f>IF(A3868&lt;&gt;"",DATE(YEAR(TRANSACTIONS!$A3868),MONTH(TRANSACTIONS!$A3868),DAY(TRANSACTIONS!$A3868)),"")</f>
        <v>45369</v>
      </c>
      <c r="C3868" s="49">
        <f>IF(A3868&lt;&gt;"",TIME(HOUR(TRANSACTIONS!$A3868),MINUTE(TRANSACTIONS!$A3868),SECOND(TRANSACTIONS!$A3868)),"")</f>
        <v>0.68984953703703711</v>
      </c>
      <c r="D3868" s="82" t="s">
        <v>62</v>
      </c>
      <c r="E3868" s="82" t="s">
        <v>7</v>
      </c>
      <c r="F3868" s="88">
        <v>5000</v>
      </c>
      <c r="G3868" s="46"/>
      <c r="H3868" s="46">
        <f>IFERROR(TRANSACTIONS!$F3868+TRANSACTIONS!$G3868,"")</f>
        <v>5000</v>
      </c>
      <c r="I3868" s="40" t="s">
        <v>41</v>
      </c>
    </row>
    <row r="3869" spans="1:9" x14ac:dyDescent="0.25">
      <c r="A3869" s="41">
        <v>45369.689848032409</v>
      </c>
      <c r="B3869" s="48">
        <f>IF(A3869&lt;&gt;"",DATE(YEAR(TRANSACTIONS!$A3869),MONTH(TRANSACTIONS!$A3869),DAY(TRANSACTIONS!$A3869)),"")</f>
        <v>45369</v>
      </c>
      <c r="C3869" s="49">
        <f>IF(A3869&lt;&gt;"",TIME(HOUR(TRANSACTIONS!$A3869),MINUTE(TRANSACTIONS!$A3869),SECOND(TRANSACTIONS!$A3869)),"")</f>
        <v>0.68984953703703711</v>
      </c>
      <c r="D3869" s="82" t="s">
        <v>62</v>
      </c>
      <c r="E3869" s="82" t="s">
        <v>7</v>
      </c>
      <c r="F3869" s="88">
        <v>5000</v>
      </c>
      <c r="G3869" s="46"/>
      <c r="H3869" s="46">
        <f>IFERROR(TRANSACTIONS!$F3869+TRANSACTIONS!$G3869,"")</f>
        <v>5000</v>
      </c>
      <c r="I3869" s="40" t="s">
        <v>41</v>
      </c>
    </row>
    <row r="3870" spans="1:9" x14ac:dyDescent="0.25">
      <c r="A3870" s="41">
        <v>45369.6898806713</v>
      </c>
      <c r="B3870" s="48">
        <f>IF(A3870&lt;&gt;"",DATE(YEAR(TRANSACTIONS!$A3870),MONTH(TRANSACTIONS!$A3870),DAY(TRANSACTIONS!$A3870)),"")</f>
        <v>45369</v>
      </c>
      <c r="C3870" s="49">
        <f>IF(A3870&lt;&gt;"",TIME(HOUR(TRANSACTIONS!$A3870),MINUTE(TRANSACTIONS!$A3870),SECOND(TRANSACTIONS!$A3870)),"")</f>
        <v>0.68988425925925922</v>
      </c>
      <c r="D3870" s="82" t="s">
        <v>62</v>
      </c>
      <c r="E3870" s="82" t="s">
        <v>7</v>
      </c>
      <c r="F3870" s="88">
        <v>5000</v>
      </c>
      <c r="G3870" s="46"/>
      <c r="H3870" s="46">
        <f>IFERROR(TRANSACTIONS!$F3870+TRANSACTIONS!$G3870,"")</f>
        <v>5000</v>
      </c>
      <c r="I3870" s="40" t="s">
        <v>41</v>
      </c>
    </row>
    <row r="3871" spans="1:9" x14ac:dyDescent="0.25">
      <c r="A3871" s="41">
        <v>45369.689940509263</v>
      </c>
      <c r="B3871" s="48">
        <f>IF(A3871&lt;&gt;"",DATE(YEAR(TRANSACTIONS!$A3871),MONTH(TRANSACTIONS!$A3871),DAY(TRANSACTIONS!$A3871)),"")</f>
        <v>45369</v>
      </c>
      <c r="C3871" s="49">
        <f>IF(A3871&lt;&gt;"",TIME(HOUR(TRANSACTIONS!$A3871),MINUTE(TRANSACTIONS!$A3871),SECOND(TRANSACTIONS!$A3871)),"")</f>
        <v>0.68994212962962964</v>
      </c>
      <c r="D3871" s="82" t="s">
        <v>62</v>
      </c>
      <c r="E3871" s="82" t="s">
        <v>7</v>
      </c>
      <c r="F3871" s="88">
        <v>16000</v>
      </c>
      <c r="G3871" s="46"/>
      <c r="H3871" s="46">
        <f>IFERROR(TRANSACTIONS!$F3871+TRANSACTIONS!$G3871,"")</f>
        <v>16000</v>
      </c>
      <c r="I3871" s="40" t="s">
        <v>41</v>
      </c>
    </row>
    <row r="3872" spans="1:9" x14ac:dyDescent="0.25">
      <c r="A3872" s="41">
        <v>45369.689948611114</v>
      </c>
      <c r="B3872" s="48">
        <f>IF(A3872&lt;&gt;"",DATE(YEAR(TRANSACTIONS!$A3872),MONTH(TRANSACTIONS!$A3872),DAY(TRANSACTIONS!$A3872)),"")</f>
        <v>45369</v>
      </c>
      <c r="C3872" s="49">
        <f>IF(A3872&lt;&gt;"",TIME(HOUR(TRANSACTIONS!$A3872),MINUTE(TRANSACTIONS!$A3872),SECOND(TRANSACTIONS!$A3872)),"")</f>
        <v>0.68995370370370368</v>
      </c>
      <c r="D3872" s="82" t="s">
        <v>62</v>
      </c>
      <c r="E3872" s="82" t="s">
        <v>7</v>
      </c>
      <c r="F3872" s="88">
        <v>8500</v>
      </c>
      <c r="G3872" s="46"/>
      <c r="H3872" s="46">
        <f>IFERROR(TRANSACTIONS!$F3872+TRANSACTIONS!$G3872,"")</f>
        <v>8500</v>
      </c>
      <c r="I3872" s="40" t="s">
        <v>41</v>
      </c>
    </row>
    <row r="3873" spans="1:9" x14ac:dyDescent="0.25">
      <c r="A3873" s="41">
        <v>45369.689956828704</v>
      </c>
      <c r="B3873" s="48">
        <f>IF(A3873&lt;&gt;"",DATE(YEAR(TRANSACTIONS!$A3873),MONTH(TRANSACTIONS!$A3873),DAY(TRANSACTIONS!$A3873)),"")</f>
        <v>45369</v>
      </c>
      <c r="C3873" s="49">
        <f>IF(A3873&lt;&gt;"",TIME(HOUR(TRANSACTIONS!$A3873),MINUTE(TRANSACTIONS!$A3873),SECOND(TRANSACTIONS!$A3873)),"")</f>
        <v>0.68995370370370368</v>
      </c>
      <c r="D3873" s="82" t="s">
        <v>62</v>
      </c>
      <c r="E3873" s="82" t="s">
        <v>6</v>
      </c>
      <c r="F3873" s="88">
        <v>10100</v>
      </c>
      <c r="G3873" s="46"/>
      <c r="H3873" s="46">
        <f>IFERROR(TRANSACTIONS!$F3873+TRANSACTIONS!$G3873,"")</f>
        <v>10100</v>
      </c>
      <c r="I3873" s="40" t="s">
        <v>41</v>
      </c>
    </row>
    <row r="3874" spans="1:9" x14ac:dyDescent="0.25">
      <c r="A3874" s="41">
        <v>45369.747001388889</v>
      </c>
      <c r="B3874" s="48">
        <f>IF(A3874&lt;&gt;"",DATE(YEAR(TRANSACTIONS!$A3874),MONTH(TRANSACTIONS!$A3874),DAY(TRANSACTIONS!$A3874)),"")</f>
        <v>45369</v>
      </c>
      <c r="C3874" s="49">
        <f>IF(A3874&lt;&gt;"",TIME(HOUR(TRANSACTIONS!$A3874),MINUTE(TRANSACTIONS!$A3874),SECOND(TRANSACTIONS!$A3874)),"")</f>
        <v>0.74700231481481483</v>
      </c>
      <c r="D3874" s="82" t="s">
        <v>62</v>
      </c>
      <c r="E3874" s="82" t="s">
        <v>6</v>
      </c>
      <c r="F3874" s="88">
        <v>1500</v>
      </c>
      <c r="G3874" s="46"/>
      <c r="H3874" s="46">
        <f>IFERROR(TRANSACTIONS!$F3874+TRANSACTIONS!$G3874,"")</f>
        <v>1500</v>
      </c>
      <c r="I3874" s="40" t="s">
        <v>41</v>
      </c>
    </row>
    <row r="3875" spans="1:9" x14ac:dyDescent="0.25">
      <c r="A3875" s="41">
        <v>45369.747273379631</v>
      </c>
      <c r="B3875" s="48">
        <f>IF(A3875&lt;&gt;"",DATE(YEAR(TRANSACTIONS!$A3875),MONTH(TRANSACTIONS!$A3875),DAY(TRANSACTIONS!$A3875)),"")</f>
        <v>45369</v>
      </c>
      <c r="C3875" s="49">
        <f>IF(A3875&lt;&gt;"",TIME(HOUR(TRANSACTIONS!$A3875),MINUTE(TRANSACTIONS!$A3875),SECOND(TRANSACTIONS!$A3875)),"")</f>
        <v>0.7472685185185185</v>
      </c>
      <c r="D3875" s="82" t="s">
        <v>62</v>
      </c>
      <c r="E3875" s="82" t="s">
        <v>7</v>
      </c>
      <c r="F3875" s="88">
        <v>15000</v>
      </c>
      <c r="G3875" s="46"/>
      <c r="H3875" s="46">
        <f>IFERROR(TRANSACTIONS!$F3875+TRANSACTIONS!$G3875,"")</f>
        <v>15000</v>
      </c>
      <c r="I3875" s="40" t="s">
        <v>41</v>
      </c>
    </row>
    <row r="3876" spans="1:9" x14ac:dyDescent="0.25">
      <c r="A3876" s="41">
        <v>45369.74728275463</v>
      </c>
      <c r="B3876" s="48">
        <f>IF(A3876&lt;&gt;"",DATE(YEAR(TRANSACTIONS!$A3876),MONTH(TRANSACTIONS!$A3876),DAY(TRANSACTIONS!$A3876)),"")</f>
        <v>45369</v>
      </c>
      <c r="C3876" s="49">
        <f>IF(A3876&lt;&gt;"",TIME(HOUR(TRANSACTIONS!$A3876),MINUTE(TRANSACTIONS!$A3876),SECOND(TRANSACTIONS!$A3876)),"")</f>
        <v>0.74728009259259265</v>
      </c>
      <c r="D3876" s="82" t="s">
        <v>62</v>
      </c>
      <c r="E3876" s="82" t="s">
        <v>6</v>
      </c>
      <c r="F3876" s="88">
        <v>5000</v>
      </c>
      <c r="G3876" s="46"/>
      <c r="H3876" s="46">
        <f>IFERROR(TRANSACTIONS!$F3876+TRANSACTIONS!$G3876,"")</f>
        <v>5000</v>
      </c>
      <c r="I3876" s="40" t="s">
        <v>41</v>
      </c>
    </row>
    <row r="3877" spans="1:9" x14ac:dyDescent="0.25">
      <c r="A3877" s="41">
        <v>45369.747304861114</v>
      </c>
      <c r="B3877" s="48">
        <f>IF(A3877&lt;&gt;"",DATE(YEAR(TRANSACTIONS!$A3877),MONTH(TRANSACTIONS!$A3877),DAY(TRANSACTIONS!$A3877)),"")</f>
        <v>45369</v>
      </c>
      <c r="C3877" s="49">
        <f>IF(A3877&lt;&gt;"",TIME(HOUR(TRANSACTIONS!$A3877),MINUTE(TRANSACTIONS!$A3877),SECOND(TRANSACTIONS!$A3877)),"")</f>
        <v>0.74730324074074073</v>
      </c>
      <c r="D3877" s="82" t="s">
        <v>62</v>
      </c>
      <c r="E3877" s="82" t="s">
        <v>6</v>
      </c>
      <c r="F3877" s="88">
        <v>45000</v>
      </c>
      <c r="G3877" s="46"/>
      <c r="H3877" s="46">
        <f>IFERROR(TRANSACTIONS!$F3877+TRANSACTIONS!$G3877,"")</f>
        <v>45000</v>
      </c>
      <c r="I3877" s="40" t="s">
        <v>41</v>
      </c>
    </row>
    <row r="3878" spans="1:9" x14ac:dyDescent="0.25">
      <c r="A3878" s="41">
        <v>45369.747314351851</v>
      </c>
      <c r="B3878" s="48">
        <f>IF(A3878&lt;&gt;"",DATE(YEAR(TRANSACTIONS!$A3878),MONTH(TRANSACTIONS!$A3878),DAY(TRANSACTIONS!$A3878)),"")</f>
        <v>45369</v>
      </c>
      <c r="C3878" s="49">
        <f>IF(A3878&lt;&gt;"",TIME(HOUR(TRANSACTIONS!$A3878),MINUTE(TRANSACTIONS!$A3878),SECOND(TRANSACTIONS!$A3878)),"")</f>
        <v>0.74731481481481488</v>
      </c>
      <c r="D3878" s="82" t="s">
        <v>62</v>
      </c>
      <c r="E3878" s="82" t="s">
        <v>7</v>
      </c>
      <c r="F3878" s="88">
        <v>5000</v>
      </c>
      <c r="G3878" s="46"/>
      <c r="H3878" s="46">
        <f>IFERROR(TRANSACTIONS!$F3878+TRANSACTIONS!$G3878,"")</f>
        <v>5000</v>
      </c>
      <c r="I3878" s="40" t="s">
        <v>41</v>
      </c>
    </row>
    <row r="3879" spans="1:9" x14ac:dyDescent="0.25">
      <c r="A3879" s="41">
        <v>45369.747323495372</v>
      </c>
      <c r="B3879" s="48">
        <f>IF(A3879&lt;&gt;"",DATE(YEAR(TRANSACTIONS!$A3879),MONTH(TRANSACTIONS!$A3879),DAY(TRANSACTIONS!$A3879)),"")</f>
        <v>45369</v>
      </c>
      <c r="C3879" s="49">
        <f>IF(A3879&lt;&gt;"",TIME(HOUR(TRANSACTIONS!$A3879),MINUTE(TRANSACTIONS!$A3879),SECOND(TRANSACTIONS!$A3879)),"")</f>
        <v>0.74732638888888892</v>
      </c>
      <c r="D3879" s="82" t="s">
        <v>62</v>
      </c>
      <c r="E3879" s="82" t="s">
        <v>7</v>
      </c>
      <c r="F3879" s="88">
        <v>1000</v>
      </c>
      <c r="G3879" s="46"/>
      <c r="H3879" s="46">
        <f>IFERROR(TRANSACTIONS!$F3879+TRANSACTIONS!$G3879,"")</f>
        <v>1000</v>
      </c>
      <c r="I3879" s="40" t="s">
        <v>41</v>
      </c>
    </row>
    <row r="3880" spans="1:9" x14ac:dyDescent="0.25">
      <c r="A3880" s="41">
        <v>45369.747331597224</v>
      </c>
      <c r="B3880" s="48">
        <f>IF(A3880&lt;&gt;"",DATE(YEAR(TRANSACTIONS!$A3880),MONTH(TRANSACTIONS!$A3880),DAY(TRANSACTIONS!$A3880)),"")</f>
        <v>45369</v>
      </c>
      <c r="C3880" s="49">
        <f>IF(A3880&lt;&gt;"",TIME(HOUR(TRANSACTIONS!$A3880),MINUTE(TRANSACTIONS!$A3880),SECOND(TRANSACTIONS!$A3880)),"")</f>
        <v>0.74732638888888892</v>
      </c>
      <c r="D3880" s="82" t="s">
        <v>25</v>
      </c>
      <c r="E3880" s="82" t="s">
        <v>7</v>
      </c>
      <c r="F3880" s="88">
        <v>5000</v>
      </c>
      <c r="G3880" s="46"/>
      <c r="H3880" s="46">
        <f>IFERROR(TRANSACTIONS!$F3880+TRANSACTIONS!$G3880,"")</f>
        <v>5000</v>
      </c>
      <c r="I3880" s="40" t="s">
        <v>41</v>
      </c>
    </row>
    <row r="3881" spans="1:9" x14ac:dyDescent="0.25">
      <c r="A3881" s="41">
        <v>45369.747340740738</v>
      </c>
      <c r="B3881" s="48">
        <f>IF(A3881&lt;&gt;"",DATE(YEAR(TRANSACTIONS!$A3881),MONTH(TRANSACTIONS!$A3881),DAY(TRANSACTIONS!$A3881)),"")</f>
        <v>45369</v>
      </c>
      <c r="C3881" s="49">
        <f>IF(A3881&lt;&gt;"",TIME(HOUR(TRANSACTIONS!$A3881),MINUTE(TRANSACTIONS!$A3881),SECOND(TRANSACTIONS!$A3881)),"")</f>
        <v>0.74733796296296295</v>
      </c>
      <c r="D3881" s="82" t="s">
        <v>25</v>
      </c>
      <c r="E3881" s="82" t="s">
        <v>6</v>
      </c>
      <c r="F3881" s="88">
        <v>16000</v>
      </c>
      <c r="G3881" s="46"/>
      <c r="H3881" s="46">
        <f>IFERROR(TRANSACTIONS!$F3881+TRANSACTIONS!$G3881,"")</f>
        <v>16000</v>
      </c>
      <c r="I3881" s="40" t="s">
        <v>41</v>
      </c>
    </row>
    <row r="3882" spans="1:9" x14ac:dyDescent="0.25">
      <c r="A3882" s="41">
        <v>45369.747347685188</v>
      </c>
      <c r="B3882" s="48">
        <f>IF(A3882&lt;&gt;"",DATE(YEAR(TRANSACTIONS!$A3882),MONTH(TRANSACTIONS!$A3882),DAY(TRANSACTIONS!$A3882)),"")</f>
        <v>45369</v>
      </c>
      <c r="C3882" s="49">
        <f>IF(A3882&lt;&gt;"",TIME(HOUR(TRANSACTIONS!$A3882),MINUTE(TRANSACTIONS!$A3882),SECOND(TRANSACTIONS!$A3882)),"")</f>
        <v>0.74734953703703699</v>
      </c>
      <c r="D3882" s="82" t="s">
        <v>62</v>
      </c>
      <c r="E3882" s="82" t="s">
        <v>6</v>
      </c>
      <c r="F3882" s="88">
        <v>15000</v>
      </c>
      <c r="G3882" s="46"/>
      <c r="H3882" s="46">
        <f>IFERROR(TRANSACTIONS!$F3882+TRANSACTIONS!$G3882,"")</f>
        <v>15000</v>
      </c>
      <c r="I3882" s="40" t="s">
        <v>41</v>
      </c>
    </row>
    <row r="3883" spans="1:9" x14ac:dyDescent="0.25">
      <c r="A3883" s="41">
        <v>45369.747358101849</v>
      </c>
      <c r="B3883" s="48">
        <f>IF(A3883&lt;&gt;"",DATE(YEAR(TRANSACTIONS!$A3883),MONTH(TRANSACTIONS!$A3883),DAY(TRANSACTIONS!$A3883)),"")</f>
        <v>45369</v>
      </c>
      <c r="C3883" s="49">
        <f>IF(A3883&lt;&gt;"",TIME(HOUR(TRANSACTIONS!$A3883),MINUTE(TRANSACTIONS!$A3883),SECOND(TRANSACTIONS!$A3883)),"")</f>
        <v>0.74736111111111114</v>
      </c>
      <c r="D3883" s="82" t="s">
        <v>62</v>
      </c>
      <c r="E3883" s="82" t="s">
        <v>7</v>
      </c>
      <c r="F3883" s="88">
        <v>5000</v>
      </c>
      <c r="G3883" s="46"/>
      <c r="H3883" s="46">
        <f>IFERROR(TRANSACTIONS!$F3883+TRANSACTIONS!$G3883,"")</f>
        <v>5000</v>
      </c>
      <c r="I3883" s="40" t="s">
        <v>41</v>
      </c>
    </row>
    <row r="3884" spans="1:9" x14ac:dyDescent="0.25">
      <c r="A3884" s="41">
        <v>45369.751657754627</v>
      </c>
      <c r="B3884" s="48">
        <f>IF(A3884&lt;&gt;"",DATE(YEAR(TRANSACTIONS!$A3884),MONTH(TRANSACTIONS!$A3884),DAY(TRANSACTIONS!$A3884)),"")</f>
        <v>45369</v>
      </c>
      <c r="C3884" s="49">
        <f>IF(A3884&lt;&gt;"",TIME(HOUR(TRANSACTIONS!$A3884),MINUTE(TRANSACTIONS!$A3884),SECOND(TRANSACTIONS!$A3884)),"")</f>
        <v>0.75165509259259267</v>
      </c>
      <c r="D3884" s="82" t="s">
        <v>62</v>
      </c>
      <c r="E3884" s="82" t="s">
        <v>6</v>
      </c>
      <c r="F3884" s="88">
        <v>150000</v>
      </c>
      <c r="G3884" s="46"/>
      <c r="H3884" s="46">
        <f>IFERROR(TRANSACTIONS!$F3884+TRANSACTIONS!$G3884,"")</f>
        <v>150000</v>
      </c>
      <c r="I3884" s="40" t="s">
        <v>41</v>
      </c>
    </row>
    <row r="3885" spans="1:9" x14ac:dyDescent="0.25">
      <c r="A3885" s="81">
        <v>45369.751660995367</v>
      </c>
      <c r="B3885" s="83">
        <f>IF(A3885&lt;&gt;"",DATE(YEAR(TRANSACTIONS!$A3885),MONTH(TRANSACTIONS!$A3885),DAY(TRANSACTIONS!$A3885)),"")</f>
        <v>45369</v>
      </c>
      <c r="C3885" s="84">
        <f>IF(A3885&lt;&gt;"",TIME(HOUR(TRANSACTIONS!$A3885),MINUTE(TRANSACTIONS!$A3885),SECOND(TRANSACTIONS!$A3885)),"")</f>
        <v>0.75166666666666659</v>
      </c>
      <c r="D3885" s="82" t="s">
        <v>62</v>
      </c>
      <c r="E3885" s="82" t="s">
        <v>7</v>
      </c>
      <c r="F3885" s="88">
        <v>1500</v>
      </c>
      <c r="G3885" s="86"/>
      <c r="H3885" s="86">
        <f>IFERROR(TRANSACTIONS!$F3885+TRANSACTIONS!$G3885,"")</f>
        <v>1500</v>
      </c>
      <c r="I3885" s="88" t="s">
        <v>41</v>
      </c>
    </row>
    <row r="3886" spans="1:9" x14ac:dyDescent="0.25">
      <c r="A3886" s="41">
        <v>45369.751717245374</v>
      </c>
      <c r="B3886" s="48">
        <f>IF(A3886&lt;&gt;"",DATE(YEAR(TRANSACTIONS!$A3886),MONTH(TRANSACTIONS!$A3886),DAY(TRANSACTIONS!$A3886)),"")</f>
        <v>45369</v>
      </c>
      <c r="C3886" s="49">
        <f>IF(A3886&lt;&gt;"",TIME(HOUR(TRANSACTIONS!$A3886),MINUTE(TRANSACTIONS!$A3886),SECOND(TRANSACTIONS!$A3886)),"")</f>
        <v>0.75171296296296297</v>
      </c>
      <c r="D3886" s="82" t="s">
        <v>62</v>
      </c>
      <c r="E3886" s="82" t="s">
        <v>6</v>
      </c>
      <c r="F3886" s="88">
        <v>9000</v>
      </c>
      <c r="G3886" s="46"/>
      <c r="H3886" s="46">
        <f>IFERROR(TRANSACTIONS!$F3886+TRANSACTIONS!$G3886,"")</f>
        <v>9000</v>
      </c>
      <c r="I3886" s="40" t="s">
        <v>41</v>
      </c>
    </row>
    <row r="3887" spans="1:9" x14ac:dyDescent="0.25">
      <c r="A3887" s="41">
        <v>45369.755322569443</v>
      </c>
      <c r="B3887" s="48">
        <f>IF(A3887&lt;&gt;"",DATE(YEAR(TRANSACTIONS!$A3887),MONTH(TRANSACTIONS!$A3887),DAY(TRANSACTIONS!$A3887)),"")</f>
        <v>45369</v>
      </c>
      <c r="C3887" s="49">
        <f>IF(A3887&lt;&gt;"",TIME(HOUR(TRANSACTIONS!$A3887),MINUTE(TRANSACTIONS!$A3887),SECOND(TRANSACTIONS!$A3887)),"")</f>
        <v>0.75532407407407398</v>
      </c>
      <c r="D3887" s="82" t="s">
        <v>62</v>
      </c>
      <c r="E3887" s="82" t="s">
        <v>6</v>
      </c>
      <c r="F3887" s="88">
        <v>13000</v>
      </c>
      <c r="G3887" s="46"/>
      <c r="H3887" s="46">
        <f>IFERROR(TRANSACTIONS!$F3887+TRANSACTIONS!$G3887,"")</f>
        <v>13000</v>
      </c>
      <c r="I3887" s="40" t="s">
        <v>41</v>
      </c>
    </row>
    <row r="3888" spans="1:9" x14ac:dyDescent="0.25">
      <c r="A3888" s="41">
        <v>45369.75532546296</v>
      </c>
      <c r="B3888" s="48">
        <f>IF(A3888&lt;&gt;"",DATE(YEAR(TRANSACTIONS!$A3888),MONTH(TRANSACTIONS!$A3888),DAY(TRANSACTIONS!$A3888)),"")</f>
        <v>45369</v>
      </c>
      <c r="C3888" s="49">
        <f>IF(A3888&lt;&gt;"",TIME(HOUR(TRANSACTIONS!$A3888),MINUTE(TRANSACTIONS!$A3888),SECOND(TRANSACTIONS!$A3888)),"")</f>
        <v>0.75532407407407398</v>
      </c>
      <c r="D3888" s="82" t="s">
        <v>25</v>
      </c>
      <c r="E3888" s="82" t="s">
        <v>7</v>
      </c>
      <c r="F3888" s="88">
        <v>3000</v>
      </c>
      <c r="G3888" s="46"/>
      <c r="H3888" s="46">
        <f>IFERROR(TRANSACTIONS!$F3888+TRANSACTIONS!$G3888,"")</f>
        <v>3000</v>
      </c>
      <c r="I3888" s="40" t="s">
        <v>41</v>
      </c>
    </row>
    <row r="3889" spans="1:9" x14ac:dyDescent="0.25">
      <c r="A3889" s="41"/>
      <c r="B3889" s="48" t="str">
        <f>IF(A3889&lt;&gt;"",DATE(YEAR(TRANSACTIONS!$A3889),MONTH(TRANSACTIONS!$A3889),DAY(TRANSACTIONS!$A3889)),"")</f>
        <v/>
      </c>
      <c r="C3889" s="49" t="str">
        <f>IF(A3889&lt;&gt;"",TIME(HOUR(TRANSACTIONS!$A3889),MINUTE(TRANSACTIONS!$A3889),SECOND(TRANSACTIONS!$A3889)),"")</f>
        <v/>
      </c>
      <c r="D3889" s="82"/>
      <c r="E3889" s="82"/>
      <c r="F3889" s="88"/>
      <c r="G3889" s="46"/>
      <c r="H3889" s="46">
        <f>IFERROR(TRANSACTIONS!$F3889+TRANSACTIONS!$G3889,"")</f>
        <v>0</v>
      </c>
      <c r="I3889" s="40" t="s">
        <v>41</v>
      </c>
    </row>
    <row r="3890" spans="1:9" x14ac:dyDescent="0.25">
      <c r="A3890" s="41">
        <v>45370.423217361109</v>
      </c>
      <c r="B3890" s="48">
        <f>IF(A3890&lt;&gt;"",DATE(YEAR(TRANSACTIONS!$A3890),MONTH(TRANSACTIONS!$A3890),DAY(TRANSACTIONS!$A3890)),"")</f>
        <v>45370</v>
      </c>
      <c r="C3890" s="49">
        <f>IF(A3890&lt;&gt;"",TIME(HOUR(TRANSACTIONS!$A3890),MINUTE(TRANSACTIONS!$A3890),SECOND(TRANSACTIONS!$A3890)),"")</f>
        <v>0.42321759259259256</v>
      </c>
      <c r="D3890" s="82" t="s">
        <v>62</v>
      </c>
      <c r="E3890" s="82" t="s">
        <v>6</v>
      </c>
      <c r="F3890" s="88">
        <v>15000</v>
      </c>
      <c r="G3890" s="46"/>
      <c r="H3890" s="46">
        <f>IFERROR(TRANSACTIONS!$F3890+TRANSACTIONS!$G3890,"")</f>
        <v>15000</v>
      </c>
      <c r="I3890" s="40" t="s">
        <v>41</v>
      </c>
    </row>
    <row r="3891" spans="1:9" x14ac:dyDescent="0.25">
      <c r="A3891" s="41">
        <v>45370.423165509259</v>
      </c>
      <c r="B3891" s="48">
        <f>IF(A3891&lt;&gt;"",DATE(YEAR(TRANSACTIONS!$A3891),MONTH(TRANSACTIONS!$A3891),DAY(TRANSACTIONS!$A3891)),"")</f>
        <v>45370</v>
      </c>
      <c r="C3891" s="49">
        <f>IF(A3891&lt;&gt;"",TIME(HOUR(TRANSACTIONS!$A3891),MINUTE(TRANSACTIONS!$A3891),SECOND(TRANSACTIONS!$A3891)),"")</f>
        <v>0.42315972222222226</v>
      </c>
      <c r="D3891" s="82" t="s">
        <v>62</v>
      </c>
      <c r="E3891" s="82" t="s">
        <v>6</v>
      </c>
      <c r="F3891" s="88">
        <v>29000</v>
      </c>
      <c r="G3891" s="46"/>
      <c r="H3891" s="46">
        <f>IFERROR(TRANSACTIONS!$F3891+TRANSACTIONS!$G3891,"")</f>
        <v>29000</v>
      </c>
      <c r="I3891" s="40" t="s">
        <v>41</v>
      </c>
    </row>
    <row r="3892" spans="1:9" x14ac:dyDescent="0.25">
      <c r="A3892" s="41">
        <v>45370.423168402776</v>
      </c>
      <c r="B3892" s="48">
        <f>IF(A3892&lt;&gt;"",DATE(YEAR(TRANSACTIONS!$A3892),MONTH(TRANSACTIONS!$A3892),DAY(TRANSACTIONS!$A3892)),"")</f>
        <v>45370</v>
      </c>
      <c r="C3892" s="49">
        <f>IF(A3892&lt;&gt;"",TIME(HOUR(TRANSACTIONS!$A3892),MINUTE(TRANSACTIONS!$A3892),SECOND(TRANSACTIONS!$A3892)),"")</f>
        <v>0.4231712962962963</v>
      </c>
      <c r="D3892" s="82" t="s">
        <v>62</v>
      </c>
      <c r="E3892" s="82" t="s">
        <v>6</v>
      </c>
      <c r="F3892" s="88">
        <v>25000</v>
      </c>
      <c r="G3892" s="46"/>
      <c r="H3892" s="46">
        <f>IFERROR(TRANSACTIONS!$F3892+TRANSACTIONS!$G3892,"")</f>
        <v>25000</v>
      </c>
      <c r="I3892" s="40" t="s">
        <v>41</v>
      </c>
    </row>
    <row r="3893" spans="1:9" x14ac:dyDescent="0.25">
      <c r="A3893" s="41">
        <v>45370.423203356484</v>
      </c>
      <c r="B3893" s="48">
        <f>IF(A3893&lt;&gt;"",DATE(YEAR(TRANSACTIONS!$A3893),MONTH(TRANSACTIONS!$A3893),DAY(TRANSACTIONS!$A3893)),"")</f>
        <v>45370</v>
      </c>
      <c r="C3893" s="49">
        <f>IF(A3893&lt;&gt;"",TIME(HOUR(TRANSACTIONS!$A3893),MINUTE(TRANSACTIONS!$A3893),SECOND(TRANSACTIONS!$A3893)),"")</f>
        <v>0.42320601851851852</v>
      </c>
      <c r="D3893" s="82" t="s">
        <v>62</v>
      </c>
      <c r="E3893" s="82" t="s">
        <v>7</v>
      </c>
      <c r="F3893" s="88">
        <v>1000</v>
      </c>
      <c r="G3893" s="46"/>
      <c r="H3893" s="46">
        <f>IFERROR(TRANSACTIONS!$F3893+TRANSACTIONS!$G3893,"")</f>
        <v>1000</v>
      </c>
      <c r="I3893" s="40" t="s">
        <v>41</v>
      </c>
    </row>
    <row r="3894" spans="1:9" x14ac:dyDescent="0.25">
      <c r="A3894" s="41">
        <v>45370.423210416666</v>
      </c>
      <c r="B3894" s="48">
        <f>IF(A3894&lt;&gt;"",DATE(YEAR(TRANSACTIONS!$A3894),MONTH(TRANSACTIONS!$A3894),DAY(TRANSACTIONS!$A3894)),"")</f>
        <v>45370</v>
      </c>
      <c r="C3894" s="49">
        <f>IF(A3894&lt;&gt;"",TIME(HOUR(TRANSACTIONS!$A3894),MINUTE(TRANSACTIONS!$A3894),SECOND(TRANSACTIONS!$A3894)),"")</f>
        <v>0.42320601851851852</v>
      </c>
      <c r="D3894" s="82" t="s">
        <v>62</v>
      </c>
      <c r="E3894" s="82" t="s">
        <v>7</v>
      </c>
      <c r="F3894" s="88">
        <v>1000</v>
      </c>
      <c r="G3894" s="46"/>
      <c r="H3894" s="46">
        <f>IFERROR(TRANSACTIONS!$F3894+TRANSACTIONS!$G3894,"")</f>
        <v>1000</v>
      </c>
      <c r="I3894" s="40" t="s">
        <v>41</v>
      </c>
    </row>
    <row r="3895" spans="1:9" x14ac:dyDescent="0.25">
      <c r="A3895" s="41">
        <v>45370.423738194448</v>
      </c>
      <c r="B3895" s="48">
        <f>IF(A3895&lt;&gt;"",DATE(YEAR(TRANSACTIONS!$A3895),MONTH(TRANSACTIONS!$A3895),DAY(TRANSACTIONS!$A3895)),"")</f>
        <v>45370</v>
      </c>
      <c r="C3895" s="49">
        <f>IF(A3895&lt;&gt;"",TIME(HOUR(TRANSACTIONS!$A3895),MINUTE(TRANSACTIONS!$A3895),SECOND(TRANSACTIONS!$A3895)),"")</f>
        <v>0.42373842592592598</v>
      </c>
      <c r="D3895" s="82" t="s">
        <v>62</v>
      </c>
      <c r="E3895" s="82" t="s">
        <v>7</v>
      </c>
      <c r="F3895" s="88">
        <v>1000</v>
      </c>
      <c r="G3895" s="46"/>
      <c r="H3895" s="46">
        <f>IFERROR(TRANSACTIONS!$F3895+TRANSACTIONS!$G3895,"")</f>
        <v>1000</v>
      </c>
      <c r="I3895" s="40" t="s">
        <v>41</v>
      </c>
    </row>
    <row r="3896" spans="1:9" x14ac:dyDescent="0.25">
      <c r="A3896" s="41">
        <v>45370.423751388887</v>
      </c>
      <c r="B3896" s="48">
        <f>IF(A3896&lt;&gt;"",DATE(YEAR(TRANSACTIONS!$A3896),MONTH(TRANSACTIONS!$A3896),DAY(TRANSACTIONS!$A3896)),"")</f>
        <v>45370</v>
      </c>
      <c r="C3896" s="49">
        <f>IF(A3896&lt;&gt;"",TIME(HOUR(TRANSACTIONS!$A3896),MINUTE(TRANSACTIONS!$A3896),SECOND(TRANSACTIONS!$A3896)),"")</f>
        <v>0.42375000000000002</v>
      </c>
      <c r="D3896" s="82" t="s">
        <v>62</v>
      </c>
      <c r="E3896" s="82" t="s">
        <v>7</v>
      </c>
      <c r="F3896" s="88">
        <v>1000</v>
      </c>
      <c r="G3896" s="46"/>
      <c r="H3896" s="46">
        <f>IFERROR(TRANSACTIONS!$F3896+TRANSACTIONS!$G3896,"")</f>
        <v>1000</v>
      </c>
      <c r="I3896" s="40" t="s">
        <v>41</v>
      </c>
    </row>
    <row r="3897" spans="1:9" x14ac:dyDescent="0.25">
      <c r="A3897" s="41">
        <v>45370.4237587963</v>
      </c>
      <c r="B3897" s="48">
        <f>IF(A3897&lt;&gt;"",DATE(YEAR(TRANSACTIONS!$A3897),MONTH(TRANSACTIONS!$A3897),DAY(TRANSACTIONS!$A3897)),"")</f>
        <v>45370</v>
      </c>
      <c r="C3897" s="49">
        <f>IF(A3897&lt;&gt;"",TIME(HOUR(TRANSACTIONS!$A3897),MINUTE(TRANSACTIONS!$A3897),SECOND(TRANSACTIONS!$A3897)),"")</f>
        <v>0.42376157407407411</v>
      </c>
      <c r="D3897" s="82" t="s">
        <v>62</v>
      </c>
      <c r="E3897" s="82" t="s">
        <v>7</v>
      </c>
      <c r="F3897" s="88">
        <v>165000</v>
      </c>
      <c r="G3897" s="46"/>
      <c r="H3897" s="46">
        <f>IFERROR(TRANSACTIONS!$F3897+TRANSACTIONS!$G3897,"")</f>
        <v>165000</v>
      </c>
      <c r="I3897" s="40" t="s">
        <v>41</v>
      </c>
    </row>
    <row r="3898" spans="1:9" x14ac:dyDescent="0.25">
      <c r="A3898" s="90">
        <v>45370.42376597222</v>
      </c>
      <c r="B3898" s="91">
        <f>IF(A3898&lt;&gt;"",DATE(YEAR(TRANSACTIONS!$A3898),MONTH(TRANSACTIONS!$A3898),DAY(TRANSACTIONS!$A3898)),"")</f>
        <v>45370</v>
      </c>
      <c r="C3898" s="92">
        <f>IF(A3898&lt;&gt;"",TIME(HOUR(TRANSACTIONS!$A3898),MINUTE(TRANSACTIONS!$A3898),SECOND(TRANSACTIONS!$A3898)),"")</f>
        <v>0.42376157407407411</v>
      </c>
      <c r="D3898" s="93" t="s">
        <v>62</v>
      </c>
      <c r="E3898" s="82" t="s">
        <v>7</v>
      </c>
      <c r="F3898" s="88">
        <v>15000</v>
      </c>
      <c r="G3898" s="95"/>
      <c r="H3898" s="95">
        <f>IFERROR(TRANSACTIONS!$F3898+TRANSACTIONS!$G3898,"")</f>
        <v>15000</v>
      </c>
      <c r="I3898" s="112" t="s">
        <v>41</v>
      </c>
    </row>
    <row r="3899" spans="1:9" x14ac:dyDescent="0.25">
      <c r="A3899" s="41">
        <v>45370.423862847223</v>
      </c>
      <c r="B3899" s="48">
        <f>IF(A3899&lt;&gt;"",DATE(YEAR(TRANSACTIONS!$A3899),MONTH(TRANSACTIONS!$A3899),DAY(TRANSACTIONS!$A3899)),"")</f>
        <v>45370</v>
      </c>
      <c r="C3899" s="49">
        <f>IF(A3899&lt;&gt;"",TIME(HOUR(TRANSACTIONS!$A3899),MINUTE(TRANSACTIONS!$A3899),SECOND(TRANSACTIONS!$A3899)),"")</f>
        <v>0.42386574074074074</v>
      </c>
      <c r="D3899" s="82" t="s">
        <v>62</v>
      </c>
      <c r="E3899" s="82" t="s">
        <v>7</v>
      </c>
      <c r="F3899" s="88">
        <v>20000</v>
      </c>
      <c r="G3899" s="46"/>
      <c r="H3899" s="46">
        <f>IFERROR(TRANSACTIONS!$F3899+TRANSACTIONS!$G3899,"")</f>
        <v>20000</v>
      </c>
      <c r="I3899" s="40" t="s">
        <v>41</v>
      </c>
    </row>
    <row r="3900" spans="1:9" x14ac:dyDescent="0.25">
      <c r="A3900" s="41">
        <v>45370.423881712966</v>
      </c>
      <c r="B3900" s="48">
        <f>IF(A3900&lt;&gt;"",DATE(YEAR(TRANSACTIONS!$A3900),MONTH(TRANSACTIONS!$A3900),DAY(TRANSACTIONS!$A3900)),"")</f>
        <v>45370</v>
      </c>
      <c r="C3900" s="49">
        <f>IF(A3900&lt;&gt;"",TIME(HOUR(TRANSACTIONS!$A3900),MINUTE(TRANSACTIONS!$A3900),SECOND(TRANSACTIONS!$A3900)),"")</f>
        <v>0.42387731481481478</v>
      </c>
      <c r="D3900" s="82" t="s">
        <v>25</v>
      </c>
      <c r="E3900" s="82" t="s">
        <v>6</v>
      </c>
      <c r="F3900" s="88">
        <v>1000</v>
      </c>
      <c r="G3900" s="46"/>
      <c r="H3900" s="46">
        <f>IFERROR(TRANSACTIONS!$F3900+TRANSACTIONS!$G3900,"")</f>
        <v>1000</v>
      </c>
      <c r="I3900" s="40" t="s">
        <v>41</v>
      </c>
    </row>
    <row r="3901" spans="1:9" x14ac:dyDescent="0.25">
      <c r="A3901" s="41">
        <v>45370.423890509257</v>
      </c>
      <c r="B3901" s="48">
        <f>IF(A3901&lt;&gt;"",DATE(YEAR(TRANSACTIONS!$A3901),MONTH(TRANSACTIONS!$A3901),DAY(TRANSACTIONS!$A3901)),"")</f>
        <v>45370</v>
      </c>
      <c r="C3901" s="49">
        <f>IF(A3901&lt;&gt;"",TIME(HOUR(TRANSACTIONS!$A3901),MINUTE(TRANSACTIONS!$A3901),SECOND(TRANSACTIONS!$A3901)),"")</f>
        <v>0.42388888888888893</v>
      </c>
      <c r="D3901" s="82" t="s">
        <v>25</v>
      </c>
      <c r="E3901" s="82" t="s">
        <v>6</v>
      </c>
      <c r="F3901" s="88">
        <v>3000</v>
      </c>
      <c r="G3901" s="46"/>
      <c r="H3901" s="46">
        <f>IFERROR(TRANSACTIONS!$F3901+TRANSACTIONS!$G3901,"")</f>
        <v>3000</v>
      </c>
      <c r="I3901" s="40" t="s">
        <v>41</v>
      </c>
    </row>
    <row r="3902" spans="1:9" x14ac:dyDescent="0.25">
      <c r="A3902" s="41">
        <v>45370.423899652778</v>
      </c>
      <c r="B3902" s="48">
        <f>IF(A3902&lt;&gt;"",DATE(YEAR(TRANSACTIONS!$A3902),MONTH(TRANSACTIONS!$A3902),DAY(TRANSACTIONS!$A3902)),"")</f>
        <v>45370</v>
      </c>
      <c r="C3902" s="49">
        <f>IF(A3902&lt;&gt;"",TIME(HOUR(TRANSACTIONS!$A3902),MINUTE(TRANSACTIONS!$A3902),SECOND(TRANSACTIONS!$A3902)),"")</f>
        <v>0.42390046296296297</v>
      </c>
      <c r="D3902" s="82" t="s">
        <v>25</v>
      </c>
      <c r="E3902" s="82" t="s">
        <v>6</v>
      </c>
      <c r="F3902" s="88">
        <v>22000</v>
      </c>
      <c r="G3902" s="46"/>
      <c r="H3902" s="46">
        <f>IFERROR(TRANSACTIONS!$F3902+TRANSACTIONS!$G3902,"")</f>
        <v>22000</v>
      </c>
      <c r="I3902" s="40" t="s">
        <v>41</v>
      </c>
    </row>
    <row r="3903" spans="1:9" x14ac:dyDescent="0.25">
      <c r="A3903" s="41">
        <v>45370.423928356482</v>
      </c>
      <c r="B3903" s="48">
        <f>IF(A3903&lt;&gt;"",DATE(YEAR(TRANSACTIONS!$A3903),MONTH(TRANSACTIONS!$A3903),DAY(TRANSACTIONS!$A3903)),"")</f>
        <v>45370</v>
      </c>
      <c r="C3903" s="49">
        <f>IF(A3903&lt;&gt;"",TIME(HOUR(TRANSACTIONS!$A3903),MINUTE(TRANSACTIONS!$A3903),SECOND(TRANSACTIONS!$A3903)),"")</f>
        <v>0.4239236111111111</v>
      </c>
      <c r="D3903" s="82" t="s">
        <v>25</v>
      </c>
      <c r="E3903" s="82" t="s">
        <v>7</v>
      </c>
      <c r="F3903" s="88">
        <v>2000</v>
      </c>
      <c r="G3903" s="46"/>
      <c r="H3903" s="46">
        <f>IFERROR(TRANSACTIONS!$F3903+TRANSACTIONS!$G3903,"")</f>
        <v>2000</v>
      </c>
      <c r="I3903" s="40" t="s">
        <v>41</v>
      </c>
    </row>
    <row r="3904" spans="1:9" x14ac:dyDescent="0.25">
      <c r="A3904" s="41">
        <v>45370.42393715278</v>
      </c>
      <c r="B3904" s="48">
        <f>IF(A3904&lt;&gt;"",DATE(YEAR(TRANSACTIONS!$A3904),MONTH(TRANSACTIONS!$A3904),DAY(TRANSACTIONS!$A3904)),"")</f>
        <v>45370</v>
      </c>
      <c r="C3904" s="49">
        <f>IF(A3904&lt;&gt;"",TIME(HOUR(TRANSACTIONS!$A3904),MINUTE(TRANSACTIONS!$A3904),SECOND(TRANSACTIONS!$A3904)),"")</f>
        <v>0.42393518518518519</v>
      </c>
      <c r="D3904" s="82" t="s">
        <v>25</v>
      </c>
      <c r="E3904" s="82" t="s">
        <v>7</v>
      </c>
      <c r="F3904" s="88">
        <v>2000</v>
      </c>
      <c r="G3904" s="46"/>
      <c r="H3904" s="46">
        <f>IFERROR(TRANSACTIONS!$F3904+TRANSACTIONS!$G3904,"")</f>
        <v>2000</v>
      </c>
      <c r="I3904" s="40" t="s">
        <v>41</v>
      </c>
    </row>
    <row r="3905" spans="1:9" x14ac:dyDescent="0.25">
      <c r="A3905" s="41">
        <v>45370.423944212962</v>
      </c>
      <c r="B3905" s="48">
        <f>IF(A3905&lt;&gt;"",DATE(YEAR(TRANSACTIONS!$A3905),MONTH(TRANSACTIONS!$A3905),DAY(TRANSACTIONS!$A3905)),"")</f>
        <v>45370</v>
      </c>
      <c r="C3905" s="49">
        <f>IF(A3905&lt;&gt;"",TIME(HOUR(TRANSACTIONS!$A3905),MINUTE(TRANSACTIONS!$A3905),SECOND(TRANSACTIONS!$A3905)),"")</f>
        <v>0.42394675925925923</v>
      </c>
      <c r="D3905" s="82" t="s">
        <v>62</v>
      </c>
      <c r="E3905" s="82" t="s">
        <v>7</v>
      </c>
      <c r="F3905" s="88">
        <v>13000</v>
      </c>
      <c r="G3905" s="46"/>
      <c r="H3905" s="46">
        <f>IFERROR(TRANSACTIONS!$F3905+TRANSACTIONS!$G3905,"")</f>
        <v>13000</v>
      </c>
      <c r="I3905" s="40" t="s">
        <v>41</v>
      </c>
    </row>
    <row r="3906" spans="1:9" x14ac:dyDescent="0.25">
      <c r="A3906" s="41">
        <v>45370.423959837965</v>
      </c>
      <c r="B3906" s="48">
        <f>IF(A3906&lt;&gt;"",DATE(YEAR(TRANSACTIONS!$A3906),MONTH(TRANSACTIONS!$A3906),DAY(TRANSACTIONS!$A3906)),"")</f>
        <v>45370</v>
      </c>
      <c r="C3906" s="49">
        <f>IF(A3906&lt;&gt;"",TIME(HOUR(TRANSACTIONS!$A3906),MINUTE(TRANSACTIONS!$A3906),SECOND(TRANSACTIONS!$A3906)),"")</f>
        <v>0.42395833333333338</v>
      </c>
      <c r="D3906" s="82" t="s">
        <v>62</v>
      </c>
      <c r="E3906" s="82" t="s">
        <v>7</v>
      </c>
      <c r="F3906" s="88">
        <v>10000</v>
      </c>
      <c r="G3906" s="46"/>
      <c r="H3906" s="46">
        <f>IFERROR(TRANSACTIONS!$F3906+TRANSACTIONS!$G3906,"")</f>
        <v>10000</v>
      </c>
      <c r="I3906" s="40" t="s">
        <v>41</v>
      </c>
    </row>
    <row r="3907" spans="1:9" x14ac:dyDescent="0.25">
      <c r="A3907" s="41">
        <v>45370.423967361108</v>
      </c>
      <c r="B3907" s="48">
        <f>IF(A3907&lt;&gt;"",DATE(YEAR(TRANSACTIONS!$A3907),MONTH(TRANSACTIONS!$A3907),DAY(TRANSACTIONS!$A3907)),"")</f>
        <v>45370</v>
      </c>
      <c r="C3907" s="49">
        <f>IF(A3907&lt;&gt;"",TIME(HOUR(TRANSACTIONS!$A3907),MINUTE(TRANSACTIONS!$A3907),SECOND(TRANSACTIONS!$A3907)),"")</f>
        <v>0.42396990740740742</v>
      </c>
      <c r="D3907" s="82" t="s">
        <v>62</v>
      </c>
      <c r="E3907" s="82" t="s">
        <v>6</v>
      </c>
      <c r="F3907" s="88">
        <v>6000</v>
      </c>
      <c r="G3907" s="46"/>
      <c r="H3907" s="46">
        <f>IFERROR(TRANSACTIONS!$F3907+TRANSACTIONS!$G3907,"")</f>
        <v>6000</v>
      </c>
      <c r="I3907" s="40" t="s">
        <v>41</v>
      </c>
    </row>
    <row r="3908" spans="1:9" x14ac:dyDescent="0.25">
      <c r="A3908" s="41">
        <v>45370.431650925922</v>
      </c>
      <c r="B3908" s="48">
        <f>IF(A3908&lt;&gt;"",DATE(YEAR(TRANSACTIONS!$A3908),MONTH(TRANSACTIONS!$A3908),DAY(TRANSACTIONS!$A3908)),"")</f>
        <v>45370</v>
      </c>
      <c r="C3908" s="49">
        <f>IF(A3908&lt;&gt;"",TIME(HOUR(TRANSACTIONS!$A3908),MINUTE(TRANSACTIONS!$A3908),SECOND(TRANSACTIONS!$A3908)),"")</f>
        <v>0.4316550925925926</v>
      </c>
      <c r="D3908" s="82" t="s">
        <v>62</v>
      </c>
      <c r="E3908" s="82" t="s">
        <v>7</v>
      </c>
      <c r="F3908" s="88">
        <v>5000</v>
      </c>
      <c r="G3908" s="46"/>
      <c r="H3908" s="46">
        <f>IFERROR(TRANSACTIONS!$F3908+TRANSACTIONS!$G3908,"")</f>
        <v>5000</v>
      </c>
      <c r="I3908" s="40" t="s">
        <v>41</v>
      </c>
    </row>
    <row r="3909" spans="1:9" x14ac:dyDescent="0.25">
      <c r="A3909" s="41">
        <v>45370.452329976855</v>
      </c>
      <c r="B3909" s="48">
        <f>IF(A3909&lt;&gt;"",DATE(YEAR(TRANSACTIONS!$A3909),MONTH(TRANSACTIONS!$A3909),DAY(TRANSACTIONS!$A3909)),"")</f>
        <v>45370</v>
      </c>
      <c r="C3909" s="49">
        <f>IF(A3909&lt;&gt;"",TIME(HOUR(TRANSACTIONS!$A3909),MINUTE(TRANSACTIONS!$A3909),SECOND(TRANSACTIONS!$A3909)),"")</f>
        <v>0.45232638888888888</v>
      </c>
      <c r="D3909" s="82" t="s">
        <v>62</v>
      </c>
      <c r="E3909" s="82" t="s">
        <v>6</v>
      </c>
      <c r="F3909" s="88">
        <v>30000</v>
      </c>
      <c r="G3909" s="46"/>
      <c r="H3909" s="46">
        <f>IFERROR(TRANSACTIONS!$F3909+TRANSACTIONS!$G3909,"")</f>
        <v>30000</v>
      </c>
      <c r="I3909" s="40" t="s">
        <v>41</v>
      </c>
    </row>
    <row r="3910" spans="1:9" x14ac:dyDescent="0.25">
      <c r="A3910" s="41">
        <v>45370.452337962961</v>
      </c>
      <c r="B3910" s="48">
        <f>IF(A3910&lt;&gt;"",DATE(YEAR(TRANSACTIONS!$A3910),MONTH(TRANSACTIONS!$A3910),DAY(TRANSACTIONS!$A3910)),"")</f>
        <v>45370</v>
      </c>
      <c r="C3910" s="49">
        <f>IF(A3910&lt;&gt;"",TIME(HOUR(TRANSACTIONS!$A3910),MINUTE(TRANSACTIONS!$A3910),SECOND(TRANSACTIONS!$A3910)),"")</f>
        <v>0.45233796296296297</v>
      </c>
      <c r="D3910" s="82" t="s">
        <v>25</v>
      </c>
      <c r="E3910" s="82" t="s">
        <v>7</v>
      </c>
      <c r="F3910" s="88">
        <v>10000</v>
      </c>
      <c r="G3910" s="46"/>
      <c r="H3910" s="46">
        <f>IFERROR(TRANSACTIONS!$F3910+TRANSACTIONS!$G3910,"")</f>
        <v>10000</v>
      </c>
      <c r="I3910" s="40" t="s">
        <v>41</v>
      </c>
    </row>
    <row r="3911" spans="1:9" x14ac:dyDescent="0.25">
      <c r="A3911" s="41">
        <v>45370.452345138889</v>
      </c>
      <c r="B3911" s="48">
        <f>IF(A3911&lt;&gt;"",DATE(YEAR(TRANSACTIONS!$A3911),MONTH(TRANSACTIONS!$A3911),DAY(TRANSACTIONS!$A3911)),"")</f>
        <v>45370</v>
      </c>
      <c r="C3911" s="49">
        <f>IF(A3911&lt;&gt;"",TIME(HOUR(TRANSACTIONS!$A3911),MINUTE(TRANSACTIONS!$A3911),SECOND(TRANSACTIONS!$A3911)),"")</f>
        <v>0.45234953703703701</v>
      </c>
      <c r="D3911" s="82" t="s">
        <v>25</v>
      </c>
      <c r="E3911" s="82" t="s">
        <v>7</v>
      </c>
      <c r="F3911" s="88">
        <v>55000</v>
      </c>
      <c r="G3911" s="46"/>
      <c r="H3911" s="46">
        <f>IFERROR(TRANSACTIONS!$F3911+TRANSACTIONS!$G3911,"")</f>
        <v>55000</v>
      </c>
      <c r="I3911" s="40" t="s">
        <v>41</v>
      </c>
    </row>
    <row r="3912" spans="1:9" x14ac:dyDescent="0.25">
      <c r="A3912" s="71">
        <v>45370.452352777778</v>
      </c>
      <c r="B3912" s="73">
        <f>IF(A3912&lt;&gt;"",DATE(YEAR(TRANSACTIONS!$A3912),MONTH(TRANSACTIONS!$A3912),DAY(TRANSACTIONS!$A3912)),"")</f>
        <v>45370</v>
      </c>
      <c r="C3912" s="74">
        <f>IF(A3912&lt;&gt;"",TIME(HOUR(TRANSACTIONS!$A3912),MINUTE(TRANSACTIONS!$A3912),SECOND(TRANSACTIONS!$A3912)),"")</f>
        <v>0.45234953703703701</v>
      </c>
      <c r="D3912" s="72" t="s">
        <v>62</v>
      </c>
      <c r="E3912" s="72" t="s">
        <v>6</v>
      </c>
      <c r="F3912" s="76">
        <v>9000</v>
      </c>
      <c r="G3912" s="75"/>
      <c r="H3912" s="75">
        <f>IFERROR(TRANSACTIONS!$F3912+TRANSACTIONS!$G3912,"")</f>
        <v>9000</v>
      </c>
      <c r="I3912" s="76" t="s">
        <v>41</v>
      </c>
    </row>
    <row r="3913" spans="1:9" x14ac:dyDescent="0.25">
      <c r="A3913" s="41">
        <v>45370.452360069445</v>
      </c>
      <c r="B3913" s="48">
        <f>IF(A3913&lt;&gt;"",DATE(YEAR(TRANSACTIONS!$A3913),MONTH(TRANSACTIONS!$A3913),DAY(TRANSACTIONS!$A3913)),"")</f>
        <v>45370</v>
      </c>
      <c r="C3913" s="49">
        <f>IF(A3913&lt;&gt;"",TIME(HOUR(TRANSACTIONS!$A3913),MINUTE(TRANSACTIONS!$A3913),SECOND(TRANSACTIONS!$A3913)),"")</f>
        <v>0.45236111111111116</v>
      </c>
      <c r="D3913" s="82" t="s">
        <v>64</v>
      </c>
      <c r="E3913" s="82" t="s">
        <v>6</v>
      </c>
      <c r="F3913" s="88">
        <v>300000</v>
      </c>
      <c r="G3913" s="46"/>
      <c r="H3913" s="46">
        <f>IFERROR(TRANSACTIONS!$F3913+TRANSACTIONS!$G3913,"")</f>
        <v>300000</v>
      </c>
      <c r="I3913" s="40" t="s">
        <v>41</v>
      </c>
    </row>
    <row r="3914" spans="1:9" x14ac:dyDescent="0.25">
      <c r="A3914" s="41">
        <v>45370.452908564817</v>
      </c>
      <c r="B3914" s="48">
        <f>IF(A3914&lt;&gt;"",DATE(YEAR(TRANSACTIONS!$A3914),MONTH(TRANSACTIONS!$A3914),DAY(TRANSACTIONS!$A3914)),"")</f>
        <v>45370</v>
      </c>
      <c r="C3914" s="49">
        <f>IF(A3914&lt;&gt;"",TIME(HOUR(TRANSACTIONS!$A3914),MINUTE(TRANSACTIONS!$A3914),SECOND(TRANSACTIONS!$A3914)),"")</f>
        <v>0.4529050925925926</v>
      </c>
      <c r="D3914" s="82" t="s">
        <v>62</v>
      </c>
      <c r="E3914" s="82" t="s">
        <v>7</v>
      </c>
      <c r="F3914" s="88">
        <v>250000</v>
      </c>
      <c r="G3914" s="46"/>
      <c r="H3914" s="46">
        <f>IFERROR(TRANSACTIONS!$F3914+TRANSACTIONS!$G3914,"")</f>
        <v>250000</v>
      </c>
      <c r="I3914" s="40" t="s">
        <v>41</v>
      </c>
    </row>
    <row r="3915" spans="1:9" x14ac:dyDescent="0.25">
      <c r="A3915" s="41">
        <v>45370.457002430558</v>
      </c>
      <c r="B3915" s="48">
        <f>IF(A3915&lt;&gt;"",DATE(YEAR(TRANSACTIONS!$A3915),MONTH(TRANSACTIONS!$A3915),DAY(TRANSACTIONS!$A3915)),"")</f>
        <v>45370</v>
      </c>
      <c r="C3915" s="49">
        <f>IF(A3915&lt;&gt;"",TIME(HOUR(TRANSACTIONS!$A3915),MINUTE(TRANSACTIONS!$A3915),SECOND(TRANSACTIONS!$A3915)),"")</f>
        <v>0.45700231481481479</v>
      </c>
      <c r="D3915" s="82" t="s">
        <v>62</v>
      </c>
      <c r="E3915" s="82" t="s">
        <v>7</v>
      </c>
      <c r="F3915" s="88">
        <v>6000</v>
      </c>
      <c r="G3915" s="46"/>
      <c r="H3915" s="46">
        <f>IFERROR(TRANSACTIONS!$F3915+TRANSACTIONS!$G3915,"")</f>
        <v>6000</v>
      </c>
      <c r="I3915" s="40" t="s">
        <v>41</v>
      </c>
    </row>
    <row r="3916" spans="1:9" x14ac:dyDescent="0.25">
      <c r="A3916" s="41">
        <v>45370.457005439814</v>
      </c>
      <c r="B3916" s="48">
        <f>IF(A3916&lt;&gt;"",DATE(YEAR(TRANSACTIONS!$A3916),MONTH(TRANSACTIONS!$A3916),DAY(TRANSACTIONS!$A3916)),"")</f>
        <v>45370</v>
      </c>
      <c r="C3916" s="49">
        <f>IF(A3916&lt;&gt;"",TIME(HOUR(TRANSACTIONS!$A3916),MINUTE(TRANSACTIONS!$A3916),SECOND(TRANSACTIONS!$A3916)),"")</f>
        <v>0.45700231481481479</v>
      </c>
      <c r="D3916" s="82" t="s">
        <v>62</v>
      </c>
      <c r="E3916" s="82" t="s">
        <v>6</v>
      </c>
      <c r="F3916" s="88">
        <v>3000</v>
      </c>
      <c r="G3916" s="46"/>
      <c r="H3916" s="46">
        <f>IFERROR(TRANSACTIONS!$F3916+TRANSACTIONS!$G3916,"")</f>
        <v>3000</v>
      </c>
      <c r="I3916" s="40" t="s">
        <v>41</v>
      </c>
    </row>
    <row r="3917" spans="1:9" x14ac:dyDescent="0.25">
      <c r="A3917" s="41">
        <v>45370.457220023149</v>
      </c>
      <c r="B3917" s="48">
        <f>IF(A3917&lt;&gt;"",DATE(YEAR(TRANSACTIONS!$A3917),MONTH(TRANSACTIONS!$A3917),DAY(TRANSACTIONS!$A3917)),"")</f>
        <v>45370</v>
      </c>
      <c r="C3917" s="49">
        <f>IF(A3917&lt;&gt;"",TIME(HOUR(TRANSACTIONS!$A3917),MINUTE(TRANSACTIONS!$A3917),SECOND(TRANSACTIONS!$A3917)),"")</f>
        <v>0.4572222222222222</v>
      </c>
      <c r="D3917" s="82" t="s">
        <v>62</v>
      </c>
      <c r="E3917" s="82" t="s">
        <v>7</v>
      </c>
      <c r="F3917" s="88">
        <v>5000</v>
      </c>
      <c r="G3917" s="46"/>
      <c r="H3917" s="46">
        <f>IFERROR(TRANSACTIONS!$F3917+TRANSACTIONS!$G3917,"")</f>
        <v>5000</v>
      </c>
      <c r="I3917" s="40" t="s">
        <v>41</v>
      </c>
    </row>
    <row r="3918" spans="1:9" x14ac:dyDescent="0.25">
      <c r="A3918" s="41">
        <v>45370.52370578704</v>
      </c>
      <c r="B3918" s="48">
        <f>IF(A3918&lt;&gt;"",DATE(YEAR(TRANSACTIONS!$A3918),MONTH(TRANSACTIONS!$A3918),DAY(TRANSACTIONS!$A3918)),"")</f>
        <v>45370</v>
      </c>
      <c r="C3918" s="49">
        <f>IF(A3918&lt;&gt;"",TIME(HOUR(TRANSACTIONS!$A3918),MINUTE(TRANSACTIONS!$A3918),SECOND(TRANSACTIONS!$A3918)),"")</f>
        <v>0.52370370370370367</v>
      </c>
      <c r="D3918" s="82" t="s">
        <v>62</v>
      </c>
      <c r="E3918" s="82" t="s">
        <v>6</v>
      </c>
      <c r="F3918" s="88">
        <v>10000</v>
      </c>
      <c r="G3918" s="46"/>
      <c r="H3918" s="46">
        <f>IFERROR(TRANSACTIONS!$F3918+TRANSACTIONS!$G3918,"")</f>
        <v>10000</v>
      </c>
      <c r="I3918" s="40" t="s">
        <v>41</v>
      </c>
    </row>
    <row r="3919" spans="1:9" x14ac:dyDescent="0.25">
      <c r="A3919" s="41">
        <v>45370.523724999999</v>
      </c>
      <c r="B3919" s="48">
        <f>IF(A3919&lt;&gt;"",DATE(YEAR(TRANSACTIONS!$A3919),MONTH(TRANSACTIONS!$A3919),DAY(TRANSACTIONS!$A3919)),"")</f>
        <v>45370</v>
      </c>
      <c r="C3919" s="49">
        <f>IF(A3919&lt;&gt;"",TIME(HOUR(TRANSACTIONS!$A3919),MINUTE(TRANSACTIONS!$A3919),SECOND(TRANSACTIONS!$A3919)),"")</f>
        <v>0.52372685185185186</v>
      </c>
      <c r="D3919" s="82" t="s">
        <v>62</v>
      </c>
      <c r="E3919" s="82" t="s">
        <v>7</v>
      </c>
      <c r="F3919" s="88">
        <v>5000</v>
      </c>
      <c r="G3919" s="46"/>
      <c r="H3919" s="46">
        <f>IFERROR(TRANSACTIONS!$F3919+TRANSACTIONS!$G3919,"")</f>
        <v>5000</v>
      </c>
      <c r="I3919" s="43" t="s">
        <v>41</v>
      </c>
    </row>
    <row r="3920" spans="1:9" x14ac:dyDescent="0.25">
      <c r="A3920" s="41">
        <v>45370.523766782404</v>
      </c>
      <c r="B3920" s="48">
        <f>IF(A3920&lt;&gt;"",DATE(YEAR(TRANSACTIONS!$A3920),MONTH(TRANSACTIONS!$A3920),DAY(TRANSACTIONS!$A3920)),"")</f>
        <v>45370</v>
      </c>
      <c r="C3920" s="49">
        <f>IF(A3920&lt;&gt;"",TIME(HOUR(TRANSACTIONS!$A3920),MINUTE(TRANSACTIONS!$A3920),SECOND(TRANSACTIONS!$A3920)),"")</f>
        <v>0.52376157407407409</v>
      </c>
      <c r="D3920" s="82" t="s">
        <v>62</v>
      </c>
      <c r="E3920" s="82" t="s">
        <v>6</v>
      </c>
      <c r="F3920" s="88">
        <v>70000</v>
      </c>
      <c r="G3920" s="46"/>
      <c r="H3920" s="46">
        <f>IFERROR(TRANSACTIONS!$F3920+TRANSACTIONS!$G3920,"")</f>
        <v>70000</v>
      </c>
      <c r="I3920" s="40" t="s">
        <v>41</v>
      </c>
    </row>
    <row r="3921" spans="1:10" x14ac:dyDescent="0.25">
      <c r="A3921" s="41">
        <v>45370.523805671299</v>
      </c>
      <c r="B3921" s="48">
        <f>IF(A3921&lt;&gt;"",DATE(YEAR(TRANSACTIONS!$A3921),MONTH(TRANSACTIONS!$A3921),DAY(TRANSACTIONS!$A3921)),"")</f>
        <v>45370</v>
      </c>
      <c r="C3921" s="49">
        <f>IF(A3921&lt;&gt;"",TIME(HOUR(TRANSACTIONS!$A3921),MINUTE(TRANSACTIONS!$A3921),SECOND(TRANSACTIONS!$A3921)),"")</f>
        <v>0.52380787037037035</v>
      </c>
      <c r="D3921" s="82" t="s">
        <v>62</v>
      </c>
      <c r="E3921" s="82" t="s">
        <v>6</v>
      </c>
      <c r="F3921" s="88">
        <v>60000</v>
      </c>
      <c r="G3921" s="46"/>
      <c r="H3921" s="46">
        <f>IFERROR(TRANSACTIONS!$F3921+TRANSACTIONS!$G3921,"")</f>
        <v>60000</v>
      </c>
      <c r="I3921" s="40" t="s">
        <v>41</v>
      </c>
    </row>
    <row r="3922" spans="1:10" x14ac:dyDescent="0.25">
      <c r="A3922" s="41">
        <v>45370.523820601855</v>
      </c>
      <c r="B3922" s="48">
        <f>IF(A3922&lt;&gt;"",DATE(YEAR(TRANSACTIONS!$A3922),MONTH(TRANSACTIONS!$A3922),DAY(TRANSACTIONS!$A3922)),"")</f>
        <v>45370</v>
      </c>
      <c r="C3922" s="49">
        <f>IF(A3922&lt;&gt;"",TIME(HOUR(TRANSACTIONS!$A3922),MINUTE(TRANSACTIONS!$A3922),SECOND(TRANSACTIONS!$A3922)),"")</f>
        <v>0.5238194444444445</v>
      </c>
      <c r="D3922" s="82" t="s">
        <v>62</v>
      </c>
      <c r="E3922" s="82" t="s">
        <v>7</v>
      </c>
      <c r="F3922" s="88">
        <v>1000</v>
      </c>
      <c r="G3922" s="46"/>
      <c r="H3922" s="46">
        <f>IFERROR(TRANSACTIONS!$F3922+TRANSACTIONS!$G3922,"")</f>
        <v>1000</v>
      </c>
      <c r="I3922" s="40" t="s">
        <v>41</v>
      </c>
    </row>
    <row r="3923" spans="1:10" x14ac:dyDescent="0.25">
      <c r="A3923" s="41">
        <v>45370.523831712962</v>
      </c>
      <c r="B3923" s="48">
        <f>IF(A3923&lt;&gt;"",DATE(YEAR(TRANSACTIONS!$A3923),MONTH(TRANSACTIONS!$A3923),DAY(TRANSACTIONS!$A3923)),"")</f>
        <v>45370</v>
      </c>
      <c r="C3923" s="49">
        <f>IF(A3923&lt;&gt;"",TIME(HOUR(TRANSACTIONS!$A3923),MINUTE(TRANSACTIONS!$A3923),SECOND(TRANSACTIONS!$A3923)),"")</f>
        <v>0.52383101851851854</v>
      </c>
      <c r="D3923" s="82" t="s">
        <v>62</v>
      </c>
      <c r="E3923" s="82" t="s">
        <v>6</v>
      </c>
      <c r="F3923" s="88">
        <v>40000</v>
      </c>
      <c r="G3923" s="46"/>
      <c r="H3923" s="46">
        <f>IFERROR(TRANSACTIONS!$F3923+TRANSACTIONS!$G3923,"")</f>
        <v>40000</v>
      </c>
      <c r="I3923" s="40" t="s">
        <v>41</v>
      </c>
    </row>
    <row r="3924" spans="1:10" x14ac:dyDescent="0.25">
      <c r="A3924" s="41">
        <v>45370.523840856484</v>
      </c>
      <c r="B3924" s="48">
        <f>IF(A3924&lt;&gt;"",DATE(YEAR(TRANSACTIONS!$A3924),MONTH(TRANSACTIONS!$A3924),DAY(TRANSACTIONS!$A3924)),"")</f>
        <v>45370</v>
      </c>
      <c r="C3924" s="49">
        <f>IF(A3924&lt;&gt;"",TIME(HOUR(TRANSACTIONS!$A3924),MINUTE(TRANSACTIONS!$A3924),SECOND(TRANSACTIONS!$A3924)),"")</f>
        <v>0.52384259259259258</v>
      </c>
      <c r="D3924" s="82" t="s">
        <v>62</v>
      </c>
      <c r="E3924" s="82" t="s">
        <v>7</v>
      </c>
      <c r="F3924" s="88">
        <v>15000</v>
      </c>
      <c r="G3924" s="46"/>
      <c r="H3924" s="46">
        <f>IFERROR(TRANSACTIONS!$F3924+TRANSACTIONS!$G3924,"")</f>
        <v>15000</v>
      </c>
      <c r="I3924" s="40" t="s">
        <v>41</v>
      </c>
    </row>
    <row r="3925" spans="1:10" x14ac:dyDescent="0.25">
      <c r="A3925" s="41">
        <v>45370.523865856485</v>
      </c>
      <c r="B3925" s="48">
        <f>IF(A3925&lt;&gt;"",DATE(YEAR(TRANSACTIONS!$A3925),MONTH(TRANSACTIONS!$A3925),DAY(TRANSACTIONS!$A3925)),"")</f>
        <v>45370</v>
      </c>
      <c r="C3925" s="49">
        <f>IF(A3925&lt;&gt;"",TIME(HOUR(TRANSACTIONS!$A3925),MINUTE(TRANSACTIONS!$A3925),SECOND(TRANSACTIONS!$A3925)),"")</f>
        <v>0.52386574074074077</v>
      </c>
      <c r="D3925" s="82" t="s">
        <v>62</v>
      </c>
      <c r="E3925" s="82" t="s">
        <v>7</v>
      </c>
      <c r="F3925" s="88">
        <v>1000</v>
      </c>
      <c r="G3925" s="46"/>
      <c r="H3925" s="46">
        <f>IFERROR(TRANSACTIONS!$F3925+TRANSACTIONS!$G3925,"")</f>
        <v>1000</v>
      </c>
      <c r="I3925" s="40" t="s">
        <v>41</v>
      </c>
    </row>
    <row r="3926" spans="1:10" x14ac:dyDescent="0.25">
      <c r="A3926" s="41">
        <v>45370.524228125003</v>
      </c>
      <c r="B3926" s="48">
        <f>IF(A3926&lt;&gt;"",DATE(YEAR(TRANSACTIONS!$A3926),MONTH(TRANSACTIONS!$A3926),DAY(TRANSACTIONS!$A3926)),"")</f>
        <v>45370</v>
      </c>
      <c r="C3926" s="49">
        <f>IF(A3926&lt;&gt;"",TIME(HOUR(TRANSACTIONS!$A3926),MINUTE(TRANSACTIONS!$A3926),SECOND(TRANSACTIONS!$A3926)),"")</f>
        <v>0.52422453703703698</v>
      </c>
      <c r="D3926" s="82" t="s">
        <v>62</v>
      </c>
      <c r="E3926" s="82" t="s">
        <v>7</v>
      </c>
      <c r="F3926" s="88">
        <v>23000</v>
      </c>
      <c r="G3926" s="46"/>
      <c r="H3926" s="46">
        <f>IFERROR(TRANSACTIONS!$F3926+TRANSACTIONS!$G3926,"")</f>
        <v>23000</v>
      </c>
      <c r="I3926" s="40" t="s">
        <v>41</v>
      </c>
    </row>
    <row r="3927" spans="1:10" x14ac:dyDescent="0.25">
      <c r="A3927" s="41">
        <v>45370.52434733796</v>
      </c>
      <c r="B3927" s="48">
        <f>IF(A3927&lt;&gt;"",DATE(YEAR(TRANSACTIONS!$A3927),MONTH(TRANSACTIONS!$A3927),DAY(TRANSACTIONS!$A3927)),"")</f>
        <v>45370</v>
      </c>
      <c r="C3927" s="49">
        <f>IF(A3927&lt;&gt;"",TIME(HOUR(TRANSACTIONS!$A3927),MINUTE(TRANSACTIONS!$A3927),SECOND(TRANSACTIONS!$A3927)),"")</f>
        <v>0.52435185185185185</v>
      </c>
      <c r="D3927" s="82" t="s">
        <v>62</v>
      </c>
      <c r="E3927" s="82" t="s">
        <v>6</v>
      </c>
      <c r="F3927" s="88">
        <v>15000</v>
      </c>
      <c r="G3927" s="46"/>
      <c r="H3927" s="46">
        <f>IFERROR(TRANSACTIONS!$F3927+TRANSACTIONS!$G3927,"")</f>
        <v>15000</v>
      </c>
      <c r="I3927" s="40" t="s">
        <v>41</v>
      </c>
    </row>
    <row r="3928" spans="1:10" x14ac:dyDescent="0.25">
      <c r="A3928" s="81">
        <v>45370.524362847224</v>
      </c>
      <c r="B3928" s="83">
        <f>IF(A3928&lt;&gt;"",DATE(YEAR(TRANSACTIONS!$A3928),MONTH(TRANSACTIONS!$A3928),DAY(TRANSACTIONS!$A3928)),"")</f>
        <v>45370</v>
      </c>
      <c r="C3928" s="84">
        <f>IF(A3928&lt;&gt;"",TIME(HOUR(TRANSACTIONS!$A3928),MINUTE(TRANSACTIONS!$A3928),SECOND(TRANSACTIONS!$A3928)),"")</f>
        <v>0.52436342592592589</v>
      </c>
      <c r="D3928" s="82" t="s">
        <v>62</v>
      </c>
      <c r="E3928" s="82" t="s">
        <v>7</v>
      </c>
      <c r="F3928" s="88">
        <v>7000</v>
      </c>
      <c r="G3928" s="86"/>
      <c r="H3928" s="86">
        <f>IFERROR(TRANSACTIONS!$F3928+TRANSACTIONS!$G3928,"")</f>
        <v>7000</v>
      </c>
      <c r="I3928" s="88" t="s">
        <v>41</v>
      </c>
      <c r="J3928" s="88"/>
    </row>
    <row r="3929" spans="1:10" x14ac:dyDescent="0.25">
      <c r="A3929" s="41">
        <v>45370.524397222223</v>
      </c>
      <c r="B3929" s="48">
        <f>IF(A3929&lt;&gt;"",DATE(YEAR(TRANSACTIONS!$A3929),MONTH(TRANSACTIONS!$A3929),DAY(TRANSACTIONS!$A3929)),"")</f>
        <v>45370</v>
      </c>
      <c r="C3929" s="49">
        <f>IF(A3929&lt;&gt;"",TIME(HOUR(TRANSACTIONS!$A3929),MINUTE(TRANSACTIONS!$A3929),SECOND(TRANSACTIONS!$A3929)),"")</f>
        <v>0.52439814814814811</v>
      </c>
      <c r="D3929" s="82" t="s">
        <v>62</v>
      </c>
      <c r="E3929" s="82" t="s">
        <v>7</v>
      </c>
      <c r="F3929" s="88">
        <v>10000</v>
      </c>
      <c r="G3929" s="46"/>
      <c r="H3929" s="46">
        <f>IFERROR(TRANSACTIONS!$F3929+TRANSACTIONS!$G3929,"")</f>
        <v>10000</v>
      </c>
      <c r="I3929" s="40" t="s">
        <v>41</v>
      </c>
    </row>
    <row r="3930" spans="1:10" x14ac:dyDescent="0.25">
      <c r="A3930" s="41">
        <v>45370.524421643517</v>
      </c>
      <c r="B3930" s="48">
        <f>IF(A3930&lt;&gt;"",DATE(YEAR(TRANSACTIONS!$A3930),MONTH(TRANSACTIONS!$A3930),DAY(TRANSACTIONS!$A3930)),"")</f>
        <v>45370</v>
      </c>
      <c r="C3930" s="49">
        <f>IF(A3930&lt;&gt;"",TIME(HOUR(TRANSACTIONS!$A3930),MINUTE(TRANSACTIONS!$A3930),SECOND(TRANSACTIONS!$A3930)),"")</f>
        <v>0.5244212962962963</v>
      </c>
      <c r="D3930" s="82" t="s">
        <v>62</v>
      </c>
      <c r="E3930" s="82" t="s">
        <v>6</v>
      </c>
      <c r="F3930" s="88">
        <v>10000</v>
      </c>
      <c r="G3930" s="46"/>
      <c r="H3930" s="46">
        <f>IFERROR(TRANSACTIONS!$F3930+TRANSACTIONS!$G3930,"")</f>
        <v>10000</v>
      </c>
      <c r="I3930" s="40" t="s">
        <v>41</v>
      </c>
    </row>
    <row r="3931" spans="1:10" x14ac:dyDescent="0.25">
      <c r="A3931" s="41">
        <v>45370.524433680555</v>
      </c>
      <c r="B3931" s="48">
        <f>IF(A3931&lt;&gt;"",DATE(YEAR(TRANSACTIONS!$A3931),MONTH(TRANSACTIONS!$A3931),DAY(TRANSACTIONS!$A3931)),"")</f>
        <v>45370</v>
      </c>
      <c r="C3931" s="49">
        <f>IF(A3931&lt;&gt;"",TIME(HOUR(TRANSACTIONS!$A3931),MINUTE(TRANSACTIONS!$A3931),SECOND(TRANSACTIONS!$A3931)),"")</f>
        <v>0.52443287037037034</v>
      </c>
      <c r="D3931" s="82" t="s">
        <v>25</v>
      </c>
      <c r="E3931" s="82" t="s">
        <v>7</v>
      </c>
      <c r="F3931" s="88">
        <v>10000</v>
      </c>
      <c r="G3931" s="46"/>
      <c r="H3931" s="46">
        <f>IFERROR(TRANSACTIONS!$F3931+TRANSACTIONS!$G3931,"")</f>
        <v>10000</v>
      </c>
      <c r="I3931" s="40" t="s">
        <v>41</v>
      </c>
    </row>
    <row r="3932" spans="1:10" x14ac:dyDescent="0.25">
      <c r="A3932" s="41">
        <v>45370.524491550925</v>
      </c>
      <c r="B3932" s="48">
        <f>IF(A3932&lt;&gt;"",DATE(YEAR(TRANSACTIONS!$A3932),MONTH(TRANSACTIONS!$A3932),DAY(TRANSACTIONS!$A3932)),"")</f>
        <v>45370</v>
      </c>
      <c r="C3932" s="49">
        <f>IF(A3932&lt;&gt;"",TIME(HOUR(TRANSACTIONS!$A3932),MINUTE(TRANSACTIONS!$A3932),SECOND(TRANSACTIONS!$A3932)),"")</f>
        <v>0.52449074074074076</v>
      </c>
      <c r="D3932" s="82" t="s">
        <v>25</v>
      </c>
      <c r="E3932" s="82" t="s">
        <v>6</v>
      </c>
      <c r="F3932" s="88">
        <v>80000</v>
      </c>
      <c r="G3932" s="46"/>
      <c r="H3932" s="46">
        <f>IFERROR(TRANSACTIONS!$F3932+TRANSACTIONS!$G3932,"")</f>
        <v>80000</v>
      </c>
      <c r="I3932" s="40" t="s">
        <v>41</v>
      </c>
    </row>
    <row r="3933" spans="1:10" x14ac:dyDescent="0.25">
      <c r="A3933" s="113">
        <v>45370.524567824075</v>
      </c>
      <c r="B3933" s="114">
        <f>IF(A3933&lt;&gt;"",DATE(YEAR(TRANSACTIONS!$A3933),MONTH(TRANSACTIONS!$A3933),DAY(TRANSACTIONS!$A3933)),"")</f>
        <v>45370</v>
      </c>
      <c r="C3933" s="115">
        <f>IF(A3933&lt;&gt;"",TIME(HOUR(TRANSACTIONS!$A3933),MINUTE(TRANSACTIONS!$A3933),SECOND(TRANSACTIONS!$A3933)),"")</f>
        <v>0.52457175925925925</v>
      </c>
      <c r="D3933" s="82" t="s">
        <v>25</v>
      </c>
      <c r="E3933" s="82" t="s">
        <v>6</v>
      </c>
      <c r="F3933" s="88">
        <v>2000</v>
      </c>
      <c r="G3933" s="117"/>
      <c r="H3933" s="117">
        <f>IFERROR(TRANSACTIONS!$F3933+TRANSACTIONS!$G3933,"")</f>
        <v>2000</v>
      </c>
      <c r="I3933" s="118" t="s">
        <v>41</v>
      </c>
    </row>
    <row r="3934" spans="1:10" x14ac:dyDescent="0.25">
      <c r="A3934" s="41">
        <v>45370.524609143518</v>
      </c>
      <c r="B3934" s="48">
        <f>IF(A3934&lt;&gt;"",DATE(YEAR(TRANSACTIONS!$A3934),MONTH(TRANSACTIONS!$A3934),DAY(TRANSACTIONS!$A3934)),"")</f>
        <v>45370</v>
      </c>
      <c r="C3934" s="49">
        <f>IF(A3934&lt;&gt;"",TIME(HOUR(TRANSACTIONS!$A3934),MINUTE(TRANSACTIONS!$A3934),SECOND(TRANSACTIONS!$A3934)),"")</f>
        <v>0.52460648148148148</v>
      </c>
      <c r="D3934" s="82" t="s">
        <v>25</v>
      </c>
      <c r="E3934" s="82" t="s">
        <v>6</v>
      </c>
      <c r="F3934" s="88">
        <v>8000</v>
      </c>
      <c r="G3934" s="46"/>
      <c r="H3934" s="46">
        <f>IFERROR(TRANSACTIONS!$F3934+TRANSACTIONS!$G3934,"")</f>
        <v>8000</v>
      </c>
      <c r="I3934" s="40" t="s">
        <v>41</v>
      </c>
    </row>
    <row r="3935" spans="1:10" x14ac:dyDescent="0.25">
      <c r="A3935" s="41">
        <v>45370.52461724537</v>
      </c>
      <c r="B3935" s="48">
        <f>IF(A3935&lt;&gt;"",DATE(YEAR(TRANSACTIONS!$A3935),MONTH(TRANSACTIONS!$A3935),DAY(TRANSACTIONS!$A3935)),"")</f>
        <v>45370</v>
      </c>
      <c r="C3935" s="49">
        <f>IF(A3935&lt;&gt;"",TIME(HOUR(TRANSACTIONS!$A3935),MINUTE(TRANSACTIONS!$A3935),SECOND(TRANSACTIONS!$A3935)),"")</f>
        <v>0.52461805555555563</v>
      </c>
      <c r="D3935" s="82" t="s">
        <v>25</v>
      </c>
      <c r="E3935" s="82" t="s">
        <v>7</v>
      </c>
      <c r="F3935" s="88">
        <v>5000</v>
      </c>
      <c r="G3935" s="46"/>
      <c r="H3935" s="46">
        <f>IFERROR(TRANSACTIONS!$F3935+TRANSACTIONS!$G3935,"")</f>
        <v>5000</v>
      </c>
      <c r="I3935" s="40" t="s">
        <v>41</v>
      </c>
    </row>
    <row r="3936" spans="1:10" x14ac:dyDescent="0.25">
      <c r="A3936" s="41">
        <v>45370.524643402779</v>
      </c>
      <c r="B3936" s="48">
        <f>IF(A3936&lt;&gt;"",DATE(YEAR(TRANSACTIONS!$A3936),MONTH(TRANSACTIONS!$A3936),DAY(TRANSACTIONS!$A3936)),"")</f>
        <v>45370</v>
      </c>
      <c r="C3936" s="49">
        <f>IF(A3936&lt;&gt;"",TIME(HOUR(TRANSACTIONS!$A3936),MINUTE(TRANSACTIONS!$A3936),SECOND(TRANSACTIONS!$A3936)),"")</f>
        <v>0.52464120370370371</v>
      </c>
      <c r="D3936" s="82" t="s">
        <v>25</v>
      </c>
      <c r="E3936" s="82" t="s">
        <v>6</v>
      </c>
      <c r="F3936" s="88">
        <v>1000</v>
      </c>
      <c r="G3936" s="46"/>
      <c r="H3936" s="46">
        <f>IFERROR(TRANSACTIONS!$F3936+TRANSACTIONS!$G3936,"")</f>
        <v>1000</v>
      </c>
      <c r="I3936" s="40" t="s">
        <v>41</v>
      </c>
    </row>
    <row r="3937" spans="1:10" x14ac:dyDescent="0.25">
      <c r="A3937" s="41">
        <v>45370.524661226853</v>
      </c>
      <c r="B3937" s="48">
        <f>IF(A3937&lt;&gt;"",DATE(YEAR(TRANSACTIONS!$A3937),MONTH(TRANSACTIONS!$A3937),DAY(TRANSACTIONS!$A3937)),"")</f>
        <v>45370</v>
      </c>
      <c r="C3937" s="49">
        <f>IF(A3937&lt;&gt;"",TIME(HOUR(TRANSACTIONS!$A3937),MINUTE(TRANSACTIONS!$A3937),SECOND(TRANSACTIONS!$A3937)),"")</f>
        <v>0.52466435185185178</v>
      </c>
      <c r="D3937" s="82" t="s">
        <v>25</v>
      </c>
      <c r="E3937" s="82" t="s">
        <v>7</v>
      </c>
      <c r="F3937" s="88">
        <v>400000</v>
      </c>
      <c r="G3937" s="46"/>
      <c r="H3937" s="46">
        <f>IFERROR(TRANSACTIONS!$F3937+TRANSACTIONS!$G3937,"")</f>
        <v>400000</v>
      </c>
      <c r="I3937" s="40" t="s">
        <v>41</v>
      </c>
    </row>
    <row r="3938" spans="1:10" x14ac:dyDescent="0.25">
      <c r="A3938" s="41">
        <v>45370.524739814813</v>
      </c>
      <c r="B3938" s="48">
        <f>IF(A3938&lt;&gt;"",DATE(YEAR(TRANSACTIONS!$A3938),MONTH(TRANSACTIONS!$A3938),DAY(TRANSACTIONS!$A3938)),"")</f>
        <v>45370</v>
      </c>
      <c r="C3938" s="49">
        <f>IF(A3938&lt;&gt;"",TIME(HOUR(TRANSACTIONS!$A3938),MINUTE(TRANSACTIONS!$A3938),SECOND(TRANSACTIONS!$A3938)),"")</f>
        <v>0.52474537037037039</v>
      </c>
      <c r="D3938" s="82" t="s">
        <v>25</v>
      </c>
      <c r="E3938" s="82" t="s">
        <v>6</v>
      </c>
      <c r="F3938" s="88">
        <v>400000</v>
      </c>
      <c r="G3938" s="46"/>
      <c r="H3938" s="46">
        <f>IFERROR(TRANSACTIONS!$F3938+TRANSACTIONS!$G3938,"")</f>
        <v>400000</v>
      </c>
      <c r="I3938" s="40" t="s">
        <v>41</v>
      </c>
    </row>
    <row r="3939" spans="1:10" x14ac:dyDescent="0.25">
      <c r="A3939" s="41">
        <v>45370.524879745368</v>
      </c>
      <c r="B3939" s="48">
        <f>IF(A3939&lt;&gt;"",DATE(YEAR(TRANSACTIONS!$A3939),MONTH(TRANSACTIONS!$A3939),DAY(TRANSACTIONS!$A3939)),"")</f>
        <v>45370</v>
      </c>
      <c r="C3939" s="49">
        <f>IF(A3939&lt;&gt;"",TIME(HOUR(TRANSACTIONS!$A3939),MINUTE(TRANSACTIONS!$A3939),SECOND(TRANSACTIONS!$A3939)),"")</f>
        <v>0.52488425925925919</v>
      </c>
      <c r="D3939" s="82" t="s">
        <v>25</v>
      </c>
      <c r="E3939" s="82" t="s">
        <v>7</v>
      </c>
      <c r="F3939" s="88">
        <v>2000</v>
      </c>
      <c r="G3939" s="46"/>
      <c r="H3939" s="46">
        <f>IFERROR(TRANSACTIONS!$F3939+TRANSACTIONS!$G3939,"")</f>
        <v>2000</v>
      </c>
      <c r="I3939" s="40" t="s">
        <v>41</v>
      </c>
    </row>
    <row r="3940" spans="1:10" x14ac:dyDescent="0.25">
      <c r="A3940" s="41">
        <v>45370.524890393521</v>
      </c>
      <c r="B3940" s="48">
        <f>IF(A3940&lt;&gt;"",DATE(YEAR(TRANSACTIONS!$A3940),MONTH(TRANSACTIONS!$A3940),DAY(TRANSACTIONS!$A3940)),"")</f>
        <v>45370</v>
      </c>
      <c r="C3940" s="49">
        <f>IF(A3940&lt;&gt;"",TIME(HOUR(TRANSACTIONS!$A3940),MINUTE(TRANSACTIONS!$A3940),SECOND(TRANSACTIONS!$A3940)),"")</f>
        <v>0.52489583333333334</v>
      </c>
      <c r="D3940" s="82" t="s">
        <v>25</v>
      </c>
      <c r="E3940" s="82" t="s">
        <v>6</v>
      </c>
      <c r="F3940" s="88">
        <v>1000</v>
      </c>
      <c r="G3940" s="46"/>
      <c r="H3940" s="46">
        <f>IFERROR(TRANSACTIONS!$F3940+TRANSACTIONS!$G3940,"")</f>
        <v>1000</v>
      </c>
      <c r="I3940" s="40" t="s">
        <v>41</v>
      </c>
    </row>
    <row r="3941" spans="1:10" x14ac:dyDescent="0.25">
      <c r="A3941" s="41">
        <v>45370.524910185188</v>
      </c>
      <c r="B3941" s="48">
        <f>IF(A3941&lt;&gt;"",DATE(YEAR(TRANSACTIONS!$A3941),MONTH(TRANSACTIONS!$A3941),DAY(TRANSACTIONS!$A3941)),"")</f>
        <v>45370</v>
      </c>
      <c r="C3941" s="49">
        <f>IF(A3941&lt;&gt;"",TIME(HOUR(TRANSACTIONS!$A3941),MINUTE(TRANSACTIONS!$A3941),SECOND(TRANSACTIONS!$A3941)),"")</f>
        <v>0.52490740740740738</v>
      </c>
      <c r="D3941" s="82" t="s">
        <v>25</v>
      </c>
      <c r="E3941" s="82" t="s">
        <v>7</v>
      </c>
      <c r="F3941" s="88">
        <v>50000</v>
      </c>
      <c r="G3941" s="46"/>
      <c r="H3941" s="46">
        <f>IFERROR(TRANSACTIONS!$F3941+TRANSACTIONS!$G3941,"")</f>
        <v>50000</v>
      </c>
      <c r="I3941" s="40" t="s">
        <v>41</v>
      </c>
    </row>
    <row r="3942" spans="1:10" x14ac:dyDescent="0.25">
      <c r="A3942" s="41">
        <v>45370.524921759257</v>
      </c>
      <c r="B3942" s="48">
        <f>IF(A3942&lt;&gt;"",DATE(YEAR(TRANSACTIONS!$A3942),MONTH(TRANSACTIONS!$A3942),DAY(TRANSACTIONS!$A3942)),"")</f>
        <v>45370</v>
      </c>
      <c r="C3942" s="49">
        <f>IF(A3942&lt;&gt;"",TIME(HOUR(TRANSACTIONS!$A3942),MINUTE(TRANSACTIONS!$A3942),SECOND(TRANSACTIONS!$A3942)),"")</f>
        <v>0.52491898148148153</v>
      </c>
      <c r="D3942" s="82" t="s">
        <v>25</v>
      </c>
      <c r="E3942" s="82" t="s">
        <v>6</v>
      </c>
      <c r="F3942" s="88">
        <v>500</v>
      </c>
      <c r="G3942" s="46"/>
      <c r="H3942" s="46">
        <f>IFERROR(TRANSACTIONS!$F3942+TRANSACTIONS!$G3942,"")</f>
        <v>500</v>
      </c>
      <c r="I3942" s="40" t="s">
        <v>41</v>
      </c>
    </row>
    <row r="3943" spans="1:10" x14ac:dyDescent="0.25">
      <c r="A3943" s="41">
        <v>45370.524962384261</v>
      </c>
      <c r="B3943" s="48">
        <f>IF(A3943&lt;&gt;"",DATE(YEAR(TRANSACTIONS!$A3943),MONTH(TRANSACTIONS!$A3943),DAY(TRANSACTIONS!$A3943)),"")</f>
        <v>45370</v>
      </c>
      <c r="C3943" s="49">
        <f>IF(A3943&lt;&gt;"",TIME(HOUR(TRANSACTIONS!$A3943),MINUTE(TRANSACTIONS!$A3943),SECOND(TRANSACTIONS!$A3943)),"")</f>
        <v>0.52496527777777779</v>
      </c>
      <c r="D3943" s="82" t="s">
        <v>25</v>
      </c>
      <c r="E3943" s="82" t="s">
        <v>6</v>
      </c>
      <c r="F3943" s="88">
        <v>3000</v>
      </c>
      <c r="G3943" s="46"/>
      <c r="H3943" s="46">
        <f>IFERROR(TRANSACTIONS!$F3943+TRANSACTIONS!$G3943,"")</f>
        <v>3000</v>
      </c>
      <c r="I3943" s="40" t="s">
        <v>41</v>
      </c>
    </row>
    <row r="3944" spans="1:10" x14ac:dyDescent="0.25">
      <c r="A3944" s="41">
        <v>45370.524971643521</v>
      </c>
      <c r="B3944" s="48">
        <f>IF(A3944&lt;&gt;"",DATE(YEAR(TRANSACTIONS!$A3944),MONTH(TRANSACTIONS!$A3944),DAY(TRANSACTIONS!$A3944)),"")</f>
        <v>45370</v>
      </c>
      <c r="C3944" s="49">
        <f>IF(A3944&lt;&gt;"",TIME(HOUR(TRANSACTIONS!$A3944),MINUTE(TRANSACTIONS!$A3944),SECOND(TRANSACTIONS!$A3944)),"")</f>
        <v>0.52497685185185183</v>
      </c>
      <c r="D3944" s="82" t="s">
        <v>25</v>
      </c>
      <c r="E3944" s="82" t="s">
        <v>6</v>
      </c>
      <c r="F3944" s="88">
        <v>500</v>
      </c>
      <c r="G3944" s="46"/>
      <c r="H3944" s="46">
        <f>IFERROR(TRANSACTIONS!$F3944+TRANSACTIONS!$G3944,"")</f>
        <v>500</v>
      </c>
      <c r="I3944" s="40" t="s">
        <v>41</v>
      </c>
    </row>
    <row r="3945" spans="1:10" x14ac:dyDescent="0.25">
      <c r="A3945" s="41">
        <v>45370.525034143517</v>
      </c>
      <c r="B3945" s="48">
        <f>IF(A3945&lt;&gt;"",DATE(YEAR(TRANSACTIONS!$A3945),MONTH(TRANSACTIONS!$A3945),DAY(TRANSACTIONS!$A3945)),"")</f>
        <v>45370</v>
      </c>
      <c r="C3945" s="49">
        <f>IF(A3945&lt;&gt;"",TIME(HOUR(TRANSACTIONS!$A3945),MINUTE(TRANSACTIONS!$A3945),SECOND(TRANSACTIONS!$A3945)),"")</f>
        <v>0.52503472222222225</v>
      </c>
      <c r="D3945" s="82" t="s">
        <v>25</v>
      </c>
      <c r="E3945" s="82" t="s">
        <v>7</v>
      </c>
      <c r="F3945" s="88">
        <v>30000</v>
      </c>
      <c r="G3945" s="46"/>
      <c r="H3945" s="46">
        <f>IFERROR(TRANSACTIONS!$F3945+TRANSACTIONS!$G3945,"")</f>
        <v>30000</v>
      </c>
      <c r="I3945" s="40" t="s">
        <v>41</v>
      </c>
    </row>
    <row r="3946" spans="1:10" x14ac:dyDescent="0.25">
      <c r="A3946" s="41">
        <v>45370.538519791669</v>
      </c>
      <c r="B3946" s="48">
        <f>IF(A3946&lt;&gt;"",DATE(YEAR(TRANSACTIONS!$A3946),MONTH(TRANSACTIONS!$A3946),DAY(TRANSACTIONS!$A3946)),"")</f>
        <v>45370</v>
      </c>
      <c r="C3946" s="49">
        <f>IF(A3946&lt;&gt;"",TIME(HOUR(TRANSACTIONS!$A3946),MINUTE(TRANSACTIONS!$A3946),SECOND(TRANSACTIONS!$A3946)),"")</f>
        <v>0.53851851851851851</v>
      </c>
      <c r="D3946" s="82" t="s">
        <v>62</v>
      </c>
      <c r="E3946" s="82" t="s">
        <v>7</v>
      </c>
      <c r="F3946" s="88">
        <v>5000</v>
      </c>
      <c r="G3946" s="46"/>
      <c r="H3946" s="46">
        <f>IFERROR(TRANSACTIONS!$F3946+TRANSACTIONS!$G3946,"")</f>
        <v>5000</v>
      </c>
      <c r="I3946" s="40" t="s">
        <v>41</v>
      </c>
    </row>
    <row r="3947" spans="1:10" x14ac:dyDescent="0.25">
      <c r="A3947" s="41">
        <v>45370.562459259258</v>
      </c>
      <c r="B3947" s="48">
        <f>IF(A3947&lt;&gt;"",DATE(YEAR(TRANSACTIONS!$A3947),MONTH(TRANSACTIONS!$A3947),DAY(TRANSACTIONS!$A3947)),"")</f>
        <v>45370</v>
      </c>
      <c r="C3947" s="49">
        <f>IF(A3947&lt;&gt;"",TIME(HOUR(TRANSACTIONS!$A3947),MINUTE(TRANSACTIONS!$A3947),SECOND(TRANSACTIONS!$A3947)),"")</f>
        <v>0.56245370370370373</v>
      </c>
      <c r="D3947" s="82" t="s">
        <v>62</v>
      </c>
      <c r="E3947" s="82" t="s">
        <v>7</v>
      </c>
      <c r="F3947" s="88">
        <v>5000</v>
      </c>
      <c r="G3947" s="46"/>
      <c r="H3947" s="46">
        <f>IFERROR(TRANSACTIONS!$F3947+TRANSACTIONS!$G3947,"")</f>
        <v>5000</v>
      </c>
      <c r="I3947" s="40" t="s">
        <v>41</v>
      </c>
    </row>
    <row r="3948" spans="1:10" x14ac:dyDescent="0.25">
      <c r="A3948" s="41">
        <v>45370.562474652776</v>
      </c>
      <c r="B3948" s="48">
        <f>IF(A3948&lt;&gt;"",DATE(YEAR(TRANSACTIONS!$A3948),MONTH(TRANSACTIONS!$A3948),DAY(TRANSACTIONS!$A3948)),"")</f>
        <v>45370</v>
      </c>
      <c r="C3948" s="49">
        <f>IF(A3948&lt;&gt;"",TIME(HOUR(TRANSACTIONS!$A3948),MINUTE(TRANSACTIONS!$A3948),SECOND(TRANSACTIONS!$A3948)),"")</f>
        <v>0.56247685185185181</v>
      </c>
      <c r="D3948" s="82" t="s">
        <v>62</v>
      </c>
      <c r="E3948" s="82" t="s">
        <v>6</v>
      </c>
      <c r="F3948" s="88">
        <v>11000</v>
      </c>
      <c r="G3948" s="46"/>
      <c r="H3948" s="46">
        <f>IFERROR(TRANSACTIONS!$F3948+TRANSACTIONS!$G3948,"")</f>
        <v>11000</v>
      </c>
      <c r="I3948" s="40" t="s">
        <v>41</v>
      </c>
    </row>
    <row r="3949" spans="1:10" x14ac:dyDescent="0.25">
      <c r="A3949" s="41">
        <v>45370.562486921299</v>
      </c>
      <c r="B3949" s="48">
        <f>IF(A3949&lt;&gt;"",DATE(YEAR(TRANSACTIONS!$A3949),MONTH(TRANSACTIONS!$A3949),DAY(TRANSACTIONS!$A3949)),"")</f>
        <v>45370</v>
      </c>
      <c r="C3949" s="49">
        <f>IF(A3949&lt;&gt;"",TIME(HOUR(TRANSACTIONS!$A3949),MINUTE(TRANSACTIONS!$A3949),SECOND(TRANSACTIONS!$A3949)),"")</f>
        <v>0.56248842592592596</v>
      </c>
      <c r="D3949" s="82" t="s">
        <v>62</v>
      </c>
      <c r="E3949" s="82" t="s">
        <v>7</v>
      </c>
      <c r="F3949" s="88">
        <v>5000</v>
      </c>
      <c r="G3949" s="46"/>
      <c r="H3949" s="46">
        <f>IFERROR(TRANSACTIONS!$F3949+TRANSACTIONS!$G3949,"")</f>
        <v>5000</v>
      </c>
      <c r="I3949" s="40" t="s">
        <v>41</v>
      </c>
    </row>
    <row r="3950" spans="1:10" x14ac:dyDescent="0.25">
      <c r="A3950" s="41">
        <v>45370.62502777778</v>
      </c>
      <c r="B3950" s="48">
        <f>IF(A3950&lt;&gt;"",DATE(YEAR(TRANSACTIONS!$A3950),MONTH(TRANSACTIONS!$A3950),DAY(TRANSACTIONS!$A3950)),"")</f>
        <v>45370</v>
      </c>
      <c r="C3950" s="49">
        <f>IF(A3950&lt;&gt;"",TIME(HOUR(TRANSACTIONS!$A3950),MINUTE(TRANSACTIONS!$A3950),SECOND(TRANSACTIONS!$A3950)),"")</f>
        <v>0.62502314814814819</v>
      </c>
      <c r="D3950" s="82" t="s">
        <v>62</v>
      </c>
      <c r="E3950" s="82" t="s">
        <v>7</v>
      </c>
      <c r="F3950" s="88">
        <v>5500</v>
      </c>
      <c r="G3950" s="46"/>
      <c r="H3950" s="46">
        <f>IFERROR(TRANSACTIONS!$F3950+TRANSACTIONS!$G3950,"")</f>
        <v>5500</v>
      </c>
      <c r="I3950" s="40" t="s">
        <v>41</v>
      </c>
    </row>
    <row r="3951" spans="1:10" x14ac:dyDescent="0.25">
      <c r="A3951" s="41">
        <v>45370.625050462964</v>
      </c>
      <c r="B3951" s="48">
        <f>IF(A3951&lt;&gt;"",DATE(YEAR(TRANSACTIONS!$A3951),MONTH(TRANSACTIONS!$A3951),DAY(TRANSACTIONS!$A3951)),"")</f>
        <v>45370</v>
      </c>
      <c r="C3951" s="49">
        <f>IF(A3951&lt;&gt;"",TIME(HOUR(TRANSACTIONS!$A3951),MINUTE(TRANSACTIONS!$A3951),SECOND(TRANSACTIONS!$A3951)),"")</f>
        <v>0.62504629629629627</v>
      </c>
      <c r="D3951" s="82" t="s">
        <v>62</v>
      </c>
      <c r="E3951" s="82" t="s">
        <v>6</v>
      </c>
      <c r="F3951" s="88">
        <v>10000</v>
      </c>
      <c r="G3951" s="46"/>
      <c r="H3951" s="46">
        <f>IFERROR(TRANSACTIONS!$F3951+TRANSACTIONS!$G3951,"")</f>
        <v>10000</v>
      </c>
      <c r="I3951" s="40" t="s">
        <v>41</v>
      </c>
    </row>
    <row r="3952" spans="1:10" x14ac:dyDescent="0.25">
      <c r="A3952" s="113">
        <v>45370.625060879633</v>
      </c>
      <c r="B3952" s="114">
        <f>IF(A3952&lt;&gt;"",DATE(YEAR(TRANSACTIONS!$A3952),MONTH(TRANSACTIONS!$A3952),DAY(TRANSACTIONS!$A3952)),"")</f>
        <v>45370</v>
      </c>
      <c r="C3952" s="115">
        <f>IF(A3952&lt;&gt;"",TIME(HOUR(TRANSACTIONS!$A3952),MINUTE(TRANSACTIONS!$A3952),SECOND(TRANSACTIONS!$A3952)),"")</f>
        <v>0.62505787037037031</v>
      </c>
      <c r="D3952" s="82" t="s">
        <v>62</v>
      </c>
      <c r="E3952" s="82" t="s">
        <v>6</v>
      </c>
      <c r="F3952" s="88">
        <v>50000</v>
      </c>
      <c r="G3952" s="117"/>
      <c r="H3952" s="117">
        <f>IFERROR(TRANSACTIONS!$F3952+TRANSACTIONS!$G3952,"")</f>
        <v>50000</v>
      </c>
      <c r="I3952" s="118" t="s">
        <v>41</v>
      </c>
      <c r="J3952" s="118"/>
    </row>
    <row r="3953" spans="1:10" x14ac:dyDescent="0.25">
      <c r="A3953" s="41">
        <v>45370.630451157405</v>
      </c>
      <c r="B3953" s="48">
        <f>IF(A3953&lt;&gt;"",DATE(YEAR(TRANSACTIONS!$A3953),MONTH(TRANSACTIONS!$A3953),DAY(TRANSACTIONS!$A3953)),"")</f>
        <v>45370</v>
      </c>
      <c r="C3953" s="49">
        <f>IF(A3953&lt;&gt;"",TIME(HOUR(TRANSACTIONS!$A3953),MINUTE(TRANSACTIONS!$A3953),SECOND(TRANSACTIONS!$A3953)),"")</f>
        <v>0.63045138888888885</v>
      </c>
      <c r="D3953" s="82" t="s">
        <v>62</v>
      </c>
      <c r="E3953" s="82" t="s">
        <v>7</v>
      </c>
      <c r="F3953" s="88">
        <v>10000</v>
      </c>
      <c r="G3953" s="46"/>
      <c r="H3953" s="46">
        <f>IFERROR(TRANSACTIONS!$F3953+TRANSACTIONS!$G3953,"")</f>
        <v>10000</v>
      </c>
      <c r="I3953" s="40" t="s">
        <v>41</v>
      </c>
    </row>
    <row r="3954" spans="1:10" x14ac:dyDescent="0.25">
      <c r="A3954" s="41">
        <v>45370.630470370372</v>
      </c>
      <c r="B3954" s="48">
        <f>IF(A3954&lt;&gt;"",DATE(YEAR(TRANSACTIONS!$A3954),MONTH(TRANSACTIONS!$A3954),DAY(TRANSACTIONS!$A3954)),"")</f>
        <v>45370</v>
      </c>
      <c r="C3954" s="49">
        <f>IF(A3954&lt;&gt;"",TIME(HOUR(TRANSACTIONS!$A3954),MINUTE(TRANSACTIONS!$A3954),SECOND(TRANSACTIONS!$A3954)),"")</f>
        <v>0.63047453703703704</v>
      </c>
      <c r="D3954" s="82" t="s">
        <v>62</v>
      </c>
      <c r="E3954" s="82" t="s">
        <v>7</v>
      </c>
      <c r="F3954" s="88">
        <v>2500</v>
      </c>
      <c r="G3954" s="46"/>
      <c r="H3954" s="46">
        <f>IFERROR(TRANSACTIONS!$F3954+TRANSACTIONS!$G3954,"")</f>
        <v>2500</v>
      </c>
      <c r="I3954" s="40" t="s">
        <v>41</v>
      </c>
    </row>
    <row r="3955" spans="1:10" x14ac:dyDescent="0.25">
      <c r="A3955" s="41">
        <v>45370.630537268516</v>
      </c>
      <c r="B3955" s="48">
        <f>IF(A3955&lt;&gt;"",DATE(YEAR(TRANSACTIONS!$A3955),MONTH(TRANSACTIONS!$A3955),DAY(TRANSACTIONS!$A3955)),"")</f>
        <v>45370</v>
      </c>
      <c r="C3955" s="49">
        <f>IF(A3955&lt;&gt;"",TIME(HOUR(TRANSACTIONS!$A3955),MINUTE(TRANSACTIONS!$A3955),SECOND(TRANSACTIONS!$A3955)),"")</f>
        <v>0.63053240740740735</v>
      </c>
      <c r="D3955" s="82" t="s">
        <v>62</v>
      </c>
      <c r="E3955" s="82" t="s">
        <v>6</v>
      </c>
      <c r="F3955" s="88">
        <v>1500</v>
      </c>
      <c r="G3955" s="46"/>
      <c r="H3955" s="46">
        <f>IFERROR(TRANSACTIONS!$F3955+TRANSACTIONS!$G3955,"")</f>
        <v>1500</v>
      </c>
      <c r="I3955" s="40" t="s">
        <v>41</v>
      </c>
    </row>
    <row r="3956" spans="1:10" x14ac:dyDescent="0.25">
      <c r="A3956" s="41">
        <v>45370.630551388887</v>
      </c>
      <c r="B3956" s="48">
        <f>IF(A3956&lt;&gt;"",DATE(YEAR(TRANSACTIONS!$A3956),MONTH(TRANSACTIONS!$A3956),DAY(TRANSACTIONS!$A3956)),"")</f>
        <v>45370</v>
      </c>
      <c r="C3956" s="49">
        <f>IF(A3956&lt;&gt;"",TIME(HOUR(TRANSACTIONS!$A3956),MINUTE(TRANSACTIONS!$A3956),SECOND(TRANSACTIONS!$A3956)),"")</f>
        <v>0.63055555555555554</v>
      </c>
      <c r="D3956" s="82" t="s">
        <v>62</v>
      </c>
      <c r="E3956" s="82" t="s">
        <v>7</v>
      </c>
      <c r="F3956" s="88">
        <v>300000</v>
      </c>
      <c r="G3956" s="46"/>
      <c r="H3956" s="46">
        <f>IFERROR(TRANSACTIONS!$F3956+TRANSACTIONS!$G3956,"")</f>
        <v>300000</v>
      </c>
      <c r="I3956" s="40" t="s">
        <v>41</v>
      </c>
    </row>
    <row r="3957" spans="1:10" x14ac:dyDescent="0.25">
      <c r="A3957" s="41">
        <v>45370.630613657406</v>
      </c>
      <c r="B3957" s="48">
        <f>IF(A3957&lt;&gt;"",DATE(YEAR(TRANSACTIONS!$A3957),MONTH(TRANSACTIONS!$A3957),DAY(TRANSACTIONS!$A3957)),"")</f>
        <v>45370</v>
      </c>
      <c r="C3957" s="49">
        <f>IF(A3957&lt;&gt;"",TIME(HOUR(TRANSACTIONS!$A3957),MINUTE(TRANSACTIONS!$A3957),SECOND(TRANSACTIONS!$A3957)),"")</f>
        <v>0.63061342592592595</v>
      </c>
      <c r="D3957" s="82" t="s">
        <v>62</v>
      </c>
      <c r="E3957" s="82" t="s">
        <v>6</v>
      </c>
      <c r="F3957" s="88">
        <v>490000</v>
      </c>
      <c r="G3957" s="46"/>
      <c r="H3957" s="46">
        <f>IFERROR(TRANSACTIONS!$F3957+TRANSACTIONS!$G3957,"")</f>
        <v>490000</v>
      </c>
      <c r="I3957" s="40" t="s">
        <v>41</v>
      </c>
    </row>
    <row r="3958" spans="1:10" x14ac:dyDescent="0.25">
      <c r="A3958" s="41">
        <v>45370.630621180557</v>
      </c>
      <c r="B3958" s="48">
        <f>IF(A3958&lt;&gt;"",DATE(YEAR(TRANSACTIONS!$A3958),MONTH(TRANSACTIONS!$A3958),DAY(TRANSACTIONS!$A3958)),"")</f>
        <v>45370</v>
      </c>
      <c r="C3958" s="49">
        <f>IF(A3958&lt;&gt;"",TIME(HOUR(TRANSACTIONS!$A3958),MINUTE(TRANSACTIONS!$A3958),SECOND(TRANSACTIONS!$A3958)),"")</f>
        <v>0.63062499999999999</v>
      </c>
      <c r="D3958" s="82" t="s">
        <v>62</v>
      </c>
      <c r="E3958" s="82" t="s">
        <v>6</v>
      </c>
      <c r="F3958" s="88">
        <v>10000</v>
      </c>
      <c r="G3958" s="46"/>
      <c r="H3958" s="46">
        <f>IFERROR(TRANSACTIONS!$F3958+TRANSACTIONS!$G3958,"")</f>
        <v>10000</v>
      </c>
      <c r="I3958" s="40" t="s">
        <v>41</v>
      </c>
    </row>
    <row r="3959" spans="1:10" x14ac:dyDescent="0.25">
      <c r="A3959" s="41">
        <v>45370.630629398147</v>
      </c>
      <c r="B3959" s="48">
        <f>IF(A3959&lt;&gt;"",DATE(YEAR(TRANSACTIONS!$A3959),MONTH(TRANSACTIONS!$A3959),DAY(TRANSACTIONS!$A3959)),"")</f>
        <v>45370</v>
      </c>
      <c r="C3959" s="49">
        <f>IF(A3959&lt;&gt;"",TIME(HOUR(TRANSACTIONS!$A3959),MINUTE(TRANSACTIONS!$A3959),SECOND(TRANSACTIONS!$A3959)),"")</f>
        <v>0.63062499999999999</v>
      </c>
      <c r="D3959" s="82" t="s">
        <v>62</v>
      </c>
      <c r="E3959" s="82" t="s">
        <v>7</v>
      </c>
      <c r="F3959" s="88">
        <v>5000</v>
      </c>
      <c r="G3959" s="46"/>
      <c r="H3959" s="46">
        <f>IFERROR(TRANSACTIONS!$F3959+TRANSACTIONS!$G3959,"")</f>
        <v>5000</v>
      </c>
      <c r="I3959" s="40" t="s">
        <v>41</v>
      </c>
    </row>
    <row r="3960" spans="1:10" x14ac:dyDescent="0.25">
      <c r="A3960" s="41">
        <v>45370.630637731483</v>
      </c>
      <c r="B3960" s="48">
        <f>IF(A3960&lt;&gt;"",DATE(YEAR(TRANSACTIONS!$A3960),MONTH(TRANSACTIONS!$A3960),DAY(TRANSACTIONS!$A3960)),"")</f>
        <v>45370</v>
      </c>
      <c r="C3960" s="49">
        <f>IF(A3960&lt;&gt;"",TIME(HOUR(TRANSACTIONS!$A3960),MINUTE(TRANSACTIONS!$A3960),SECOND(TRANSACTIONS!$A3960)),"")</f>
        <v>0.63063657407407414</v>
      </c>
      <c r="D3960" s="82" t="s">
        <v>25</v>
      </c>
      <c r="E3960" s="82" t="s">
        <v>6</v>
      </c>
      <c r="F3960" s="88">
        <v>2000</v>
      </c>
      <c r="G3960" s="46"/>
      <c r="H3960" s="46">
        <f>IFERROR(TRANSACTIONS!$F3960+TRANSACTIONS!$G3960,"")</f>
        <v>2000</v>
      </c>
      <c r="I3960" s="40" t="s">
        <v>41</v>
      </c>
    </row>
    <row r="3961" spans="1:10" x14ac:dyDescent="0.25">
      <c r="A3961" s="41">
        <v>45370.630644791665</v>
      </c>
      <c r="B3961" s="48">
        <f>IF(A3961&lt;&gt;"",DATE(YEAR(TRANSACTIONS!$A3961),MONTH(TRANSACTIONS!$A3961),DAY(TRANSACTIONS!$A3961)),"")</f>
        <v>45370</v>
      </c>
      <c r="C3961" s="49">
        <f>IF(A3961&lt;&gt;"",TIME(HOUR(TRANSACTIONS!$A3961),MINUTE(TRANSACTIONS!$A3961),SECOND(TRANSACTIONS!$A3961)),"")</f>
        <v>0.63064814814814818</v>
      </c>
      <c r="D3961" s="82" t="s">
        <v>25</v>
      </c>
      <c r="E3961" s="82" t="s">
        <v>7</v>
      </c>
      <c r="F3961" s="88">
        <v>2000</v>
      </c>
      <c r="G3961" s="46"/>
      <c r="H3961" s="46">
        <f>IFERROR(TRANSACTIONS!$F3961+TRANSACTIONS!$G3961,"")</f>
        <v>2000</v>
      </c>
      <c r="I3961" s="40" t="s">
        <v>41</v>
      </c>
    </row>
    <row r="3962" spans="1:10" x14ac:dyDescent="0.25">
      <c r="A3962" s="41">
        <v>45370.630652546293</v>
      </c>
      <c r="B3962" s="48">
        <f>IF(A3962&lt;&gt;"",DATE(YEAR(TRANSACTIONS!$A3962),MONTH(TRANSACTIONS!$A3962),DAY(TRANSACTIONS!$A3962)),"")</f>
        <v>45370</v>
      </c>
      <c r="C3962" s="49">
        <f>IF(A3962&lt;&gt;"",TIME(HOUR(TRANSACTIONS!$A3962),MINUTE(TRANSACTIONS!$A3962),SECOND(TRANSACTIONS!$A3962)),"")</f>
        <v>0.63064814814814818</v>
      </c>
      <c r="D3962" s="82" t="s">
        <v>62</v>
      </c>
      <c r="E3962" s="82" t="s">
        <v>6</v>
      </c>
      <c r="F3962" s="88">
        <v>22600</v>
      </c>
      <c r="G3962" s="46"/>
      <c r="H3962" s="46">
        <f>IFERROR(TRANSACTIONS!$F3962+TRANSACTIONS!$G3962,"")</f>
        <v>22600</v>
      </c>
      <c r="I3962" s="40" t="s">
        <v>41</v>
      </c>
    </row>
    <row r="3963" spans="1:10" x14ac:dyDescent="0.25">
      <c r="A3963" s="41">
        <v>45370.630659259259</v>
      </c>
      <c r="B3963" s="48">
        <f>IF(A3963&lt;&gt;"",DATE(YEAR(TRANSACTIONS!$A3963),MONTH(TRANSACTIONS!$A3963),DAY(TRANSACTIONS!$A3963)),"")</f>
        <v>45370</v>
      </c>
      <c r="C3963" s="49">
        <f>IF(A3963&lt;&gt;"",TIME(HOUR(TRANSACTIONS!$A3963),MINUTE(TRANSACTIONS!$A3963),SECOND(TRANSACTIONS!$A3963)),"")</f>
        <v>0.63065972222222222</v>
      </c>
      <c r="D3963" s="82" t="s">
        <v>62</v>
      </c>
      <c r="E3963" s="82" t="s">
        <v>7</v>
      </c>
      <c r="F3963" s="88">
        <v>230000</v>
      </c>
      <c r="G3963" s="46"/>
      <c r="H3963" s="46">
        <f>IFERROR(TRANSACTIONS!$F3963+TRANSACTIONS!$G3963,"")</f>
        <v>230000</v>
      </c>
      <c r="I3963" s="40" t="s">
        <v>41</v>
      </c>
    </row>
    <row r="3964" spans="1:10" x14ac:dyDescent="0.25">
      <c r="A3964" s="41">
        <v>45370.638430555555</v>
      </c>
      <c r="B3964" s="48">
        <f>IF(A3964&lt;&gt;"",DATE(YEAR(TRANSACTIONS!$A3964),MONTH(TRANSACTIONS!$A3964),DAY(TRANSACTIONS!$A3964)),"")</f>
        <v>45370</v>
      </c>
      <c r="C3964" s="49">
        <f>IF(A3964&lt;&gt;"",TIME(HOUR(TRANSACTIONS!$A3964),MINUTE(TRANSACTIONS!$A3964),SECOND(TRANSACTIONS!$A3964)),"")</f>
        <v>0.63842592592592595</v>
      </c>
      <c r="D3964" s="82" t="s">
        <v>62</v>
      </c>
      <c r="E3964" s="82" t="s">
        <v>6</v>
      </c>
      <c r="F3964" s="88">
        <v>15000</v>
      </c>
      <c r="G3964" s="46"/>
      <c r="H3964" s="46">
        <f>IFERROR(TRANSACTIONS!$F3964+TRANSACTIONS!$G3964,"")</f>
        <v>15000</v>
      </c>
      <c r="I3964" s="40" t="s">
        <v>41</v>
      </c>
    </row>
    <row r="3965" spans="1:10" x14ac:dyDescent="0.25">
      <c r="A3965" s="81">
        <v>45370.638460532406</v>
      </c>
      <c r="B3965" s="83">
        <f>IF(A3965&lt;&gt;"",DATE(YEAR(TRANSACTIONS!$A3965),MONTH(TRANSACTIONS!$A3965),DAY(TRANSACTIONS!$A3965)),"")</f>
        <v>45370</v>
      </c>
      <c r="C3965" s="84">
        <f>IF(A3965&lt;&gt;"",TIME(HOUR(TRANSACTIONS!$A3965),MINUTE(TRANSACTIONS!$A3965),SECOND(TRANSACTIONS!$A3965)),"")</f>
        <v>0.63846064814814818</v>
      </c>
      <c r="D3965" s="82" t="s">
        <v>62</v>
      </c>
      <c r="E3965" s="82"/>
      <c r="F3965" s="88">
        <v>11400</v>
      </c>
      <c r="G3965" s="86"/>
      <c r="H3965" s="86">
        <f>IFERROR(TRANSACTIONS!$F3965+TRANSACTIONS!$G3965,"")</f>
        <v>11400</v>
      </c>
      <c r="I3965" s="88" t="s">
        <v>41</v>
      </c>
      <c r="J3965" s="88"/>
    </row>
    <row r="3966" spans="1:10" x14ac:dyDescent="0.25">
      <c r="A3966" s="41">
        <v>45370.638469907404</v>
      </c>
      <c r="B3966" s="48">
        <f>IF(A3966&lt;&gt;"",DATE(YEAR(TRANSACTIONS!$A3966),MONTH(TRANSACTIONS!$A3966),DAY(TRANSACTIONS!$A3966)),"")</f>
        <v>45370</v>
      </c>
      <c r="C3966" s="49">
        <f>IF(A3966&lt;&gt;"",TIME(HOUR(TRANSACTIONS!$A3966),MINUTE(TRANSACTIONS!$A3966),SECOND(TRANSACTIONS!$A3966)),"")</f>
        <v>0.63847222222222222</v>
      </c>
      <c r="D3966" s="82" t="s">
        <v>62</v>
      </c>
      <c r="E3966" s="82" t="s">
        <v>6</v>
      </c>
      <c r="F3966" s="88">
        <v>23000</v>
      </c>
      <c r="G3966" s="46"/>
      <c r="H3966" s="46">
        <f>IFERROR(TRANSACTIONS!$F3966+TRANSACTIONS!$G3966,"")</f>
        <v>23000</v>
      </c>
      <c r="I3966" s="40" t="s">
        <v>41</v>
      </c>
    </row>
    <row r="3967" spans="1:10" x14ac:dyDescent="0.25">
      <c r="A3967" s="41">
        <v>45370.638478587964</v>
      </c>
      <c r="B3967" s="48">
        <f>IF(A3967&lt;&gt;"",DATE(YEAR(TRANSACTIONS!$A3967),MONTH(TRANSACTIONS!$A3967),DAY(TRANSACTIONS!$A3967)),"")</f>
        <v>45370</v>
      </c>
      <c r="C3967" s="49">
        <f>IF(A3967&lt;&gt;"",TIME(HOUR(TRANSACTIONS!$A3967),MINUTE(TRANSACTIONS!$A3967),SECOND(TRANSACTIONS!$A3967)),"")</f>
        <v>0.63848379629629626</v>
      </c>
      <c r="D3967" s="82" t="s">
        <v>25</v>
      </c>
      <c r="E3967" s="82" t="s">
        <v>6</v>
      </c>
      <c r="F3967" s="88">
        <v>1000</v>
      </c>
      <c r="G3967" s="46"/>
      <c r="H3967" s="46">
        <f>IFERROR(TRANSACTIONS!$F3967+TRANSACTIONS!$G3967,"")</f>
        <v>1000</v>
      </c>
      <c r="I3967" s="40" t="s">
        <v>41</v>
      </c>
    </row>
    <row r="3968" spans="1:10" x14ac:dyDescent="0.25">
      <c r="A3968" s="41">
        <v>45370.638497800923</v>
      </c>
      <c r="B3968" s="48">
        <f>IF(A3968&lt;&gt;"",DATE(YEAR(TRANSACTIONS!$A3968),MONTH(TRANSACTIONS!$A3968),DAY(TRANSACTIONS!$A3968)),"")</f>
        <v>45370</v>
      </c>
      <c r="C3968" s="49">
        <f>IF(A3968&lt;&gt;"",TIME(HOUR(TRANSACTIONS!$A3968),MINUTE(TRANSACTIONS!$A3968),SECOND(TRANSACTIONS!$A3968)),"")</f>
        <v>0.6384953703703703</v>
      </c>
      <c r="D3968" s="82" t="s">
        <v>62</v>
      </c>
      <c r="E3968" s="82" t="s">
        <v>6</v>
      </c>
      <c r="F3968" s="88">
        <v>3000</v>
      </c>
      <c r="G3968" s="46"/>
      <c r="H3968" s="46">
        <f>IFERROR(TRANSACTIONS!$F3968+TRANSACTIONS!$G3968,"")</f>
        <v>3000</v>
      </c>
      <c r="I3968" s="40" t="s">
        <v>41</v>
      </c>
    </row>
    <row r="3969" spans="1:9" x14ac:dyDescent="0.25">
      <c r="A3969" s="41">
        <v>45370.638486342592</v>
      </c>
      <c r="B3969" s="48">
        <f>IF(A3969&lt;&gt;"",DATE(YEAR(TRANSACTIONS!$A3969),MONTH(TRANSACTIONS!$A3969),DAY(TRANSACTIONS!$A3969)),"")</f>
        <v>45370</v>
      </c>
      <c r="C3969" s="49">
        <f>IF(A3969&lt;&gt;"",TIME(HOUR(TRANSACTIONS!$A3969),MINUTE(TRANSACTIONS!$A3969),SECOND(TRANSACTIONS!$A3969)),"")</f>
        <v>0.63848379629629626</v>
      </c>
      <c r="D3969" s="82" t="s">
        <v>62</v>
      </c>
      <c r="E3969" s="82" t="s">
        <v>7</v>
      </c>
      <c r="F3969" s="88">
        <v>165000</v>
      </c>
      <c r="G3969" s="46"/>
      <c r="H3969" s="46">
        <f>IFERROR(TRANSACTIONS!$F3969+TRANSACTIONS!$G3969,"")</f>
        <v>165000</v>
      </c>
      <c r="I3969" s="40" t="s">
        <v>41</v>
      </c>
    </row>
    <row r="3970" spans="1:9" x14ac:dyDescent="0.25">
      <c r="A3970" s="81">
        <v>45370.654469907407</v>
      </c>
      <c r="B3970" s="83">
        <f>IF(A3970&lt;&gt;"",DATE(YEAR(TRANSACTIONS!$A3970),MONTH(TRANSACTIONS!$A3970),DAY(TRANSACTIONS!$A3970)),"")</f>
        <v>45370</v>
      </c>
      <c r="C3970" s="84">
        <f>IF(A3970&lt;&gt;"",TIME(HOUR(TRANSACTIONS!$A3970),MINUTE(TRANSACTIONS!$A3970),SECOND(TRANSACTIONS!$A3970)),"")</f>
        <v>0.65446759259259257</v>
      </c>
      <c r="D3970" s="82" t="s">
        <v>62</v>
      </c>
      <c r="E3970" s="82" t="s">
        <v>6</v>
      </c>
      <c r="F3970" s="88">
        <v>90000</v>
      </c>
      <c r="G3970" s="86"/>
      <c r="H3970" s="86">
        <f>IFERROR(TRANSACTIONS!$F3970+TRANSACTIONS!$G3970,"")</f>
        <v>90000</v>
      </c>
      <c r="I3970" s="88" t="s">
        <v>41</v>
      </c>
    </row>
    <row r="3971" spans="1:9" x14ac:dyDescent="0.25">
      <c r="A3971" s="41">
        <v>45370.654546759259</v>
      </c>
      <c r="B3971" s="48">
        <f>IF(A3971&lt;&gt;"",DATE(YEAR(TRANSACTIONS!$A3971),MONTH(TRANSACTIONS!$A3971),DAY(TRANSACTIONS!$A3971)),"")</f>
        <v>45370</v>
      </c>
      <c r="C3971" s="49">
        <f>IF(A3971&lt;&gt;"",TIME(HOUR(TRANSACTIONS!$A3971),MINUTE(TRANSACTIONS!$A3971),SECOND(TRANSACTIONS!$A3971)),"")</f>
        <v>0.65454861111111107</v>
      </c>
      <c r="D3971" s="82" t="s">
        <v>62</v>
      </c>
      <c r="E3971" s="82" t="s">
        <v>6</v>
      </c>
      <c r="F3971" s="88">
        <v>1800</v>
      </c>
      <c r="G3971" s="46"/>
      <c r="H3971" s="46">
        <f>IFERROR(TRANSACTIONS!$F3971+TRANSACTIONS!$G3971,"")</f>
        <v>1800</v>
      </c>
      <c r="I3971" s="40" t="s">
        <v>41</v>
      </c>
    </row>
    <row r="3972" spans="1:9" x14ac:dyDescent="0.25">
      <c r="A3972" s="41">
        <v>45370.654567592595</v>
      </c>
      <c r="B3972" s="48">
        <f>IF(A3972&lt;&gt;"",DATE(YEAR(TRANSACTIONS!$A3972),MONTH(TRANSACTIONS!$A3972),DAY(TRANSACTIONS!$A3972)),"")</f>
        <v>45370</v>
      </c>
      <c r="C3972" s="49">
        <f>IF(A3972&lt;&gt;"",TIME(HOUR(TRANSACTIONS!$A3972),MINUTE(TRANSACTIONS!$A3972),SECOND(TRANSACTIONS!$A3972)),"")</f>
        <v>0.65457175925925926</v>
      </c>
      <c r="D3972" s="82" t="s">
        <v>62</v>
      </c>
      <c r="E3972" s="82" t="s">
        <v>7</v>
      </c>
      <c r="F3972" s="88">
        <v>700</v>
      </c>
      <c r="G3972" s="46"/>
      <c r="H3972" s="46">
        <f>IFERROR(TRANSACTIONS!$F3972+TRANSACTIONS!$G3972,"")</f>
        <v>700</v>
      </c>
      <c r="I3972" s="40" t="s">
        <v>41</v>
      </c>
    </row>
    <row r="3973" spans="1:9" x14ac:dyDescent="0.25">
      <c r="A3973" s="41">
        <v>45370.667797337963</v>
      </c>
      <c r="B3973" s="48">
        <f>IF(A3973&lt;&gt;"",DATE(YEAR(TRANSACTIONS!$A3973),MONTH(TRANSACTIONS!$A3973),DAY(TRANSACTIONS!$A3973)),"")</f>
        <v>45370</v>
      </c>
      <c r="C3973" s="49">
        <f>IF(A3973&lt;&gt;"",TIME(HOUR(TRANSACTIONS!$A3973),MINUTE(TRANSACTIONS!$A3973),SECOND(TRANSACTIONS!$A3973)),"")</f>
        <v>0.66780092592592588</v>
      </c>
      <c r="D3973" s="82" t="s">
        <v>62</v>
      </c>
      <c r="E3973" s="82" t="s">
        <v>6</v>
      </c>
      <c r="F3973" s="88">
        <v>100000</v>
      </c>
      <c r="G3973" s="46"/>
      <c r="H3973" s="46">
        <f>IFERROR(TRANSACTIONS!$F3973+TRANSACTIONS!$G3973,"")</f>
        <v>100000</v>
      </c>
      <c r="I3973" s="40" t="s">
        <v>41</v>
      </c>
    </row>
    <row r="3974" spans="1:9" x14ac:dyDescent="0.25">
      <c r="A3974" s="41">
        <v>45370.737938310187</v>
      </c>
      <c r="B3974" s="48">
        <f>IF(A3974&lt;&gt;"",DATE(YEAR(TRANSACTIONS!$A3974),MONTH(TRANSACTIONS!$A3974),DAY(TRANSACTIONS!$A3974)),"")</f>
        <v>45370</v>
      </c>
      <c r="C3974" s="49">
        <f>IF(A3974&lt;&gt;"",TIME(HOUR(TRANSACTIONS!$A3974),MINUTE(TRANSACTIONS!$A3974),SECOND(TRANSACTIONS!$A3974)),"")</f>
        <v>0.73793981481481474</v>
      </c>
      <c r="D3974" s="82" t="s">
        <v>62</v>
      </c>
      <c r="E3974" s="82" t="s">
        <v>7</v>
      </c>
      <c r="F3974" s="88">
        <v>5000</v>
      </c>
      <c r="G3974" s="46"/>
      <c r="H3974" s="46">
        <f>IFERROR(TRANSACTIONS!$F3974+TRANSACTIONS!$G3974,"")</f>
        <v>5000</v>
      </c>
      <c r="I3974" s="40" t="s">
        <v>41</v>
      </c>
    </row>
    <row r="3975" spans="1:9" x14ac:dyDescent="0.25">
      <c r="A3975" s="41">
        <v>45370.739251851854</v>
      </c>
      <c r="B3975" s="48">
        <f>IF(A3975&lt;&gt;"",DATE(YEAR(TRANSACTIONS!$A3975),MONTH(TRANSACTIONS!$A3975),DAY(TRANSACTIONS!$A3975)),"")</f>
        <v>45370</v>
      </c>
      <c r="C3975" s="49">
        <f>IF(A3975&lt;&gt;"",TIME(HOUR(TRANSACTIONS!$A3975),MINUTE(TRANSACTIONS!$A3975),SECOND(TRANSACTIONS!$A3975)),"")</f>
        <v>0.73924768518518524</v>
      </c>
      <c r="D3975" s="82" t="s">
        <v>62</v>
      </c>
      <c r="E3975" s="82" t="s">
        <v>6</v>
      </c>
      <c r="F3975" s="88">
        <v>25000</v>
      </c>
      <c r="G3975" s="46"/>
      <c r="H3975" s="46">
        <f>IFERROR(TRANSACTIONS!$F3975+TRANSACTIONS!$G3975,"")</f>
        <v>25000</v>
      </c>
      <c r="I3975" s="40" t="s">
        <v>41</v>
      </c>
    </row>
    <row r="3976" spans="1:9" x14ac:dyDescent="0.25">
      <c r="A3976" s="81">
        <v>45370.739279398149</v>
      </c>
      <c r="B3976" s="83">
        <f>IF(A3976&lt;&gt;"",DATE(YEAR(TRANSACTIONS!$A3976),MONTH(TRANSACTIONS!$A3976),DAY(TRANSACTIONS!$A3976)),"")</f>
        <v>45370</v>
      </c>
      <c r="C3976" s="84">
        <f>IF(A3976&lt;&gt;"",TIME(HOUR(TRANSACTIONS!$A3976),MINUTE(TRANSACTIONS!$A3976),SECOND(TRANSACTIONS!$A3976)),"")</f>
        <v>0.73928240740740747</v>
      </c>
      <c r="D3976" s="82" t="s">
        <v>62</v>
      </c>
      <c r="E3976" s="82" t="s">
        <v>6</v>
      </c>
      <c r="F3976" s="88">
        <v>130000</v>
      </c>
      <c r="G3976" s="86"/>
      <c r="H3976" s="86">
        <f>IFERROR(TRANSACTIONS!$F3976+TRANSACTIONS!$G3976,"")</f>
        <v>130000</v>
      </c>
      <c r="I3976" s="88" t="s">
        <v>41</v>
      </c>
    </row>
    <row r="3977" spans="1:9" x14ac:dyDescent="0.25">
      <c r="A3977" s="41">
        <v>45370.739290046295</v>
      </c>
      <c r="B3977" s="48">
        <f>IF(A3977&lt;&gt;"",DATE(YEAR(TRANSACTIONS!$A3977),MONTH(TRANSACTIONS!$A3977),DAY(TRANSACTIONS!$A3977)),"")</f>
        <v>45370</v>
      </c>
      <c r="C3977" s="49">
        <f>IF(A3977&lt;&gt;"",TIME(HOUR(TRANSACTIONS!$A3977),MINUTE(TRANSACTIONS!$A3977),SECOND(TRANSACTIONS!$A3977)),"")</f>
        <v>0.73929398148148151</v>
      </c>
      <c r="D3977" s="82" t="s">
        <v>62</v>
      </c>
      <c r="E3977" s="82" t="s">
        <v>6</v>
      </c>
      <c r="F3977" s="88">
        <v>8500</v>
      </c>
      <c r="G3977" s="46"/>
      <c r="H3977" s="46">
        <f>IFERROR(TRANSACTIONS!$F3977+TRANSACTIONS!$G3977,"")</f>
        <v>8500</v>
      </c>
      <c r="I3977" s="40" t="s">
        <v>41</v>
      </c>
    </row>
    <row r="3978" spans="1:9" x14ac:dyDescent="0.25">
      <c r="A3978" s="41">
        <v>45370.739299768517</v>
      </c>
      <c r="B3978" s="48">
        <f>IF(A3978&lt;&gt;"",DATE(YEAR(TRANSACTIONS!$A3978),MONTH(TRANSACTIONS!$A3978),DAY(TRANSACTIONS!$A3978)),"")</f>
        <v>45370</v>
      </c>
      <c r="C3978" s="49">
        <f>IF(A3978&lt;&gt;"",TIME(HOUR(TRANSACTIONS!$A3978),MINUTE(TRANSACTIONS!$A3978),SECOND(TRANSACTIONS!$A3978)),"")</f>
        <v>0.73929398148148151</v>
      </c>
      <c r="D3978" s="82" t="s">
        <v>62</v>
      </c>
      <c r="E3978" s="82" t="s">
        <v>6</v>
      </c>
      <c r="F3978" s="88">
        <v>4000</v>
      </c>
      <c r="G3978" s="46"/>
      <c r="H3978" s="46">
        <f>IFERROR(TRANSACTIONS!$F3978+TRANSACTIONS!$G3978,"")</f>
        <v>4000</v>
      </c>
      <c r="I3978" s="40" t="s">
        <v>41</v>
      </c>
    </row>
    <row r="3979" spans="1:9" x14ac:dyDescent="0.25">
      <c r="A3979" s="41">
        <v>45370.739307523145</v>
      </c>
      <c r="B3979" s="48">
        <f>IF(A3979&lt;&gt;"",DATE(YEAR(TRANSACTIONS!$A3979),MONTH(TRANSACTIONS!$A3979),DAY(TRANSACTIONS!$A3979)),"")</f>
        <v>45370</v>
      </c>
      <c r="C3979" s="49">
        <f>IF(A3979&lt;&gt;"",TIME(HOUR(TRANSACTIONS!$A3979),MINUTE(TRANSACTIONS!$A3979),SECOND(TRANSACTIONS!$A3979)),"")</f>
        <v>0.73930555555555555</v>
      </c>
      <c r="D3979" s="82" t="s">
        <v>62</v>
      </c>
      <c r="E3979" s="82" t="s">
        <v>7</v>
      </c>
      <c r="F3979" s="88">
        <v>10000</v>
      </c>
      <c r="G3979" s="46"/>
      <c r="H3979" s="46">
        <f>IFERROR(TRANSACTIONS!$F3979+TRANSACTIONS!$G3979,"")</f>
        <v>10000</v>
      </c>
      <c r="I3979" s="40" t="s">
        <v>41</v>
      </c>
    </row>
    <row r="3980" spans="1:9" x14ac:dyDescent="0.25">
      <c r="A3980" s="41">
        <v>45370.739316087966</v>
      </c>
      <c r="B3980" s="48">
        <f>IF(A3980&lt;&gt;"",DATE(YEAR(TRANSACTIONS!$A3980),MONTH(TRANSACTIONS!$A3980),DAY(TRANSACTIONS!$A3980)),"")</f>
        <v>45370</v>
      </c>
      <c r="C3980" s="49">
        <f>IF(A3980&lt;&gt;"",TIME(HOUR(TRANSACTIONS!$A3980),MINUTE(TRANSACTIONS!$A3980),SECOND(TRANSACTIONS!$A3980)),"")</f>
        <v>0.73931712962962959</v>
      </c>
      <c r="D3980" s="82" t="s">
        <v>62</v>
      </c>
      <c r="E3980" s="82" t="s">
        <v>7</v>
      </c>
      <c r="F3980" s="88">
        <v>2000</v>
      </c>
      <c r="G3980" s="46"/>
      <c r="H3980" s="46">
        <f>IFERROR(TRANSACTIONS!$F3980+TRANSACTIONS!$G3980,"")</f>
        <v>2000</v>
      </c>
      <c r="I3980" s="40" t="s">
        <v>41</v>
      </c>
    </row>
    <row r="3981" spans="1:9" x14ac:dyDescent="0.25">
      <c r="A3981" s="41">
        <v>45370.739324189817</v>
      </c>
      <c r="B3981" s="48">
        <f>IF(A3981&lt;&gt;"",DATE(YEAR(TRANSACTIONS!$A3981),MONTH(TRANSACTIONS!$A3981),DAY(TRANSACTIONS!$A3981)),"")</f>
        <v>45370</v>
      </c>
      <c r="C3981" s="49">
        <f>IF(A3981&lt;&gt;"",TIME(HOUR(TRANSACTIONS!$A3981),MINUTE(TRANSACTIONS!$A3981),SECOND(TRANSACTIONS!$A3981)),"")</f>
        <v>0.73932870370370374</v>
      </c>
      <c r="D3981" s="82" t="s">
        <v>62</v>
      </c>
      <c r="E3981" s="82" t="s">
        <v>7</v>
      </c>
      <c r="F3981" s="88">
        <v>1200</v>
      </c>
      <c r="G3981" s="46"/>
      <c r="H3981" s="46">
        <f>IFERROR(TRANSACTIONS!$F3981+TRANSACTIONS!$G3981,"")</f>
        <v>1200</v>
      </c>
      <c r="I3981" s="40" t="s">
        <v>41</v>
      </c>
    </row>
    <row r="3982" spans="1:9" x14ac:dyDescent="0.25">
      <c r="A3982" s="41">
        <v>45370.739331828707</v>
      </c>
      <c r="B3982" s="48">
        <f>IF(A3982&lt;&gt;"",DATE(YEAR(TRANSACTIONS!$A3982),MONTH(TRANSACTIONS!$A3982),DAY(TRANSACTIONS!$A3982)),"")</f>
        <v>45370</v>
      </c>
      <c r="C3982" s="49">
        <f>IF(A3982&lt;&gt;"",TIME(HOUR(TRANSACTIONS!$A3982),MINUTE(TRANSACTIONS!$A3982),SECOND(TRANSACTIONS!$A3982)),"")</f>
        <v>0.73932870370370374</v>
      </c>
      <c r="D3982" s="82" t="s">
        <v>62</v>
      </c>
      <c r="E3982" s="82" t="s">
        <v>7</v>
      </c>
      <c r="F3982" s="88">
        <v>300</v>
      </c>
      <c r="G3982" s="46"/>
      <c r="H3982" s="46">
        <f>IFERROR(TRANSACTIONS!$F3982+TRANSACTIONS!$G3982,"")</f>
        <v>300</v>
      </c>
      <c r="I3982" s="40" t="s">
        <v>41</v>
      </c>
    </row>
    <row r="3983" spans="1:9" x14ac:dyDescent="0.25">
      <c r="A3983" s="41">
        <v>45370.739340162036</v>
      </c>
      <c r="B3983" s="48">
        <f>IF(A3983&lt;&gt;"",DATE(YEAR(TRANSACTIONS!$A3983),MONTH(TRANSACTIONS!$A3983),DAY(TRANSACTIONS!$A3983)),"")</f>
        <v>45370</v>
      </c>
      <c r="C3983" s="49">
        <f>IF(A3983&lt;&gt;"",TIME(HOUR(TRANSACTIONS!$A3983),MINUTE(TRANSACTIONS!$A3983),SECOND(TRANSACTIONS!$A3983)),"")</f>
        <v>0.73934027777777767</v>
      </c>
      <c r="D3983" s="82" t="s">
        <v>62</v>
      </c>
      <c r="E3983" s="82" t="s">
        <v>7</v>
      </c>
      <c r="F3983" s="88">
        <v>1000</v>
      </c>
      <c r="G3983" s="46"/>
      <c r="H3983" s="46">
        <f>IFERROR(TRANSACTIONS!$F3983+TRANSACTIONS!$G3983,"")</f>
        <v>1000</v>
      </c>
      <c r="I3983" s="40" t="s">
        <v>41</v>
      </c>
    </row>
    <row r="3984" spans="1:9" x14ac:dyDescent="0.25">
      <c r="A3984" s="41">
        <v>45370.739349305557</v>
      </c>
      <c r="B3984" s="48">
        <f>IF(A3984&lt;&gt;"",DATE(YEAR(TRANSACTIONS!$A3984),MONTH(TRANSACTIONS!$A3984),DAY(TRANSACTIONS!$A3984)),"")</f>
        <v>45370</v>
      </c>
      <c r="C3984" s="49">
        <f>IF(A3984&lt;&gt;"",TIME(HOUR(TRANSACTIONS!$A3984),MINUTE(TRANSACTIONS!$A3984),SECOND(TRANSACTIONS!$A3984)),"")</f>
        <v>0.73935185185185182</v>
      </c>
      <c r="D3984" s="82" t="s">
        <v>62</v>
      </c>
      <c r="E3984" s="82" t="s">
        <v>6</v>
      </c>
      <c r="F3984" s="88">
        <v>12000</v>
      </c>
      <c r="G3984" s="46"/>
      <c r="H3984" s="46">
        <f>IFERROR(TRANSACTIONS!$F3984+TRANSACTIONS!$G3984,"")</f>
        <v>12000</v>
      </c>
      <c r="I3984" s="40" t="s">
        <v>41</v>
      </c>
    </row>
    <row r="3985" spans="1:9" x14ac:dyDescent="0.25">
      <c r="A3985" s="41">
        <v>45370.739357638886</v>
      </c>
      <c r="B3985" s="48">
        <f>IF(A3985&lt;&gt;"",DATE(YEAR(TRANSACTIONS!$A3985),MONTH(TRANSACTIONS!$A3985),DAY(TRANSACTIONS!$A3985)),"")</f>
        <v>45370</v>
      </c>
      <c r="C3985" s="49">
        <f>IF(A3985&lt;&gt;"",TIME(HOUR(TRANSACTIONS!$A3985),MINUTE(TRANSACTIONS!$A3985),SECOND(TRANSACTIONS!$A3985)),"")</f>
        <v>0.73935185185185182</v>
      </c>
      <c r="D3985" s="82" t="s">
        <v>62</v>
      </c>
      <c r="E3985" s="82" t="s">
        <v>7</v>
      </c>
      <c r="F3985" s="88">
        <v>1000</v>
      </c>
      <c r="G3985" s="46"/>
      <c r="H3985" s="46">
        <f>IFERROR(TRANSACTIONS!$F3985+TRANSACTIONS!$G3985,"")</f>
        <v>1000</v>
      </c>
      <c r="I3985" s="40" t="s">
        <v>41</v>
      </c>
    </row>
    <row r="3986" spans="1:9" x14ac:dyDescent="0.25">
      <c r="A3986" s="41">
        <v>45370.739365046298</v>
      </c>
      <c r="B3986" s="48">
        <f>IF(A3986&lt;&gt;"",DATE(YEAR(TRANSACTIONS!$A3986),MONTH(TRANSACTIONS!$A3986),DAY(TRANSACTIONS!$A3986)),"")</f>
        <v>45370</v>
      </c>
      <c r="C3986" s="49">
        <f>IF(A3986&lt;&gt;"",TIME(HOUR(TRANSACTIONS!$A3986),MINUTE(TRANSACTIONS!$A3986),SECOND(TRANSACTIONS!$A3986)),"")</f>
        <v>0.73936342592592597</v>
      </c>
      <c r="D3986" s="82" t="s">
        <v>62</v>
      </c>
      <c r="E3986" s="82" t="s">
        <v>7</v>
      </c>
      <c r="F3986" s="88">
        <v>1000</v>
      </c>
      <c r="G3986" s="46"/>
      <c r="H3986" s="46">
        <f>IFERROR(TRANSACTIONS!$F3986+TRANSACTIONS!$G3986,"")</f>
        <v>1000</v>
      </c>
      <c r="I3986" s="40" t="s">
        <v>41</v>
      </c>
    </row>
    <row r="3987" spans="1:9" x14ac:dyDescent="0.25">
      <c r="A3987" s="41">
        <v>45370.739372685188</v>
      </c>
      <c r="B3987" s="48">
        <f>IF(A3987&lt;&gt;"",DATE(YEAR(TRANSACTIONS!$A3987),MONTH(TRANSACTIONS!$A3987),DAY(TRANSACTIONS!$A3987)),"")</f>
        <v>45370</v>
      </c>
      <c r="C3987" s="49">
        <f>IF(A3987&lt;&gt;"",TIME(HOUR(TRANSACTIONS!$A3987),MINUTE(TRANSACTIONS!$A3987),SECOND(TRANSACTIONS!$A3987)),"")</f>
        <v>0.739375</v>
      </c>
      <c r="D3987" s="82" t="s">
        <v>62</v>
      </c>
      <c r="E3987" s="82" t="s">
        <v>7</v>
      </c>
      <c r="F3987" s="88">
        <v>7000</v>
      </c>
      <c r="G3987" s="46"/>
      <c r="H3987" s="46">
        <f>IFERROR(TRANSACTIONS!$F3987+TRANSACTIONS!$G3987,"")</f>
        <v>7000</v>
      </c>
      <c r="I3987" s="40" t="s">
        <v>41</v>
      </c>
    </row>
    <row r="3988" spans="1:9" x14ac:dyDescent="0.25">
      <c r="A3988" s="41">
        <v>45370.739379861108</v>
      </c>
      <c r="B3988" s="48">
        <f>IF(A3988&lt;&gt;"",DATE(YEAR(TRANSACTIONS!$A3988),MONTH(TRANSACTIONS!$A3988),DAY(TRANSACTIONS!$A3988)),"")</f>
        <v>45370</v>
      </c>
      <c r="C3988" s="49">
        <f>IF(A3988&lt;&gt;"",TIME(HOUR(TRANSACTIONS!$A3988),MINUTE(TRANSACTIONS!$A3988),SECOND(TRANSACTIONS!$A3988)),"")</f>
        <v>0.739375</v>
      </c>
      <c r="D3988" s="82" t="s">
        <v>62</v>
      </c>
      <c r="E3988" s="82" t="s">
        <v>6</v>
      </c>
      <c r="F3988" s="88">
        <v>3500</v>
      </c>
      <c r="G3988" s="46"/>
      <c r="H3988" s="46">
        <f>IFERROR(TRANSACTIONS!$F3988+TRANSACTIONS!$G3988,"")</f>
        <v>3500</v>
      </c>
      <c r="I3988" s="40" t="s">
        <v>41</v>
      </c>
    </row>
    <row r="3989" spans="1:9" x14ac:dyDescent="0.25">
      <c r="A3989" s="41">
        <v>45370.739387268521</v>
      </c>
      <c r="B3989" s="48">
        <f>IF(A3989&lt;&gt;"",DATE(YEAR(TRANSACTIONS!$A3989),MONTH(TRANSACTIONS!$A3989),DAY(TRANSACTIONS!$A3989)),"")</f>
        <v>45370</v>
      </c>
      <c r="C3989" s="49">
        <f>IF(A3989&lt;&gt;"",TIME(HOUR(TRANSACTIONS!$A3989),MINUTE(TRANSACTIONS!$A3989),SECOND(TRANSACTIONS!$A3989)),"")</f>
        <v>0.73938657407407404</v>
      </c>
      <c r="D3989" s="82" t="s">
        <v>62</v>
      </c>
      <c r="E3989" s="82" t="s">
        <v>7</v>
      </c>
      <c r="F3989" s="88">
        <v>100000</v>
      </c>
      <c r="G3989" s="46"/>
      <c r="H3989" s="46">
        <f>IFERROR(TRANSACTIONS!$F3989+TRANSACTIONS!$G3989,"")</f>
        <v>100000</v>
      </c>
      <c r="I3989" s="40" t="s">
        <v>41</v>
      </c>
    </row>
    <row r="3990" spans="1:9" x14ac:dyDescent="0.25">
      <c r="A3990" s="41">
        <v>45370.739395023149</v>
      </c>
      <c r="B3990" s="48">
        <f>IF(A3990&lt;&gt;"",DATE(YEAR(TRANSACTIONS!$A3990),MONTH(TRANSACTIONS!$A3990),DAY(TRANSACTIONS!$A3990)),"")</f>
        <v>45370</v>
      </c>
      <c r="C3990" s="49">
        <f>IF(A3990&lt;&gt;"",TIME(HOUR(TRANSACTIONS!$A3990),MINUTE(TRANSACTIONS!$A3990),SECOND(TRANSACTIONS!$A3990)),"")</f>
        <v>0.73939814814814808</v>
      </c>
      <c r="D3990" s="82" t="s">
        <v>62</v>
      </c>
      <c r="E3990" s="82" t="s">
        <v>6</v>
      </c>
      <c r="F3990" s="88">
        <v>30000</v>
      </c>
      <c r="G3990" s="46"/>
      <c r="H3990" s="46">
        <f>IFERROR(TRANSACTIONS!$F3990+TRANSACTIONS!$G3990,"")</f>
        <v>30000</v>
      </c>
      <c r="I3990" s="40" t="s">
        <v>41</v>
      </c>
    </row>
    <row r="3991" spans="1:9" x14ac:dyDescent="0.25">
      <c r="A3991" s="41">
        <v>45370.739405439817</v>
      </c>
      <c r="B3991" s="48">
        <f>IF(A3991&lt;&gt;"",DATE(YEAR(TRANSACTIONS!$A3991),MONTH(TRANSACTIONS!$A3991),DAY(TRANSACTIONS!$A3991)),"")</f>
        <v>45370</v>
      </c>
      <c r="C3991" s="49">
        <f>IF(A3991&lt;&gt;"",TIME(HOUR(TRANSACTIONS!$A3991),MINUTE(TRANSACTIONS!$A3991),SECOND(TRANSACTIONS!$A3991)),"")</f>
        <v>0.73940972222222223</v>
      </c>
      <c r="D3991" s="82" t="s">
        <v>25</v>
      </c>
      <c r="E3991" s="82" t="s">
        <v>7</v>
      </c>
      <c r="F3991" s="88">
        <v>10000</v>
      </c>
      <c r="G3991" s="46"/>
      <c r="H3991" s="46">
        <f>IFERROR(TRANSACTIONS!$F3991+TRANSACTIONS!$G3991,"")</f>
        <v>10000</v>
      </c>
      <c r="I3991" s="40" t="s">
        <v>41</v>
      </c>
    </row>
    <row r="3992" spans="1:9" x14ac:dyDescent="0.25">
      <c r="A3992" s="41">
        <v>45370.739429629626</v>
      </c>
      <c r="B3992" s="48">
        <f>IF(A3992&lt;&gt;"",DATE(YEAR(TRANSACTIONS!$A3992),MONTH(TRANSACTIONS!$A3992),DAY(TRANSACTIONS!$A3992)),"")</f>
        <v>45370</v>
      </c>
      <c r="C3992" s="49">
        <f>IF(A3992&lt;&gt;"",TIME(HOUR(TRANSACTIONS!$A3992),MINUTE(TRANSACTIONS!$A3992),SECOND(TRANSACTIONS!$A3992)),"")</f>
        <v>0.73943287037037031</v>
      </c>
      <c r="D3992" s="82" t="s">
        <v>25</v>
      </c>
      <c r="E3992" s="82" t="s">
        <v>7</v>
      </c>
      <c r="F3992" s="88">
        <v>1800</v>
      </c>
      <c r="G3992" s="46"/>
      <c r="H3992" s="46">
        <f>IFERROR(TRANSACTIONS!$F3992+TRANSACTIONS!$G3992,"")</f>
        <v>1800</v>
      </c>
      <c r="I3992" s="40" t="s">
        <v>41</v>
      </c>
    </row>
    <row r="3993" spans="1:9" x14ac:dyDescent="0.25">
      <c r="A3993" s="41">
        <v>45370.739438773147</v>
      </c>
      <c r="B3993" s="48">
        <f>IF(A3993&lt;&gt;"",DATE(YEAR(TRANSACTIONS!$A3993),MONTH(TRANSACTIONS!$A3993),DAY(TRANSACTIONS!$A3993)),"")</f>
        <v>45370</v>
      </c>
      <c r="C3993" s="49">
        <f>IF(A3993&lt;&gt;"",TIME(HOUR(TRANSACTIONS!$A3993),MINUTE(TRANSACTIONS!$A3993),SECOND(TRANSACTIONS!$A3993)),"")</f>
        <v>0.73944444444444446</v>
      </c>
      <c r="D3993" s="82" t="s">
        <v>25</v>
      </c>
      <c r="E3993" s="82" t="s">
        <v>6</v>
      </c>
      <c r="F3993" s="88">
        <v>10000</v>
      </c>
      <c r="G3993" s="46"/>
      <c r="H3993" s="46">
        <f>IFERROR(TRANSACTIONS!$F3993+TRANSACTIONS!$G3993,"")</f>
        <v>10000</v>
      </c>
      <c r="I3993" s="40" t="s">
        <v>41</v>
      </c>
    </row>
    <row r="3994" spans="1:9" x14ac:dyDescent="0.25">
      <c r="A3994" s="41">
        <v>45370.739446412037</v>
      </c>
      <c r="B3994" s="48">
        <f>IF(A3994&lt;&gt;"",DATE(YEAR(TRANSACTIONS!$A3994),MONTH(TRANSACTIONS!$A3994),DAY(TRANSACTIONS!$A3994)),"")</f>
        <v>45370</v>
      </c>
      <c r="C3994" s="49">
        <f>IF(A3994&lt;&gt;"",TIME(HOUR(TRANSACTIONS!$A3994),MINUTE(TRANSACTIONS!$A3994),SECOND(TRANSACTIONS!$A3994)),"")</f>
        <v>0.73944444444444446</v>
      </c>
      <c r="D3994" s="82" t="s">
        <v>25</v>
      </c>
      <c r="E3994" s="82" t="s">
        <v>6</v>
      </c>
      <c r="F3994" s="88">
        <v>2000</v>
      </c>
      <c r="G3994" s="46"/>
      <c r="H3994" s="46">
        <f>IFERROR(TRANSACTIONS!$F3994+TRANSACTIONS!$G3994,"")</f>
        <v>2000</v>
      </c>
      <c r="I3994" s="40" t="s">
        <v>41</v>
      </c>
    </row>
    <row r="3995" spans="1:9" x14ac:dyDescent="0.25">
      <c r="A3995" s="41">
        <v>45370.740660648145</v>
      </c>
      <c r="B3995" s="48">
        <f>IF(A3995&lt;&gt;"",DATE(YEAR(TRANSACTIONS!$A3995),MONTH(TRANSACTIONS!$A3995),DAY(TRANSACTIONS!$A3995)),"")</f>
        <v>45370</v>
      </c>
      <c r="C3995" s="49">
        <f>IF(A3995&lt;&gt;"",TIME(HOUR(TRANSACTIONS!$A3995),MINUTE(TRANSACTIONS!$A3995),SECOND(TRANSACTIONS!$A3995)),"")</f>
        <v>0.74065972222222232</v>
      </c>
      <c r="D3995" s="82" t="s">
        <v>25</v>
      </c>
      <c r="E3995" s="82" t="s">
        <v>7</v>
      </c>
      <c r="F3995" s="40">
        <v>30000</v>
      </c>
      <c r="G3995" s="46"/>
      <c r="H3995" s="46" t="str">
        <f>IFERROR(TRANSACTIONS!$E4009+TRANSACTIONS!$G3995,"")</f>
        <v/>
      </c>
      <c r="I3995" s="40" t="s">
        <v>41</v>
      </c>
    </row>
    <row r="3996" spans="1:9" x14ac:dyDescent="0.25">
      <c r="A3996" s="41">
        <v>45370.740693749998</v>
      </c>
      <c r="B3996" s="48">
        <f>IF(A3996&lt;&gt;"",DATE(YEAR(TRANSACTIONS!$A3996),MONTH(TRANSACTIONS!$A3996),DAY(TRANSACTIONS!$A3996)),"")</f>
        <v>45370</v>
      </c>
      <c r="C3996" s="49">
        <f>IF(A3996&lt;&gt;"",TIME(HOUR(TRANSACTIONS!$A3996),MINUTE(TRANSACTIONS!$A3996),SECOND(TRANSACTIONS!$A3996)),"")</f>
        <v>0.74069444444444443</v>
      </c>
      <c r="D3996" s="82" t="s">
        <v>25</v>
      </c>
      <c r="E3996" s="82" t="s">
        <v>7</v>
      </c>
      <c r="F3996" s="88">
        <v>5000</v>
      </c>
      <c r="G3996" s="46"/>
      <c r="H3996" s="46">
        <f>IFERROR(TRANSACTIONS!$F3996+TRANSACTIONS!$G3996,"")</f>
        <v>5000</v>
      </c>
      <c r="I3996" s="40" t="s">
        <v>41</v>
      </c>
    </row>
    <row r="3997" spans="1:9" x14ac:dyDescent="0.25">
      <c r="A3997" s="41">
        <v>45370.740703009258</v>
      </c>
      <c r="B3997" s="48">
        <f>IF(A3997&lt;&gt;"",DATE(YEAR(TRANSACTIONS!$A3997),MONTH(TRANSACTIONS!$A3997),DAY(TRANSACTIONS!$A3997)),"")</f>
        <v>45370</v>
      </c>
      <c r="C3997" s="49">
        <f>IF(A3997&lt;&gt;"",TIME(HOUR(TRANSACTIONS!$A3997),MINUTE(TRANSACTIONS!$A3997),SECOND(TRANSACTIONS!$A3997)),"")</f>
        <v>0.74070601851851858</v>
      </c>
      <c r="D3997" s="82" t="s">
        <v>62</v>
      </c>
      <c r="E3997" s="82" t="s">
        <v>6</v>
      </c>
      <c r="F3997" s="88">
        <v>2500</v>
      </c>
      <c r="G3997" s="46"/>
      <c r="H3997" s="46">
        <f>IFERROR(TRANSACTIONS!$F3997+TRANSACTIONS!$G3997,"")</f>
        <v>2500</v>
      </c>
      <c r="I3997" s="40" t="s">
        <v>41</v>
      </c>
    </row>
    <row r="3998" spans="1:9" x14ac:dyDescent="0.25">
      <c r="A3998" s="41">
        <v>45370.740711805556</v>
      </c>
      <c r="B3998" s="48">
        <f>IF(A3998&lt;&gt;"",DATE(YEAR(TRANSACTIONS!$A3998),MONTH(TRANSACTIONS!$A3998),DAY(TRANSACTIONS!$A3998)),"")</f>
        <v>45370</v>
      </c>
      <c r="C3998" s="49">
        <f>IF(A3998&lt;&gt;"",TIME(HOUR(TRANSACTIONS!$A3998),MINUTE(TRANSACTIONS!$A3998),SECOND(TRANSACTIONS!$A3998)),"")</f>
        <v>0.74070601851851858</v>
      </c>
      <c r="D3998" s="82" t="s">
        <v>62</v>
      </c>
      <c r="E3998" s="82" t="s">
        <v>6</v>
      </c>
      <c r="F3998" s="88">
        <v>5000</v>
      </c>
      <c r="G3998" s="46"/>
      <c r="H3998" s="46">
        <f>IFERROR(TRANSACTIONS!$F3998+TRANSACTIONS!$G3998,"")</f>
        <v>5000</v>
      </c>
      <c r="I3998" s="40" t="s">
        <v>41</v>
      </c>
    </row>
    <row r="3999" spans="1:9" x14ac:dyDescent="0.25">
      <c r="A3999" s="41"/>
      <c r="B3999" s="48" t="str">
        <f>IF(A3999&lt;&gt;"",DATE(YEAR(TRANSACTIONS!$A3999),MONTH(TRANSACTIONS!$A3999),DAY(TRANSACTIONS!$A3999)),"")</f>
        <v/>
      </c>
      <c r="C3999" s="49" t="str">
        <f>IF(A3999&lt;&gt;"",TIME(HOUR(TRANSACTIONS!$A3999),MINUTE(TRANSACTIONS!$A3999),SECOND(TRANSACTIONS!$A3999)),"")</f>
        <v/>
      </c>
      <c r="D3999" s="82"/>
      <c r="E3999" s="82"/>
      <c r="F3999" s="152"/>
      <c r="G3999" s="46"/>
      <c r="H3999" s="46">
        <f>IFERROR(TRANSACTIONS!$F3999+TRANSACTIONS!$G3999,"")</f>
        <v>0</v>
      </c>
      <c r="I3999" s="40" t="s">
        <v>41</v>
      </c>
    </row>
    <row r="4000" spans="1:9" x14ac:dyDescent="0.25">
      <c r="A4000" s="41">
        <v>45371.389783333332</v>
      </c>
      <c r="B4000" s="48">
        <f>IF(A4000&lt;&gt;"",DATE(YEAR(TRANSACTIONS!$A4000),MONTH(TRANSACTIONS!$A4000),DAY(TRANSACTIONS!$A4000)),"")</f>
        <v>45371</v>
      </c>
      <c r="C4000" s="49">
        <f>IF(A4000&lt;&gt;"",TIME(HOUR(TRANSACTIONS!$A4000),MINUTE(TRANSACTIONS!$A4000),SECOND(TRANSACTIONS!$A4000)),"")</f>
        <v>0.38978009259259255</v>
      </c>
      <c r="D4000" s="82" t="s">
        <v>25</v>
      </c>
      <c r="E4000" s="82" t="s">
        <v>7</v>
      </c>
      <c r="F4000" s="152">
        <v>30000</v>
      </c>
      <c r="G4000" s="46"/>
      <c r="H4000" s="46">
        <f>IFERROR(TRANSACTIONS!$F4000+TRANSACTIONS!$G4000,"")</f>
        <v>30000</v>
      </c>
      <c r="I4000" s="40" t="s">
        <v>41</v>
      </c>
    </row>
    <row r="4001" spans="1:10" x14ac:dyDescent="0.25">
      <c r="A4001" s="233">
        <v>45371.389694444442</v>
      </c>
      <c r="B4001" s="234">
        <f>IF(A4001&lt;&gt;"",DATE(YEAR(TRANSACTIONS!$A4001),MONTH(TRANSACTIONS!$A4001),DAY(TRANSACTIONS!$A4001)),"")</f>
        <v>45371</v>
      </c>
      <c r="C4001" s="235">
        <f>IF(A4001&lt;&gt;"",TIME(HOUR(TRANSACTIONS!$A4001),MINUTE(TRANSACTIONS!$A4001),SECOND(TRANSACTIONS!$A4001)),"")</f>
        <v>0.38969907407407406</v>
      </c>
      <c r="D4001" s="236" t="s">
        <v>25</v>
      </c>
      <c r="E4001" s="236" t="s">
        <v>7</v>
      </c>
      <c r="F4001" s="247">
        <v>30000</v>
      </c>
      <c r="G4001" s="238"/>
      <c r="H4001" s="238">
        <f>IFERROR(TRANSACTIONS!$F4001+TRANSACTIONS!$G4001,"")</f>
        <v>30000</v>
      </c>
      <c r="I4001" s="239" t="s">
        <v>41</v>
      </c>
    </row>
    <row r="4002" spans="1:10" x14ac:dyDescent="0.25">
      <c r="A4002" s="81">
        <v>45371.389768634261</v>
      </c>
      <c r="B4002" s="83">
        <f>IF(A4002&lt;&gt;"",DATE(YEAR(TRANSACTIONS!$A4002),MONTH(TRANSACTIONS!$A4002),DAY(TRANSACTIONS!$A4002)),"")</f>
        <v>45371</v>
      </c>
      <c r="C4002" s="84">
        <f>IF(A4002&lt;&gt;"",TIME(HOUR(TRANSACTIONS!$A4002),MINUTE(TRANSACTIONS!$A4002),SECOND(TRANSACTIONS!$A4002)),"")</f>
        <v>0.38976851851851851</v>
      </c>
      <c r="D4002" s="82" t="s">
        <v>62</v>
      </c>
      <c r="E4002" s="82" t="s">
        <v>6</v>
      </c>
      <c r="F4002" s="184">
        <v>5000</v>
      </c>
      <c r="G4002" s="86"/>
      <c r="H4002" s="86">
        <f>IFERROR(TRANSACTIONS!$F4002+TRANSACTIONS!$G4002,"")</f>
        <v>5000</v>
      </c>
      <c r="I4002" s="88" t="s">
        <v>41</v>
      </c>
    </row>
    <row r="4003" spans="1:10" x14ac:dyDescent="0.25">
      <c r="A4003" s="81">
        <v>45371.389704861111</v>
      </c>
      <c r="B4003" s="83">
        <f>IF(A4003&lt;&gt;"",DATE(YEAR(TRANSACTIONS!$A4003),MONTH(TRANSACTIONS!$A4003),DAY(TRANSACTIONS!$A4003)),"")</f>
        <v>45371</v>
      </c>
      <c r="C4003" s="84">
        <f>IF(A4003&lt;&gt;"",TIME(HOUR(TRANSACTIONS!$A4003),MINUTE(TRANSACTIONS!$A4003),SECOND(TRANSACTIONS!$A4003)),"")</f>
        <v>0.38969907407407406</v>
      </c>
      <c r="D4003" s="82" t="s">
        <v>62</v>
      </c>
      <c r="E4003" s="82" t="s">
        <v>6</v>
      </c>
      <c r="F4003" s="184">
        <v>3000</v>
      </c>
      <c r="G4003" s="86"/>
      <c r="H4003" s="86">
        <f>IFERROR(TRANSACTIONS!$F4003+TRANSACTIONS!$G4003,"")</f>
        <v>3000</v>
      </c>
      <c r="I4003" s="88" t="s">
        <v>41</v>
      </c>
      <c r="J4003" s="88"/>
    </row>
    <row r="4004" spans="1:10" x14ac:dyDescent="0.25">
      <c r="A4004" s="41">
        <v>45371.426968402775</v>
      </c>
      <c r="B4004" s="48">
        <f>IF(A4004&lt;&gt;"",DATE(YEAR(TRANSACTIONS!$A4004),MONTH(TRANSACTIONS!$A4004),DAY(TRANSACTIONS!$A4004)),"")</f>
        <v>45371</v>
      </c>
      <c r="C4004" s="49">
        <f>IF(A4004&lt;&gt;"",TIME(HOUR(TRANSACTIONS!$A4004),MINUTE(TRANSACTIONS!$A4004),SECOND(TRANSACTIONS!$A4004)),"")</f>
        <v>0.42696759259259259</v>
      </c>
      <c r="D4004" s="82" t="s">
        <v>62</v>
      </c>
      <c r="E4004" s="82" t="s">
        <v>6</v>
      </c>
      <c r="F4004" s="184">
        <v>1000</v>
      </c>
      <c r="G4004" s="46"/>
      <c r="H4004" s="46">
        <f>IFERROR(TRANSACTIONS!$F4004+TRANSACTIONS!$G4004,"")</f>
        <v>1000</v>
      </c>
      <c r="I4004" s="40" t="s">
        <v>41</v>
      </c>
    </row>
    <row r="4005" spans="1:10" x14ac:dyDescent="0.25">
      <c r="A4005" s="41">
        <v>45371.426979629628</v>
      </c>
      <c r="B4005" s="48">
        <f>IF(A4005&lt;&gt;"",DATE(YEAR(TRANSACTIONS!$A4005),MONTH(TRANSACTIONS!$A4005),DAY(TRANSACTIONS!$A4005)),"")</f>
        <v>45371</v>
      </c>
      <c r="C4005" s="49">
        <f>IF(A4005&lt;&gt;"",TIME(HOUR(TRANSACTIONS!$A4005),MINUTE(TRANSACTIONS!$A4005),SECOND(TRANSACTIONS!$A4005)),"")</f>
        <v>0.42697916666666669</v>
      </c>
      <c r="D4005" s="82" t="s">
        <v>62</v>
      </c>
      <c r="E4005" s="82" t="s">
        <v>7</v>
      </c>
      <c r="F4005" s="184">
        <v>18000</v>
      </c>
      <c r="G4005" s="46"/>
      <c r="H4005" s="46">
        <f>IFERROR(TRANSACTIONS!$F4005+TRANSACTIONS!$G4005,"")</f>
        <v>18000</v>
      </c>
      <c r="I4005" s="40" t="s">
        <v>41</v>
      </c>
    </row>
    <row r="4006" spans="1:10" x14ac:dyDescent="0.25">
      <c r="A4006" s="81">
        <v>45371.427027199075</v>
      </c>
      <c r="B4006" s="83">
        <f>IF(A4006&lt;&gt;"",DATE(YEAR(TRANSACTIONS!$A4006),MONTH(TRANSACTIONS!$A4006),DAY(TRANSACTIONS!$A4006)),"")</f>
        <v>45371</v>
      </c>
      <c r="C4006" s="84">
        <f>IF(A4006&lt;&gt;"",TIME(HOUR(TRANSACTIONS!$A4006),MINUTE(TRANSACTIONS!$A4006),SECOND(TRANSACTIONS!$A4006)),"")</f>
        <v>0.42702546296296301</v>
      </c>
      <c r="D4006" s="82" t="s">
        <v>62</v>
      </c>
      <c r="E4006" s="82" t="s">
        <v>7</v>
      </c>
      <c r="F4006" s="184">
        <v>1500</v>
      </c>
      <c r="G4006" s="86"/>
      <c r="H4006" s="86">
        <f>IFERROR(TRANSACTIONS!$F4006+TRANSACTIONS!$G4006,"")</f>
        <v>1500</v>
      </c>
      <c r="I4006" s="88" t="s">
        <v>41</v>
      </c>
    </row>
    <row r="4007" spans="1:10" x14ac:dyDescent="0.25">
      <c r="A4007" s="41">
        <v>45371.427038078706</v>
      </c>
      <c r="B4007" s="48">
        <f>IF(A4007&lt;&gt;"",DATE(YEAR(TRANSACTIONS!$A4007),MONTH(TRANSACTIONS!$A4007),DAY(TRANSACTIONS!$A4007)),"")</f>
        <v>45371</v>
      </c>
      <c r="C4007" s="49">
        <f>IF(A4007&lt;&gt;"",TIME(HOUR(TRANSACTIONS!$A4007),MINUTE(TRANSACTIONS!$A4007),SECOND(TRANSACTIONS!$A4007)),"")</f>
        <v>0.42703703703703705</v>
      </c>
      <c r="D4007" s="82" t="s">
        <v>62</v>
      </c>
      <c r="E4007" s="82" t="s">
        <v>6</v>
      </c>
      <c r="F4007" s="184">
        <v>30000</v>
      </c>
      <c r="G4007" s="46"/>
      <c r="H4007" s="46">
        <f>IFERROR(TRANSACTIONS!$F4007+TRANSACTIONS!$G4007,"")</f>
        <v>30000</v>
      </c>
      <c r="I4007" s="40" t="s">
        <v>41</v>
      </c>
    </row>
    <row r="4008" spans="1:10" x14ac:dyDescent="0.25">
      <c r="A4008" s="41">
        <v>45371.427053240739</v>
      </c>
      <c r="B4008" s="48">
        <f>IF(A4008&lt;&gt;"",DATE(YEAR(TRANSACTIONS!$A4008),MONTH(TRANSACTIONS!$A4008),DAY(TRANSACTIONS!$A4008)),"")</f>
        <v>45371</v>
      </c>
      <c r="C4008" s="49">
        <f>IF(A4008&lt;&gt;"",TIME(HOUR(TRANSACTIONS!$A4008),MINUTE(TRANSACTIONS!$A4008),SECOND(TRANSACTIONS!$A4008)),"")</f>
        <v>0.42704861111111114</v>
      </c>
      <c r="D4008" s="82" t="s">
        <v>62</v>
      </c>
      <c r="E4008" s="82" t="s">
        <v>7</v>
      </c>
      <c r="F4008" s="184">
        <v>5000</v>
      </c>
      <c r="G4008" s="46"/>
      <c r="H4008" s="46">
        <f>IFERROR(TRANSACTIONS!$F4008+TRANSACTIONS!$G4008,"")</f>
        <v>5000</v>
      </c>
      <c r="I4008" s="40" t="s">
        <v>41</v>
      </c>
    </row>
    <row r="4009" spans="1:10" x14ac:dyDescent="0.25">
      <c r="A4009" s="41">
        <v>45371.427112152778</v>
      </c>
      <c r="B4009" s="48">
        <f>IF(A4009&lt;&gt;"",DATE(YEAR(TRANSACTIONS!$A4009),MONTH(TRANSACTIONS!$A4009),DAY(TRANSACTIONS!$A4009)),"")</f>
        <v>45371</v>
      </c>
      <c r="C4009" s="49">
        <f>IF(A4009&lt;&gt;"",TIME(HOUR(TRANSACTIONS!$A4009),MINUTE(TRANSACTIONS!$A4009),SECOND(TRANSACTIONS!$A4009)),"")</f>
        <v>0.4271064814814815</v>
      </c>
      <c r="D4009" s="82" t="s">
        <v>62</v>
      </c>
      <c r="E4009" s="88" t="s">
        <v>7</v>
      </c>
      <c r="F4009" s="152">
        <v>17400</v>
      </c>
      <c r="G4009" s="46"/>
      <c r="H4009" s="46">
        <f>IFERROR(TRANSACTIONS!$F4009+TRANSACTIONS!$G4009,"")</f>
        <v>17400</v>
      </c>
      <c r="I4009" s="40" t="s">
        <v>41</v>
      </c>
    </row>
    <row r="4010" spans="1:10" x14ac:dyDescent="0.25">
      <c r="A4010" s="81">
        <v>45371.427122685185</v>
      </c>
      <c r="B4010" s="83">
        <f>IF(A4010&lt;&gt;"",DATE(YEAR(TRANSACTIONS!$A4010),MONTH(TRANSACTIONS!$A4010),DAY(TRANSACTIONS!$A4010)),"")</f>
        <v>45371</v>
      </c>
      <c r="C4010" s="84">
        <f>IF(A4010&lt;&gt;"",TIME(HOUR(TRANSACTIONS!$A4010),MINUTE(TRANSACTIONS!$A4010),SECOND(TRANSACTIONS!$A4010)),"")</f>
        <v>0.42711805555555554</v>
      </c>
      <c r="D4010" s="82" t="s">
        <v>62</v>
      </c>
      <c r="E4010" s="82" t="s">
        <v>7</v>
      </c>
      <c r="F4010" s="152">
        <v>17500</v>
      </c>
      <c r="G4010" s="86"/>
      <c r="H4010" s="86">
        <f>IFERROR(TRANSACTIONS!$F4010+TRANSACTIONS!$G4010,"")</f>
        <v>17500</v>
      </c>
      <c r="I4010" s="88" t="s">
        <v>41</v>
      </c>
    </row>
    <row r="4011" spans="1:10" x14ac:dyDescent="0.25">
      <c r="A4011" s="81">
        <v>45371.427130671298</v>
      </c>
      <c r="B4011" s="83">
        <f>IF(A4011&lt;&gt;"",DATE(YEAR(TRANSACTIONS!$A4011),MONTH(TRANSACTIONS!$A4011),DAY(TRANSACTIONS!$A4011)),"")</f>
        <v>45371</v>
      </c>
      <c r="C4011" s="84">
        <f>IF(A4011&lt;&gt;"",TIME(HOUR(TRANSACTIONS!$A4011),MINUTE(TRANSACTIONS!$A4011),SECOND(TRANSACTIONS!$A4011)),"")</f>
        <v>0.42712962962962964</v>
      </c>
      <c r="D4011" s="82" t="s">
        <v>62</v>
      </c>
      <c r="E4011" s="82" t="s">
        <v>6</v>
      </c>
      <c r="F4011" s="152">
        <v>4000</v>
      </c>
      <c r="G4011" s="86"/>
      <c r="H4011" s="86">
        <f>IFERROR(TRANSACTIONS!$F4011+TRANSACTIONS!$G4011,"")</f>
        <v>4000</v>
      </c>
      <c r="I4011" s="88" t="s">
        <v>41</v>
      </c>
    </row>
    <row r="4012" spans="1:10" x14ac:dyDescent="0.25">
      <c r="A4012" s="41">
        <v>45371.427138425926</v>
      </c>
      <c r="B4012" s="48">
        <f>IF(A4012&lt;&gt;"",DATE(YEAR(TRANSACTIONS!$A4012),MONTH(TRANSACTIONS!$A4012),DAY(TRANSACTIONS!$A4012)),"")</f>
        <v>45371</v>
      </c>
      <c r="C4012" s="49">
        <f>IF(A4012&lt;&gt;"",TIME(HOUR(TRANSACTIONS!$A4012),MINUTE(TRANSACTIONS!$A4012),SECOND(TRANSACTIONS!$A4012)),"")</f>
        <v>0.42714120370370368</v>
      </c>
      <c r="D4012" s="82" t="s">
        <v>62</v>
      </c>
      <c r="E4012" s="82" t="s">
        <v>7</v>
      </c>
      <c r="F4012" s="152">
        <v>5000</v>
      </c>
      <c r="G4012" s="46"/>
      <c r="H4012" s="46">
        <f>IFERROR(TRANSACTIONS!$F4012+TRANSACTIONS!$G4012,"")</f>
        <v>5000</v>
      </c>
      <c r="I4012" s="40" t="s">
        <v>41</v>
      </c>
    </row>
    <row r="4013" spans="1:10" x14ac:dyDescent="0.25">
      <c r="A4013" s="41">
        <v>45371.427232754628</v>
      </c>
      <c r="B4013" s="48">
        <f>IF(A4013&lt;&gt;"",DATE(YEAR(TRANSACTIONS!$A4013),MONTH(TRANSACTIONS!$A4013),DAY(TRANSACTIONS!$A4013)),"")</f>
        <v>45371</v>
      </c>
      <c r="C4013" s="49">
        <f>IF(A4013&lt;&gt;"",TIME(HOUR(TRANSACTIONS!$A4013),MINUTE(TRANSACTIONS!$A4013),SECOND(TRANSACTIONS!$A4013)),"")</f>
        <v>0.42723379629629626</v>
      </c>
      <c r="D4013" s="82" t="s">
        <v>62</v>
      </c>
      <c r="E4013" s="82" t="s">
        <v>7</v>
      </c>
      <c r="F4013" s="152">
        <v>1000</v>
      </c>
      <c r="G4013" s="46"/>
      <c r="H4013" s="46">
        <f>IFERROR(TRANSACTIONS!$F4013+TRANSACTIONS!$G4013,"")</f>
        <v>1000</v>
      </c>
      <c r="I4013" s="40" t="s">
        <v>41</v>
      </c>
    </row>
    <row r="4014" spans="1:10" x14ac:dyDescent="0.25">
      <c r="A4014" s="41">
        <v>45371.427277314811</v>
      </c>
      <c r="B4014" s="48">
        <f>IF(A4014&lt;&gt;"",DATE(YEAR(TRANSACTIONS!$A4014),MONTH(TRANSACTIONS!$A4014),DAY(TRANSACTIONS!$A4014)),"")</f>
        <v>45371</v>
      </c>
      <c r="C4014" s="49">
        <f>IF(A4014&lt;&gt;"",TIME(HOUR(TRANSACTIONS!$A4014),MINUTE(TRANSACTIONS!$A4014),SECOND(TRANSACTIONS!$A4014)),"")</f>
        <v>0.42728009259259259</v>
      </c>
      <c r="D4014" s="82" t="s">
        <v>62</v>
      </c>
      <c r="E4014" s="82" t="s">
        <v>6</v>
      </c>
      <c r="F4014" s="152">
        <v>5000</v>
      </c>
      <c r="G4014" s="46"/>
      <c r="H4014" s="46">
        <f>IFERROR(TRANSACTIONS!$F4014+TRANSACTIONS!$G4014,"")</f>
        <v>5000</v>
      </c>
      <c r="I4014" s="40" t="s">
        <v>41</v>
      </c>
    </row>
    <row r="4015" spans="1:10" x14ac:dyDescent="0.25">
      <c r="A4015" s="41">
        <v>45371.491979629631</v>
      </c>
      <c r="B4015" s="48">
        <f>IF(A4015&lt;&gt;"",DATE(YEAR(TRANSACTIONS!$A4015),MONTH(TRANSACTIONS!$A4015),DAY(TRANSACTIONS!$A4015)),"")</f>
        <v>45371</v>
      </c>
      <c r="C4015" s="49">
        <f>IF(A4015&lt;&gt;"",TIME(HOUR(TRANSACTIONS!$A4015),MINUTE(TRANSACTIONS!$A4015),SECOND(TRANSACTIONS!$A4015)),"")</f>
        <v>0.49197916666666663</v>
      </c>
      <c r="D4015" s="82" t="s">
        <v>62</v>
      </c>
      <c r="E4015" s="82" t="s">
        <v>7</v>
      </c>
      <c r="F4015" s="152">
        <v>1500</v>
      </c>
      <c r="G4015" s="46"/>
      <c r="H4015" s="46">
        <f>IFERROR(TRANSACTIONS!$F4015+TRANSACTIONS!$G4015,"")</f>
        <v>1500</v>
      </c>
      <c r="I4015" s="40" t="s">
        <v>41</v>
      </c>
    </row>
    <row r="4016" spans="1:10" x14ac:dyDescent="0.25">
      <c r="A4016" s="41">
        <v>45371.492017708333</v>
      </c>
      <c r="B4016" s="48">
        <f>IF(A4016&lt;&gt;"",DATE(YEAR(TRANSACTIONS!$A4016),MONTH(TRANSACTIONS!$A4016),DAY(TRANSACTIONS!$A4016)),"")</f>
        <v>45371</v>
      </c>
      <c r="C4016" s="49">
        <f>IF(A4016&lt;&gt;"",TIME(HOUR(TRANSACTIONS!$A4016),MINUTE(TRANSACTIONS!$A4016),SECOND(TRANSACTIONS!$A4016)),"")</f>
        <v>0.49201388888888892</v>
      </c>
      <c r="D4016" s="82" t="s">
        <v>62</v>
      </c>
      <c r="E4016" s="82"/>
      <c r="F4016" s="152">
        <v>10000</v>
      </c>
      <c r="G4016" s="46"/>
      <c r="H4016" s="46">
        <f>IFERROR(TRANSACTIONS!$F4016+TRANSACTIONS!$G4016,"")</f>
        <v>10000</v>
      </c>
      <c r="I4016" s="40" t="s">
        <v>41</v>
      </c>
    </row>
    <row r="4017" spans="1:10" x14ac:dyDescent="0.25">
      <c r="A4017" s="41">
        <v>45371.492062731479</v>
      </c>
      <c r="B4017" s="48">
        <f>IF(A4017&lt;&gt;"",DATE(YEAR(TRANSACTIONS!$A4017),MONTH(TRANSACTIONS!$A4017),DAY(TRANSACTIONS!$A4017)),"")</f>
        <v>45371</v>
      </c>
      <c r="C4017" s="49">
        <f>IF(A4017&lt;&gt;"",TIME(HOUR(TRANSACTIONS!$A4017),MINUTE(TRANSACTIONS!$A4017),SECOND(TRANSACTIONS!$A4017)),"")</f>
        <v>0.49206018518518518</v>
      </c>
      <c r="D4017" s="82" t="s">
        <v>62</v>
      </c>
      <c r="E4017" s="82" t="s">
        <v>7</v>
      </c>
      <c r="F4017" s="152">
        <v>1500</v>
      </c>
      <c r="G4017" s="46"/>
      <c r="H4017" s="46">
        <f>IFERROR(TRANSACTIONS!$F4017+TRANSACTIONS!$G4017,"")</f>
        <v>1500</v>
      </c>
      <c r="I4017" s="40" t="s">
        <v>41</v>
      </c>
    </row>
    <row r="4018" spans="1:10" x14ac:dyDescent="0.25">
      <c r="A4018" s="41">
        <v>45371.492070717592</v>
      </c>
      <c r="B4018" s="48">
        <f>IF(A4018&lt;&gt;"",DATE(YEAR(TRANSACTIONS!$A4018),MONTH(TRANSACTIONS!$A4018),DAY(TRANSACTIONS!$A4018)),"")</f>
        <v>45371</v>
      </c>
      <c r="C4018" s="49">
        <f>IF(A4018&lt;&gt;"",TIME(HOUR(TRANSACTIONS!$A4018),MINUTE(TRANSACTIONS!$A4018),SECOND(TRANSACTIONS!$A4018)),"")</f>
        <v>0.49207175925925922</v>
      </c>
      <c r="D4018" s="82" t="s">
        <v>62</v>
      </c>
      <c r="E4018" s="82" t="s">
        <v>7</v>
      </c>
      <c r="F4018" s="152">
        <v>16800</v>
      </c>
      <c r="G4018" s="46"/>
      <c r="H4018" s="46">
        <f>IFERROR(TRANSACTIONS!$F4018+TRANSACTIONS!$G4018,"")</f>
        <v>16800</v>
      </c>
      <c r="I4018" s="40" t="s">
        <v>41</v>
      </c>
    </row>
    <row r="4019" spans="1:10" x14ac:dyDescent="0.25">
      <c r="A4019" s="41">
        <v>45371.492077777781</v>
      </c>
      <c r="B4019" s="48">
        <f>IF(A4019&lt;&gt;"",DATE(YEAR(TRANSACTIONS!$A4019),MONTH(TRANSACTIONS!$A4019),DAY(TRANSACTIONS!$A4019)),"")</f>
        <v>45371</v>
      </c>
      <c r="C4019" s="49">
        <f>IF(A4019&lt;&gt;"",TIME(HOUR(TRANSACTIONS!$A4019),MINUTE(TRANSACTIONS!$A4019),SECOND(TRANSACTIONS!$A4019)),"")</f>
        <v>0.49208333333333337</v>
      </c>
      <c r="D4019" s="82" t="s">
        <v>62</v>
      </c>
      <c r="E4019" s="82" t="s">
        <v>7</v>
      </c>
      <c r="F4019" s="152">
        <v>5000</v>
      </c>
      <c r="G4019" s="46"/>
      <c r="H4019" s="46">
        <f>IFERROR(TRANSACTIONS!$F4019+TRANSACTIONS!$G4019,"")</f>
        <v>5000</v>
      </c>
      <c r="I4019" s="40" t="s">
        <v>41</v>
      </c>
    </row>
    <row r="4020" spans="1:10" x14ac:dyDescent="0.25">
      <c r="A4020" s="41">
        <v>45371.492084953701</v>
      </c>
      <c r="B4020" s="48">
        <f>IF(A4020&lt;&gt;"",DATE(YEAR(TRANSACTIONS!$A4020),MONTH(TRANSACTIONS!$A4020),DAY(TRANSACTIONS!$A4020)),"")</f>
        <v>45371</v>
      </c>
      <c r="C4020" s="49">
        <f>IF(A4020&lt;&gt;"",TIME(HOUR(TRANSACTIONS!$A4020),MINUTE(TRANSACTIONS!$A4020),SECOND(TRANSACTIONS!$A4020)),"")</f>
        <v>0.49208333333333337</v>
      </c>
      <c r="D4020" s="82" t="s">
        <v>62</v>
      </c>
      <c r="E4020" s="82" t="s">
        <v>7</v>
      </c>
      <c r="F4020" s="152">
        <v>50000</v>
      </c>
      <c r="G4020" s="46"/>
      <c r="H4020" s="46">
        <f>IFERROR(TRANSACTIONS!$F4020+TRANSACTIONS!$G4020,"")</f>
        <v>50000</v>
      </c>
      <c r="I4020" s="40" t="s">
        <v>41</v>
      </c>
    </row>
    <row r="4021" spans="1:10" x14ac:dyDescent="0.25">
      <c r="A4021" s="41">
        <v>45371.492091898152</v>
      </c>
      <c r="B4021" s="48">
        <f>IF(A4021&lt;&gt;"",DATE(YEAR(TRANSACTIONS!$A4021),MONTH(TRANSACTIONS!$A4021),DAY(TRANSACTIONS!$A4021)),"")</f>
        <v>45371</v>
      </c>
      <c r="C4021" s="49">
        <f>IF(A4021&lt;&gt;"",TIME(HOUR(TRANSACTIONS!$A4021),MINUTE(TRANSACTIONS!$A4021),SECOND(TRANSACTIONS!$A4021)),"")</f>
        <v>0.49209490740740741</v>
      </c>
      <c r="D4021" s="82" t="s">
        <v>62</v>
      </c>
      <c r="E4021" s="82" t="s">
        <v>6</v>
      </c>
      <c r="F4021" s="152">
        <v>500000</v>
      </c>
      <c r="G4021" s="46"/>
      <c r="H4021" s="46">
        <f>IFERROR(TRANSACTIONS!$F4021+TRANSACTIONS!$G4021,"")</f>
        <v>500000</v>
      </c>
      <c r="I4021" s="40" t="s">
        <v>41</v>
      </c>
    </row>
    <row r="4022" spans="1:10" x14ac:dyDescent="0.25">
      <c r="A4022" s="41">
        <v>45371.492098958333</v>
      </c>
      <c r="B4022" s="48">
        <f>IF(A4022&lt;&gt;"",DATE(YEAR(TRANSACTIONS!$A4022),MONTH(TRANSACTIONS!$A4022),DAY(TRANSACTIONS!$A4022)),"")</f>
        <v>45371</v>
      </c>
      <c r="C4022" s="49">
        <f>IF(A4022&lt;&gt;"",TIME(HOUR(TRANSACTIONS!$A4022),MINUTE(TRANSACTIONS!$A4022),SECOND(TRANSACTIONS!$A4022)),"")</f>
        <v>0.49209490740740741</v>
      </c>
      <c r="D4022" s="82" t="s">
        <v>62</v>
      </c>
      <c r="E4022" s="82" t="s">
        <v>7</v>
      </c>
      <c r="F4022" s="152">
        <v>20000</v>
      </c>
      <c r="G4022" s="46"/>
      <c r="H4022" s="46">
        <f>IFERROR(TRANSACTIONS!$F4022+TRANSACTIONS!$G4022,"")</f>
        <v>20000</v>
      </c>
      <c r="I4022" s="40" t="s">
        <v>41</v>
      </c>
    </row>
    <row r="4023" spans="1:10" x14ac:dyDescent="0.25">
      <c r="A4023" s="41">
        <v>45371.492106134261</v>
      </c>
      <c r="B4023" s="48">
        <f>IF(A4023&lt;&gt;"",DATE(YEAR(TRANSACTIONS!$A4023),MONTH(TRANSACTIONS!$A4023),DAY(TRANSACTIONS!$A4023)),"")</f>
        <v>45371</v>
      </c>
      <c r="C4023" s="49">
        <f>IF(A4023&lt;&gt;"",TIME(HOUR(TRANSACTIONS!$A4023),MINUTE(TRANSACTIONS!$A4023),SECOND(TRANSACTIONS!$A4023)),"")</f>
        <v>0.49210648148148151</v>
      </c>
      <c r="D4023" s="82" t="s">
        <v>62</v>
      </c>
      <c r="E4023" s="82" t="s">
        <v>7</v>
      </c>
      <c r="F4023" s="152">
        <v>500000</v>
      </c>
      <c r="G4023" s="46"/>
      <c r="H4023" s="46">
        <f>IFERROR(TRANSACTIONS!$F4023+TRANSACTIONS!$G4023,"")</f>
        <v>500000</v>
      </c>
      <c r="I4023" s="40" t="s">
        <v>41</v>
      </c>
    </row>
    <row r="4024" spans="1:10" x14ac:dyDescent="0.25">
      <c r="A4024" s="41">
        <v>45371.492113541666</v>
      </c>
      <c r="B4024" s="48">
        <f>IF(A4024&lt;&gt;"",DATE(YEAR(TRANSACTIONS!$A4024),MONTH(TRANSACTIONS!$A4024),DAY(TRANSACTIONS!$A4024)),"")</f>
        <v>45371</v>
      </c>
      <c r="C4024" s="49">
        <f>IF(A4024&lt;&gt;"",TIME(HOUR(TRANSACTIONS!$A4024),MINUTE(TRANSACTIONS!$A4024),SECOND(TRANSACTIONS!$A4024)),"")</f>
        <v>0.49211805555555554</v>
      </c>
      <c r="D4024" s="82" t="s">
        <v>62</v>
      </c>
      <c r="E4024" s="82" t="s">
        <v>6</v>
      </c>
      <c r="F4024" s="152">
        <v>12000</v>
      </c>
      <c r="G4024" s="46"/>
      <c r="H4024" s="46">
        <f>IFERROR(TRANSACTIONS!$F4024+TRANSACTIONS!$G4024,"")</f>
        <v>12000</v>
      </c>
      <c r="I4024" s="40" t="s">
        <v>41</v>
      </c>
    </row>
    <row r="4025" spans="1:10" x14ac:dyDescent="0.25">
      <c r="A4025" s="41">
        <v>45371.492122222226</v>
      </c>
      <c r="B4025" s="48">
        <f>IF(A4025&lt;&gt;"",DATE(YEAR(TRANSACTIONS!$A4025),MONTH(TRANSACTIONS!$A4025),DAY(TRANSACTIONS!$A4025)),"")</f>
        <v>45371</v>
      </c>
      <c r="C4025" s="49">
        <f>IF(A4025&lt;&gt;"",TIME(HOUR(TRANSACTIONS!$A4025),MINUTE(TRANSACTIONS!$A4025),SECOND(TRANSACTIONS!$A4025)),"")</f>
        <v>0.49211805555555554</v>
      </c>
      <c r="D4025" s="82" t="s">
        <v>62</v>
      </c>
      <c r="E4025" s="82" t="s">
        <v>6</v>
      </c>
      <c r="F4025" s="152">
        <v>25000</v>
      </c>
      <c r="G4025" s="46"/>
      <c r="H4025" s="46">
        <f>IFERROR(TRANSACTIONS!$F4025+TRANSACTIONS!$G4025,"")</f>
        <v>25000</v>
      </c>
      <c r="I4025" s="40" t="s">
        <v>41</v>
      </c>
    </row>
    <row r="4026" spans="1:10" x14ac:dyDescent="0.25">
      <c r="A4026" s="41">
        <v>45371.492145023149</v>
      </c>
      <c r="B4026" s="48">
        <f>IF(A4026&lt;&gt;"",DATE(YEAR(TRANSACTIONS!$A4026),MONTH(TRANSACTIONS!$A4026),DAY(TRANSACTIONS!$A4026)),"")</f>
        <v>45371</v>
      </c>
      <c r="C4026" s="49">
        <f>IF(A4026&lt;&gt;"",TIME(HOUR(TRANSACTIONS!$A4026),MINUTE(TRANSACTIONS!$A4026),SECOND(TRANSACTIONS!$A4026)),"")</f>
        <v>0.49214120370370368</v>
      </c>
      <c r="D4026" s="82" t="s">
        <v>64</v>
      </c>
      <c r="E4026" s="82" t="s">
        <v>6</v>
      </c>
      <c r="F4026" s="152">
        <v>600000</v>
      </c>
      <c r="G4026" s="46"/>
      <c r="H4026" s="46">
        <f>IFERROR(TRANSACTIONS!$F4026+TRANSACTIONS!$G4026,"")</f>
        <v>600000</v>
      </c>
      <c r="I4026" s="40" t="s">
        <v>41</v>
      </c>
    </row>
    <row r="4027" spans="1:10" x14ac:dyDescent="0.25">
      <c r="A4027" s="113">
        <v>45371.492152430554</v>
      </c>
      <c r="B4027" s="114">
        <f>IF(A4027&lt;&gt;"",DATE(YEAR(TRANSACTIONS!$A4027),MONTH(TRANSACTIONS!$A4027),DAY(TRANSACTIONS!$A4027)),"")</f>
        <v>45371</v>
      </c>
      <c r="C4027" s="115">
        <f>IF(A4027&lt;&gt;"",TIME(HOUR(TRANSACTIONS!$A4027),MINUTE(TRANSACTIONS!$A4027),SECOND(TRANSACTIONS!$A4027)),"")</f>
        <v>0.49215277777777783</v>
      </c>
      <c r="D4027" s="82" t="s">
        <v>62</v>
      </c>
      <c r="E4027" s="82" t="s">
        <v>6</v>
      </c>
      <c r="F4027" s="152">
        <v>4000</v>
      </c>
      <c r="G4027" s="117"/>
      <c r="H4027" s="117">
        <f>IFERROR(TRANSACTIONS!$F4027+TRANSACTIONS!$G4027,"")</f>
        <v>4000</v>
      </c>
      <c r="I4027" s="118" t="s">
        <v>41</v>
      </c>
      <c r="J4027" s="118"/>
    </row>
    <row r="4028" spans="1:10" x14ac:dyDescent="0.25">
      <c r="A4028" s="81">
        <v>45371.492160416667</v>
      </c>
      <c r="B4028" s="83">
        <f>IF(A4028&lt;&gt;"",DATE(YEAR(TRANSACTIONS!$A4028),MONTH(TRANSACTIONS!$A4028),DAY(TRANSACTIONS!$A4028)),"")</f>
        <v>45371</v>
      </c>
      <c r="C4028" s="84">
        <f>IF(A4028&lt;&gt;"",TIME(HOUR(TRANSACTIONS!$A4028),MINUTE(TRANSACTIONS!$A4028),SECOND(TRANSACTIONS!$A4028)),"")</f>
        <v>0.49216435185185187</v>
      </c>
      <c r="D4028" s="82" t="s">
        <v>64</v>
      </c>
      <c r="E4028" s="82" t="s">
        <v>7</v>
      </c>
      <c r="F4028" s="152">
        <v>400000</v>
      </c>
      <c r="G4028" s="86"/>
      <c r="H4028" s="86">
        <f>IFERROR(TRANSACTIONS!$F4028+TRANSACTIONS!$G4028,"")</f>
        <v>400000</v>
      </c>
      <c r="I4028" s="88" t="s">
        <v>41</v>
      </c>
    </row>
    <row r="4029" spans="1:10" x14ac:dyDescent="0.25">
      <c r="A4029" s="41">
        <v>45371.492168171295</v>
      </c>
      <c r="B4029" s="48">
        <f>IF(A4029&lt;&gt;"",DATE(YEAR(TRANSACTIONS!$A4029),MONTH(TRANSACTIONS!$A4029),DAY(TRANSACTIONS!$A4029)),"")</f>
        <v>45371</v>
      </c>
      <c r="C4029" s="49">
        <f>IF(A4029&lt;&gt;"",TIME(HOUR(TRANSACTIONS!$A4029),MINUTE(TRANSACTIONS!$A4029),SECOND(TRANSACTIONS!$A4029)),"")</f>
        <v>0.49216435185185187</v>
      </c>
      <c r="D4029" s="82" t="s">
        <v>25</v>
      </c>
      <c r="E4029" s="82" t="s">
        <v>6</v>
      </c>
      <c r="F4029" s="152">
        <v>7550</v>
      </c>
      <c r="G4029" s="46"/>
      <c r="H4029" s="46">
        <f>IFERROR(TRANSACTIONS!$F4029+TRANSACTIONS!$G4029,"")</f>
        <v>7550</v>
      </c>
      <c r="I4029" s="40" t="s">
        <v>41</v>
      </c>
    </row>
    <row r="4030" spans="1:10" x14ac:dyDescent="0.25">
      <c r="A4030" s="41">
        <v>45371.492175925923</v>
      </c>
      <c r="B4030" s="48">
        <f>IF(A4030&lt;&gt;"",DATE(YEAR(TRANSACTIONS!$A4030),MONTH(TRANSACTIONS!$A4030),DAY(TRANSACTIONS!$A4030)),"")</f>
        <v>45371</v>
      </c>
      <c r="C4030" s="49">
        <f>IF(A4030&lt;&gt;"",TIME(HOUR(TRANSACTIONS!$A4030),MINUTE(TRANSACTIONS!$A4030),SECOND(TRANSACTIONS!$A4030)),"")</f>
        <v>0.49217592592592596</v>
      </c>
      <c r="D4030" s="82" t="s">
        <v>25</v>
      </c>
      <c r="E4030" s="82" t="s">
        <v>6</v>
      </c>
      <c r="F4030" s="152">
        <v>700</v>
      </c>
      <c r="G4030" s="46"/>
      <c r="H4030" s="46">
        <f>IFERROR(TRANSACTIONS!$F4030+TRANSACTIONS!$G4030,"")</f>
        <v>700</v>
      </c>
      <c r="I4030" s="40" t="s">
        <v>41</v>
      </c>
    </row>
    <row r="4031" spans="1:10" x14ac:dyDescent="0.25">
      <c r="A4031" s="41">
        <v>45371.492183564813</v>
      </c>
      <c r="B4031" s="48">
        <f>IF(A4031&lt;&gt;"",DATE(YEAR(TRANSACTIONS!$A4031),MONTH(TRANSACTIONS!$A4031),DAY(TRANSACTIONS!$A4031)),"")</f>
        <v>45371</v>
      </c>
      <c r="C4031" s="49">
        <f>IF(A4031&lt;&gt;"",TIME(HOUR(TRANSACTIONS!$A4031),MINUTE(TRANSACTIONS!$A4031),SECOND(TRANSACTIONS!$A4031)),"")</f>
        <v>0.4921875</v>
      </c>
      <c r="D4031" s="82" t="s">
        <v>25</v>
      </c>
      <c r="E4031" s="82" t="s">
        <v>7</v>
      </c>
      <c r="F4031" s="152">
        <v>3500</v>
      </c>
      <c r="G4031" s="46"/>
      <c r="H4031" s="46">
        <f>IFERROR(TRANSACTIONS!$F4031+TRANSACTIONS!$G4031,"")</f>
        <v>3500</v>
      </c>
      <c r="I4031" s="40" t="s">
        <v>41</v>
      </c>
    </row>
    <row r="4032" spans="1:10" x14ac:dyDescent="0.25">
      <c r="A4032" s="41">
        <v>45371.492195486113</v>
      </c>
      <c r="B4032" s="48">
        <f>IF(A4032&lt;&gt;"",DATE(YEAR(TRANSACTIONS!$A4032),MONTH(TRANSACTIONS!$A4032),DAY(TRANSACTIONS!$A4032)),"")</f>
        <v>45371</v>
      </c>
      <c r="C4032" s="49">
        <f>IF(A4032&lt;&gt;"",TIME(HOUR(TRANSACTIONS!$A4032),MINUTE(TRANSACTIONS!$A4032),SECOND(TRANSACTIONS!$A4032)),"")</f>
        <v>0.49219907407407404</v>
      </c>
      <c r="D4032" s="82" t="s">
        <v>25</v>
      </c>
      <c r="E4032" s="82" t="s">
        <v>6</v>
      </c>
      <c r="F4032" s="152">
        <v>2000</v>
      </c>
      <c r="G4032" s="46"/>
      <c r="H4032" s="46">
        <f>IFERROR(TRANSACTIONS!$F4032+TRANSACTIONS!$G4032,"")</f>
        <v>2000</v>
      </c>
      <c r="I4032" s="40" t="s">
        <v>41</v>
      </c>
    </row>
    <row r="4033" spans="1:9" x14ac:dyDescent="0.25">
      <c r="A4033" s="41">
        <v>45371.492203125003</v>
      </c>
      <c r="B4033" s="48">
        <f>IF(A4033&lt;&gt;"",DATE(YEAR(TRANSACTIONS!$A4033),MONTH(TRANSACTIONS!$A4033),DAY(TRANSACTIONS!$A4033)),"")</f>
        <v>45371</v>
      </c>
      <c r="C4033" s="49">
        <f>IF(A4033&lt;&gt;"",TIME(HOUR(TRANSACTIONS!$A4033),MINUTE(TRANSACTIONS!$A4033),SECOND(TRANSACTIONS!$A4033)),"")</f>
        <v>0.49219907407407404</v>
      </c>
      <c r="D4033" s="82" t="s">
        <v>25</v>
      </c>
      <c r="E4033" s="82" t="s">
        <v>6</v>
      </c>
      <c r="F4033" s="152">
        <v>30250</v>
      </c>
      <c r="G4033" s="46"/>
      <c r="H4033" s="46">
        <f>IFERROR(TRANSACTIONS!$F4033+TRANSACTIONS!$G4033,"")</f>
        <v>30250</v>
      </c>
      <c r="I4033" s="40" t="s">
        <v>41</v>
      </c>
    </row>
    <row r="4034" spans="1:9" x14ac:dyDescent="0.25">
      <c r="A4034" s="41">
        <v>45371.492210416669</v>
      </c>
      <c r="B4034" s="48">
        <f>IF(A4034&lt;&gt;"",DATE(YEAR(TRANSACTIONS!$A4034),MONTH(TRANSACTIONS!$A4034),DAY(TRANSACTIONS!$A4034)),"")</f>
        <v>45371</v>
      </c>
      <c r="C4034" s="49">
        <f>IF(A4034&lt;&gt;"",TIME(HOUR(TRANSACTIONS!$A4034),MINUTE(TRANSACTIONS!$A4034),SECOND(TRANSACTIONS!$A4034)),"")</f>
        <v>0.49221064814814813</v>
      </c>
      <c r="D4034" s="82" t="s">
        <v>25</v>
      </c>
      <c r="E4034" s="82" t="s">
        <v>7</v>
      </c>
      <c r="F4034" s="152">
        <v>900000</v>
      </c>
      <c r="G4034" s="46"/>
      <c r="H4034" s="46">
        <f>IFERROR(TRANSACTIONS!$F4034+TRANSACTIONS!$G4034,"")</f>
        <v>900000</v>
      </c>
      <c r="I4034" s="40" t="s">
        <v>41</v>
      </c>
    </row>
    <row r="4035" spans="1:9" x14ac:dyDescent="0.25">
      <c r="A4035" s="41">
        <v>45371.492235648147</v>
      </c>
      <c r="B4035" s="48">
        <f>IF(A4035&lt;&gt;"",DATE(YEAR(TRANSACTIONS!$A4035),MONTH(TRANSACTIONS!$A4035),DAY(TRANSACTIONS!$A4035)),"")</f>
        <v>45371</v>
      </c>
      <c r="C4035" s="49">
        <f>IF(A4035&lt;&gt;"",TIME(HOUR(TRANSACTIONS!$A4035),MINUTE(TRANSACTIONS!$A4035),SECOND(TRANSACTIONS!$A4035)),"")</f>
        <v>0.49223379629629632</v>
      </c>
      <c r="D4035" s="82" t="s">
        <v>25</v>
      </c>
      <c r="E4035" s="82" t="s">
        <v>6</v>
      </c>
      <c r="F4035" s="152">
        <v>900000</v>
      </c>
      <c r="G4035" s="46"/>
      <c r="H4035" s="46">
        <f>IFERROR(TRANSACTIONS!$F4035+TRANSACTIONS!$G4035,"")</f>
        <v>900000</v>
      </c>
      <c r="I4035" s="40" t="s">
        <v>41</v>
      </c>
    </row>
    <row r="4036" spans="1:9" x14ac:dyDescent="0.25">
      <c r="A4036" s="41">
        <v>45371.49225520833</v>
      </c>
      <c r="B4036" s="48">
        <f>IF(A4036&lt;&gt;"",DATE(YEAR(TRANSACTIONS!$A4036),MONTH(TRANSACTIONS!$A4036),DAY(TRANSACTIONS!$A4036)),"")</f>
        <v>45371</v>
      </c>
      <c r="C4036" s="49">
        <f>IF(A4036&lt;&gt;"",TIME(HOUR(TRANSACTIONS!$A4036),MINUTE(TRANSACTIONS!$A4036),SECOND(TRANSACTIONS!$A4036)),"")</f>
        <v>0.49225694444444446</v>
      </c>
      <c r="D4036" s="82" t="s">
        <v>25</v>
      </c>
      <c r="E4036" s="82" t="s">
        <v>7</v>
      </c>
      <c r="F4036" s="152">
        <v>25000</v>
      </c>
      <c r="G4036" s="46"/>
      <c r="H4036" s="46">
        <f>IFERROR(TRANSACTIONS!$F4036+TRANSACTIONS!$G4036,"")</f>
        <v>25000</v>
      </c>
      <c r="I4036" s="40" t="s">
        <v>41</v>
      </c>
    </row>
    <row r="4037" spans="1:9" x14ac:dyDescent="0.25">
      <c r="A4037" s="41">
        <v>45371.492918981479</v>
      </c>
      <c r="B4037" s="48">
        <f>IF(A4037&lt;&gt;"",DATE(YEAR(TRANSACTIONS!$A4037),MONTH(TRANSACTIONS!$A4037),DAY(TRANSACTIONS!$A4037)),"")</f>
        <v>45371</v>
      </c>
      <c r="C4037" s="49">
        <f>IF(A4037&lt;&gt;"",TIME(HOUR(TRANSACTIONS!$A4037),MINUTE(TRANSACTIONS!$A4037),SECOND(TRANSACTIONS!$A4037)),"")</f>
        <v>0.49291666666666667</v>
      </c>
      <c r="D4037" s="82" t="s">
        <v>25</v>
      </c>
      <c r="E4037" s="82" t="s">
        <v>7</v>
      </c>
      <c r="F4037" s="152">
        <v>2000</v>
      </c>
      <c r="G4037" s="46"/>
      <c r="H4037" s="46">
        <f>IFERROR(TRANSACTIONS!$F4037+TRANSACTIONS!$G4037,"")</f>
        <v>2000</v>
      </c>
      <c r="I4037" s="40" t="s">
        <v>41</v>
      </c>
    </row>
    <row r="4038" spans="1:9" x14ac:dyDescent="0.25">
      <c r="A4038" s="41">
        <v>45371.492957060182</v>
      </c>
      <c r="B4038" s="48">
        <f>IF(A4038&lt;&gt;"",DATE(YEAR(TRANSACTIONS!$A4038),MONTH(TRANSACTIONS!$A4038),DAY(TRANSACTIONS!$A4038)),"")</f>
        <v>45371</v>
      </c>
      <c r="C4038" s="49">
        <f>IF(A4038&lt;&gt;"",TIME(HOUR(TRANSACTIONS!$A4038),MINUTE(TRANSACTIONS!$A4038),SECOND(TRANSACTIONS!$A4038)),"")</f>
        <v>0.49295138888888884</v>
      </c>
      <c r="D4038" s="82" t="s">
        <v>62</v>
      </c>
      <c r="E4038" s="82" t="s">
        <v>6</v>
      </c>
      <c r="F4038" s="88">
        <v>35000</v>
      </c>
      <c r="G4038" s="46"/>
      <c r="H4038" s="46">
        <f>IFERROR(TRANSACTIONS!$F4038+TRANSACTIONS!$G4038,"")</f>
        <v>35000</v>
      </c>
      <c r="I4038" s="40" t="s">
        <v>41</v>
      </c>
    </row>
    <row r="4039" spans="1:9" x14ac:dyDescent="0.25">
      <c r="A4039" s="41">
        <v>45371.492979861112</v>
      </c>
      <c r="B4039" s="48">
        <f>IF(A4039&lt;&gt;"",DATE(YEAR(TRANSACTIONS!$A4039),MONTH(TRANSACTIONS!$A4039),DAY(TRANSACTIONS!$A4039)),"")</f>
        <v>45371</v>
      </c>
      <c r="C4039" s="49">
        <f>IF(A4039&lt;&gt;"",TIME(HOUR(TRANSACTIONS!$A4039),MINUTE(TRANSACTIONS!$A4039),SECOND(TRANSACTIONS!$A4039)),"")</f>
        <v>0.49297453703703703</v>
      </c>
      <c r="D4039" s="82" t="s">
        <v>62</v>
      </c>
      <c r="E4039" s="82" t="s">
        <v>6</v>
      </c>
      <c r="F4039" s="88">
        <v>7000</v>
      </c>
      <c r="G4039" s="46"/>
      <c r="H4039" s="46">
        <f>IFERROR(TRANSACTIONS!$F4039+TRANSACTIONS!$G4039,"")</f>
        <v>7000</v>
      </c>
      <c r="I4039" s="40" t="s">
        <v>41</v>
      </c>
    </row>
    <row r="4040" spans="1:9" x14ac:dyDescent="0.25">
      <c r="A4040" s="41">
        <v>45371.495738773148</v>
      </c>
      <c r="B4040" s="48">
        <f>IF(A4040&lt;&gt;"",DATE(YEAR(TRANSACTIONS!$A4040),MONTH(TRANSACTIONS!$A4040),DAY(TRANSACTIONS!$A4040)),"")</f>
        <v>45371</v>
      </c>
      <c r="C4040" s="49">
        <f>IF(A4040&lt;&gt;"",TIME(HOUR(TRANSACTIONS!$A4040),MINUTE(TRANSACTIONS!$A4040),SECOND(TRANSACTIONS!$A4040)),"")</f>
        <v>0.49574074074074076</v>
      </c>
      <c r="D4040" s="82" t="s">
        <v>62</v>
      </c>
      <c r="E4040" s="82" t="s">
        <v>7</v>
      </c>
      <c r="F4040" s="88">
        <v>3500</v>
      </c>
      <c r="G4040" s="46"/>
      <c r="H4040" s="46">
        <f>IFERROR(TRANSACTIONS!$F4040+TRANSACTIONS!$G4040,"")</f>
        <v>3500</v>
      </c>
      <c r="I4040" s="40" t="s">
        <v>41</v>
      </c>
    </row>
    <row r="4041" spans="1:9" x14ac:dyDescent="0.25">
      <c r="A4041" s="41">
        <v>45371.495774189818</v>
      </c>
      <c r="B4041" s="48">
        <f>IF(A4041&lt;&gt;"",DATE(YEAR(TRANSACTIONS!$A4041),MONTH(TRANSACTIONS!$A4041),DAY(TRANSACTIONS!$A4041)),"")</f>
        <v>45371</v>
      </c>
      <c r="C4041" s="49">
        <f>IF(A4041&lt;&gt;"",TIME(HOUR(TRANSACTIONS!$A4041),MINUTE(TRANSACTIONS!$A4041),SECOND(TRANSACTIONS!$A4041)),"")</f>
        <v>0.49577546296296293</v>
      </c>
      <c r="D4041" s="82" t="s">
        <v>62</v>
      </c>
      <c r="E4041" s="82" t="s">
        <v>7</v>
      </c>
      <c r="F4041" s="88">
        <v>1000</v>
      </c>
      <c r="G4041" s="46"/>
      <c r="H4041" s="46">
        <f>IFERROR(TRANSACTIONS!$F4041+TRANSACTIONS!$G4041,"")</f>
        <v>1000</v>
      </c>
      <c r="I4041" s="40" t="s">
        <v>41</v>
      </c>
    </row>
    <row r="4042" spans="1:9" x14ac:dyDescent="0.25">
      <c r="A4042" s="41">
        <v>45371.611844212966</v>
      </c>
      <c r="B4042" s="48">
        <f>IF(A4042&lt;&gt;"",DATE(YEAR(TRANSACTIONS!$A4042),MONTH(TRANSACTIONS!$A4042),DAY(TRANSACTIONS!$A4042)),"")</f>
        <v>45371</v>
      </c>
      <c r="C4042" s="49">
        <f>IF(A4042&lt;&gt;"",TIME(HOUR(TRANSACTIONS!$A4042),MINUTE(TRANSACTIONS!$A4042),SECOND(TRANSACTIONS!$A4042)),"")</f>
        <v>0.61184027777777772</v>
      </c>
      <c r="D4042" s="82" t="s">
        <v>62</v>
      </c>
      <c r="E4042" s="82" t="s">
        <v>7</v>
      </c>
      <c r="F4042" s="88">
        <v>25050</v>
      </c>
      <c r="G4042" s="46"/>
      <c r="H4042" s="46">
        <f>IFERROR(TRANSACTIONS!$F4042+TRANSACTIONS!$G4042,"")</f>
        <v>25050</v>
      </c>
      <c r="I4042" s="40" t="s">
        <v>41</v>
      </c>
    </row>
    <row r="4043" spans="1:9" x14ac:dyDescent="0.25">
      <c r="A4043" s="41">
        <v>45371.612233101849</v>
      </c>
      <c r="B4043" s="48">
        <f>IF(A4043&lt;&gt;"",DATE(YEAR(TRANSACTIONS!$A4043),MONTH(TRANSACTIONS!$A4043),DAY(TRANSACTIONS!$A4043)),"")</f>
        <v>45371</v>
      </c>
      <c r="C4043" s="49">
        <f>IF(A4043&lt;&gt;"",TIME(HOUR(TRANSACTIONS!$A4043),MINUTE(TRANSACTIONS!$A4043),SECOND(TRANSACTIONS!$A4043)),"")</f>
        <v>0.61223379629629626</v>
      </c>
      <c r="D4043" s="82" t="s">
        <v>62</v>
      </c>
      <c r="E4043" s="82" t="s">
        <v>7</v>
      </c>
      <c r="F4043" s="88">
        <v>100000</v>
      </c>
      <c r="G4043" s="46"/>
      <c r="H4043" s="46">
        <f>IFERROR(TRANSACTIONS!$F4043+TRANSACTIONS!$G4043,"")</f>
        <v>100000</v>
      </c>
      <c r="I4043" s="40" t="s">
        <v>41</v>
      </c>
    </row>
    <row r="4044" spans="1:9" x14ac:dyDescent="0.25">
      <c r="A4044" s="41">
        <v>45371.612241782408</v>
      </c>
      <c r="B4044" s="48">
        <f>IF(A4044&lt;&gt;"",DATE(YEAR(TRANSACTIONS!$A4044),MONTH(TRANSACTIONS!$A4044),DAY(TRANSACTIONS!$A4044)),"")</f>
        <v>45371</v>
      </c>
      <c r="C4044" s="49">
        <f>IF(A4044&lt;&gt;"",TIME(HOUR(TRANSACTIONS!$A4044),MINUTE(TRANSACTIONS!$A4044),SECOND(TRANSACTIONS!$A4044)),"")</f>
        <v>0.61224537037037041</v>
      </c>
      <c r="D4044" s="82" t="s">
        <v>62</v>
      </c>
      <c r="E4044" s="82" t="s">
        <v>6</v>
      </c>
      <c r="F4044" s="88">
        <v>52000</v>
      </c>
      <c r="G4044" s="46"/>
      <c r="H4044" s="46">
        <f>IFERROR(TRANSACTIONS!$F4044+TRANSACTIONS!$G4044,"")</f>
        <v>52000</v>
      </c>
      <c r="I4044" s="40" t="s">
        <v>41</v>
      </c>
    </row>
    <row r="4045" spans="1:9" x14ac:dyDescent="0.25">
      <c r="A4045" s="41">
        <v>45371.61224988426</v>
      </c>
      <c r="B4045" s="48">
        <f>IF(A4045&lt;&gt;"",DATE(YEAR(TRANSACTIONS!$A4045),MONTH(TRANSACTIONS!$A4045),DAY(TRANSACTIONS!$A4045)),"")</f>
        <v>45371</v>
      </c>
      <c r="C4045" s="49">
        <f>IF(A4045&lt;&gt;"",TIME(HOUR(TRANSACTIONS!$A4045),MINUTE(TRANSACTIONS!$A4045),SECOND(TRANSACTIONS!$A4045)),"")</f>
        <v>0.61224537037037041</v>
      </c>
      <c r="D4045" s="82" t="s">
        <v>62</v>
      </c>
      <c r="E4045" s="82" t="s">
        <v>7</v>
      </c>
      <c r="F4045" s="88">
        <v>38000</v>
      </c>
      <c r="G4045" s="46"/>
      <c r="H4045" s="46">
        <f>IFERROR(TRANSACTIONS!$F4045+TRANSACTIONS!$G4045,"")</f>
        <v>38000</v>
      </c>
      <c r="I4045" s="40" t="s">
        <v>41</v>
      </c>
    </row>
    <row r="4046" spans="1:9" x14ac:dyDescent="0.25">
      <c r="A4046" s="41">
        <v>45371.612263773146</v>
      </c>
      <c r="B4046" s="48">
        <f>IF(A4046&lt;&gt;"",DATE(YEAR(TRANSACTIONS!$A4046),MONTH(TRANSACTIONS!$A4046),DAY(TRANSACTIONS!$A4046)),"")</f>
        <v>45371</v>
      </c>
      <c r="C4046" s="49">
        <f>IF(A4046&lt;&gt;"",TIME(HOUR(TRANSACTIONS!$A4046),MINUTE(TRANSACTIONS!$A4046),SECOND(TRANSACTIONS!$A4046)),"")</f>
        <v>0.61226851851851849</v>
      </c>
      <c r="D4046" s="82" t="s">
        <v>62</v>
      </c>
      <c r="E4046" s="82" t="s">
        <v>7</v>
      </c>
      <c r="F4046" s="88">
        <v>5000</v>
      </c>
      <c r="G4046" s="46"/>
      <c r="H4046" s="46">
        <f>IFERROR(TRANSACTIONS!$F4046+TRANSACTIONS!$G4046,"")</f>
        <v>5000</v>
      </c>
      <c r="I4046" s="40" t="s">
        <v>41</v>
      </c>
    </row>
    <row r="4047" spans="1:9" x14ac:dyDescent="0.25">
      <c r="A4047" s="41">
        <v>45371.612271874998</v>
      </c>
      <c r="B4047" s="48">
        <f>IF(A4047&lt;&gt;"",DATE(YEAR(TRANSACTIONS!$A4047),MONTH(TRANSACTIONS!$A4047),DAY(TRANSACTIONS!$A4047)),"")</f>
        <v>45371</v>
      </c>
      <c r="C4047" s="49">
        <f>IF(A4047&lt;&gt;"",TIME(HOUR(TRANSACTIONS!$A4047),MINUTE(TRANSACTIONS!$A4047),SECOND(TRANSACTIONS!$A4047)),"")</f>
        <v>0.61226851851851849</v>
      </c>
      <c r="D4047" s="82" t="s">
        <v>62</v>
      </c>
      <c r="E4047" s="82" t="s">
        <v>6</v>
      </c>
      <c r="F4047" s="88">
        <v>5000</v>
      </c>
      <c r="G4047" s="46"/>
      <c r="H4047" s="46">
        <f>IFERROR(TRANSACTIONS!$F4047+TRANSACTIONS!$G4047,"")</f>
        <v>5000</v>
      </c>
      <c r="I4047" s="40" t="s">
        <v>41</v>
      </c>
    </row>
    <row r="4048" spans="1:9" x14ac:dyDescent="0.25">
      <c r="A4048" s="41">
        <v>45371.612279513887</v>
      </c>
      <c r="B4048" s="48">
        <f>IF(A4048&lt;&gt;"",DATE(YEAR(TRANSACTIONS!$A4048),MONTH(TRANSACTIONS!$A4048),DAY(TRANSACTIONS!$A4048)),"")</f>
        <v>45371</v>
      </c>
      <c r="C4048" s="49">
        <f>IF(A4048&lt;&gt;"",TIME(HOUR(TRANSACTIONS!$A4048),MINUTE(TRANSACTIONS!$A4048),SECOND(TRANSACTIONS!$A4048)),"")</f>
        <v>0.61228009259259253</v>
      </c>
      <c r="D4048" s="82" t="s">
        <v>62</v>
      </c>
      <c r="E4048" s="82" t="s">
        <v>6</v>
      </c>
      <c r="F4048" s="88">
        <v>2500</v>
      </c>
      <c r="G4048" s="46"/>
      <c r="H4048" s="46">
        <f>IFERROR(TRANSACTIONS!$F4048+TRANSACTIONS!$G4048,"")</f>
        <v>2500</v>
      </c>
      <c r="I4048" s="40" t="s">
        <v>41</v>
      </c>
    </row>
    <row r="4049" spans="1:10" x14ac:dyDescent="0.25">
      <c r="A4049" s="41">
        <v>45371.612287268516</v>
      </c>
      <c r="B4049" s="48">
        <f>IF(A4049&lt;&gt;"",DATE(YEAR(TRANSACTIONS!$A4049),MONTH(TRANSACTIONS!$A4049),DAY(TRANSACTIONS!$A4049)),"")</f>
        <v>45371</v>
      </c>
      <c r="C4049" s="49">
        <f>IF(A4049&lt;&gt;"",TIME(HOUR(TRANSACTIONS!$A4049),MINUTE(TRANSACTIONS!$A4049),SECOND(TRANSACTIONS!$A4049)),"")</f>
        <v>0.61229166666666668</v>
      </c>
      <c r="D4049" s="82" t="s">
        <v>62</v>
      </c>
      <c r="E4049" s="82" t="s">
        <v>7</v>
      </c>
      <c r="F4049" s="88">
        <v>2300</v>
      </c>
      <c r="G4049" s="46"/>
      <c r="H4049" s="46">
        <f>IFERROR(TRANSACTIONS!$F4049+TRANSACTIONS!$G4049,"")</f>
        <v>2300</v>
      </c>
      <c r="I4049" s="40" t="s">
        <v>41</v>
      </c>
    </row>
    <row r="4050" spans="1:10" x14ac:dyDescent="0.25">
      <c r="A4050" s="41">
        <v>45371.612296874999</v>
      </c>
      <c r="B4050" s="48">
        <f>IF(A4050&lt;&gt;"",DATE(YEAR(TRANSACTIONS!$A4050),MONTH(TRANSACTIONS!$A4050),DAY(TRANSACTIONS!$A4050)),"")</f>
        <v>45371</v>
      </c>
      <c r="C4050" s="49">
        <f>IF(A4050&lt;&gt;"",TIME(HOUR(TRANSACTIONS!$A4050),MINUTE(TRANSACTIONS!$A4050),SECOND(TRANSACTIONS!$A4050)),"")</f>
        <v>0.61229166666666668</v>
      </c>
      <c r="D4050" s="82" t="s">
        <v>62</v>
      </c>
      <c r="E4050" s="82" t="s">
        <v>7</v>
      </c>
      <c r="F4050" s="88">
        <v>5000</v>
      </c>
      <c r="G4050" s="46"/>
      <c r="H4050" s="46">
        <f>IFERROR(TRANSACTIONS!$F4050+TRANSACTIONS!$G4050,"")</f>
        <v>5000</v>
      </c>
      <c r="I4050" s="40" t="s">
        <v>41</v>
      </c>
    </row>
    <row r="4051" spans="1:10" x14ac:dyDescent="0.25">
      <c r="A4051" s="41">
        <v>45371.612313310186</v>
      </c>
      <c r="B4051" s="48">
        <f>IF(A4051&lt;&gt;"",DATE(YEAR(TRANSACTIONS!$A4051),MONTH(TRANSACTIONS!$A4051),DAY(TRANSACTIONS!$A4051)),"")</f>
        <v>45371</v>
      </c>
      <c r="C4051" s="49">
        <f>IF(A4051&lt;&gt;"",TIME(HOUR(TRANSACTIONS!$A4051),MINUTE(TRANSACTIONS!$A4051),SECOND(TRANSACTIONS!$A4051)),"")</f>
        <v>0.61231481481481487</v>
      </c>
      <c r="D4051" s="82" t="s">
        <v>62</v>
      </c>
      <c r="E4051" s="82" t="s">
        <v>7</v>
      </c>
      <c r="F4051" s="88">
        <v>5000</v>
      </c>
      <c r="G4051" s="46"/>
      <c r="H4051" s="46">
        <f>IFERROR(TRANSACTIONS!$F4051+TRANSACTIONS!$G4051,"")</f>
        <v>5000</v>
      </c>
      <c r="I4051" s="40" t="s">
        <v>41</v>
      </c>
    </row>
    <row r="4052" spans="1:10" x14ac:dyDescent="0.25">
      <c r="A4052" s="41">
        <v>45371.612322569446</v>
      </c>
      <c r="B4052" s="48">
        <f>IF(A4052&lt;&gt;"",DATE(YEAR(TRANSACTIONS!$A4052),MONTH(TRANSACTIONS!$A4052),DAY(TRANSACTIONS!$A4052)),"")</f>
        <v>45371</v>
      </c>
      <c r="C4052" s="49">
        <f>IF(A4052&lt;&gt;"",TIME(HOUR(TRANSACTIONS!$A4052),MINUTE(TRANSACTIONS!$A4052),SECOND(TRANSACTIONS!$A4052)),"")</f>
        <v>0.61232638888888891</v>
      </c>
      <c r="D4052" s="82" t="s">
        <v>62</v>
      </c>
      <c r="E4052" s="82" t="s">
        <v>6</v>
      </c>
      <c r="F4052" s="88">
        <v>6500</v>
      </c>
      <c r="G4052" s="46"/>
      <c r="H4052" s="46">
        <f>IFERROR(TRANSACTIONS!$F4052+TRANSACTIONS!$G4052,"")</f>
        <v>6500</v>
      </c>
      <c r="I4052" s="40" t="s">
        <v>41</v>
      </c>
    </row>
    <row r="4053" spans="1:10" x14ac:dyDescent="0.25">
      <c r="A4053" s="41">
        <v>45371.612329976851</v>
      </c>
      <c r="B4053" s="48">
        <f>IF(A4053&lt;&gt;"",DATE(YEAR(TRANSACTIONS!$A4053),MONTH(TRANSACTIONS!$A4053),DAY(TRANSACTIONS!$A4053)),"")</f>
        <v>45371</v>
      </c>
      <c r="C4053" s="49">
        <f>IF(A4053&lt;&gt;"",TIME(HOUR(TRANSACTIONS!$A4053),MINUTE(TRANSACTIONS!$A4053),SECOND(TRANSACTIONS!$A4053)),"")</f>
        <v>0.61232638888888891</v>
      </c>
      <c r="D4053" s="82" t="s">
        <v>62</v>
      </c>
      <c r="E4053" s="82" t="s">
        <v>7</v>
      </c>
      <c r="F4053" s="88">
        <v>2500</v>
      </c>
      <c r="G4053" s="46"/>
      <c r="H4053" s="46">
        <f>IFERROR(TRANSACTIONS!$F4053+TRANSACTIONS!$G4053,"")</f>
        <v>2500</v>
      </c>
      <c r="I4053" s="40" t="s">
        <v>41</v>
      </c>
    </row>
    <row r="4054" spans="1:10" x14ac:dyDescent="0.25">
      <c r="A4054" s="41">
        <v>45371.614126504632</v>
      </c>
      <c r="B4054" s="48">
        <f>IF(A4054&lt;&gt;"",DATE(YEAR(TRANSACTIONS!$A4054),MONTH(TRANSACTIONS!$A4054),DAY(TRANSACTIONS!$A4054)),"")</f>
        <v>45371</v>
      </c>
      <c r="C4054" s="49">
        <f>IF(A4054&lt;&gt;"",TIME(HOUR(TRANSACTIONS!$A4054),MINUTE(TRANSACTIONS!$A4054),SECOND(TRANSACTIONS!$A4054)),"")</f>
        <v>0.61413194444444441</v>
      </c>
      <c r="D4054" s="82" t="s">
        <v>62</v>
      </c>
      <c r="E4054" s="82" t="s">
        <v>7</v>
      </c>
      <c r="F4054" s="88">
        <v>600</v>
      </c>
      <c r="G4054" s="46"/>
      <c r="H4054" s="46">
        <f>IFERROR(TRANSACTIONS!$F4054+TRANSACTIONS!$G4054,"")</f>
        <v>600</v>
      </c>
      <c r="I4054" s="40" t="s">
        <v>41</v>
      </c>
    </row>
    <row r="4055" spans="1:10" x14ac:dyDescent="0.25">
      <c r="A4055" s="81">
        <v>45371.614170833331</v>
      </c>
      <c r="B4055" s="83">
        <f>IF(A4055&lt;&gt;"",DATE(YEAR(TRANSACTIONS!$A4055),MONTH(TRANSACTIONS!$A4055),DAY(TRANSACTIONS!$A4055)),"")</f>
        <v>45371</v>
      </c>
      <c r="C4055" s="84">
        <f>IF(A4055&lt;&gt;"",TIME(HOUR(TRANSACTIONS!$A4055),MINUTE(TRANSACTIONS!$A4055),SECOND(TRANSACTIONS!$A4055)),"")</f>
        <v>0.61416666666666664</v>
      </c>
      <c r="D4055" s="82" t="s">
        <v>62</v>
      </c>
      <c r="E4055" s="82" t="s">
        <v>7</v>
      </c>
      <c r="F4055" s="88">
        <v>490000</v>
      </c>
      <c r="G4055" s="86"/>
      <c r="H4055" s="86">
        <f>IFERROR(TRANSACTIONS!$F4055+TRANSACTIONS!$G4055,"")</f>
        <v>490000</v>
      </c>
      <c r="I4055" s="88" t="s">
        <v>41</v>
      </c>
      <c r="J4055" s="88"/>
    </row>
    <row r="4056" spans="1:10" x14ac:dyDescent="0.25">
      <c r="A4056" s="41">
        <v>45371.614180787037</v>
      </c>
      <c r="B4056" s="48">
        <f>IF(A4056&lt;&gt;"",DATE(YEAR(TRANSACTIONS!$A4056),MONTH(TRANSACTIONS!$A4056),DAY(TRANSACTIONS!$A4056)),"")</f>
        <v>45371</v>
      </c>
      <c r="C4056" s="49">
        <f>IF(A4056&lt;&gt;"",TIME(HOUR(TRANSACTIONS!$A4056),MINUTE(TRANSACTIONS!$A4056),SECOND(TRANSACTIONS!$A4056)),"")</f>
        <v>0.61417824074074068</v>
      </c>
      <c r="D4056" s="82" t="s">
        <v>62</v>
      </c>
      <c r="E4056" s="82" t="s">
        <v>6</v>
      </c>
      <c r="F4056" s="88">
        <v>2000</v>
      </c>
      <c r="G4056" s="46"/>
      <c r="H4056" s="46">
        <f>IFERROR(TRANSACTIONS!$F4056+TRANSACTIONS!$G4056,"")</f>
        <v>2000</v>
      </c>
      <c r="I4056" s="40" t="s">
        <v>41</v>
      </c>
    </row>
    <row r="4057" spans="1:10" x14ac:dyDescent="0.25">
      <c r="A4057" s="113">
        <v>45371.614189814813</v>
      </c>
      <c r="B4057" s="114">
        <f>IF(A4057&lt;&gt;"",DATE(YEAR(TRANSACTIONS!$A4057),MONTH(TRANSACTIONS!$A4057),DAY(TRANSACTIONS!$A4057)),"")</f>
        <v>45371</v>
      </c>
      <c r="C4057" s="115">
        <f>IF(A4057&lt;&gt;"",TIME(HOUR(TRANSACTIONS!$A4057),MINUTE(TRANSACTIONS!$A4057),SECOND(TRANSACTIONS!$A4057)),"")</f>
        <v>0.61418981481481483</v>
      </c>
      <c r="D4057" s="82" t="s">
        <v>62</v>
      </c>
      <c r="E4057" s="82" t="s">
        <v>6</v>
      </c>
      <c r="F4057" s="88">
        <v>100000</v>
      </c>
      <c r="G4057" s="117"/>
      <c r="H4057" s="117">
        <f>IFERROR(TRANSACTIONS!$F4057+TRANSACTIONS!$G4057,"")</f>
        <v>100000</v>
      </c>
      <c r="I4057" s="118" t="s">
        <v>41</v>
      </c>
      <c r="J4057" s="118"/>
    </row>
    <row r="4058" spans="1:10" x14ac:dyDescent="0.25">
      <c r="A4058" s="41">
        <v>45371.614198611111</v>
      </c>
      <c r="B4058" s="48">
        <f>IF(A4058&lt;&gt;"",DATE(YEAR(TRANSACTIONS!$A4058),MONTH(TRANSACTIONS!$A4058),DAY(TRANSACTIONS!$A4058)),"")</f>
        <v>45371</v>
      </c>
      <c r="C4058" s="49">
        <f>IF(A4058&lt;&gt;"",TIME(HOUR(TRANSACTIONS!$A4058),MINUTE(TRANSACTIONS!$A4058),SECOND(TRANSACTIONS!$A4058)),"")</f>
        <v>0.61420138888888887</v>
      </c>
      <c r="D4058" s="82" t="s">
        <v>62</v>
      </c>
      <c r="E4058" s="82" t="s">
        <v>6</v>
      </c>
      <c r="F4058" s="88">
        <v>51000</v>
      </c>
      <c r="G4058" s="46"/>
      <c r="H4058" s="46">
        <f>IFERROR(TRANSACTIONS!$F4058+TRANSACTIONS!$G4058,"")</f>
        <v>51000</v>
      </c>
      <c r="I4058" s="40" t="s">
        <v>41</v>
      </c>
    </row>
    <row r="4059" spans="1:10" x14ac:dyDescent="0.25">
      <c r="A4059" s="41">
        <v>45371.61420729167</v>
      </c>
      <c r="B4059" s="48">
        <f>IF(A4059&lt;&gt;"",DATE(YEAR(TRANSACTIONS!$A4059),MONTH(TRANSACTIONS!$A4059),DAY(TRANSACTIONS!$A4059)),"")</f>
        <v>45371</v>
      </c>
      <c r="C4059" s="49">
        <f>IF(A4059&lt;&gt;"",TIME(HOUR(TRANSACTIONS!$A4059),MINUTE(TRANSACTIONS!$A4059),SECOND(TRANSACTIONS!$A4059)),"")</f>
        <v>0.61421296296296302</v>
      </c>
      <c r="D4059" s="82" t="s">
        <v>62</v>
      </c>
      <c r="E4059" s="82" t="s">
        <v>6</v>
      </c>
      <c r="F4059" s="88">
        <v>1000</v>
      </c>
      <c r="G4059" s="46"/>
      <c r="H4059" s="46">
        <f>IFERROR(TRANSACTIONS!$F4059+TRANSACTIONS!$G4059,"")</f>
        <v>1000</v>
      </c>
      <c r="I4059" s="40" t="s">
        <v>41</v>
      </c>
    </row>
    <row r="4060" spans="1:10" x14ac:dyDescent="0.25">
      <c r="A4060" s="41">
        <v>45371.614214930552</v>
      </c>
      <c r="B4060" s="48">
        <f>IF(A4060&lt;&gt;"",DATE(YEAR(TRANSACTIONS!$A4060),MONTH(TRANSACTIONS!$A4060),DAY(TRANSACTIONS!$A4060)),"")</f>
        <v>45371</v>
      </c>
      <c r="C4060" s="49">
        <f>IF(A4060&lt;&gt;"",TIME(HOUR(TRANSACTIONS!$A4060),MINUTE(TRANSACTIONS!$A4060),SECOND(TRANSACTIONS!$A4060)),"")</f>
        <v>0.61421296296296302</v>
      </c>
      <c r="D4060" s="82" t="s">
        <v>62</v>
      </c>
      <c r="E4060" s="82" t="s">
        <v>7</v>
      </c>
      <c r="F4060" s="88">
        <v>40000</v>
      </c>
      <c r="G4060" s="46"/>
      <c r="H4060" s="46">
        <f>IFERROR(TRANSACTIONS!$F4060+TRANSACTIONS!$G4060,"")</f>
        <v>40000</v>
      </c>
      <c r="I4060" s="40" t="s">
        <v>41</v>
      </c>
    </row>
    <row r="4061" spans="1:10" x14ac:dyDescent="0.25">
      <c r="A4061" s="41">
        <v>45371.614276736109</v>
      </c>
      <c r="B4061" s="48">
        <f>IF(A4061&lt;&gt;"",DATE(YEAR(TRANSACTIONS!$A4061),MONTH(TRANSACTIONS!$A4061),DAY(TRANSACTIONS!$A4061)),"")</f>
        <v>45371</v>
      </c>
      <c r="C4061" s="49">
        <f>IF(A4061&lt;&gt;"",TIME(HOUR(TRANSACTIONS!$A4061),MINUTE(TRANSACTIONS!$A4061),SECOND(TRANSACTIONS!$A4061)),"")</f>
        <v>0.61428240740740747</v>
      </c>
      <c r="D4061" s="82" t="s">
        <v>62</v>
      </c>
      <c r="E4061" s="82" t="s">
        <v>7</v>
      </c>
      <c r="F4061" s="88">
        <v>2500</v>
      </c>
      <c r="G4061" s="46"/>
      <c r="H4061" s="46">
        <f>IFERROR(TRANSACTIONS!$F4061+TRANSACTIONS!$G4061,"")</f>
        <v>2500</v>
      </c>
      <c r="I4061" s="40" t="s">
        <v>41</v>
      </c>
    </row>
    <row r="4062" spans="1:10" x14ac:dyDescent="0.25">
      <c r="A4062" s="71">
        <v>45371.614288310186</v>
      </c>
      <c r="B4062" s="73">
        <f>IF(A4062&lt;&gt;"",DATE(YEAR(TRANSACTIONS!$A4062),MONTH(TRANSACTIONS!$A4062),DAY(TRANSACTIONS!$A4062)),"")</f>
        <v>45371</v>
      </c>
      <c r="C4062" s="74">
        <f>IF(A4062&lt;&gt;"",TIME(HOUR(TRANSACTIONS!$A4062),MINUTE(TRANSACTIONS!$A4062),SECOND(TRANSACTIONS!$A4062)),"")</f>
        <v>0.61429398148148151</v>
      </c>
      <c r="D4062" s="72" t="s">
        <v>62</v>
      </c>
      <c r="E4062" s="72" t="s">
        <v>7</v>
      </c>
      <c r="F4062" s="76">
        <v>50000</v>
      </c>
      <c r="G4062" s="75"/>
      <c r="H4062" s="75">
        <f>IFERROR(TRANSACTIONS!$F4062+TRANSACTIONS!$G4062,"")</f>
        <v>50000</v>
      </c>
      <c r="I4062" s="76" t="s">
        <v>41</v>
      </c>
    </row>
    <row r="4063" spans="1:10" x14ac:dyDescent="0.25">
      <c r="A4063" s="41">
        <v>45371.614296412037</v>
      </c>
      <c r="B4063" s="48">
        <f>IF(A4063&lt;&gt;"",DATE(YEAR(TRANSACTIONS!$A4063),MONTH(TRANSACTIONS!$A4063),DAY(TRANSACTIONS!$A4063)),"")</f>
        <v>45371</v>
      </c>
      <c r="C4063" s="49">
        <f>IF(A4063&lt;&gt;"",TIME(HOUR(TRANSACTIONS!$A4063),MINUTE(TRANSACTIONS!$A4063),SECOND(TRANSACTIONS!$A4063)),"")</f>
        <v>0.61429398148148151</v>
      </c>
      <c r="D4063" s="82" t="s">
        <v>62</v>
      </c>
      <c r="E4063" s="82" t="s">
        <v>7</v>
      </c>
      <c r="F4063" s="88">
        <v>5000</v>
      </c>
      <c r="G4063" s="46"/>
      <c r="H4063" s="46">
        <f>IFERROR(TRANSACTIONS!$F4063+TRANSACTIONS!$G4063,"")</f>
        <v>5000</v>
      </c>
      <c r="I4063" s="40" t="s">
        <v>41</v>
      </c>
    </row>
    <row r="4064" spans="1:10" x14ac:dyDescent="0.25">
      <c r="A4064" s="41">
        <v>45371.614321412038</v>
      </c>
      <c r="B4064" s="48">
        <f>IF(A4064&lt;&gt;"",DATE(YEAR(TRANSACTIONS!$A4064),MONTH(TRANSACTIONS!$A4064),DAY(TRANSACTIONS!$A4064)),"")</f>
        <v>45371</v>
      </c>
      <c r="C4064" s="49">
        <f>IF(A4064&lt;&gt;"",TIME(HOUR(TRANSACTIONS!$A4064),MINUTE(TRANSACTIONS!$A4064),SECOND(TRANSACTIONS!$A4064)),"")</f>
        <v>0.61431712962962959</v>
      </c>
      <c r="D4064" s="82" t="s">
        <v>62</v>
      </c>
      <c r="E4064" s="82" t="s">
        <v>7</v>
      </c>
      <c r="F4064" s="88">
        <v>3000</v>
      </c>
      <c r="G4064" s="46"/>
      <c r="H4064" s="46">
        <f>IFERROR(TRANSACTIONS!$F4064+TRANSACTIONS!$G4064,"")</f>
        <v>3000</v>
      </c>
      <c r="I4064" s="40" t="s">
        <v>41</v>
      </c>
    </row>
    <row r="4065" spans="1:9" x14ac:dyDescent="0.25">
      <c r="A4065" s="41">
        <v>45371.614329050928</v>
      </c>
      <c r="B4065" s="48">
        <f>IF(A4065&lt;&gt;"",DATE(YEAR(TRANSACTIONS!$A4065),MONTH(TRANSACTIONS!$A4065),DAY(TRANSACTIONS!$A4065)),"")</f>
        <v>45371</v>
      </c>
      <c r="C4065" s="49">
        <f>IF(A4065&lt;&gt;"",TIME(HOUR(TRANSACTIONS!$A4065),MINUTE(TRANSACTIONS!$A4065),SECOND(TRANSACTIONS!$A4065)),"")</f>
        <v>0.61432870370370374</v>
      </c>
      <c r="D4065" s="82" t="s">
        <v>25</v>
      </c>
      <c r="E4065" s="82" t="s">
        <v>7</v>
      </c>
      <c r="F4065" s="88">
        <v>4000</v>
      </c>
      <c r="G4065" s="46"/>
      <c r="H4065" s="46">
        <f>IFERROR(TRANSACTIONS!$F4065+TRANSACTIONS!$G4065,"")</f>
        <v>4000</v>
      </c>
      <c r="I4065" s="40" t="s">
        <v>41</v>
      </c>
    </row>
    <row r="4066" spans="1:9" x14ac:dyDescent="0.25">
      <c r="A4066" s="41">
        <v>45371.614336921295</v>
      </c>
      <c r="B4066" s="48">
        <f>IF(A4066&lt;&gt;"",DATE(YEAR(TRANSACTIONS!$A4066),MONTH(TRANSACTIONS!$A4066),DAY(TRANSACTIONS!$A4066)),"")</f>
        <v>45371</v>
      </c>
      <c r="C4066" s="49">
        <f>IF(A4066&lt;&gt;"",TIME(HOUR(TRANSACTIONS!$A4066),MINUTE(TRANSACTIONS!$A4066),SECOND(TRANSACTIONS!$A4066)),"")</f>
        <v>0.61434027777777778</v>
      </c>
      <c r="D4066" s="82" t="s">
        <v>25</v>
      </c>
      <c r="E4066" s="82" t="s">
        <v>6</v>
      </c>
      <c r="F4066" s="88">
        <v>3000</v>
      </c>
      <c r="G4066" s="46"/>
      <c r="H4066" s="46">
        <f>IFERROR(TRANSACTIONS!$F4066+TRANSACTIONS!$G4066,"")</f>
        <v>3000</v>
      </c>
      <c r="I4066" s="40" t="s">
        <v>41</v>
      </c>
    </row>
    <row r="4067" spans="1:9" x14ac:dyDescent="0.25">
      <c r="A4067" s="41">
        <v>45371.614344907408</v>
      </c>
      <c r="B4067" s="48">
        <f>IF(A4067&lt;&gt;"",DATE(YEAR(TRANSACTIONS!$A4067),MONTH(TRANSACTIONS!$A4067),DAY(TRANSACTIONS!$A4067)),"")</f>
        <v>45371</v>
      </c>
      <c r="C4067" s="49">
        <f>IF(A4067&lt;&gt;"",TIME(HOUR(TRANSACTIONS!$A4067),MINUTE(TRANSACTIONS!$A4067),SECOND(TRANSACTIONS!$A4067)),"")</f>
        <v>0.61434027777777778</v>
      </c>
      <c r="D4067" s="82" t="s">
        <v>25</v>
      </c>
      <c r="E4067" s="82" t="s">
        <v>7</v>
      </c>
      <c r="F4067" s="88">
        <v>3000</v>
      </c>
      <c r="G4067" s="46"/>
      <c r="H4067" s="46">
        <f>IFERROR(TRANSACTIONS!$F4067+TRANSACTIONS!$G4067,"")</f>
        <v>3000</v>
      </c>
      <c r="I4067" s="40" t="s">
        <v>41</v>
      </c>
    </row>
    <row r="4068" spans="1:9" x14ac:dyDescent="0.25">
      <c r="A4068" s="113">
        <v>45371.614353472221</v>
      </c>
      <c r="B4068" s="114">
        <f>IF(A4068&lt;&gt;"",DATE(YEAR(TRANSACTIONS!$A4068),MONTH(TRANSACTIONS!$A4068),DAY(TRANSACTIONS!$A4068)),"")</f>
        <v>45371</v>
      </c>
      <c r="C4068" s="115">
        <f>IF(A4068&lt;&gt;"",TIME(HOUR(TRANSACTIONS!$A4068),MINUTE(TRANSACTIONS!$A4068),SECOND(TRANSACTIONS!$A4068)),"")</f>
        <v>0.61435185185185182</v>
      </c>
      <c r="D4068" s="82" t="s">
        <v>25</v>
      </c>
      <c r="E4068" s="82" t="s">
        <v>7</v>
      </c>
      <c r="F4068" s="88">
        <v>14000</v>
      </c>
      <c r="G4068" s="117"/>
      <c r="H4068" s="117">
        <f>IFERROR(TRANSACTIONS!$F4068+TRANSACTIONS!$G4068,"")</f>
        <v>14000</v>
      </c>
      <c r="I4068" s="118" t="s">
        <v>41</v>
      </c>
    </row>
    <row r="4069" spans="1:9" x14ac:dyDescent="0.25">
      <c r="A4069" s="41">
        <v>45371.614360995372</v>
      </c>
      <c r="B4069" s="48">
        <f>IF(A4069&lt;&gt;"",DATE(YEAR(TRANSACTIONS!$A4069),MONTH(TRANSACTIONS!$A4069),DAY(TRANSACTIONS!$A4069)),"")</f>
        <v>45371</v>
      </c>
      <c r="C4069" s="49">
        <f>IF(A4069&lt;&gt;"",TIME(HOUR(TRANSACTIONS!$A4069),MINUTE(TRANSACTIONS!$A4069),SECOND(TRANSACTIONS!$A4069)),"")</f>
        <v>0.61436342592592597</v>
      </c>
      <c r="D4069" s="82" t="s">
        <v>25</v>
      </c>
      <c r="E4069" s="82" t="s">
        <v>6</v>
      </c>
      <c r="F4069" s="88">
        <v>500</v>
      </c>
      <c r="G4069" s="46"/>
      <c r="H4069" s="46">
        <f>IFERROR(TRANSACTIONS!$F4069+TRANSACTIONS!$G4069,"")</f>
        <v>500</v>
      </c>
      <c r="I4069" s="40" t="s">
        <v>41</v>
      </c>
    </row>
    <row r="4070" spans="1:9" x14ac:dyDescent="0.25">
      <c r="A4070" s="41">
        <v>45371.614368981478</v>
      </c>
      <c r="B4070" s="48">
        <f>IF(A4070&lt;&gt;"",DATE(YEAR(TRANSACTIONS!$A4070),MONTH(TRANSACTIONS!$A4070),DAY(TRANSACTIONS!$A4070)),"")</f>
        <v>45371</v>
      </c>
      <c r="C4070" s="49">
        <f>IF(A4070&lt;&gt;"",TIME(HOUR(TRANSACTIONS!$A4070),MINUTE(TRANSACTIONS!$A4070),SECOND(TRANSACTIONS!$A4070)),"")</f>
        <v>0.61436342592592597</v>
      </c>
      <c r="D4070" s="82" t="s">
        <v>25</v>
      </c>
      <c r="E4070" s="82" t="s">
        <v>6</v>
      </c>
      <c r="F4070" s="88">
        <v>2000</v>
      </c>
      <c r="G4070" s="46"/>
      <c r="H4070" s="46">
        <f>IFERROR(TRANSACTIONS!$F4070+TRANSACTIONS!$G4070,"")</f>
        <v>2000</v>
      </c>
      <c r="I4070" s="40" t="s">
        <v>41</v>
      </c>
    </row>
    <row r="4071" spans="1:9" x14ac:dyDescent="0.25">
      <c r="A4071" s="41">
        <v>45371.614384143519</v>
      </c>
      <c r="B4071" s="48">
        <f>IF(A4071&lt;&gt;"",DATE(YEAR(TRANSACTIONS!$A4071),MONTH(TRANSACTIONS!$A4071),DAY(TRANSACTIONS!$A4071)),"")</f>
        <v>45371</v>
      </c>
      <c r="C4071" s="49">
        <f>IF(A4071&lt;&gt;"",TIME(HOUR(TRANSACTIONS!$A4071),MINUTE(TRANSACTIONS!$A4071),SECOND(TRANSACTIONS!$A4071)),"")</f>
        <v>0.61438657407407404</v>
      </c>
      <c r="D4071" s="82" t="s">
        <v>25</v>
      </c>
      <c r="E4071" s="82" t="s">
        <v>7</v>
      </c>
      <c r="F4071" s="88">
        <v>10000</v>
      </c>
      <c r="G4071" s="46"/>
      <c r="H4071" s="46">
        <f>IFERROR(TRANSACTIONS!$F4071+TRANSACTIONS!$G4071,"")</f>
        <v>10000</v>
      </c>
      <c r="I4071" s="40" t="s">
        <v>41</v>
      </c>
    </row>
    <row r="4072" spans="1:9" x14ac:dyDescent="0.25">
      <c r="A4072" s="41">
        <v>45371.614392708332</v>
      </c>
      <c r="B4072" s="48">
        <f>IF(A4072&lt;&gt;"",DATE(YEAR(TRANSACTIONS!$A4072),MONTH(TRANSACTIONS!$A4072),DAY(TRANSACTIONS!$A4072)),"")</f>
        <v>45371</v>
      </c>
      <c r="C4072" s="49">
        <f>IF(A4072&lt;&gt;"",TIME(HOUR(TRANSACTIONS!$A4072),MINUTE(TRANSACTIONS!$A4072),SECOND(TRANSACTIONS!$A4072)),"")</f>
        <v>0.61439814814814808</v>
      </c>
      <c r="D4072" s="82" t="s">
        <v>25</v>
      </c>
      <c r="E4072" s="82" t="s">
        <v>7</v>
      </c>
      <c r="F4072" s="88">
        <v>10000</v>
      </c>
      <c r="G4072" s="46"/>
      <c r="H4072" s="46">
        <f>IFERROR(TRANSACTIONS!$F4072+TRANSACTIONS!$G4072,"")</f>
        <v>10000</v>
      </c>
      <c r="I4072" s="40" t="s">
        <v>41</v>
      </c>
    </row>
    <row r="4073" spans="1:9" x14ac:dyDescent="0.25">
      <c r="A4073" s="41">
        <v>45371.614402546293</v>
      </c>
      <c r="B4073" s="48">
        <f>IF(A4073&lt;&gt;"",DATE(YEAR(TRANSACTIONS!$A4073),MONTH(TRANSACTIONS!$A4073),DAY(TRANSACTIONS!$A4073)),"")</f>
        <v>45371</v>
      </c>
      <c r="C4073" s="49">
        <f>IF(A4073&lt;&gt;"",TIME(HOUR(TRANSACTIONS!$A4073),MINUTE(TRANSACTIONS!$A4073),SECOND(TRANSACTIONS!$A4073)),"")</f>
        <v>0.61439814814814808</v>
      </c>
      <c r="D4073" s="82" t="s">
        <v>25</v>
      </c>
      <c r="E4073" s="82" t="s">
        <v>7</v>
      </c>
      <c r="F4073" s="88">
        <v>100000</v>
      </c>
      <c r="G4073" s="46"/>
      <c r="H4073" s="46">
        <f>IFERROR(TRANSACTIONS!$F4073+TRANSACTIONS!$G4073,"")</f>
        <v>100000</v>
      </c>
      <c r="I4073" s="40" t="s">
        <v>41</v>
      </c>
    </row>
    <row r="4074" spans="1:9" x14ac:dyDescent="0.25">
      <c r="A4074" s="41">
        <v>45371.614410879629</v>
      </c>
      <c r="B4074" s="48">
        <f>IF(A4074&lt;&gt;"",DATE(YEAR(TRANSACTIONS!$A4074),MONTH(TRANSACTIONS!$A4074),DAY(TRANSACTIONS!$A4074)),"")</f>
        <v>45371</v>
      </c>
      <c r="C4074" s="49">
        <f>IF(A4074&lt;&gt;"",TIME(HOUR(TRANSACTIONS!$A4074),MINUTE(TRANSACTIONS!$A4074),SECOND(TRANSACTIONS!$A4074)),"")</f>
        <v>0.61440972222222223</v>
      </c>
      <c r="D4074" s="82" t="s">
        <v>25</v>
      </c>
      <c r="E4074" s="82" t="s">
        <v>7</v>
      </c>
      <c r="F4074" s="88">
        <v>5000</v>
      </c>
      <c r="G4074" s="46"/>
      <c r="H4074" s="46">
        <f>IFERROR(TRANSACTIONS!$F4074+TRANSACTIONS!$G4074,"")</f>
        <v>5000</v>
      </c>
      <c r="I4074" s="40" t="s">
        <v>41</v>
      </c>
    </row>
    <row r="4075" spans="1:9" x14ac:dyDescent="0.25">
      <c r="A4075" s="41">
        <v>45371.61441898148</v>
      </c>
      <c r="B4075" s="48">
        <f>IF(A4075&lt;&gt;"",DATE(YEAR(TRANSACTIONS!$A4075),MONTH(TRANSACTIONS!$A4075),DAY(TRANSACTIONS!$A4075)),"")</f>
        <v>45371</v>
      </c>
      <c r="C4075" s="49">
        <f>IF(A4075&lt;&gt;"",TIME(HOUR(TRANSACTIONS!$A4075),MINUTE(TRANSACTIONS!$A4075),SECOND(TRANSACTIONS!$A4075)),"")</f>
        <v>0.61442129629629627</v>
      </c>
      <c r="D4075" s="82" t="s">
        <v>64</v>
      </c>
      <c r="E4075" s="82" t="s">
        <v>6</v>
      </c>
      <c r="F4075" s="88">
        <v>200000</v>
      </c>
      <c r="G4075" s="46"/>
      <c r="H4075" s="46">
        <f>IFERROR(TRANSACTIONS!$F4075+TRANSACTIONS!$G4075,"")</f>
        <v>200000</v>
      </c>
      <c r="I4075" s="40" t="s">
        <v>41</v>
      </c>
    </row>
    <row r="4076" spans="1:9" x14ac:dyDescent="0.25">
      <c r="A4076" s="41">
        <v>45371.61445439815</v>
      </c>
      <c r="B4076" s="48">
        <f>IF(A4076&lt;&gt;"",DATE(YEAR(TRANSACTIONS!$A4076),MONTH(TRANSACTIONS!$A4076),DAY(TRANSACTIONS!$A4076)),"")</f>
        <v>45371</v>
      </c>
      <c r="C4076" s="49">
        <f>IF(A4076&lt;&gt;"",TIME(HOUR(TRANSACTIONS!$A4076),MINUTE(TRANSACTIONS!$A4076),SECOND(TRANSACTIONS!$A4076)),"")</f>
        <v>0.6144560185185185</v>
      </c>
      <c r="D4076" s="82" t="s">
        <v>62</v>
      </c>
      <c r="E4076" s="82" t="s">
        <v>7</v>
      </c>
      <c r="F4076" s="88">
        <v>1000</v>
      </c>
      <c r="G4076" s="46"/>
      <c r="H4076" s="46">
        <f>IFERROR(TRANSACTIONS!$F4076+TRANSACTIONS!$G4076,"")</f>
        <v>1000</v>
      </c>
      <c r="I4076" s="40" t="s">
        <v>41</v>
      </c>
    </row>
    <row r="4077" spans="1:9" x14ac:dyDescent="0.25">
      <c r="A4077" s="41">
        <v>45371.614556944442</v>
      </c>
      <c r="B4077" s="48">
        <f>IF(A4077&lt;&gt;"",DATE(YEAR(TRANSACTIONS!$A4077),MONTH(TRANSACTIONS!$A4077),DAY(TRANSACTIONS!$A4077)),"")</f>
        <v>45371</v>
      </c>
      <c r="C4077" s="49">
        <f>IF(A4077&lt;&gt;"",TIME(HOUR(TRANSACTIONS!$A4077),MINUTE(TRANSACTIONS!$A4077),SECOND(TRANSACTIONS!$A4077)),"")</f>
        <v>0.61456018518518518</v>
      </c>
      <c r="D4077" s="82" t="s">
        <v>72</v>
      </c>
      <c r="E4077" s="82" t="s">
        <v>7</v>
      </c>
      <c r="F4077" s="88">
        <v>17000</v>
      </c>
      <c r="G4077" s="46"/>
      <c r="H4077" s="46">
        <f>IFERROR(TRANSACTIONS!$F4077+TRANSACTIONS!$G4077,"")</f>
        <v>17000</v>
      </c>
      <c r="I4077" s="40" t="s">
        <v>41</v>
      </c>
    </row>
    <row r="4078" spans="1:9" x14ac:dyDescent="0.25">
      <c r="A4078" s="41">
        <v>45371.614566319447</v>
      </c>
      <c r="B4078" s="48">
        <f>IF(A4078&lt;&gt;"",DATE(YEAR(TRANSACTIONS!$A4078),MONTH(TRANSACTIONS!$A4078),DAY(TRANSACTIONS!$A4078)),"")</f>
        <v>45371</v>
      </c>
      <c r="C4078" s="49">
        <f>IF(A4078&lt;&gt;"",TIME(HOUR(TRANSACTIONS!$A4078),MINUTE(TRANSACTIONS!$A4078),SECOND(TRANSACTIONS!$A4078)),"")</f>
        <v>0.61457175925925933</v>
      </c>
      <c r="D4078" s="82" t="s">
        <v>72</v>
      </c>
      <c r="E4078" s="82" t="s">
        <v>6</v>
      </c>
      <c r="F4078" s="88">
        <v>54000</v>
      </c>
      <c r="G4078" s="46"/>
      <c r="H4078" s="46">
        <f>IFERROR(TRANSACTIONS!$F4078+TRANSACTIONS!$G4078,"")</f>
        <v>54000</v>
      </c>
      <c r="I4078" s="40" t="s">
        <v>41</v>
      </c>
    </row>
    <row r="4079" spans="1:9" x14ac:dyDescent="0.25">
      <c r="A4079" s="41">
        <v>45371.61463611111</v>
      </c>
      <c r="B4079" s="48">
        <f>IF(A4079&lt;&gt;"",DATE(YEAR(TRANSACTIONS!$A4079),MONTH(TRANSACTIONS!$A4079),DAY(TRANSACTIONS!$A4079)),"")</f>
        <v>45371</v>
      </c>
      <c r="C4079" s="49">
        <f>IF(A4079&lt;&gt;"",TIME(HOUR(TRANSACTIONS!$A4079),MINUTE(TRANSACTIONS!$A4079),SECOND(TRANSACTIONS!$A4079)),"")</f>
        <v>0.61464120370370368</v>
      </c>
      <c r="D4079" s="82" t="s">
        <v>72</v>
      </c>
      <c r="E4079" s="82" t="s">
        <v>7</v>
      </c>
      <c r="F4079" s="88">
        <v>2000</v>
      </c>
      <c r="G4079" s="46"/>
      <c r="H4079" s="46">
        <f>IFERROR(TRANSACTIONS!$F4079+TRANSACTIONS!$G4079,"")</f>
        <v>2000</v>
      </c>
      <c r="I4079" s="40" t="s">
        <v>41</v>
      </c>
    </row>
    <row r="4080" spans="1:9" x14ac:dyDescent="0.25">
      <c r="A4080" s="41">
        <v>45371.616962615743</v>
      </c>
      <c r="B4080" s="48">
        <f>IF(A4080&lt;&gt;"",DATE(YEAR(TRANSACTIONS!$A4080),MONTH(TRANSACTIONS!$A4080),DAY(TRANSACTIONS!$A4080)),"")</f>
        <v>45371</v>
      </c>
      <c r="C4080" s="49">
        <f>IF(A4080&lt;&gt;"",TIME(HOUR(TRANSACTIONS!$A4080),MINUTE(TRANSACTIONS!$A4080),SECOND(TRANSACTIONS!$A4080)),"")</f>
        <v>0.6169675925925926</v>
      </c>
      <c r="D4080" s="82" t="s">
        <v>64</v>
      </c>
      <c r="E4080" s="82" t="s">
        <v>7</v>
      </c>
      <c r="F4080" s="88">
        <v>200000</v>
      </c>
      <c r="G4080" s="46"/>
      <c r="H4080" s="46">
        <f>IFERROR(TRANSACTIONS!$F4080+TRANSACTIONS!$G4080,"")</f>
        <v>200000</v>
      </c>
      <c r="I4080" s="40" t="s">
        <v>41</v>
      </c>
    </row>
    <row r="4081" spans="1:10" x14ac:dyDescent="0.25">
      <c r="A4081" s="41">
        <v>45371.617055902774</v>
      </c>
      <c r="B4081" s="48">
        <f>IF(A4081&lt;&gt;"",DATE(YEAR(TRANSACTIONS!$A4081),MONTH(TRANSACTIONS!$A4081),DAY(TRANSACTIONS!$A4081)),"")</f>
        <v>45371</v>
      </c>
      <c r="C4081" s="49">
        <f>IF(A4081&lt;&gt;"",TIME(HOUR(TRANSACTIONS!$A4081),MINUTE(TRANSACTIONS!$A4081),SECOND(TRANSACTIONS!$A4081)),"")</f>
        <v>0.61706018518518524</v>
      </c>
      <c r="D4081" s="82" t="s">
        <v>62</v>
      </c>
      <c r="E4081" s="82" t="s">
        <v>6</v>
      </c>
      <c r="F4081" s="88">
        <v>200000</v>
      </c>
      <c r="G4081" s="46"/>
      <c r="H4081" s="46">
        <f>IFERROR(TRANSACTIONS!$F4081+TRANSACTIONS!$G4081,"")</f>
        <v>200000</v>
      </c>
      <c r="I4081" s="40" t="s">
        <v>41</v>
      </c>
    </row>
    <row r="4082" spans="1:10" x14ac:dyDescent="0.25">
      <c r="A4082" s="41">
        <v>45371.617073263886</v>
      </c>
      <c r="B4082" s="48">
        <f>IF(A4082&lt;&gt;"",DATE(YEAR(TRANSACTIONS!$A4082),MONTH(TRANSACTIONS!$A4082),DAY(TRANSACTIONS!$A4082)),"")</f>
        <v>45371</v>
      </c>
      <c r="C4082" s="49">
        <f>IF(A4082&lt;&gt;"",TIME(HOUR(TRANSACTIONS!$A4082),MINUTE(TRANSACTIONS!$A4082),SECOND(TRANSACTIONS!$A4082)),"")</f>
        <v>0.61707175925925928</v>
      </c>
      <c r="D4082" s="82" t="s">
        <v>62</v>
      </c>
      <c r="E4082" s="82" t="s">
        <v>6</v>
      </c>
      <c r="F4082" s="88">
        <v>20000</v>
      </c>
      <c r="G4082" s="46"/>
      <c r="H4082" s="46">
        <f>IFERROR(TRANSACTIONS!$F4082+TRANSACTIONS!$G4082,"")</f>
        <v>20000</v>
      </c>
      <c r="I4082" s="40" t="s">
        <v>41</v>
      </c>
    </row>
    <row r="4083" spans="1:10" x14ac:dyDescent="0.25">
      <c r="A4083" s="41">
        <v>45371.617569444446</v>
      </c>
      <c r="B4083" s="48">
        <f>IF(A4083&lt;&gt;"",DATE(YEAR(TRANSACTIONS!$A4083),MONTH(TRANSACTIONS!$A4083),DAY(TRANSACTIONS!$A4083)),"")</f>
        <v>45371</v>
      </c>
      <c r="C4083" s="49">
        <f>IF(A4083&lt;&gt;"",TIME(HOUR(TRANSACTIONS!$A4083),MINUTE(TRANSACTIONS!$A4083),SECOND(TRANSACTIONS!$A4083)),"")</f>
        <v>0.6175694444444445</v>
      </c>
      <c r="D4083" s="82" t="s">
        <v>62</v>
      </c>
      <c r="E4083" s="82" t="s">
        <v>7</v>
      </c>
      <c r="F4083" s="88">
        <v>2000</v>
      </c>
      <c r="G4083" s="46"/>
      <c r="H4083" s="46">
        <f>IFERROR(TRANSACTIONS!$F4083+TRANSACTIONS!$G4083,"")</f>
        <v>2000</v>
      </c>
      <c r="I4083" s="40" t="s">
        <v>41</v>
      </c>
    </row>
    <row r="4084" spans="1:10" x14ac:dyDescent="0.25">
      <c r="A4084" s="41">
        <v>45371.617577777775</v>
      </c>
      <c r="B4084" s="48">
        <f>IF(A4084&lt;&gt;"",DATE(YEAR(TRANSACTIONS!$A4084),MONTH(TRANSACTIONS!$A4084),DAY(TRANSACTIONS!$A4084)),"")</f>
        <v>45371</v>
      </c>
      <c r="C4084" s="49">
        <f>IF(A4084&lt;&gt;"",TIME(HOUR(TRANSACTIONS!$A4084),MINUTE(TRANSACTIONS!$A4084),SECOND(TRANSACTIONS!$A4084)),"")</f>
        <v>0.61758101851851854</v>
      </c>
      <c r="D4084" s="82" t="s">
        <v>62</v>
      </c>
      <c r="E4084" s="82" t="s">
        <v>6</v>
      </c>
      <c r="F4084" s="88">
        <v>10200</v>
      </c>
      <c r="G4084" s="46"/>
      <c r="H4084" s="46">
        <f>IFERROR(TRANSACTIONS!$F4084+TRANSACTIONS!$G4084,"")</f>
        <v>10200</v>
      </c>
      <c r="I4084" s="40" t="s">
        <v>41</v>
      </c>
    </row>
    <row r="4085" spans="1:10" x14ac:dyDescent="0.25">
      <c r="A4085" s="41">
        <v>45371.664012384259</v>
      </c>
      <c r="B4085" s="48">
        <f>IF(A4085&lt;&gt;"",DATE(YEAR(TRANSACTIONS!$A4085),MONTH(TRANSACTIONS!$A4085),DAY(TRANSACTIONS!$A4085)),"")</f>
        <v>45371</v>
      </c>
      <c r="C4085" s="49">
        <f>IF(A4085&lt;&gt;"",TIME(HOUR(TRANSACTIONS!$A4085),MINUTE(TRANSACTIONS!$A4085),SECOND(TRANSACTIONS!$A4085)),"")</f>
        <v>0.66401620370370373</v>
      </c>
      <c r="D4085" s="82" t="s">
        <v>62</v>
      </c>
      <c r="E4085" s="82" t="s">
        <v>7</v>
      </c>
      <c r="F4085" s="88">
        <v>1000</v>
      </c>
      <c r="G4085" s="46"/>
      <c r="H4085" s="46">
        <f>IFERROR(TRANSACTIONS!$F4085+TRANSACTIONS!$G4085,"")</f>
        <v>1000</v>
      </c>
      <c r="I4085" s="40" t="s">
        <v>41</v>
      </c>
    </row>
    <row r="4086" spans="1:10" x14ac:dyDescent="0.25">
      <c r="A4086" s="41">
        <v>45371.664039351854</v>
      </c>
      <c r="B4086" s="48">
        <f>IF(A4086&lt;&gt;"",DATE(YEAR(TRANSACTIONS!$A4086),MONTH(TRANSACTIONS!$A4086),DAY(TRANSACTIONS!$A4086)),"")</f>
        <v>45371</v>
      </c>
      <c r="C4086" s="49">
        <f>IF(A4086&lt;&gt;"",TIME(HOUR(TRANSACTIONS!$A4086),MINUTE(TRANSACTIONS!$A4086),SECOND(TRANSACTIONS!$A4086)),"")</f>
        <v>0.66403935185185181</v>
      </c>
      <c r="D4086" s="82" t="s">
        <v>62</v>
      </c>
      <c r="E4086" s="82" t="s">
        <v>6</v>
      </c>
      <c r="F4086" s="88">
        <v>4000</v>
      </c>
      <c r="G4086" s="46"/>
      <c r="H4086" s="46">
        <f>IFERROR(TRANSACTIONS!$F4086+TRANSACTIONS!$G4086,"")</f>
        <v>4000</v>
      </c>
      <c r="I4086" s="40" t="s">
        <v>41</v>
      </c>
    </row>
    <row r="4087" spans="1:10" x14ac:dyDescent="0.25">
      <c r="A4087" s="41">
        <v>45371.664048842591</v>
      </c>
      <c r="B4087" s="48">
        <f>IF(A4087&lt;&gt;"",DATE(YEAR(TRANSACTIONS!$A4087),MONTH(TRANSACTIONS!$A4087),DAY(TRANSACTIONS!$A4087)),"")</f>
        <v>45371</v>
      </c>
      <c r="C4087" s="49">
        <f>IF(A4087&lt;&gt;"",TIME(HOUR(TRANSACTIONS!$A4087),MINUTE(TRANSACTIONS!$A4087),SECOND(TRANSACTIONS!$A4087)),"")</f>
        <v>0.66405092592592596</v>
      </c>
      <c r="D4087" s="82" t="s">
        <v>62</v>
      </c>
      <c r="E4087" s="82" t="s">
        <v>6</v>
      </c>
      <c r="F4087" s="88">
        <v>5000</v>
      </c>
      <c r="G4087" s="46"/>
      <c r="H4087" s="46">
        <f>IFERROR(TRANSACTIONS!$F4087+TRANSACTIONS!$G4087,"")</f>
        <v>5000</v>
      </c>
      <c r="I4087" s="40" t="s">
        <v>41</v>
      </c>
    </row>
    <row r="4088" spans="1:10" x14ac:dyDescent="0.25">
      <c r="A4088" s="41">
        <v>45371.664057175927</v>
      </c>
      <c r="B4088" s="48">
        <f>IF(A4088&lt;&gt;"",DATE(YEAR(TRANSACTIONS!$A4088),MONTH(TRANSACTIONS!$A4088),DAY(TRANSACTIONS!$A4088)),"")</f>
        <v>45371</v>
      </c>
      <c r="C4088" s="49">
        <f>IF(A4088&lt;&gt;"",TIME(HOUR(TRANSACTIONS!$A4088),MINUTE(TRANSACTIONS!$A4088),SECOND(TRANSACTIONS!$A4088)),"")</f>
        <v>0.6640625</v>
      </c>
      <c r="D4088" s="82" t="s">
        <v>62</v>
      </c>
      <c r="E4088" s="82" t="s">
        <v>6</v>
      </c>
      <c r="F4088" s="88">
        <v>5000</v>
      </c>
      <c r="G4088" s="46"/>
      <c r="H4088" s="46">
        <f>IFERROR(TRANSACTIONS!$F4088+TRANSACTIONS!$G4088,"")</f>
        <v>5000</v>
      </c>
      <c r="I4088" s="40" t="s">
        <v>41</v>
      </c>
    </row>
    <row r="4089" spans="1:10" x14ac:dyDescent="0.25">
      <c r="A4089" s="41">
        <v>45371.664064236109</v>
      </c>
      <c r="B4089" s="48">
        <f>IF(A4089&lt;&gt;"",DATE(YEAR(TRANSACTIONS!$A4089),MONTH(TRANSACTIONS!$A4089),DAY(TRANSACTIONS!$A4089)),"")</f>
        <v>45371</v>
      </c>
      <c r="C4089" s="49">
        <f>IF(A4089&lt;&gt;"",TIME(HOUR(TRANSACTIONS!$A4089),MINUTE(TRANSACTIONS!$A4089),SECOND(TRANSACTIONS!$A4089)),"")</f>
        <v>0.6640625</v>
      </c>
      <c r="D4089" s="82" t="s">
        <v>62</v>
      </c>
      <c r="E4089" s="82" t="s">
        <v>7</v>
      </c>
      <c r="F4089" s="88">
        <v>2000</v>
      </c>
      <c r="G4089" s="46"/>
      <c r="H4089" s="46">
        <f>IFERROR(TRANSACTIONS!$F4089+TRANSACTIONS!$G4089,"")</f>
        <v>2000</v>
      </c>
      <c r="I4089" s="40" t="s">
        <v>41</v>
      </c>
    </row>
    <row r="4090" spans="1:10" x14ac:dyDescent="0.25">
      <c r="A4090" s="41">
        <v>45371.664072222222</v>
      </c>
      <c r="B4090" s="48">
        <f>IF(A4090&lt;&gt;"",DATE(YEAR(TRANSACTIONS!$A4090),MONTH(TRANSACTIONS!$A4090),DAY(TRANSACTIONS!$A4090)),"")</f>
        <v>45371</v>
      </c>
      <c r="C4090" s="49">
        <f>IF(A4090&lt;&gt;"",TIME(HOUR(TRANSACTIONS!$A4090),MINUTE(TRANSACTIONS!$A4090),SECOND(TRANSACTIONS!$A4090)),"")</f>
        <v>0.66407407407407404</v>
      </c>
      <c r="D4090" s="82" t="s">
        <v>62</v>
      </c>
      <c r="E4090" s="82" t="s">
        <v>7</v>
      </c>
      <c r="F4090" s="88">
        <v>5000</v>
      </c>
      <c r="G4090" s="46"/>
      <c r="H4090" s="46">
        <f>IFERROR(TRANSACTIONS!$F4090+TRANSACTIONS!$G4090,"")</f>
        <v>5000</v>
      </c>
      <c r="I4090" s="40" t="s">
        <v>41</v>
      </c>
    </row>
    <row r="4091" spans="1:10" x14ac:dyDescent="0.25">
      <c r="A4091" s="41">
        <v>45371.664079745373</v>
      </c>
      <c r="B4091" s="48">
        <f>IF(A4091&lt;&gt;"",DATE(YEAR(TRANSACTIONS!$A4091),MONTH(TRANSACTIONS!$A4091),DAY(TRANSACTIONS!$A4091)),"")</f>
        <v>45371</v>
      </c>
      <c r="C4091" s="49">
        <f>IF(A4091&lt;&gt;"",TIME(HOUR(TRANSACTIONS!$A4091),MINUTE(TRANSACTIONS!$A4091),SECOND(TRANSACTIONS!$A4091)),"")</f>
        <v>0.66407407407407404</v>
      </c>
      <c r="D4091" s="82" t="s">
        <v>62</v>
      </c>
      <c r="E4091" s="82" t="s">
        <v>7</v>
      </c>
      <c r="F4091" s="88">
        <v>1000</v>
      </c>
      <c r="G4091" s="46"/>
      <c r="H4091" s="46">
        <f>IFERROR(TRANSACTIONS!$F4091+TRANSACTIONS!$G4091,"")</f>
        <v>1000</v>
      </c>
      <c r="I4091" s="40" t="s">
        <v>41</v>
      </c>
    </row>
    <row r="4092" spans="1:10" x14ac:dyDescent="0.25">
      <c r="A4092" s="41">
        <v>45371.664087268517</v>
      </c>
      <c r="B4092" s="48">
        <f>IF(A4092&lt;&gt;"",DATE(YEAR(TRANSACTIONS!$A4092),MONTH(TRANSACTIONS!$A4092),DAY(TRANSACTIONS!$A4092)),"")</f>
        <v>45371</v>
      </c>
      <c r="C4092" s="49">
        <f>IF(A4092&lt;&gt;"",TIME(HOUR(TRANSACTIONS!$A4092),MINUTE(TRANSACTIONS!$A4092),SECOND(TRANSACTIONS!$A4092)),"")</f>
        <v>0.66408564814814819</v>
      </c>
      <c r="D4092" s="82" t="s">
        <v>62</v>
      </c>
      <c r="E4092" s="82" t="s">
        <v>6</v>
      </c>
      <c r="F4092" s="88">
        <v>10000</v>
      </c>
      <c r="G4092" s="46"/>
      <c r="H4092" s="46">
        <f>IFERROR(TRANSACTIONS!$F4092+TRANSACTIONS!$G4092,"")</f>
        <v>10000</v>
      </c>
      <c r="I4092" s="40" t="s">
        <v>41</v>
      </c>
    </row>
    <row r="4093" spans="1:10" x14ac:dyDescent="0.25">
      <c r="A4093" s="113">
        <v>45371.664094791668</v>
      </c>
      <c r="B4093" s="114">
        <f>IF(A4093&lt;&gt;"",DATE(YEAR(TRANSACTIONS!$A4093),MONTH(TRANSACTIONS!$A4093),DAY(TRANSACTIONS!$A4093)),"")</f>
        <v>45371</v>
      </c>
      <c r="C4093" s="115">
        <f>IF(A4093&lt;&gt;"",TIME(HOUR(TRANSACTIONS!$A4093),MINUTE(TRANSACTIONS!$A4093),SECOND(TRANSACTIONS!$A4093)),"")</f>
        <v>0.66409722222222223</v>
      </c>
      <c r="D4093" s="82" t="s">
        <v>62</v>
      </c>
      <c r="E4093" s="82" t="s">
        <v>7</v>
      </c>
      <c r="F4093" s="88">
        <v>2000</v>
      </c>
      <c r="G4093" s="117"/>
      <c r="H4093" s="117">
        <f>IFERROR(TRANSACTIONS!$F4093+TRANSACTIONS!$G4093,"")</f>
        <v>2000</v>
      </c>
      <c r="I4093" s="118" t="s">
        <v>41</v>
      </c>
    </row>
    <row r="4094" spans="1:10" x14ac:dyDescent="0.25">
      <c r="A4094" s="41">
        <v>45371.664107291668</v>
      </c>
      <c r="B4094" s="48">
        <f>IF(A4094&lt;&gt;"",DATE(YEAR(TRANSACTIONS!$A4094),MONTH(TRANSACTIONS!$A4094),DAY(TRANSACTIONS!$A4094)),"")</f>
        <v>45371</v>
      </c>
      <c r="C4094" s="49">
        <f>IF(A4094&lt;&gt;"",TIME(HOUR(TRANSACTIONS!$A4094),MINUTE(TRANSACTIONS!$A4094),SECOND(TRANSACTIONS!$A4094)),"")</f>
        <v>0.66410879629629627</v>
      </c>
      <c r="D4094" s="82" t="s">
        <v>62</v>
      </c>
      <c r="E4094" s="82" t="s">
        <v>7</v>
      </c>
      <c r="F4094" s="88">
        <v>1000</v>
      </c>
      <c r="G4094" s="46"/>
      <c r="H4094" s="46">
        <f>IFERROR(TRANSACTIONS!$F4094+TRANSACTIONS!$G4094,"")</f>
        <v>1000</v>
      </c>
      <c r="I4094" s="40" t="s">
        <v>41</v>
      </c>
      <c r="J4094" s="129"/>
    </row>
    <row r="4095" spans="1:10" x14ac:dyDescent="0.25">
      <c r="A4095" s="41">
        <v>45371.664115624997</v>
      </c>
      <c r="B4095" s="48">
        <f>IF(A4095&lt;&gt;"",DATE(YEAR(TRANSACTIONS!$A4095),MONTH(TRANSACTIONS!$A4095),DAY(TRANSACTIONS!$A4095)),"")</f>
        <v>45371</v>
      </c>
      <c r="C4095" s="49">
        <f>IF(A4095&lt;&gt;"",TIME(HOUR(TRANSACTIONS!$A4095),MINUTE(TRANSACTIONS!$A4095),SECOND(TRANSACTIONS!$A4095)),"")</f>
        <v>0.66412037037037031</v>
      </c>
      <c r="D4095" s="82" t="s">
        <v>25</v>
      </c>
      <c r="E4095" s="82" t="s">
        <v>7</v>
      </c>
      <c r="F4095" s="88">
        <v>5000</v>
      </c>
      <c r="G4095" s="46"/>
      <c r="H4095" s="46">
        <f>IFERROR(TRANSACTIONS!$F4095+TRANSACTIONS!$G4095,"")</f>
        <v>5000</v>
      </c>
      <c r="I4095" s="40" t="s">
        <v>41</v>
      </c>
    </row>
    <row r="4096" spans="1:10" x14ac:dyDescent="0.25">
      <c r="A4096" s="41">
        <v>45371.664123148148</v>
      </c>
      <c r="B4096" s="48">
        <f>IF(A4096&lt;&gt;"",DATE(YEAR(TRANSACTIONS!$A4096),MONTH(TRANSACTIONS!$A4096),DAY(TRANSACTIONS!$A4096)),"")</f>
        <v>45371</v>
      </c>
      <c r="C4096" s="49">
        <f>IF(A4096&lt;&gt;"",TIME(HOUR(TRANSACTIONS!$A4096),MINUTE(TRANSACTIONS!$A4096),SECOND(TRANSACTIONS!$A4096)),"")</f>
        <v>0.66412037037037031</v>
      </c>
      <c r="D4096" s="82" t="s">
        <v>25</v>
      </c>
      <c r="E4096" s="82" t="s">
        <v>7</v>
      </c>
      <c r="F4096" s="88">
        <v>10000</v>
      </c>
      <c r="G4096" s="46"/>
      <c r="H4096" s="46">
        <f>IFERROR(TRANSACTIONS!$F4096+TRANSACTIONS!$G4096,"")</f>
        <v>10000</v>
      </c>
      <c r="I4096" s="40" t="s">
        <v>41</v>
      </c>
    </row>
    <row r="4097" spans="1:10" x14ac:dyDescent="0.25">
      <c r="A4097" s="41">
        <v>45371.664149537035</v>
      </c>
      <c r="B4097" s="48">
        <f>IF(A4097&lt;&gt;"",DATE(YEAR(TRANSACTIONS!$A4097),MONTH(TRANSACTIONS!$A4097),DAY(TRANSACTIONS!$A4097)),"")</f>
        <v>45371</v>
      </c>
      <c r="C4097" s="49">
        <f>IF(A4097&lt;&gt;"",TIME(HOUR(TRANSACTIONS!$A4097),MINUTE(TRANSACTIONS!$A4097),SECOND(TRANSACTIONS!$A4097)),"")</f>
        <v>0.66415509259259264</v>
      </c>
      <c r="D4097" s="82" t="s">
        <v>25</v>
      </c>
      <c r="E4097" s="82" t="s">
        <v>6</v>
      </c>
      <c r="F4097" s="88">
        <v>220000</v>
      </c>
      <c r="G4097" s="46"/>
      <c r="H4097" s="46">
        <f>IFERROR(TRANSACTIONS!$F4097+TRANSACTIONS!$G4097,"")</f>
        <v>220000</v>
      </c>
      <c r="I4097" s="40" t="s">
        <v>41</v>
      </c>
    </row>
    <row r="4098" spans="1:10" x14ac:dyDescent="0.25">
      <c r="A4098" s="41"/>
      <c r="B4098" s="48" t="str">
        <f>IF(A4098&lt;&gt;"",DATE(YEAR(TRANSACTIONS!$A4098),MONTH(TRANSACTIONS!$A4098),DAY(TRANSACTIONS!$A4098)),"")</f>
        <v/>
      </c>
      <c r="C4098" s="49" t="str">
        <f>IF(A4098&lt;&gt;"",TIME(HOUR(TRANSACTIONS!$A4098),MINUTE(TRANSACTIONS!$A4098),SECOND(TRANSACTIONS!$A4098)),"")</f>
        <v/>
      </c>
      <c r="D4098" s="82"/>
      <c r="E4098" s="82"/>
      <c r="F4098" s="88"/>
      <c r="G4098" s="46"/>
      <c r="H4098" s="46">
        <f>IFERROR(TRANSACTIONS!$F4098+TRANSACTIONS!$G4098,"")</f>
        <v>0</v>
      </c>
      <c r="I4098" s="40" t="s">
        <v>41</v>
      </c>
    </row>
    <row r="4099" spans="1:10" x14ac:dyDescent="0.25">
      <c r="A4099" s="41">
        <v>45372.413344097222</v>
      </c>
      <c r="B4099" s="48">
        <f>IF(A4099&lt;&gt;"",DATE(YEAR(TRANSACTIONS!$A4099),MONTH(TRANSACTIONS!$A4099),DAY(TRANSACTIONS!$A4099)),"")</f>
        <v>45372</v>
      </c>
      <c r="C4099" s="49">
        <f>IF(A4099&lt;&gt;"",TIME(HOUR(TRANSACTIONS!$A4099),MINUTE(TRANSACTIONS!$A4099),SECOND(TRANSACTIONS!$A4099)),"")</f>
        <v>0.41334490740740742</v>
      </c>
      <c r="D4099" s="82" t="s">
        <v>62</v>
      </c>
      <c r="E4099" s="82" t="s">
        <v>7</v>
      </c>
      <c r="F4099" s="88">
        <v>19000</v>
      </c>
      <c r="G4099" s="46"/>
      <c r="H4099" s="46">
        <f>IFERROR(TRANSACTIONS!$F4099+TRANSACTIONS!$G4099,"")</f>
        <v>19000</v>
      </c>
      <c r="I4099" s="40" t="s">
        <v>41</v>
      </c>
    </row>
    <row r="4100" spans="1:10" x14ac:dyDescent="0.25">
      <c r="A4100" s="41">
        <v>45372.413355324075</v>
      </c>
      <c r="B4100" s="48">
        <f>IF(A4100&lt;&gt;"",DATE(YEAR(TRANSACTIONS!$A4100),MONTH(TRANSACTIONS!$A4100),DAY(TRANSACTIONS!$A4100)),"")</f>
        <v>45372</v>
      </c>
      <c r="C4100" s="49">
        <f>IF(A4100&lt;&gt;"",TIME(HOUR(TRANSACTIONS!$A4100),MINUTE(TRANSACTIONS!$A4100),SECOND(TRANSACTIONS!$A4100)),"")</f>
        <v>0.41335648148148146</v>
      </c>
      <c r="D4100" s="82" t="s">
        <v>62</v>
      </c>
      <c r="E4100" s="82" t="s">
        <v>7</v>
      </c>
      <c r="F4100" s="88">
        <v>20000</v>
      </c>
      <c r="G4100" s="46"/>
      <c r="H4100" s="46">
        <f>IFERROR(TRANSACTIONS!$F4100+TRANSACTIONS!$G4100,"")</f>
        <v>20000</v>
      </c>
      <c r="I4100" s="40" t="s">
        <v>41</v>
      </c>
    </row>
    <row r="4101" spans="1:10" x14ac:dyDescent="0.25">
      <c r="A4101" s="81">
        <v>45372.413389120367</v>
      </c>
      <c r="B4101" s="83">
        <f>IF(A4101&lt;&gt;"",DATE(YEAR(TRANSACTIONS!$A4101),MONTH(TRANSACTIONS!$A4101),DAY(TRANSACTIONS!$A4101)),"")</f>
        <v>45372</v>
      </c>
      <c r="C4101" s="84">
        <f>IF(A4101&lt;&gt;"",TIME(HOUR(TRANSACTIONS!$A4101),MINUTE(TRANSACTIONS!$A4101),SECOND(TRANSACTIONS!$A4101)),"")</f>
        <v>0.41339120370370369</v>
      </c>
      <c r="D4101" s="82" t="s">
        <v>62</v>
      </c>
      <c r="E4101" s="82" t="s">
        <v>7</v>
      </c>
      <c r="F4101" s="88">
        <v>10000</v>
      </c>
      <c r="G4101" s="86"/>
      <c r="H4101" s="86">
        <f>IFERROR(TRANSACTIONS!$F4101+TRANSACTIONS!$G4101,"")</f>
        <v>10000</v>
      </c>
      <c r="I4101" s="88" t="s">
        <v>41</v>
      </c>
      <c r="J4101" s="88"/>
    </row>
    <row r="4102" spans="1:10" x14ac:dyDescent="0.25">
      <c r="A4102" s="41">
        <v>45372.413398032404</v>
      </c>
      <c r="B4102" s="48">
        <f>IF(A4102&lt;&gt;"",DATE(YEAR(TRANSACTIONS!$A4102),MONTH(TRANSACTIONS!$A4102),DAY(TRANSACTIONS!$A4102)),"")</f>
        <v>45372</v>
      </c>
      <c r="C4102" s="49">
        <f>IF(A4102&lt;&gt;"",TIME(HOUR(TRANSACTIONS!$A4102),MINUTE(TRANSACTIONS!$A4102),SECOND(TRANSACTIONS!$A4102)),"")</f>
        <v>0.41340277777777779</v>
      </c>
      <c r="D4102" s="82" t="s">
        <v>62</v>
      </c>
      <c r="E4102" s="82" t="s">
        <v>7</v>
      </c>
      <c r="F4102" s="88">
        <v>130000</v>
      </c>
      <c r="G4102" s="46"/>
      <c r="H4102" s="46">
        <f>IFERROR(TRANSACTIONS!$F4102+TRANSACTIONS!$G4102,"")</f>
        <v>130000</v>
      </c>
      <c r="I4102" s="40" t="s">
        <v>41</v>
      </c>
    </row>
    <row r="4103" spans="1:10" x14ac:dyDescent="0.25">
      <c r="A4103" s="41">
        <v>45372.413405439816</v>
      </c>
      <c r="B4103" s="48">
        <f>IF(A4103&lt;&gt;"",DATE(YEAR(TRANSACTIONS!$A4103),MONTH(TRANSACTIONS!$A4103),DAY(TRANSACTIONS!$A4103)),"")</f>
        <v>45372</v>
      </c>
      <c r="C4103" s="49">
        <f>IF(A4103&lt;&gt;"",TIME(HOUR(TRANSACTIONS!$A4103),MINUTE(TRANSACTIONS!$A4103),SECOND(TRANSACTIONS!$A4103)),"")</f>
        <v>0.41340277777777779</v>
      </c>
      <c r="D4103" s="82" t="s">
        <v>62</v>
      </c>
      <c r="E4103" s="82" t="s">
        <v>7</v>
      </c>
      <c r="F4103" s="88">
        <v>39000</v>
      </c>
      <c r="G4103" s="46"/>
      <c r="H4103" s="46">
        <f>IFERROR(TRANSACTIONS!$F4103+TRANSACTIONS!$G4103,"")</f>
        <v>39000</v>
      </c>
      <c r="I4103" s="40" t="s">
        <v>41</v>
      </c>
    </row>
    <row r="4104" spans="1:10" x14ac:dyDescent="0.25">
      <c r="A4104" s="41">
        <v>45372.413414120369</v>
      </c>
      <c r="B4104" s="48">
        <f>IF(A4104&lt;&gt;"",DATE(YEAR(TRANSACTIONS!$A4104),MONTH(TRANSACTIONS!$A4104),DAY(TRANSACTIONS!$A4104)),"")</f>
        <v>45372</v>
      </c>
      <c r="C4104" s="49">
        <f>IF(A4104&lt;&gt;"",TIME(HOUR(TRANSACTIONS!$A4104),MINUTE(TRANSACTIONS!$A4104),SECOND(TRANSACTIONS!$A4104)),"")</f>
        <v>0.41341435185185182</v>
      </c>
      <c r="D4104" s="82" t="s">
        <v>62</v>
      </c>
      <c r="E4104" s="82" t="s">
        <v>6</v>
      </c>
      <c r="F4104" s="88">
        <v>8000</v>
      </c>
      <c r="G4104" s="46"/>
      <c r="H4104" s="46">
        <f>IFERROR(TRANSACTIONS!$F4104+TRANSACTIONS!$G4104,"")</f>
        <v>8000</v>
      </c>
      <c r="I4104" s="40" t="s">
        <v>41</v>
      </c>
    </row>
    <row r="4105" spans="1:10" x14ac:dyDescent="0.25">
      <c r="A4105" s="81">
        <v>45372.41392835648</v>
      </c>
      <c r="B4105" s="83">
        <f>IF(A4105&lt;&gt;"",DATE(YEAR(TRANSACTIONS!$A4105),MONTH(TRANSACTIONS!$A4105),DAY(TRANSACTIONS!$A4105)),"")</f>
        <v>45372</v>
      </c>
      <c r="C4105" s="84">
        <f>IF(A4105&lt;&gt;"",TIME(HOUR(TRANSACTIONS!$A4105),MINUTE(TRANSACTIONS!$A4105),SECOND(TRANSACTIONS!$A4105)),"")</f>
        <v>0.41392361111111109</v>
      </c>
      <c r="D4105" s="82" t="s">
        <v>62</v>
      </c>
      <c r="E4105" s="82" t="s">
        <v>6</v>
      </c>
      <c r="F4105" s="88">
        <v>44500</v>
      </c>
      <c r="G4105" s="86"/>
      <c r="H4105" s="86">
        <f>IFERROR(TRANSACTIONS!$F4105+TRANSACTIONS!$G4105,"")</f>
        <v>44500</v>
      </c>
      <c r="I4105" s="88" t="s">
        <v>41</v>
      </c>
    </row>
    <row r="4106" spans="1:10" x14ac:dyDescent="0.25">
      <c r="A4106" s="41">
        <v>45372.413940625003</v>
      </c>
      <c r="B4106" s="48">
        <f>IF(A4106&lt;&gt;"",DATE(YEAR(TRANSACTIONS!$A4106),MONTH(TRANSACTIONS!$A4106),DAY(TRANSACTIONS!$A4106)),"")</f>
        <v>45372</v>
      </c>
      <c r="C4106" s="49">
        <f>IF(A4106&lt;&gt;"",TIME(HOUR(TRANSACTIONS!$A4106),MINUTE(TRANSACTIONS!$A4106),SECOND(TRANSACTIONS!$A4106)),"")</f>
        <v>0.41393518518518518</v>
      </c>
      <c r="D4106" s="82" t="s">
        <v>25</v>
      </c>
      <c r="E4106" s="82" t="s">
        <v>7</v>
      </c>
      <c r="F4106" s="88">
        <v>50000</v>
      </c>
      <c r="G4106" s="46"/>
      <c r="H4106" s="46">
        <f>IFERROR(TRANSACTIONS!$F4106+TRANSACTIONS!$G4106,"")</f>
        <v>50000</v>
      </c>
      <c r="I4106" s="40" t="s">
        <v>41</v>
      </c>
    </row>
    <row r="4107" spans="1:10" x14ac:dyDescent="0.25">
      <c r="A4107" s="41">
        <v>45372.413977199074</v>
      </c>
      <c r="B4107" s="48">
        <f>IF(A4107&lt;&gt;"",DATE(YEAR(TRANSACTIONS!$A4107),MONTH(TRANSACTIONS!$A4107),DAY(TRANSACTIONS!$A4107)),"")</f>
        <v>45372</v>
      </c>
      <c r="C4107" s="49">
        <f>IF(A4107&lt;&gt;"",TIME(HOUR(TRANSACTIONS!$A4107),MINUTE(TRANSACTIONS!$A4107),SECOND(TRANSACTIONS!$A4107)),"")</f>
        <v>0.41398148148148151</v>
      </c>
      <c r="D4107" s="82" t="s">
        <v>25</v>
      </c>
      <c r="E4107" s="82" t="s">
        <v>7</v>
      </c>
      <c r="F4107" s="88">
        <v>30000</v>
      </c>
      <c r="G4107" s="46"/>
      <c r="H4107" s="46">
        <f>IFERROR(TRANSACTIONS!$F4107+TRANSACTIONS!$G4107,"")</f>
        <v>30000</v>
      </c>
      <c r="I4107" s="40" t="s">
        <v>41</v>
      </c>
    </row>
    <row r="4108" spans="1:10" x14ac:dyDescent="0.25">
      <c r="A4108" s="41">
        <v>45372.413987499996</v>
      </c>
      <c r="B4108" s="48">
        <f>IF(A4108&lt;&gt;"",DATE(YEAR(TRANSACTIONS!$A4108),MONTH(TRANSACTIONS!$A4108),DAY(TRANSACTIONS!$A4108)),"")</f>
        <v>45372</v>
      </c>
      <c r="C4108" s="49">
        <f>IF(A4108&lt;&gt;"",TIME(HOUR(TRANSACTIONS!$A4108),MINUTE(TRANSACTIONS!$A4108),SECOND(TRANSACTIONS!$A4108)),"")</f>
        <v>0.41399305555555554</v>
      </c>
      <c r="D4108" s="82" t="s">
        <v>25</v>
      </c>
      <c r="E4108" s="82" t="s">
        <v>6</v>
      </c>
      <c r="F4108" s="88">
        <v>500</v>
      </c>
      <c r="G4108" s="46"/>
      <c r="H4108" s="46">
        <f>IFERROR(TRANSACTIONS!$F4108+TRANSACTIONS!$G4108,"")</f>
        <v>500</v>
      </c>
      <c r="I4108" s="40" t="s">
        <v>41</v>
      </c>
    </row>
    <row r="4109" spans="1:10" x14ac:dyDescent="0.25">
      <c r="A4109" s="41">
        <v>45372.413995949071</v>
      </c>
      <c r="B4109" s="48">
        <f>IF(A4109&lt;&gt;"",DATE(YEAR(TRANSACTIONS!$A4109),MONTH(TRANSACTIONS!$A4109),DAY(TRANSACTIONS!$A4109)),"")</f>
        <v>45372</v>
      </c>
      <c r="C4109" s="49">
        <f>IF(A4109&lt;&gt;"",TIME(HOUR(TRANSACTIONS!$A4109),MINUTE(TRANSACTIONS!$A4109),SECOND(TRANSACTIONS!$A4109)),"")</f>
        <v>0.41399305555555554</v>
      </c>
      <c r="D4109" s="82" t="s">
        <v>25</v>
      </c>
      <c r="E4109" s="82"/>
      <c r="G4109" s="46"/>
      <c r="H4109" s="46">
        <f>IFERROR(TRANSACTIONS!$F4111+TRANSACTIONS!$G4109,"")</f>
        <v>0</v>
      </c>
      <c r="I4109" s="40" t="s">
        <v>41</v>
      </c>
    </row>
    <row r="4110" spans="1:10" x14ac:dyDescent="0.25">
      <c r="A4110" s="41">
        <v>45372.414003935184</v>
      </c>
      <c r="B4110" s="48">
        <f>IF(A4110&lt;&gt;"",DATE(YEAR(TRANSACTIONS!$A4110),MONTH(TRANSACTIONS!$A4110),DAY(TRANSACTIONS!$A4110)),"")</f>
        <v>45372</v>
      </c>
      <c r="C4110" s="49">
        <f>IF(A4110&lt;&gt;"",TIME(HOUR(TRANSACTIONS!$A4110),MINUTE(TRANSACTIONS!$A4110),SECOND(TRANSACTIONS!$A4110)),"")</f>
        <v>0.41400462962962964</v>
      </c>
      <c r="D4110" s="82" t="s">
        <v>25</v>
      </c>
      <c r="E4110" s="82" t="s">
        <v>7</v>
      </c>
      <c r="F4110" s="88">
        <v>5000</v>
      </c>
      <c r="G4110" s="46"/>
      <c r="H4110" s="46">
        <f>IFERROR(TRANSACTIONS!$F4110+TRANSACTIONS!$G4110,"")</f>
        <v>5000</v>
      </c>
      <c r="I4110" s="40" t="s">
        <v>41</v>
      </c>
    </row>
    <row r="4111" spans="1:10" x14ac:dyDescent="0.25">
      <c r="A4111" s="41">
        <v>45372.599665046298</v>
      </c>
      <c r="B4111" s="48">
        <f>IF(A4111&lt;&gt;"",DATE(YEAR(TRANSACTIONS!$A4111),MONTH(TRANSACTIONS!$A4111),DAY(TRANSACTIONS!$A4111)),"")</f>
        <v>45372</v>
      </c>
      <c r="C4111" s="49">
        <f>IF(A4111&lt;&gt;"",TIME(HOUR(TRANSACTIONS!$A4111),MINUTE(TRANSACTIONS!$A4111),SECOND(TRANSACTIONS!$A4111)),"")</f>
        <v>0.59966435185185185</v>
      </c>
      <c r="D4111" s="82" t="s">
        <v>25</v>
      </c>
      <c r="E4111" s="82"/>
      <c r="F4111" s="88"/>
      <c r="G4111" s="46"/>
      <c r="H4111" s="46" t="str">
        <f>IFERROR(TRANSACTIONS!#REF!+TRANSACTIONS!$G4111,"")</f>
        <v/>
      </c>
      <c r="I4111" s="40" t="s">
        <v>41</v>
      </c>
    </row>
    <row r="4112" spans="1:10" x14ac:dyDescent="0.25">
      <c r="A4112" s="81">
        <v>45372.59966886574</v>
      </c>
      <c r="B4112" s="83">
        <f>IF(A4112&lt;&gt;"",DATE(YEAR(TRANSACTIONS!$A4112),MONTH(TRANSACTIONS!$A4112),DAY(TRANSACTIONS!$A4112)),"")</f>
        <v>45372</v>
      </c>
      <c r="C4112" s="84">
        <f>IF(A4112&lt;&gt;"",TIME(HOUR(TRANSACTIONS!$A4112),MINUTE(TRANSACTIONS!$A4112),SECOND(TRANSACTIONS!$A4112)),"")</f>
        <v>0.59966435185185185</v>
      </c>
      <c r="D4112" s="82" t="s">
        <v>25</v>
      </c>
      <c r="E4112" s="82" t="s">
        <v>7</v>
      </c>
      <c r="F4112" s="88">
        <v>10000</v>
      </c>
      <c r="G4112" s="86"/>
      <c r="H4112" s="86">
        <f>IFERROR(TRANSACTIONS!$F4112+TRANSACTIONS!$G4112,"")</f>
        <v>10000</v>
      </c>
      <c r="I4112" s="88" t="s">
        <v>41</v>
      </c>
    </row>
    <row r="4113" spans="1:9" x14ac:dyDescent="0.25">
      <c r="A4113" s="41">
        <v>45372.599699305552</v>
      </c>
      <c r="B4113" s="48">
        <f>IF(A4113&lt;&gt;"",DATE(YEAR(TRANSACTIONS!$A4113),MONTH(TRANSACTIONS!$A4113),DAY(TRANSACTIONS!$A4113)),"")</f>
        <v>45372</v>
      </c>
      <c r="C4113" s="49">
        <f>IF(A4113&lt;&gt;"",TIME(HOUR(TRANSACTIONS!$A4113),MINUTE(TRANSACTIONS!$A4113),SECOND(TRANSACTIONS!$A4113)),"")</f>
        <v>0.59969907407407408</v>
      </c>
      <c r="D4113" s="82" t="s">
        <v>25</v>
      </c>
      <c r="E4113" s="82" t="s">
        <v>7</v>
      </c>
      <c r="F4113" s="88">
        <v>20000</v>
      </c>
      <c r="G4113" s="46"/>
      <c r="H4113" s="46">
        <f>IFERROR(TRANSACTIONS!$F4113+TRANSACTIONS!$G4113,"")</f>
        <v>20000</v>
      </c>
      <c r="I4113" s="40" t="s">
        <v>41</v>
      </c>
    </row>
    <row r="4114" spans="1:9" x14ac:dyDescent="0.25">
      <c r="A4114" s="41">
        <v>45372.599711458337</v>
      </c>
      <c r="B4114" s="48">
        <f>IF(A4114&lt;&gt;"",DATE(YEAR(TRANSACTIONS!$A4114),MONTH(TRANSACTIONS!$A4114),DAY(TRANSACTIONS!$A4114)),"")</f>
        <v>45372</v>
      </c>
      <c r="C4114" s="49">
        <f>IF(A4114&lt;&gt;"",TIME(HOUR(TRANSACTIONS!$A4114),MINUTE(TRANSACTIONS!$A4114),SECOND(TRANSACTIONS!$A4114)),"")</f>
        <v>0.59971064814814812</v>
      </c>
      <c r="D4114" s="82" t="s">
        <v>25</v>
      </c>
      <c r="E4114" s="82" t="s">
        <v>6</v>
      </c>
      <c r="F4114" s="88">
        <v>5000</v>
      </c>
      <c r="G4114" s="46"/>
      <c r="H4114" s="46">
        <f>IFERROR(TRANSACTIONS!$F4114+TRANSACTIONS!$G4114,"")</f>
        <v>5000</v>
      </c>
      <c r="I4114" s="40" t="s">
        <v>41</v>
      </c>
    </row>
    <row r="4115" spans="1:9" x14ac:dyDescent="0.25">
      <c r="A4115" s="41">
        <v>45372.599734722222</v>
      </c>
      <c r="B4115" s="48">
        <f>IF(A4115&lt;&gt;"",DATE(YEAR(TRANSACTIONS!$A4115),MONTH(TRANSACTIONS!$A4115),DAY(TRANSACTIONS!$A4115)),"")</f>
        <v>45372</v>
      </c>
      <c r="C4115" s="49">
        <f>IF(A4115&lt;&gt;"",TIME(HOUR(TRANSACTIONS!$A4115),MINUTE(TRANSACTIONS!$A4115),SECOND(TRANSACTIONS!$A4115)),"")</f>
        <v>0.59973379629629631</v>
      </c>
      <c r="D4115" s="82" t="s">
        <v>25</v>
      </c>
      <c r="E4115" s="82" t="s">
        <v>6</v>
      </c>
      <c r="F4115" s="88">
        <v>10000</v>
      </c>
      <c r="G4115" s="46"/>
      <c r="H4115" s="46">
        <f>IFERROR(TRANSACTIONS!$F4115+TRANSACTIONS!$G4115,"")</f>
        <v>10000</v>
      </c>
      <c r="I4115" s="40" t="s">
        <v>41</v>
      </c>
    </row>
    <row r="4116" spans="1:9" x14ac:dyDescent="0.25">
      <c r="A4116" s="41">
        <v>45372.599719328704</v>
      </c>
      <c r="B4116" s="48">
        <f>IF(A4116&lt;&gt;"",DATE(YEAR(TRANSACTIONS!$A4116),MONTH(TRANSACTIONS!$A4116),DAY(TRANSACTIONS!$A4116)),"")</f>
        <v>45372</v>
      </c>
      <c r="C4116" s="49">
        <f>IF(A4116&lt;&gt;"",TIME(HOUR(TRANSACTIONS!$A4116),MINUTE(TRANSACTIONS!$A4116),SECOND(TRANSACTIONS!$A4116)),"")</f>
        <v>0.59972222222222216</v>
      </c>
      <c r="D4116" s="82" t="s">
        <v>25</v>
      </c>
      <c r="E4116" s="82" t="s">
        <v>6</v>
      </c>
      <c r="F4116" s="88">
        <v>12000</v>
      </c>
      <c r="G4116" s="46"/>
      <c r="H4116" s="46">
        <f>IFERROR(TRANSACTIONS!$F4116+TRANSACTIONS!$G4116,"")</f>
        <v>12000</v>
      </c>
      <c r="I4116" s="40" t="s">
        <v>41</v>
      </c>
    </row>
    <row r="4117" spans="1:9" x14ac:dyDescent="0.25">
      <c r="A4117" s="41">
        <v>45372.59975011574</v>
      </c>
      <c r="B4117" s="48">
        <f>IF(A4117&lt;&gt;"",DATE(YEAR(TRANSACTIONS!$A4117),MONTH(TRANSACTIONS!$A4117),DAY(TRANSACTIONS!$A4117)),"")</f>
        <v>45372</v>
      </c>
      <c r="C4117" s="49">
        <f>IF(A4117&lt;&gt;"",TIME(HOUR(TRANSACTIONS!$A4117),MINUTE(TRANSACTIONS!$A4117),SECOND(TRANSACTIONS!$A4117)),"")</f>
        <v>0.59974537037037035</v>
      </c>
      <c r="D4117" s="82" t="s">
        <v>62</v>
      </c>
      <c r="E4117" s="82" t="s">
        <v>6</v>
      </c>
      <c r="F4117" s="88">
        <v>110000</v>
      </c>
      <c r="G4117" s="46"/>
      <c r="H4117" s="46">
        <f>IFERROR(TRANSACTIONS!$F4117+TRANSACTIONS!$G4117,"")</f>
        <v>110000</v>
      </c>
      <c r="I4117" s="40" t="s">
        <v>41</v>
      </c>
    </row>
    <row r="4118" spans="1:9" x14ac:dyDescent="0.25">
      <c r="A4118" s="41">
        <v>45372.599760879632</v>
      </c>
      <c r="B4118" s="48">
        <f>IF(A4118&lt;&gt;"",DATE(YEAR(TRANSACTIONS!$A4118),MONTH(TRANSACTIONS!$A4118),DAY(TRANSACTIONS!$A4118)),"")</f>
        <v>45372</v>
      </c>
      <c r="C4118" s="49">
        <f>IF(A4118&lt;&gt;"",TIME(HOUR(TRANSACTIONS!$A4118),MINUTE(TRANSACTIONS!$A4118),SECOND(TRANSACTIONS!$A4118)),"")</f>
        <v>0.5997569444444445</v>
      </c>
      <c r="D4118" s="82" t="s">
        <v>62</v>
      </c>
      <c r="E4118" s="82" t="s">
        <v>7</v>
      </c>
      <c r="F4118" s="88">
        <v>10000</v>
      </c>
      <c r="G4118" s="46"/>
      <c r="H4118" s="46">
        <f>IFERROR(TRANSACTIONS!$F4118+TRANSACTIONS!$G4118,"")</f>
        <v>10000</v>
      </c>
      <c r="I4118" s="40" t="s">
        <v>41</v>
      </c>
    </row>
    <row r="4119" spans="1:9" x14ac:dyDescent="0.25">
      <c r="A4119" s="41">
        <v>45372.599768171298</v>
      </c>
      <c r="B4119" s="48">
        <f>IF(A4119&lt;&gt;"",DATE(YEAR(TRANSACTIONS!$A4119),MONTH(TRANSACTIONS!$A4119),DAY(TRANSACTIONS!$A4119)),"")</f>
        <v>45372</v>
      </c>
      <c r="C4119" s="49">
        <f>IF(A4119&lt;&gt;"",TIME(HOUR(TRANSACTIONS!$A4119),MINUTE(TRANSACTIONS!$A4119),SECOND(TRANSACTIONS!$A4119)),"")</f>
        <v>0.59976851851851853</v>
      </c>
      <c r="D4119" s="82" t="s">
        <v>62</v>
      </c>
      <c r="E4119" s="82" t="s">
        <v>6</v>
      </c>
      <c r="F4119" s="88">
        <v>252500</v>
      </c>
      <c r="G4119" s="46"/>
      <c r="H4119" s="46">
        <f>IFERROR(TRANSACTIONS!$F4119+TRANSACTIONS!$G4119,"")</f>
        <v>252500</v>
      </c>
      <c r="I4119" s="40" t="s">
        <v>41</v>
      </c>
    </row>
    <row r="4120" spans="1:9" x14ac:dyDescent="0.25">
      <c r="A4120" s="41">
        <v>45372.599775462964</v>
      </c>
      <c r="B4120" s="48">
        <f>IF(A4120&lt;&gt;"",DATE(YEAR(TRANSACTIONS!$A4120),MONTH(TRANSACTIONS!$A4120),DAY(TRANSACTIONS!$A4120)),"")</f>
        <v>45372</v>
      </c>
      <c r="C4120" s="49">
        <f>IF(A4120&lt;&gt;"",TIME(HOUR(TRANSACTIONS!$A4120),MINUTE(TRANSACTIONS!$A4120),SECOND(TRANSACTIONS!$A4120)),"")</f>
        <v>0.59978009259259257</v>
      </c>
      <c r="D4120" s="82" t="s">
        <v>62</v>
      </c>
      <c r="E4120" s="82" t="s">
        <v>7</v>
      </c>
      <c r="F4120" s="88">
        <v>500</v>
      </c>
      <c r="G4120" s="46"/>
      <c r="H4120" s="46">
        <f>IFERROR(TRANSACTIONS!$F4120+TRANSACTIONS!$G4120,"")</f>
        <v>500</v>
      </c>
      <c r="I4120" s="40" t="s">
        <v>41</v>
      </c>
    </row>
    <row r="4121" spans="1:9" x14ac:dyDescent="0.25">
      <c r="A4121" s="41">
        <v>45372.599803240744</v>
      </c>
      <c r="B4121" s="48">
        <f>IF(A4121&lt;&gt;"",DATE(YEAR(TRANSACTIONS!$A4121),MONTH(TRANSACTIONS!$A4121),DAY(TRANSACTIONS!$A4121)),"")</f>
        <v>45372</v>
      </c>
      <c r="C4121" s="49">
        <f>IF(A4121&lt;&gt;"",TIME(HOUR(TRANSACTIONS!$A4121),MINUTE(TRANSACTIONS!$A4121),SECOND(TRANSACTIONS!$A4121)),"")</f>
        <v>0.59980324074074076</v>
      </c>
      <c r="D4121" s="82" t="s">
        <v>62</v>
      </c>
      <c r="E4121" s="82" t="s">
        <v>7</v>
      </c>
      <c r="F4121" s="88">
        <v>1500</v>
      </c>
      <c r="G4121" s="46"/>
      <c r="H4121" s="46">
        <f>IFERROR(TRANSACTIONS!$F4121+TRANSACTIONS!$G4121,"")</f>
        <v>1500</v>
      </c>
      <c r="I4121" s="40" t="s">
        <v>41</v>
      </c>
    </row>
    <row r="4122" spans="1:9" x14ac:dyDescent="0.25">
      <c r="A4122" s="41">
        <v>45372.599810879627</v>
      </c>
      <c r="B4122" s="48">
        <f>IF(A4122&lt;&gt;"",DATE(YEAR(TRANSACTIONS!$A4122),MONTH(TRANSACTIONS!$A4122),DAY(TRANSACTIONS!$A4122)),"")</f>
        <v>45372</v>
      </c>
      <c r="C4122" s="49">
        <f>IF(A4122&lt;&gt;"",TIME(HOUR(TRANSACTIONS!$A4122),MINUTE(TRANSACTIONS!$A4122),SECOND(TRANSACTIONS!$A4122)),"")</f>
        <v>0.5998148148148148</v>
      </c>
      <c r="D4122" s="82" t="s">
        <v>62</v>
      </c>
      <c r="E4122" s="82" t="s">
        <v>7</v>
      </c>
      <c r="F4122" s="88">
        <v>5000</v>
      </c>
      <c r="G4122" s="46"/>
      <c r="H4122" s="46">
        <f>IFERROR(TRANSACTIONS!$F4122+TRANSACTIONS!$G4122,"")</f>
        <v>5000</v>
      </c>
      <c r="I4122" s="40" t="s">
        <v>41</v>
      </c>
    </row>
    <row r="4123" spans="1:9" x14ac:dyDescent="0.25">
      <c r="A4123" s="41">
        <v>45372.599819444447</v>
      </c>
      <c r="B4123" s="48">
        <f>IF(A4123&lt;&gt;"",DATE(YEAR(TRANSACTIONS!$A4123),MONTH(TRANSACTIONS!$A4123),DAY(TRANSACTIONS!$A4123)),"")</f>
        <v>45372</v>
      </c>
      <c r="C4123" s="49">
        <f>IF(A4123&lt;&gt;"",TIME(HOUR(TRANSACTIONS!$A4123),MINUTE(TRANSACTIONS!$A4123),SECOND(TRANSACTIONS!$A4123)),"")</f>
        <v>0.5998148148148148</v>
      </c>
      <c r="D4123" s="82" t="s">
        <v>62</v>
      </c>
      <c r="E4123" s="82" t="s">
        <v>6</v>
      </c>
      <c r="F4123" s="88">
        <v>40000</v>
      </c>
      <c r="G4123" s="46"/>
      <c r="H4123" s="46">
        <f>IFERROR(TRANSACTIONS!$F4123+TRANSACTIONS!$G4123,"")</f>
        <v>40000</v>
      </c>
      <c r="I4123" s="40" t="s">
        <v>41</v>
      </c>
    </row>
    <row r="4124" spans="1:9" x14ac:dyDescent="0.25">
      <c r="A4124" s="41">
        <v>45372.599834143519</v>
      </c>
      <c r="B4124" s="48">
        <f>IF(A4124&lt;&gt;"",DATE(YEAR(TRANSACTIONS!$A4124),MONTH(TRANSACTIONS!$A4124),DAY(TRANSACTIONS!$A4124)),"")</f>
        <v>45372</v>
      </c>
      <c r="C4124" s="49">
        <f>IF(A4124&lt;&gt;"",TIME(HOUR(TRANSACTIONS!$A4124),MINUTE(TRANSACTIONS!$A4124),SECOND(TRANSACTIONS!$A4124)),"")</f>
        <v>0.59983796296296299</v>
      </c>
      <c r="D4124" s="82" t="s">
        <v>62</v>
      </c>
      <c r="E4124" s="82" t="s">
        <v>7</v>
      </c>
      <c r="F4124" s="88">
        <v>5000</v>
      </c>
      <c r="G4124" s="46"/>
      <c r="H4124" s="46">
        <f>IFERROR(TRANSACTIONS!$F4124+TRANSACTIONS!$G4124,"")</f>
        <v>5000</v>
      </c>
      <c r="I4124" s="40" t="s">
        <v>41</v>
      </c>
    </row>
    <row r="4125" spans="1:9" x14ac:dyDescent="0.25">
      <c r="A4125" s="41">
        <v>45372.59984560185</v>
      </c>
      <c r="B4125" s="48">
        <f>IF(A4125&lt;&gt;"",DATE(YEAR(TRANSACTIONS!$A4125),MONTH(TRANSACTIONS!$A4125),DAY(TRANSACTIONS!$A4125)),"")</f>
        <v>45372</v>
      </c>
      <c r="C4125" s="49">
        <f>IF(A4125&lt;&gt;"",TIME(HOUR(TRANSACTIONS!$A4125),MINUTE(TRANSACTIONS!$A4125),SECOND(TRANSACTIONS!$A4125)),"")</f>
        <v>0.59984953703703703</v>
      </c>
      <c r="D4125" s="82" t="s">
        <v>62</v>
      </c>
      <c r="E4125" s="82" t="s">
        <v>6</v>
      </c>
      <c r="F4125" s="88">
        <v>1000</v>
      </c>
      <c r="G4125" s="46"/>
      <c r="H4125" s="46">
        <f>IFERROR(TRANSACTIONS!$F4125+TRANSACTIONS!$G4125,"")</f>
        <v>1000</v>
      </c>
      <c r="I4125" s="40" t="s">
        <v>41</v>
      </c>
    </row>
    <row r="4126" spans="1:9" x14ac:dyDescent="0.25">
      <c r="A4126" s="41">
        <v>45372.599853587963</v>
      </c>
      <c r="B4126" s="48">
        <f>IF(A4126&lt;&gt;"",DATE(YEAR(TRANSACTIONS!$A4126),MONTH(TRANSACTIONS!$A4126),DAY(TRANSACTIONS!$A4126)),"")</f>
        <v>45372</v>
      </c>
      <c r="C4126" s="49">
        <f>IF(A4126&lt;&gt;"",TIME(HOUR(TRANSACTIONS!$A4126),MINUTE(TRANSACTIONS!$A4126),SECOND(TRANSACTIONS!$A4126)),"")</f>
        <v>0.59984953703703703</v>
      </c>
      <c r="D4126" s="82" t="s">
        <v>62</v>
      </c>
      <c r="E4126" s="82" t="s">
        <v>6</v>
      </c>
      <c r="F4126" s="88">
        <v>20000</v>
      </c>
      <c r="G4126" s="46"/>
      <c r="H4126" s="46">
        <f>IFERROR(TRANSACTIONS!$F4126+TRANSACTIONS!$G4126,"")</f>
        <v>20000</v>
      </c>
      <c r="I4126" s="40" t="s">
        <v>41</v>
      </c>
    </row>
    <row r="4127" spans="1:9" x14ac:dyDescent="0.25">
      <c r="A4127" s="41">
        <v>45372.599865625001</v>
      </c>
      <c r="B4127" s="48">
        <f>IF(A4127&lt;&gt;"",DATE(YEAR(TRANSACTIONS!$A4127),MONTH(TRANSACTIONS!$A4127),DAY(TRANSACTIONS!$A4127)),"")</f>
        <v>45372</v>
      </c>
      <c r="C4127" s="49">
        <f>IF(A4127&lt;&gt;"",TIME(HOUR(TRANSACTIONS!$A4127),MINUTE(TRANSACTIONS!$A4127),SECOND(TRANSACTIONS!$A4127)),"")</f>
        <v>0.59986111111111107</v>
      </c>
      <c r="D4127" s="82" t="s">
        <v>62</v>
      </c>
      <c r="E4127" s="82" t="s">
        <v>6</v>
      </c>
      <c r="F4127" s="88">
        <v>12000</v>
      </c>
      <c r="G4127" s="46"/>
      <c r="H4127" s="46">
        <f>IFERROR(TRANSACTIONS!$F4127+TRANSACTIONS!$G4127,"")</f>
        <v>12000</v>
      </c>
      <c r="I4127" s="40" t="s">
        <v>41</v>
      </c>
    </row>
    <row r="4128" spans="1:9" x14ac:dyDescent="0.25">
      <c r="A4128" s="41">
        <v>45372.599872569444</v>
      </c>
      <c r="B4128" s="48">
        <f>IF(A4128&lt;&gt;"",DATE(YEAR(TRANSACTIONS!$A4128),MONTH(TRANSACTIONS!$A4128),DAY(TRANSACTIONS!$A4128)),"")</f>
        <v>45372</v>
      </c>
      <c r="C4128" s="49">
        <f>IF(A4128&lt;&gt;"",TIME(HOUR(TRANSACTIONS!$A4128),MINUTE(TRANSACTIONS!$A4128),SECOND(TRANSACTIONS!$A4128)),"")</f>
        <v>0.59987268518518522</v>
      </c>
      <c r="D4128" s="82" t="s">
        <v>62</v>
      </c>
      <c r="E4128" s="82" t="s">
        <v>6</v>
      </c>
      <c r="F4128" s="88">
        <v>1000</v>
      </c>
      <c r="G4128" s="46"/>
      <c r="H4128" s="46">
        <f>IFERROR(TRANSACTIONS!$F4128+TRANSACTIONS!$G4128,"")</f>
        <v>1000</v>
      </c>
      <c r="I4128" s="40" t="s">
        <v>41</v>
      </c>
    </row>
    <row r="4129" spans="1:18" x14ac:dyDescent="0.25">
      <c r="A4129" s="41">
        <v>45372.604062615741</v>
      </c>
      <c r="B4129" s="48">
        <f>IF(A4129&lt;&gt;"",DATE(YEAR(TRANSACTIONS!$A4129),MONTH(TRANSACTIONS!$A4129),DAY(TRANSACTIONS!$A4129)),"")</f>
        <v>45372</v>
      </c>
      <c r="C4129" s="49">
        <f>IF(A4129&lt;&gt;"",TIME(HOUR(TRANSACTIONS!$A4129),MINUTE(TRANSACTIONS!$A4129),SECOND(TRANSACTIONS!$A4129)),"")</f>
        <v>0.60406250000000006</v>
      </c>
      <c r="D4129" s="82" t="s">
        <v>62</v>
      </c>
      <c r="E4129" s="82" t="s">
        <v>7</v>
      </c>
      <c r="F4129" s="88">
        <v>5000</v>
      </c>
      <c r="G4129" s="46"/>
      <c r="H4129" s="46">
        <f>IFERROR(TRANSACTIONS!$F4129+TRANSACTIONS!$G4129,"")</f>
        <v>5000</v>
      </c>
      <c r="I4129" s="40" t="s">
        <v>41</v>
      </c>
    </row>
    <row r="4130" spans="1:18" x14ac:dyDescent="0.25">
      <c r="A4130" s="41">
        <v>45372.604097685187</v>
      </c>
      <c r="B4130" s="48">
        <f>IF(A4130&lt;&gt;"",DATE(YEAR(TRANSACTIONS!$A4130),MONTH(TRANSACTIONS!$A4130),DAY(TRANSACTIONS!$A4130)),"")</f>
        <v>45372</v>
      </c>
      <c r="C4130" s="49">
        <f>IF(A4130&lt;&gt;"",TIME(HOUR(TRANSACTIONS!$A4130),MINUTE(TRANSACTIONS!$A4130),SECOND(TRANSACTIONS!$A4130)),"")</f>
        <v>0.60409722222222217</v>
      </c>
      <c r="D4130" s="82" t="s">
        <v>62</v>
      </c>
      <c r="E4130" s="82" t="s">
        <v>7</v>
      </c>
      <c r="F4130" s="88">
        <v>2000</v>
      </c>
      <c r="G4130" s="46"/>
      <c r="H4130" s="46">
        <f>IFERROR(TRANSACTIONS!$F4130+TRANSACTIONS!$G4130,"")</f>
        <v>2000</v>
      </c>
      <c r="I4130" s="40" t="s">
        <v>41</v>
      </c>
    </row>
    <row r="4131" spans="1:18" x14ac:dyDescent="0.25">
      <c r="A4131" s="41">
        <v>45372.60412152778</v>
      </c>
      <c r="B4131" s="48">
        <f>IF(A4131&lt;&gt;"",DATE(YEAR(TRANSACTIONS!$A4131),MONTH(TRANSACTIONS!$A4131),DAY(TRANSACTIONS!$A4131)),"")</f>
        <v>45372</v>
      </c>
      <c r="C4131" s="49">
        <f>IF(A4131&lt;&gt;"",TIME(HOUR(TRANSACTIONS!$A4131),MINUTE(TRANSACTIONS!$A4131),SECOND(TRANSACTIONS!$A4131)),"")</f>
        <v>0.60412037037037036</v>
      </c>
      <c r="D4131" s="82" t="s">
        <v>62</v>
      </c>
      <c r="E4131" s="82" t="s">
        <v>7</v>
      </c>
      <c r="F4131" s="88">
        <v>118000</v>
      </c>
      <c r="G4131" s="46"/>
      <c r="H4131" s="46">
        <f>IFERROR(TRANSACTIONS!$F4131+TRANSACTIONS!$G4131,"")</f>
        <v>118000</v>
      </c>
      <c r="I4131" s="40" t="s">
        <v>41</v>
      </c>
    </row>
    <row r="4132" spans="1:18" x14ac:dyDescent="0.25">
      <c r="A4132" s="41">
        <v>45372.604106250001</v>
      </c>
      <c r="B4132" s="48">
        <f>IF(A4132&lt;&gt;"",DATE(YEAR(TRANSACTIONS!$A4132),MONTH(TRANSACTIONS!$A4132),DAY(TRANSACTIONS!$A4132)),"")</f>
        <v>45372</v>
      </c>
      <c r="C4132" s="49">
        <f>IF(A4132&lt;&gt;"",TIME(HOUR(TRANSACTIONS!$A4132),MINUTE(TRANSACTIONS!$A4132),SECOND(TRANSACTIONS!$A4132)),"")</f>
        <v>0.60410879629629632</v>
      </c>
      <c r="D4132" s="82" t="s">
        <v>62</v>
      </c>
      <c r="E4132" s="82" t="s">
        <v>7</v>
      </c>
      <c r="F4132" s="88">
        <v>500</v>
      </c>
      <c r="G4132" s="46"/>
      <c r="H4132" s="46">
        <f>IFERROR(TRANSACTIONS!$F4132+TRANSACTIONS!$G4132,"")</f>
        <v>500</v>
      </c>
      <c r="I4132" s="40" t="s">
        <v>41</v>
      </c>
      <c r="R4132" s="40" t="s">
        <v>58</v>
      </c>
    </row>
    <row r="4133" spans="1:18" x14ac:dyDescent="0.25">
      <c r="A4133" s="41">
        <v>45372.604130324071</v>
      </c>
      <c r="B4133" s="48">
        <f>IF(A4133&lt;&gt;"",DATE(YEAR(TRANSACTIONS!$A4133),MONTH(TRANSACTIONS!$A4133),DAY(TRANSACTIONS!$A4133)),"")</f>
        <v>45372</v>
      </c>
      <c r="C4133" s="49">
        <f>IF(A4133&lt;&gt;"",TIME(HOUR(TRANSACTIONS!$A4133),MINUTE(TRANSACTIONS!$A4133),SECOND(TRANSACTIONS!$A4133)),"")</f>
        <v>0.60413194444444451</v>
      </c>
      <c r="D4133" s="82" t="s">
        <v>62</v>
      </c>
      <c r="E4133" s="82" t="s">
        <v>7</v>
      </c>
      <c r="F4133" s="88">
        <v>8000</v>
      </c>
      <c r="G4133" s="46"/>
      <c r="H4133" s="46">
        <f>IFERROR(TRANSACTIONS!$F4133+TRANSACTIONS!$G4133,"")</f>
        <v>8000</v>
      </c>
      <c r="I4133" s="40" t="s">
        <v>41</v>
      </c>
    </row>
    <row r="4134" spans="1:18" x14ac:dyDescent="0.25">
      <c r="A4134" s="41">
        <v>45372.604142129632</v>
      </c>
      <c r="B4134" s="48">
        <f>IF(A4134&lt;&gt;"",DATE(YEAR(TRANSACTIONS!$A4134),MONTH(TRANSACTIONS!$A4134),DAY(TRANSACTIONS!$A4134)),"")</f>
        <v>45372</v>
      </c>
      <c r="C4134" s="49">
        <f>IF(A4134&lt;&gt;"",TIME(HOUR(TRANSACTIONS!$A4134),MINUTE(TRANSACTIONS!$A4134),SECOND(TRANSACTIONS!$A4134)),"")</f>
        <v>0.60414351851851855</v>
      </c>
      <c r="D4134" s="82" t="s">
        <v>62</v>
      </c>
      <c r="E4134" s="82" t="s">
        <v>6</v>
      </c>
      <c r="F4134" s="88">
        <v>2500</v>
      </c>
      <c r="G4134" s="46"/>
      <c r="H4134" s="46">
        <f>IFERROR(TRANSACTIONS!$F4134+TRANSACTIONS!$G4134,"")</f>
        <v>2500</v>
      </c>
      <c r="I4134" s="40" t="s">
        <v>41</v>
      </c>
    </row>
    <row r="4135" spans="1:18" x14ac:dyDescent="0.25">
      <c r="A4135" s="41">
        <v>45372.604149537037</v>
      </c>
      <c r="B4135" s="48">
        <f>IF(A4135&lt;&gt;"",DATE(YEAR(TRANSACTIONS!$A4135),MONTH(TRANSACTIONS!$A4135),DAY(TRANSACTIONS!$A4135)),"")</f>
        <v>45372</v>
      </c>
      <c r="C4135" s="49">
        <f>IF(A4135&lt;&gt;"",TIME(HOUR(TRANSACTIONS!$A4135),MINUTE(TRANSACTIONS!$A4135),SECOND(TRANSACTIONS!$A4135)),"")</f>
        <v>0.60415509259259259</v>
      </c>
      <c r="D4135" s="82" t="s">
        <v>62</v>
      </c>
      <c r="E4135" s="82" t="s">
        <v>6</v>
      </c>
      <c r="F4135" s="88">
        <v>5000</v>
      </c>
      <c r="G4135" s="46"/>
      <c r="H4135" s="46">
        <f>IFERROR(TRANSACTIONS!$F4135+TRANSACTIONS!$G4135,"")</f>
        <v>5000</v>
      </c>
      <c r="I4135" s="40" t="s">
        <v>41</v>
      </c>
    </row>
    <row r="4136" spans="1:18" x14ac:dyDescent="0.25">
      <c r="A4136" s="41">
        <v>45372.604157175927</v>
      </c>
      <c r="B4136" s="48">
        <f>IF(A4136&lt;&gt;"",DATE(YEAR(TRANSACTIONS!$A4136),MONTH(TRANSACTIONS!$A4136),DAY(TRANSACTIONS!$A4136)),"")</f>
        <v>45372</v>
      </c>
      <c r="C4136" s="49">
        <f>IF(A4136&lt;&gt;"",TIME(HOUR(TRANSACTIONS!$A4136),MINUTE(TRANSACTIONS!$A4136),SECOND(TRANSACTIONS!$A4136)),"")</f>
        <v>0.60415509259259259</v>
      </c>
      <c r="D4136" s="82" t="s">
        <v>62</v>
      </c>
      <c r="E4136" s="82" t="s">
        <v>6</v>
      </c>
      <c r="F4136" s="88">
        <v>17000</v>
      </c>
      <c r="G4136" s="46"/>
      <c r="H4136" s="46">
        <f>IFERROR(TRANSACTIONS!$F4136+TRANSACTIONS!$G4136,"")</f>
        <v>17000</v>
      </c>
      <c r="I4136" s="40" t="s">
        <v>41</v>
      </c>
    </row>
    <row r="4137" spans="1:18" x14ac:dyDescent="0.25">
      <c r="A4137" s="41">
        <v>45372.604164930555</v>
      </c>
      <c r="B4137" s="48">
        <f>IF(A4137&lt;&gt;"",DATE(YEAR(TRANSACTIONS!$A4137),MONTH(TRANSACTIONS!$A4137),DAY(TRANSACTIONS!$A4137)),"")</f>
        <v>45372</v>
      </c>
      <c r="C4137" s="49">
        <f>IF(A4137&lt;&gt;"",TIME(HOUR(TRANSACTIONS!$A4137),MINUTE(TRANSACTIONS!$A4137),SECOND(TRANSACTIONS!$A4137)),"")</f>
        <v>0.60416666666666663</v>
      </c>
      <c r="D4137" s="82" t="s">
        <v>62</v>
      </c>
      <c r="E4137" s="82" t="s">
        <v>7</v>
      </c>
      <c r="F4137" s="88">
        <v>20000</v>
      </c>
      <c r="G4137" s="46"/>
      <c r="H4137" s="46">
        <f>IFERROR(TRANSACTIONS!$F4137+TRANSACTIONS!$G4137,"")</f>
        <v>20000</v>
      </c>
      <c r="I4137" s="40" t="s">
        <v>41</v>
      </c>
    </row>
    <row r="4138" spans="1:18" x14ac:dyDescent="0.25">
      <c r="A4138" s="41">
        <v>45372.604175578701</v>
      </c>
      <c r="B4138" s="48">
        <f>IF(A4138&lt;&gt;"",DATE(YEAR(TRANSACTIONS!$A4138),MONTH(TRANSACTIONS!$A4138),DAY(TRANSACTIONS!$A4138)),"")</f>
        <v>45372</v>
      </c>
      <c r="C4138" s="49">
        <f>IF(A4138&lt;&gt;"",TIME(HOUR(TRANSACTIONS!$A4138),MINUTE(TRANSACTIONS!$A4138),SECOND(TRANSACTIONS!$A4138)),"")</f>
        <v>0.60417824074074067</v>
      </c>
      <c r="D4138" s="82" t="s">
        <v>62</v>
      </c>
      <c r="E4138" s="82" t="s">
        <v>6</v>
      </c>
      <c r="F4138" s="88">
        <v>2500</v>
      </c>
      <c r="G4138" s="46"/>
      <c r="H4138" s="46">
        <f>IFERROR(TRANSACTIONS!$F4138+TRANSACTIONS!$G4138,"")</f>
        <v>2500</v>
      </c>
      <c r="I4138" s="40" t="s">
        <v>41</v>
      </c>
    </row>
    <row r="4139" spans="1:18" x14ac:dyDescent="0.25">
      <c r="A4139" s="41">
        <v>45372.604183101852</v>
      </c>
      <c r="B4139" s="48">
        <f>IF(A4139&lt;&gt;"",DATE(YEAR(TRANSACTIONS!$A4139),MONTH(TRANSACTIONS!$A4139),DAY(TRANSACTIONS!$A4139)),"")</f>
        <v>45372</v>
      </c>
      <c r="C4139" s="49">
        <f>IF(A4139&lt;&gt;"",TIME(HOUR(TRANSACTIONS!$A4139),MINUTE(TRANSACTIONS!$A4139),SECOND(TRANSACTIONS!$A4139)),"")</f>
        <v>0.60417824074074067</v>
      </c>
      <c r="D4139" s="82" t="s">
        <v>62</v>
      </c>
      <c r="E4139" s="82" t="s">
        <v>6</v>
      </c>
      <c r="F4139" s="88">
        <v>12000</v>
      </c>
      <c r="G4139" s="46"/>
      <c r="H4139" s="46">
        <f>IFERROR(TRANSACTIONS!$F4139+TRANSACTIONS!$G4139,"")</f>
        <v>12000</v>
      </c>
      <c r="I4139" s="40" t="s">
        <v>41</v>
      </c>
    </row>
    <row r="4140" spans="1:18" x14ac:dyDescent="0.25">
      <c r="A4140" s="41">
        <v>45372.604195138891</v>
      </c>
      <c r="B4140" s="48">
        <f>IF(A4140&lt;&gt;"",DATE(YEAR(TRANSACTIONS!$A4140),MONTH(TRANSACTIONS!$A4140),DAY(TRANSACTIONS!$A4140)),"")</f>
        <v>45372</v>
      </c>
      <c r="C4140" s="49">
        <f>IF(A4140&lt;&gt;"",TIME(HOUR(TRANSACTIONS!$A4140),MINUTE(TRANSACTIONS!$A4140),SECOND(TRANSACTIONS!$A4140)),"")</f>
        <v>0.60418981481481482</v>
      </c>
      <c r="D4140" s="82" t="s">
        <v>62</v>
      </c>
      <c r="E4140" s="82" t="s">
        <v>6</v>
      </c>
      <c r="F4140" s="88">
        <v>7500</v>
      </c>
      <c r="G4140" s="46"/>
      <c r="H4140" s="46">
        <f>IFERROR(TRANSACTIONS!$F4140+TRANSACTIONS!$G4140,"")</f>
        <v>7500</v>
      </c>
      <c r="I4140" s="40" t="s">
        <v>41</v>
      </c>
    </row>
    <row r="4141" spans="1:18" x14ac:dyDescent="0.25">
      <c r="A4141" s="41">
        <v>45372.604203819443</v>
      </c>
      <c r="B4141" s="48">
        <f>IF(A4141&lt;&gt;"",DATE(YEAR(TRANSACTIONS!$A4141),MONTH(TRANSACTIONS!$A4141),DAY(TRANSACTIONS!$A4141)),"")</f>
        <v>45372</v>
      </c>
      <c r="C4141" s="49">
        <f>IF(A4141&lt;&gt;"",TIME(HOUR(TRANSACTIONS!$A4141),MINUTE(TRANSACTIONS!$A4141),SECOND(TRANSACTIONS!$A4141)),"")</f>
        <v>0.60420138888888886</v>
      </c>
      <c r="D4141" s="82" t="s">
        <v>62</v>
      </c>
      <c r="E4141" s="82" t="s">
        <v>7</v>
      </c>
      <c r="F4141" s="88">
        <v>900</v>
      </c>
      <c r="G4141" s="46"/>
      <c r="H4141" s="46">
        <f>IFERROR(TRANSACTIONS!$F4141+TRANSACTIONS!$G4141,"")</f>
        <v>900</v>
      </c>
      <c r="I4141" s="40" t="s">
        <v>41</v>
      </c>
    </row>
    <row r="4142" spans="1:18" x14ac:dyDescent="0.25">
      <c r="A4142" s="41">
        <v>45372.604211342594</v>
      </c>
      <c r="B4142" s="48">
        <f>IF(A4142&lt;&gt;"",DATE(YEAR(TRANSACTIONS!$A4142),MONTH(TRANSACTIONS!$A4142),DAY(TRANSACTIONS!$A4142)),"")</f>
        <v>45372</v>
      </c>
      <c r="C4142" s="49">
        <f>IF(A4142&lt;&gt;"",TIME(HOUR(TRANSACTIONS!$A4142),MINUTE(TRANSACTIONS!$A4142),SECOND(TRANSACTIONS!$A4142)),"")</f>
        <v>0.60421296296296301</v>
      </c>
      <c r="D4142" s="82" t="s">
        <v>62</v>
      </c>
      <c r="E4142" s="82" t="s">
        <v>7</v>
      </c>
      <c r="F4142" s="88">
        <v>5000</v>
      </c>
      <c r="G4142" s="46"/>
      <c r="H4142" s="46">
        <f>IFERROR(TRANSACTIONS!$F4142+TRANSACTIONS!$G4142,"")</f>
        <v>5000</v>
      </c>
      <c r="I4142" s="40" t="s">
        <v>41</v>
      </c>
    </row>
    <row r="4143" spans="1:18" x14ac:dyDescent="0.25">
      <c r="A4143" s="113">
        <v>45372.604219328707</v>
      </c>
      <c r="B4143" s="114">
        <f>IF(A4143&lt;&gt;"",DATE(YEAR(TRANSACTIONS!$A4143),MONTH(TRANSACTIONS!$A4143),DAY(TRANSACTIONS!$A4143)),"")</f>
        <v>45372</v>
      </c>
      <c r="C4143" s="115">
        <f>IF(A4143&lt;&gt;"",TIME(HOUR(TRANSACTIONS!$A4143),MINUTE(TRANSACTIONS!$A4143),SECOND(TRANSACTIONS!$A4143)),"")</f>
        <v>0.60422453703703705</v>
      </c>
      <c r="D4143" s="82" t="s">
        <v>62</v>
      </c>
      <c r="E4143" s="82" t="s">
        <v>7</v>
      </c>
      <c r="F4143" s="88">
        <v>15000</v>
      </c>
      <c r="G4143" s="117"/>
      <c r="H4143" s="117">
        <f>IFERROR(TRANSACTIONS!$F4143+TRANSACTIONS!$G4143,"")</f>
        <v>15000</v>
      </c>
      <c r="I4143" s="118" t="s">
        <v>41</v>
      </c>
      <c r="J4143" s="118"/>
    </row>
    <row r="4144" spans="1:18" x14ac:dyDescent="0.25">
      <c r="A4144" s="41">
        <v>45372.604226967589</v>
      </c>
      <c r="B4144" s="48">
        <f>IF(A4144&lt;&gt;"",DATE(YEAR(TRANSACTIONS!$A4144),MONTH(TRANSACTIONS!$A4144),DAY(TRANSACTIONS!$A4144)),"")</f>
        <v>45372</v>
      </c>
      <c r="C4144" s="49">
        <f>IF(A4144&lt;&gt;"",TIME(HOUR(TRANSACTIONS!$A4144),MINUTE(TRANSACTIONS!$A4144),SECOND(TRANSACTIONS!$A4144)),"")</f>
        <v>0.60422453703703705</v>
      </c>
      <c r="D4144" s="82" t="s">
        <v>62</v>
      </c>
      <c r="E4144" s="82" t="s">
        <v>7</v>
      </c>
      <c r="F4144" s="88">
        <v>500</v>
      </c>
      <c r="G4144" s="46"/>
      <c r="H4144" s="46">
        <f>IFERROR(TRANSACTIONS!$F4144+TRANSACTIONS!$G4144,"")</f>
        <v>500</v>
      </c>
      <c r="I4144" s="40" t="s">
        <v>41</v>
      </c>
    </row>
    <row r="4145" spans="1:10" x14ac:dyDescent="0.25">
      <c r="A4145" s="41">
        <v>45372.604263310182</v>
      </c>
      <c r="B4145" s="48">
        <f>IF(A4145&lt;&gt;"",DATE(YEAR(TRANSACTIONS!$A4145),MONTH(TRANSACTIONS!$A4145),DAY(TRANSACTIONS!$A4145)),"")</f>
        <v>45372</v>
      </c>
      <c r="C4145" s="49">
        <f>IF(A4145&lt;&gt;"",TIME(HOUR(TRANSACTIONS!$A4145),MINUTE(TRANSACTIONS!$A4145),SECOND(TRANSACTIONS!$A4145)),"")</f>
        <v>0.60425925925925927</v>
      </c>
      <c r="D4145" s="82" t="s">
        <v>62</v>
      </c>
      <c r="E4145" s="82" t="s">
        <v>6</v>
      </c>
      <c r="F4145" s="88">
        <v>1000</v>
      </c>
      <c r="G4145" s="46"/>
      <c r="H4145" s="46">
        <f>IFERROR(TRANSACTIONS!$F4145+TRANSACTIONS!$G4145,"")</f>
        <v>1000</v>
      </c>
      <c r="I4145" s="40" t="s">
        <v>41</v>
      </c>
    </row>
    <row r="4146" spans="1:10" x14ac:dyDescent="0.25">
      <c r="A4146" s="41">
        <v>45372.604278240738</v>
      </c>
      <c r="B4146" s="48">
        <f>IF(A4146&lt;&gt;"",DATE(YEAR(TRANSACTIONS!$A4146),MONTH(TRANSACTIONS!$A4146),DAY(TRANSACTIONS!$A4146)),"")</f>
        <v>45372</v>
      </c>
      <c r="C4146" s="49">
        <f>IF(A4146&lt;&gt;"",TIME(HOUR(TRANSACTIONS!$A4146),MINUTE(TRANSACTIONS!$A4146),SECOND(TRANSACTIONS!$A4146)),"")</f>
        <v>0.60428240740740746</v>
      </c>
      <c r="D4146" s="82" t="s">
        <v>62</v>
      </c>
      <c r="E4146" s="82" t="s">
        <v>6</v>
      </c>
      <c r="F4146" s="88">
        <v>4000</v>
      </c>
      <c r="G4146" s="46"/>
      <c r="H4146" s="46">
        <f>IFERROR(TRANSACTIONS!$F4146+TRANSACTIONS!$G4146,"")</f>
        <v>4000</v>
      </c>
      <c r="I4146" s="40" t="s">
        <v>41</v>
      </c>
    </row>
    <row r="4147" spans="1:10" x14ac:dyDescent="0.25">
      <c r="A4147" s="71">
        <v>45372.604287037037</v>
      </c>
      <c r="B4147" s="73">
        <f>IF(A4147&lt;&gt;"",DATE(YEAR(TRANSACTIONS!$A4147),MONTH(TRANSACTIONS!$A4147),DAY(TRANSACTIONS!$A4147)),"")</f>
        <v>45372</v>
      </c>
      <c r="C4147" s="74">
        <f>IF(A4147&lt;&gt;"",TIME(HOUR(TRANSACTIONS!$A4147),MINUTE(TRANSACTIONS!$A4147),SECOND(TRANSACTIONS!$A4147)),"")</f>
        <v>0.60428240740740746</v>
      </c>
      <c r="D4147" s="72" t="s">
        <v>62</v>
      </c>
      <c r="E4147" s="72" t="s">
        <v>7</v>
      </c>
      <c r="F4147" s="76">
        <v>10000</v>
      </c>
      <c r="G4147" s="75"/>
      <c r="H4147" s="75">
        <f>IFERROR(TRANSACTIONS!$F4147+TRANSACTIONS!$G4147,"")</f>
        <v>10000</v>
      </c>
      <c r="I4147" s="76" t="s">
        <v>41</v>
      </c>
    </row>
    <row r="4148" spans="1:10" x14ac:dyDescent="0.25">
      <c r="A4148" s="41">
        <v>45372.604299768522</v>
      </c>
      <c r="B4148" s="48">
        <f>IF(A4148&lt;&gt;"",DATE(YEAR(TRANSACTIONS!$A4148),MONTH(TRANSACTIONS!$A4148),DAY(TRANSACTIONS!$A4148)),"")</f>
        <v>45372</v>
      </c>
      <c r="C4148" s="49">
        <f>IF(A4148&lt;&gt;"",TIME(HOUR(TRANSACTIONS!$A4148),MINUTE(TRANSACTIONS!$A4148),SECOND(TRANSACTIONS!$A4148)),"")</f>
        <v>0.60430555555555554</v>
      </c>
      <c r="D4148" s="82" t="s">
        <v>62</v>
      </c>
      <c r="E4148" s="82" t="s">
        <v>7</v>
      </c>
      <c r="F4148" s="88">
        <v>10000</v>
      </c>
      <c r="G4148" s="46"/>
      <c r="H4148" s="46">
        <f>IFERROR(TRANSACTIONS!$F4148+TRANSACTIONS!$G4148,"")</f>
        <v>10000</v>
      </c>
      <c r="I4148" s="40" t="s">
        <v>41</v>
      </c>
    </row>
    <row r="4149" spans="1:10" x14ac:dyDescent="0.25">
      <c r="A4149" s="41">
        <v>45372.604307870373</v>
      </c>
      <c r="B4149" s="48">
        <f>IF(A4149&lt;&gt;"",DATE(YEAR(TRANSACTIONS!$A4149),MONTH(TRANSACTIONS!$A4149),DAY(TRANSACTIONS!$A4149)),"")</f>
        <v>45372</v>
      </c>
      <c r="C4149" s="49">
        <f>IF(A4149&lt;&gt;"",TIME(HOUR(TRANSACTIONS!$A4149),MINUTE(TRANSACTIONS!$A4149),SECOND(TRANSACTIONS!$A4149)),"")</f>
        <v>0.60430555555555554</v>
      </c>
      <c r="D4149" s="82" t="s">
        <v>62</v>
      </c>
      <c r="E4149" s="82" t="s">
        <v>7</v>
      </c>
      <c r="F4149" s="88">
        <v>5000</v>
      </c>
      <c r="G4149" s="46"/>
      <c r="H4149" s="46">
        <f>IFERROR(TRANSACTIONS!$F4149+TRANSACTIONS!$G4149,"")</f>
        <v>5000</v>
      </c>
      <c r="I4149" s="40" t="s">
        <v>41</v>
      </c>
    </row>
    <row r="4150" spans="1:10" x14ac:dyDescent="0.25">
      <c r="A4150" s="41">
        <v>45372.604319675927</v>
      </c>
      <c r="B4150" s="48">
        <f>IF(A4150&lt;&gt;"",DATE(YEAR(TRANSACTIONS!$A4150),MONTH(TRANSACTIONS!$A4150),DAY(TRANSACTIONS!$A4150)),"")</f>
        <v>45372</v>
      </c>
      <c r="C4150" s="49">
        <f>IF(A4150&lt;&gt;"",TIME(HOUR(TRANSACTIONS!$A4150),MINUTE(TRANSACTIONS!$A4150),SECOND(TRANSACTIONS!$A4150)),"")</f>
        <v>0.60431712962962958</v>
      </c>
      <c r="D4150" s="82" t="s">
        <v>62</v>
      </c>
      <c r="E4150" s="82" t="s">
        <v>7</v>
      </c>
      <c r="F4150" s="88">
        <v>5000</v>
      </c>
      <c r="G4150" s="46"/>
      <c r="H4150" s="46">
        <f>IFERROR(TRANSACTIONS!$F4150+TRANSACTIONS!$G4150,"")</f>
        <v>5000</v>
      </c>
      <c r="I4150" s="40" t="s">
        <v>41</v>
      </c>
    </row>
    <row r="4151" spans="1:10" x14ac:dyDescent="0.25">
      <c r="A4151" s="81">
        <v>45372.604329629627</v>
      </c>
      <c r="B4151" s="83">
        <f>IF(A4151&lt;&gt;"",DATE(YEAR(TRANSACTIONS!$A4151),MONTH(TRANSACTIONS!$A4151),DAY(TRANSACTIONS!$A4151)),"")</f>
        <v>45372</v>
      </c>
      <c r="C4151" s="84">
        <f>IF(A4151&lt;&gt;"",TIME(HOUR(TRANSACTIONS!$A4151),MINUTE(TRANSACTIONS!$A4151),SECOND(TRANSACTIONS!$A4151)),"")</f>
        <v>0.60432870370370373</v>
      </c>
      <c r="D4151" s="82" t="s">
        <v>62</v>
      </c>
      <c r="E4151" s="82" t="s">
        <v>6</v>
      </c>
      <c r="F4151" s="88">
        <v>10100</v>
      </c>
      <c r="G4151" s="86"/>
      <c r="H4151" s="86">
        <f>IFERROR(TRANSACTIONS!$F4151+TRANSACTIONS!$G4151,"")</f>
        <v>10100</v>
      </c>
      <c r="I4151" s="88" t="s">
        <v>41</v>
      </c>
    </row>
    <row r="4152" spans="1:10" x14ac:dyDescent="0.25">
      <c r="A4152" s="41">
        <v>45372.604336805554</v>
      </c>
      <c r="B4152" s="48">
        <f>IF(A4152&lt;&gt;"",DATE(YEAR(TRANSACTIONS!$A4152),MONTH(TRANSACTIONS!$A4152),DAY(TRANSACTIONS!$A4152)),"")</f>
        <v>45372</v>
      </c>
      <c r="C4152" s="49">
        <f>IF(A4152&lt;&gt;"",TIME(HOUR(TRANSACTIONS!$A4152),MINUTE(TRANSACTIONS!$A4152),SECOND(TRANSACTIONS!$A4152)),"")</f>
        <v>0.60434027777777777</v>
      </c>
      <c r="D4152" s="82" t="s">
        <v>62</v>
      </c>
      <c r="E4152" s="82" t="s">
        <v>7</v>
      </c>
      <c r="F4152" s="88">
        <v>2000</v>
      </c>
      <c r="G4152" s="46"/>
      <c r="H4152" s="46">
        <f>IFERROR(TRANSACTIONS!$F4152+TRANSACTIONS!$G4152,"")</f>
        <v>2000</v>
      </c>
      <c r="I4152" s="40" t="s">
        <v>41</v>
      </c>
    </row>
    <row r="4153" spans="1:10" x14ac:dyDescent="0.25">
      <c r="A4153" s="41">
        <v>45372.604344444444</v>
      </c>
      <c r="B4153" s="48">
        <f>IF(A4153&lt;&gt;"",DATE(YEAR(TRANSACTIONS!$A4153),MONTH(TRANSACTIONS!$A4153),DAY(TRANSACTIONS!$A4153)),"")</f>
        <v>45372</v>
      </c>
      <c r="C4153" s="49">
        <f>IF(A4153&lt;&gt;"",TIME(HOUR(TRANSACTIONS!$A4153),MINUTE(TRANSACTIONS!$A4153),SECOND(TRANSACTIONS!$A4153)),"")</f>
        <v>0.60434027777777777</v>
      </c>
      <c r="D4153" s="82" t="s">
        <v>62</v>
      </c>
      <c r="E4153" s="82" t="s">
        <v>6</v>
      </c>
      <c r="F4153" s="88">
        <v>150000</v>
      </c>
      <c r="G4153" s="46"/>
      <c r="H4153" s="46">
        <f>IFERROR(TRANSACTIONS!$F4153+TRANSACTIONS!$G4153,"")</f>
        <v>150000</v>
      </c>
      <c r="I4153" s="40" t="s">
        <v>41</v>
      </c>
    </row>
    <row r="4154" spans="1:10" x14ac:dyDescent="0.25">
      <c r="A4154" s="81">
        <v>45372.604352314818</v>
      </c>
      <c r="B4154" s="83">
        <f>IF(A4154&lt;&gt;"",DATE(YEAR(TRANSACTIONS!$A4154),MONTH(TRANSACTIONS!$A4154),DAY(TRANSACTIONS!$A4154)),"")</f>
        <v>45372</v>
      </c>
      <c r="C4154" s="84">
        <f>IF(A4154&lt;&gt;"",TIME(HOUR(TRANSACTIONS!$A4154),MINUTE(TRANSACTIONS!$A4154),SECOND(TRANSACTIONS!$A4154)),"")</f>
        <v>0.60435185185185192</v>
      </c>
      <c r="D4154" s="82" t="s">
        <v>25</v>
      </c>
      <c r="E4154" s="82" t="s">
        <v>7</v>
      </c>
      <c r="F4154" s="88">
        <v>3000</v>
      </c>
      <c r="G4154" s="86"/>
      <c r="H4154" s="86">
        <f>IFERROR(TRANSACTIONS!$F4154+TRANSACTIONS!$G4154,"")</f>
        <v>3000</v>
      </c>
      <c r="I4154" s="88" t="s">
        <v>41</v>
      </c>
      <c r="J4154" s="88"/>
    </row>
    <row r="4155" spans="1:10" x14ac:dyDescent="0.25">
      <c r="A4155" s="41">
        <v>45372.604359837962</v>
      </c>
      <c r="B4155" s="48">
        <f>IF(A4155&lt;&gt;"",DATE(YEAR(TRANSACTIONS!$A4155),MONTH(TRANSACTIONS!$A4155),DAY(TRANSACTIONS!$A4155)),"")</f>
        <v>45372</v>
      </c>
      <c r="C4155" s="49">
        <f>IF(A4155&lt;&gt;"",TIME(HOUR(TRANSACTIONS!$A4155),MINUTE(TRANSACTIONS!$A4155),SECOND(TRANSACTIONS!$A4155)),"")</f>
        <v>0.60436342592592596</v>
      </c>
      <c r="D4155" s="82" t="s">
        <v>62</v>
      </c>
      <c r="E4155" s="82" t="s">
        <v>6</v>
      </c>
      <c r="F4155" s="88">
        <v>15000</v>
      </c>
      <c r="G4155" s="46"/>
      <c r="H4155" s="46">
        <f>IFERROR(TRANSACTIONS!$F4155+TRANSACTIONS!$G4155,"")</f>
        <v>15000</v>
      </c>
      <c r="I4155" s="40" t="s">
        <v>41</v>
      </c>
    </row>
    <row r="4156" spans="1:10" x14ac:dyDescent="0.25">
      <c r="A4156" s="41">
        <v>45372.604367361113</v>
      </c>
      <c r="B4156" s="48">
        <f>IF(A4156&lt;&gt;"",DATE(YEAR(TRANSACTIONS!$A4156),MONTH(TRANSACTIONS!$A4156),DAY(TRANSACTIONS!$A4156)),"")</f>
        <v>45372</v>
      </c>
      <c r="C4156" s="49">
        <f>IF(A4156&lt;&gt;"",TIME(HOUR(TRANSACTIONS!$A4156),MINUTE(TRANSACTIONS!$A4156),SECOND(TRANSACTIONS!$A4156)),"")</f>
        <v>0.60436342592592596</v>
      </c>
      <c r="D4156" s="82" t="s">
        <v>62</v>
      </c>
      <c r="E4156" s="82" t="s">
        <v>6</v>
      </c>
      <c r="F4156" s="88">
        <v>70000</v>
      </c>
      <c r="G4156" s="46"/>
      <c r="H4156" s="46">
        <f>IFERROR(TRANSACTIONS!$F4156+TRANSACTIONS!$G4156,"")</f>
        <v>70000</v>
      </c>
      <c r="I4156" s="40" t="s">
        <v>41</v>
      </c>
    </row>
    <row r="4157" spans="1:10" x14ac:dyDescent="0.25">
      <c r="A4157" s="41">
        <v>45372.604382986108</v>
      </c>
      <c r="B4157" s="48">
        <f>IF(A4157&lt;&gt;"",DATE(YEAR(TRANSACTIONS!$A4157),MONTH(TRANSACTIONS!$A4157),DAY(TRANSACTIONS!$A4157)),"")</f>
        <v>45372</v>
      </c>
      <c r="C4157" s="49">
        <f>IF(A4157&lt;&gt;"",TIME(HOUR(TRANSACTIONS!$A4157),MINUTE(TRANSACTIONS!$A4157),SECOND(TRANSACTIONS!$A4157)),"")</f>
        <v>0.60438657407407403</v>
      </c>
      <c r="D4157" s="82" t="s">
        <v>62</v>
      </c>
      <c r="E4157" s="82" t="s">
        <v>6</v>
      </c>
      <c r="F4157" s="88">
        <v>10000</v>
      </c>
      <c r="G4157" s="46"/>
      <c r="H4157" s="46">
        <f>IFERROR(TRANSACTIONS!$F4157+TRANSACTIONS!$G4157,"")</f>
        <v>10000</v>
      </c>
      <c r="I4157" s="40" t="s">
        <v>41</v>
      </c>
    </row>
    <row r="4158" spans="1:10" x14ac:dyDescent="0.25">
      <c r="A4158" s="41">
        <v>45372.604391203706</v>
      </c>
      <c r="B4158" s="48">
        <f>IF(A4158&lt;&gt;"",DATE(YEAR(TRANSACTIONS!$A4158),MONTH(TRANSACTIONS!$A4158),DAY(TRANSACTIONS!$A4158)),"")</f>
        <v>45372</v>
      </c>
      <c r="C4158" s="49">
        <f>IF(A4158&lt;&gt;"",TIME(HOUR(TRANSACTIONS!$A4158),MINUTE(TRANSACTIONS!$A4158),SECOND(TRANSACTIONS!$A4158)),"")</f>
        <v>0.60438657407407403</v>
      </c>
      <c r="D4158" s="82" t="s">
        <v>62</v>
      </c>
      <c r="E4158" s="82" t="s">
        <v>6</v>
      </c>
      <c r="F4158" s="88">
        <v>7500</v>
      </c>
      <c r="G4158" s="46"/>
      <c r="H4158" s="46">
        <f>IFERROR(TRANSACTIONS!$F4158+TRANSACTIONS!$G4158,"")</f>
        <v>7500</v>
      </c>
      <c r="I4158" s="40" t="s">
        <v>41</v>
      </c>
    </row>
    <row r="4159" spans="1:10" x14ac:dyDescent="0.25">
      <c r="A4159" s="41">
        <v>45372.604399074073</v>
      </c>
      <c r="B4159" s="48">
        <f>IF(A4159&lt;&gt;"",DATE(YEAR(TRANSACTIONS!$A4159),MONTH(TRANSACTIONS!$A4159),DAY(TRANSACTIONS!$A4159)),"")</f>
        <v>45372</v>
      </c>
      <c r="C4159" s="49">
        <f>IF(A4159&lt;&gt;"",TIME(HOUR(TRANSACTIONS!$A4159),MINUTE(TRANSACTIONS!$A4159),SECOND(TRANSACTIONS!$A4159)),"")</f>
        <v>0.60439814814814818</v>
      </c>
      <c r="D4159" s="82" t="s">
        <v>62</v>
      </c>
      <c r="E4159" s="82" t="s">
        <v>7</v>
      </c>
      <c r="F4159" s="88">
        <v>2500</v>
      </c>
      <c r="G4159" s="46"/>
      <c r="H4159" s="46">
        <f>IFERROR(TRANSACTIONS!$F4159+TRANSACTIONS!$G4159,"")</f>
        <v>2500</v>
      </c>
      <c r="I4159" s="40" t="s">
        <v>41</v>
      </c>
    </row>
    <row r="4160" spans="1:10" x14ac:dyDescent="0.25">
      <c r="A4160" s="41">
        <v>45372.604407638886</v>
      </c>
      <c r="B4160" s="48">
        <f>IF(A4160&lt;&gt;"",DATE(YEAR(TRANSACTIONS!$A4160),MONTH(TRANSACTIONS!$A4160),DAY(TRANSACTIONS!$A4160)),"")</f>
        <v>45372</v>
      </c>
      <c r="C4160" s="49">
        <f>IF(A4160&lt;&gt;"",TIME(HOUR(TRANSACTIONS!$A4160),MINUTE(TRANSACTIONS!$A4160),SECOND(TRANSACTIONS!$A4160)),"")</f>
        <v>0.60440972222222222</v>
      </c>
      <c r="D4160" s="82" t="s">
        <v>62</v>
      </c>
      <c r="E4160" s="82" t="s">
        <v>7</v>
      </c>
      <c r="F4160" s="88">
        <v>125000</v>
      </c>
      <c r="G4160" s="46"/>
      <c r="H4160" s="46">
        <f>IFERROR(TRANSACTIONS!$F4160+TRANSACTIONS!$G4160,"")</f>
        <v>125000</v>
      </c>
      <c r="I4160" s="40" t="s">
        <v>41</v>
      </c>
    </row>
    <row r="4161" spans="1:9" x14ac:dyDescent="0.25">
      <c r="A4161" s="41">
        <v>45372.608794675929</v>
      </c>
      <c r="B4161" s="48">
        <f>IF(A4161&lt;&gt;"",DATE(YEAR(TRANSACTIONS!$A4161),MONTH(TRANSACTIONS!$A4161),DAY(TRANSACTIONS!$A4161)),"")</f>
        <v>45372</v>
      </c>
      <c r="C4161" s="49">
        <f>IF(A4161&lt;&gt;"",TIME(HOUR(TRANSACTIONS!$A4161),MINUTE(TRANSACTIONS!$A4161),SECOND(TRANSACTIONS!$A4161)),"")</f>
        <v>0.60879629629629628</v>
      </c>
      <c r="D4161" s="82" t="s">
        <v>62</v>
      </c>
      <c r="E4161" s="82" t="s">
        <v>6</v>
      </c>
      <c r="F4161" s="88">
        <v>2500</v>
      </c>
      <c r="G4161" s="46"/>
      <c r="H4161" s="46">
        <f>IFERROR(TRANSACTIONS!$F4161+TRANSACTIONS!$G4161,"")</f>
        <v>2500</v>
      </c>
      <c r="I4161" s="40" t="s">
        <v>41</v>
      </c>
    </row>
    <row r="4162" spans="1:9" x14ac:dyDescent="0.25">
      <c r="A4162" s="41">
        <v>45372.733383101855</v>
      </c>
      <c r="B4162" s="48">
        <f>IF(A4162&lt;&gt;"",DATE(YEAR(TRANSACTIONS!$A4162),MONTH(TRANSACTIONS!$A4162),DAY(TRANSACTIONS!$A4162)),"")</f>
        <v>45372</v>
      </c>
      <c r="C4162" s="49">
        <f>IF(A4162&lt;&gt;"",TIME(HOUR(TRANSACTIONS!$A4162),MINUTE(TRANSACTIONS!$A4162),SECOND(TRANSACTIONS!$A4162)),"")</f>
        <v>0.73337962962962966</v>
      </c>
      <c r="D4162" s="82" t="s">
        <v>62</v>
      </c>
      <c r="E4162" s="82" t="s">
        <v>7</v>
      </c>
      <c r="F4162" s="88">
        <v>2000</v>
      </c>
      <c r="G4162" s="46"/>
      <c r="H4162" s="46">
        <f>IFERROR(TRANSACTIONS!$F4162+TRANSACTIONS!$G4162,"")</f>
        <v>2000</v>
      </c>
      <c r="I4162" s="40" t="s">
        <v>41</v>
      </c>
    </row>
    <row r="4163" spans="1:9" x14ac:dyDescent="0.25">
      <c r="A4163" s="41">
        <v>45372.733391550923</v>
      </c>
      <c r="B4163" s="48">
        <f>IF(A4163&lt;&gt;"",DATE(YEAR(TRANSACTIONS!$A4163),MONTH(TRANSACTIONS!$A4163),DAY(TRANSACTIONS!$A4163)),"")</f>
        <v>45372</v>
      </c>
      <c r="C4163" s="49">
        <f>IF(A4163&lt;&gt;"",TIME(HOUR(TRANSACTIONS!$A4163),MINUTE(TRANSACTIONS!$A4163),SECOND(TRANSACTIONS!$A4163)),"")</f>
        <v>0.7333912037037037</v>
      </c>
      <c r="D4163" s="82" t="s">
        <v>62</v>
      </c>
      <c r="E4163" s="82" t="s">
        <v>7</v>
      </c>
      <c r="F4163" s="88">
        <v>20000</v>
      </c>
      <c r="G4163" s="46"/>
      <c r="H4163" s="46">
        <f>IFERROR(TRANSACTIONS!$F4163+TRANSACTIONS!$G4163,"")</f>
        <v>20000</v>
      </c>
      <c r="I4163" s="40" t="s">
        <v>41</v>
      </c>
    </row>
    <row r="4164" spans="1:9" x14ac:dyDescent="0.25">
      <c r="A4164" s="41">
        <v>45372.73573310185</v>
      </c>
      <c r="B4164" s="48">
        <f>IF(A4164&lt;&gt;"",DATE(YEAR(TRANSACTIONS!$A4164),MONTH(TRANSACTIONS!$A4164),DAY(TRANSACTIONS!$A4164)),"")</f>
        <v>45372</v>
      </c>
      <c r="C4164" s="49">
        <f>IF(A4164&lt;&gt;"",TIME(HOUR(TRANSACTIONS!$A4164),MINUTE(TRANSACTIONS!$A4164),SECOND(TRANSACTIONS!$A4164)),"")</f>
        <v>0.73572916666666666</v>
      </c>
      <c r="D4164" s="82" t="s">
        <v>62</v>
      </c>
      <c r="E4164" s="82" t="s">
        <v>7</v>
      </c>
      <c r="F4164" s="88">
        <v>5000</v>
      </c>
      <c r="G4164" s="46"/>
      <c r="H4164" s="46">
        <f>IFERROR(TRANSACTIONS!$F4164+TRANSACTIONS!$G4164,"")</f>
        <v>5000</v>
      </c>
      <c r="I4164" s="40" t="s">
        <v>41</v>
      </c>
    </row>
    <row r="4165" spans="1:9" x14ac:dyDescent="0.25">
      <c r="A4165" s="41">
        <v>45372.735775578702</v>
      </c>
      <c r="B4165" s="48">
        <f>IF(A4165&lt;&gt;"",DATE(YEAR(TRANSACTIONS!$A4165),MONTH(TRANSACTIONS!$A4165),DAY(TRANSACTIONS!$A4165)),"")</f>
        <v>45372</v>
      </c>
      <c r="C4165" s="49">
        <f>IF(A4165&lt;&gt;"",TIME(HOUR(TRANSACTIONS!$A4165),MINUTE(TRANSACTIONS!$A4165),SECOND(TRANSACTIONS!$A4165)),"")</f>
        <v>0.73577546296296292</v>
      </c>
      <c r="D4165" s="82" t="s">
        <v>62</v>
      </c>
      <c r="E4165" s="82" t="s">
        <v>6</v>
      </c>
      <c r="F4165" s="88">
        <v>9000</v>
      </c>
      <c r="G4165" s="46"/>
      <c r="H4165" s="46">
        <f>IFERROR(TRANSACTIONS!$F4165+TRANSACTIONS!$G4165,"")</f>
        <v>9000</v>
      </c>
      <c r="I4165" s="40" t="s">
        <v>41</v>
      </c>
    </row>
    <row r="4166" spans="1:9" x14ac:dyDescent="0.25">
      <c r="A4166" s="41">
        <v>45372.735788425925</v>
      </c>
      <c r="B4166" s="48">
        <f>IF(A4166&lt;&gt;"",DATE(YEAR(TRANSACTIONS!$A4166),MONTH(TRANSACTIONS!$A4166),DAY(TRANSACTIONS!$A4166)),"")</f>
        <v>45372</v>
      </c>
      <c r="C4166" s="49">
        <f>IF(A4166&lt;&gt;"",TIME(HOUR(TRANSACTIONS!$A4166),MINUTE(TRANSACTIONS!$A4166),SECOND(TRANSACTIONS!$A4166)),"")</f>
        <v>0.73578703703703707</v>
      </c>
      <c r="D4166" s="82" t="s">
        <v>62</v>
      </c>
      <c r="E4166" s="82" t="s">
        <v>7</v>
      </c>
      <c r="F4166" s="88">
        <v>1000</v>
      </c>
      <c r="G4166" s="46"/>
      <c r="H4166" s="46">
        <f>IFERROR(TRANSACTIONS!$F4166+TRANSACTIONS!$G4166,"")</f>
        <v>1000</v>
      </c>
      <c r="I4166" s="40" t="s">
        <v>41</v>
      </c>
    </row>
    <row r="4167" spans="1:9" x14ac:dyDescent="0.25">
      <c r="A4167" s="41">
        <v>45372.735803356481</v>
      </c>
      <c r="B4167" s="48">
        <f>IF(A4167&lt;&gt;"",DATE(YEAR(TRANSACTIONS!$A4167),MONTH(TRANSACTIONS!$A4167),DAY(TRANSACTIONS!$A4167)),"")</f>
        <v>45372</v>
      </c>
      <c r="C4167" s="49">
        <f>IF(A4167&lt;&gt;"",TIME(HOUR(TRANSACTIONS!$A4167),MINUTE(TRANSACTIONS!$A4167),SECOND(TRANSACTIONS!$A4167)),"")</f>
        <v>0.73579861111111111</v>
      </c>
      <c r="D4167" s="82" t="s">
        <v>62</v>
      </c>
      <c r="E4167" s="82" t="s">
        <v>7</v>
      </c>
      <c r="F4167" s="88">
        <v>20000</v>
      </c>
      <c r="G4167" s="46"/>
      <c r="H4167" s="46">
        <f>IFERROR(TRANSACTIONS!$F4167+TRANSACTIONS!$G4167,"")</f>
        <v>20000</v>
      </c>
      <c r="I4167" s="40" t="s">
        <v>41</v>
      </c>
    </row>
    <row r="4168" spans="1:9" x14ac:dyDescent="0.25">
      <c r="A4168" s="41">
        <v>45372.735847685188</v>
      </c>
      <c r="B4168" s="48">
        <f>IF(A4168&lt;&gt;"",DATE(YEAR(TRANSACTIONS!$A4168),MONTH(TRANSACTIONS!$A4168),DAY(TRANSACTIONS!$A4168)),"")</f>
        <v>45372</v>
      </c>
      <c r="C4168" s="49">
        <f>IF(A4168&lt;&gt;"",TIME(HOUR(TRANSACTIONS!$A4168),MINUTE(TRANSACTIONS!$A4168),SECOND(TRANSACTIONS!$A4168)),"")</f>
        <v>0.73584490740740749</v>
      </c>
      <c r="D4168" s="82" t="s">
        <v>62</v>
      </c>
      <c r="E4168" s="82" t="s">
        <v>6</v>
      </c>
      <c r="F4168" s="88">
        <v>125000</v>
      </c>
      <c r="G4168" s="46"/>
      <c r="H4168" s="46">
        <f>IFERROR(TRANSACTIONS!$F4168+TRANSACTIONS!$G4168,"")</f>
        <v>125000</v>
      </c>
      <c r="I4168" s="40" t="s">
        <v>41</v>
      </c>
    </row>
    <row r="4169" spans="1:9" x14ac:dyDescent="0.25">
      <c r="A4169" s="81">
        <v>45372.735854976854</v>
      </c>
      <c r="B4169" s="83">
        <f>IF(A4169&lt;&gt;"",DATE(YEAR(TRANSACTIONS!$A4169),MONTH(TRANSACTIONS!$A4169),DAY(TRANSACTIONS!$A4169)),"")</f>
        <v>45372</v>
      </c>
      <c r="C4169" s="84">
        <f>IF(A4169&lt;&gt;"",TIME(HOUR(TRANSACTIONS!$A4169),MINUTE(TRANSACTIONS!$A4169),SECOND(TRANSACTIONS!$A4169)),"")</f>
        <v>0.73585648148148142</v>
      </c>
      <c r="D4169" s="82" t="s">
        <v>62</v>
      </c>
      <c r="E4169" s="82" t="s">
        <v>6</v>
      </c>
      <c r="F4169" s="88">
        <v>1000</v>
      </c>
      <c r="G4169" s="86"/>
      <c r="H4169" s="86">
        <f>IFERROR(TRANSACTIONS!$F4169+TRANSACTIONS!$G4169,"")</f>
        <v>1000</v>
      </c>
      <c r="I4169" s="88" t="s">
        <v>41</v>
      </c>
    </row>
    <row r="4170" spans="1:9" x14ac:dyDescent="0.25">
      <c r="A4170" s="41">
        <v>45372.735861574074</v>
      </c>
      <c r="B4170" s="48">
        <f>IF(A4170&lt;&gt;"",DATE(YEAR(TRANSACTIONS!$A4170),MONTH(TRANSACTIONS!$A4170),DAY(TRANSACTIONS!$A4170)),"")</f>
        <v>45372</v>
      </c>
      <c r="C4170" s="49">
        <f>IF(A4170&lt;&gt;"",TIME(HOUR(TRANSACTIONS!$A4170),MINUTE(TRANSACTIONS!$A4170),SECOND(TRANSACTIONS!$A4170)),"")</f>
        <v>0.73585648148148142</v>
      </c>
      <c r="D4170" s="82" t="s">
        <v>62</v>
      </c>
      <c r="E4170" s="82" t="s">
        <v>6</v>
      </c>
      <c r="F4170" s="88">
        <v>2000</v>
      </c>
      <c r="G4170" s="46"/>
      <c r="H4170" s="46">
        <f>IFERROR(TRANSACTIONS!$F4170+TRANSACTIONS!$G4170,"")</f>
        <v>2000</v>
      </c>
      <c r="I4170" s="40" t="s">
        <v>41</v>
      </c>
    </row>
    <row r="4171" spans="1:9" x14ac:dyDescent="0.25">
      <c r="A4171" s="41">
        <v>45372.735868634256</v>
      </c>
      <c r="B4171" s="48">
        <f>IF(A4171&lt;&gt;"",DATE(YEAR(TRANSACTIONS!$A4171),MONTH(TRANSACTIONS!$A4171),DAY(TRANSACTIONS!$A4171)),"")</f>
        <v>45372</v>
      </c>
      <c r="C4171" s="49">
        <f>IF(A4171&lt;&gt;"",TIME(HOUR(TRANSACTIONS!$A4171),MINUTE(TRANSACTIONS!$A4171),SECOND(TRANSACTIONS!$A4171)),"")</f>
        <v>0.73586805555555557</v>
      </c>
      <c r="D4171" s="82" t="s">
        <v>62</v>
      </c>
      <c r="E4171" s="82" t="s">
        <v>7</v>
      </c>
      <c r="F4171" s="88">
        <v>31000</v>
      </c>
      <c r="G4171" s="46"/>
      <c r="H4171" s="46">
        <f>IFERROR(TRANSACTIONS!$F4171+TRANSACTIONS!$G4171,"")</f>
        <v>31000</v>
      </c>
      <c r="I4171" s="40" t="s">
        <v>41</v>
      </c>
    </row>
    <row r="4172" spans="1:9" x14ac:dyDescent="0.25">
      <c r="A4172" s="41">
        <v>45372.735930555558</v>
      </c>
      <c r="B4172" s="48">
        <f>IF(A4172&lt;&gt;"",DATE(YEAR(TRANSACTIONS!$A4172),MONTH(TRANSACTIONS!$A4172),DAY(TRANSACTIONS!$A4172)),"")</f>
        <v>45372</v>
      </c>
      <c r="C4172" s="49">
        <f>IF(A4172&lt;&gt;"",TIME(HOUR(TRANSACTIONS!$A4172),MINUTE(TRANSACTIONS!$A4172),SECOND(TRANSACTIONS!$A4172)),"")</f>
        <v>0.73592592592592598</v>
      </c>
      <c r="D4172" s="82" t="s">
        <v>62</v>
      </c>
      <c r="E4172" s="82" t="s">
        <v>7</v>
      </c>
      <c r="F4172" s="88">
        <v>1000</v>
      </c>
      <c r="G4172" s="46"/>
      <c r="H4172" s="46">
        <f>IFERROR(TRANSACTIONS!$F4172+TRANSACTIONS!$G4172,"")</f>
        <v>1000</v>
      </c>
      <c r="I4172" s="40" t="s">
        <v>41</v>
      </c>
    </row>
    <row r="4173" spans="1:9" x14ac:dyDescent="0.25">
      <c r="A4173" s="41">
        <v>45372.735937962963</v>
      </c>
      <c r="B4173" s="48">
        <f>IF(A4173&lt;&gt;"",DATE(YEAR(TRANSACTIONS!$A4173),MONTH(TRANSACTIONS!$A4173),DAY(TRANSACTIONS!$A4173)),"")</f>
        <v>45372</v>
      </c>
      <c r="C4173" s="49">
        <f>IF(A4173&lt;&gt;"",TIME(HOUR(TRANSACTIONS!$A4173),MINUTE(TRANSACTIONS!$A4173),SECOND(TRANSACTIONS!$A4173)),"")</f>
        <v>0.73593750000000002</v>
      </c>
      <c r="D4173" s="82" t="s">
        <v>62</v>
      </c>
      <c r="E4173" s="82" t="s">
        <v>6</v>
      </c>
      <c r="F4173" s="88">
        <v>30000</v>
      </c>
      <c r="G4173" s="46"/>
      <c r="H4173" s="46">
        <f>IFERROR(TRANSACTIONS!$F4173+TRANSACTIONS!$G4173,"")</f>
        <v>30000</v>
      </c>
      <c r="I4173" s="40" t="s">
        <v>41</v>
      </c>
    </row>
    <row r="4174" spans="1:9" x14ac:dyDescent="0.25">
      <c r="A4174" s="41">
        <v>45372.735945138891</v>
      </c>
      <c r="B4174" s="48">
        <f>IF(A4174&lt;&gt;"",DATE(YEAR(TRANSACTIONS!$A4174),MONTH(TRANSACTIONS!$A4174),DAY(TRANSACTIONS!$A4174)),"")</f>
        <v>45372</v>
      </c>
      <c r="C4174" s="49">
        <f>IF(A4174&lt;&gt;"",TIME(HOUR(TRANSACTIONS!$A4174),MINUTE(TRANSACTIONS!$A4174),SECOND(TRANSACTIONS!$A4174)),"")</f>
        <v>0.73594907407407406</v>
      </c>
      <c r="D4174" s="82" t="s">
        <v>62</v>
      </c>
      <c r="E4174" s="82" t="s">
        <v>7</v>
      </c>
      <c r="F4174" s="88">
        <v>11000</v>
      </c>
      <c r="G4174" s="46"/>
      <c r="H4174" s="46">
        <f>IFERROR(TRANSACTIONS!$F4174+TRANSACTIONS!$G4174,"")</f>
        <v>11000</v>
      </c>
      <c r="I4174" s="40" t="s">
        <v>41</v>
      </c>
    </row>
    <row r="4175" spans="1:9" x14ac:dyDescent="0.25">
      <c r="A4175" s="41">
        <v>45372.73595185185</v>
      </c>
      <c r="B4175" s="48">
        <f>IF(A4175&lt;&gt;"",DATE(YEAR(TRANSACTIONS!$A4175),MONTH(TRANSACTIONS!$A4175),DAY(TRANSACTIONS!$A4175)),"")</f>
        <v>45372</v>
      </c>
      <c r="C4175" s="49">
        <f>IF(A4175&lt;&gt;"",TIME(HOUR(TRANSACTIONS!$A4175),MINUTE(TRANSACTIONS!$A4175),SECOND(TRANSACTIONS!$A4175)),"")</f>
        <v>0.73594907407407406</v>
      </c>
      <c r="D4175" s="82" t="s">
        <v>62</v>
      </c>
      <c r="E4175" s="82" t="s">
        <v>6</v>
      </c>
      <c r="F4175" s="88">
        <v>2000</v>
      </c>
      <c r="G4175" s="46"/>
      <c r="H4175" s="46">
        <f>IFERROR(TRANSACTIONS!$F4175+TRANSACTIONS!$G4175,"")</f>
        <v>2000</v>
      </c>
      <c r="I4175" s="40" t="s">
        <v>41</v>
      </c>
    </row>
    <row r="4176" spans="1:9" x14ac:dyDescent="0.25">
      <c r="A4176" s="41">
        <v>45372.735958912039</v>
      </c>
      <c r="B4176" s="48">
        <f>IF(A4176&lt;&gt;"",DATE(YEAR(TRANSACTIONS!$A4176),MONTH(TRANSACTIONS!$A4176),DAY(TRANSACTIONS!$A4176)),"")</f>
        <v>45372</v>
      </c>
      <c r="C4176" s="49">
        <f>IF(A4176&lt;&gt;"",TIME(HOUR(TRANSACTIONS!$A4176),MINUTE(TRANSACTIONS!$A4176),SECOND(TRANSACTIONS!$A4176)),"")</f>
        <v>0.7359606481481481</v>
      </c>
      <c r="D4176" s="82" t="s">
        <v>62</v>
      </c>
      <c r="E4176" s="82" t="s">
        <v>6</v>
      </c>
      <c r="F4176" s="88">
        <v>23500</v>
      </c>
      <c r="G4176" s="46"/>
      <c r="H4176" s="46">
        <f>IFERROR(TRANSACTIONS!$F4176+TRANSACTIONS!$G4176,"")</f>
        <v>23500</v>
      </c>
      <c r="I4176" s="40" t="s">
        <v>41</v>
      </c>
    </row>
    <row r="4177" spans="1:9" x14ac:dyDescent="0.25">
      <c r="A4177" s="41">
        <v>45372.735965972221</v>
      </c>
      <c r="B4177" s="48">
        <f>IF(A4177&lt;&gt;"",DATE(YEAR(TRANSACTIONS!$A4177),MONTH(TRANSACTIONS!$A4177),DAY(TRANSACTIONS!$A4177)),"")</f>
        <v>45372</v>
      </c>
      <c r="C4177" s="49">
        <f>IF(A4177&lt;&gt;"",TIME(HOUR(TRANSACTIONS!$A4177),MINUTE(TRANSACTIONS!$A4177),SECOND(TRANSACTIONS!$A4177)),"")</f>
        <v>0.7359606481481481</v>
      </c>
      <c r="D4177" s="82" t="s">
        <v>62</v>
      </c>
      <c r="E4177" s="82" t="s">
        <v>7</v>
      </c>
      <c r="F4177" s="88">
        <v>297000</v>
      </c>
      <c r="G4177" s="46"/>
      <c r="H4177" s="46">
        <f>IFERROR(TRANSACTIONS!$F4177+TRANSACTIONS!$G4177,"")</f>
        <v>297000</v>
      </c>
      <c r="I4177" s="40" t="s">
        <v>41</v>
      </c>
    </row>
    <row r="4178" spans="1:9" x14ac:dyDescent="0.25">
      <c r="A4178" s="41">
        <v>45372.735973495372</v>
      </c>
      <c r="B4178" s="48">
        <f>IF(A4178&lt;&gt;"",DATE(YEAR(TRANSACTIONS!$A4178),MONTH(TRANSACTIONS!$A4178),DAY(TRANSACTIONS!$A4178)),"")</f>
        <v>45372</v>
      </c>
      <c r="C4178" s="49">
        <f>IF(A4178&lt;&gt;"",TIME(HOUR(TRANSACTIONS!$A4178),MINUTE(TRANSACTIONS!$A4178),SECOND(TRANSACTIONS!$A4178)),"")</f>
        <v>0.73597222222222225</v>
      </c>
      <c r="D4178" s="82" t="s">
        <v>62</v>
      </c>
      <c r="E4178" s="82" t="s">
        <v>7</v>
      </c>
      <c r="F4178" s="88">
        <v>4500</v>
      </c>
      <c r="G4178" s="46"/>
      <c r="H4178" s="46">
        <f>IFERROR(TRANSACTIONS!$F4178+TRANSACTIONS!$G4178,"")</f>
        <v>4500</v>
      </c>
      <c r="I4178" s="40" t="s">
        <v>41</v>
      </c>
    </row>
    <row r="4179" spans="1:9" x14ac:dyDescent="0.25">
      <c r="A4179" s="41">
        <v>45372.735980439815</v>
      </c>
      <c r="B4179" s="48">
        <f>IF(A4179&lt;&gt;"",DATE(YEAR(TRANSACTIONS!$A4179),MONTH(TRANSACTIONS!$A4179),DAY(TRANSACTIONS!$A4179)),"")</f>
        <v>45372</v>
      </c>
      <c r="C4179" s="49">
        <f>IF(A4179&lt;&gt;"",TIME(HOUR(TRANSACTIONS!$A4179),MINUTE(TRANSACTIONS!$A4179),SECOND(TRANSACTIONS!$A4179)),"")</f>
        <v>0.7359837962962964</v>
      </c>
      <c r="D4179" s="82" t="s">
        <v>62</v>
      </c>
      <c r="E4179" s="82" t="s">
        <v>7</v>
      </c>
      <c r="F4179" s="88">
        <v>5000</v>
      </c>
      <c r="G4179" s="46"/>
      <c r="H4179" s="46">
        <f>IFERROR(TRANSACTIONS!$F4179+TRANSACTIONS!$G4179,"")</f>
        <v>5000</v>
      </c>
      <c r="I4179" s="40" t="s">
        <v>41</v>
      </c>
    </row>
    <row r="4180" spans="1:9" x14ac:dyDescent="0.25">
      <c r="A4180" s="41">
        <v>45372.735992361107</v>
      </c>
      <c r="B4180" s="48">
        <f>IF(A4180&lt;&gt;"",DATE(YEAR(TRANSACTIONS!$A4180),MONTH(TRANSACTIONS!$A4180),DAY(TRANSACTIONS!$A4180)),"")</f>
        <v>45372</v>
      </c>
      <c r="C4180" s="49">
        <f>IF(A4180&lt;&gt;"",TIME(HOUR(TRANSACTIONS!$A4180),MINUTE(TRANSACTIONS!$A4180),SECOND(TRANSACTIONS!$A4180)),"")</f>
        <v>0.73599537037037033</v>
      </c>
      <c r="D4180" s="82" t="s">
        <v>62</v>
      </c>
      <c r="E4180" s="82" t="s">
        <v>7</v>
      </c>
      <c r="F4180" s="88">
        <v>1000</v>
      </c>
      <c r="G4180" s="46"/>
      <c r="H4180" s="46">
        <f>IFERROR(TRANSACTIONS!$F4180+TRANSACTIONS!$G4180,"")</f>
        <v>1000</v>
      </c>
      <c r="I4180" s="40" t="s">
        <v>41</v>
      </c>
    </row>
    <row r="4181" spans="1:9" x14ac:dyDescent="0.25">
      <c r="A4181" s="41">
        <v>45372.735999421297</v>
      </c>
      <c r="B4181" s="48">
        <f>IF(A4181&lt;&gt;"",DATE(YEAR(TRANSACTIONS!$A4181),MONTH(TRANSACTIONS!$A4181),DAY(TRANSACTIONS!$A4181)),"")</f>
        <v>45372</v>
      </c>
      <c r="C4181" s="49">
        <f>IF(A4181&lt;&gt;"",TIME(HOUR(TRANSACTIONS!$A4181),MINUTE(TRANSACTIONS!$A4181),SECOND(TRANSACTIONS!$A4181)),"")</f>
        <v>0.73599537037037033</v>
      </c>
      <c r="D4181" s="82" t="s">
        <v>62</v>
      </c>
      <c r="E4181" s="82" t="s">
        <v>7</v>
      </c>
      <c r="F4181" s="88">
        <v>700</v>
      </c>
      <c r="G4181" s="46"/>
      <c r="H4181" s="46">
        <f>IFERROR(TRANSACTIONS!$F4181+TRANSACTIONS!$G4181,"")</f>
        <v>700</v>
      </c>
      <c r="I4181" s="40" t="s">
        <v>41</v>
      </c>
    </row>
    <row r="4182" spans="1:9" x14ac:dyDescent="0.25">
      <c r="A4182" s="41">
        <v>45372.73601458333</v>
      </c>
      <c r="B4182" s="48">
        <f>IF(A4182&lt;&gt;"",DATE(YEAR(TRANSACTIONS!$A4182),MONTH(TRANSACTIONS!$A4182),DAY(TRANSACTIONS!$A4182)),"")</f>
        <v>45372</v>
      </c>
      <c r="C4182" s="49">
        <f>IF(A4182&lt;&gt;"",TIME(HOUR(TRANSACTIONS!$A4182),MINUTE(TRANSACTIONS!$A4182),SECOND(TRANSACTIONS!$A4182)),"")</f>
        <v>0.73601851851851852</v>
      </c>
      <c r="D4182" s="82" t="s">
        <v>62</v>
      </c>
      <c r="E4182" s="82" t="s">
        <v>7</v>
      </c>
      <c r="F4182" s="88">
        <v>500</v>
      </c>
      <c r="G4182" s="46"/>
      <c r="H4182" s="46">
        <f>IFERROR(TRANSACTIONS!$F4182+TRANSACTIONS!$G4182,"")</f>
        <v>500</v>
      </c>
      <c r="I4182" s="40" t="s">
        <v>41</v>
      </c>
    </row>
    <row r="4183" spans="1:9" x14ac:dyDescent="0.25">
      <c r="A4183" s="41">
        <v>45372.736022569443</v>
      </c>
      <c r="B4183" s="48">
        <f>IF(A4183&lt;&gt;"",DATE(YEAR(TRANSACTIONS!$A4183),MONTH(TRANSACTIONS!$A4183),DAY(TRANSACTIONS!$A4183)),"")</f>
        <v>45372</v>
      </c>
      <c r="C4183" s="49">
        <f>IF(A4183&lt;&gt;"",TIME(HOUR(TRANSACTIONS!$A4183),MINUTE(TRANSACTIONS!$A4183),SECOND(TRANSACTIONS!$A4183)),"")</f>
        <v>0.73601851851851852</v>
      </c>
      <c r="D4183" s="82" t="s">
        <v>62</v>
      </c>
      <c r="E4183" s="82" t="s">
        <v>6</v>
      </c>
      <c r="F4183" s="88">
        <v>3000</v>
      </c>
      <c r="G4183" s="46"/>
      <c r="H4183" s="46">
        <f>IFERROR(TRANSACTIONS!$F4183+TRANSACTIONS!$G4183,"")</f>
        <v>3000</v>
      </c>
      <c r="I4183" s="40" t="s">
        <v>41</v>
      </c>
    </row>
    <row r="4184" spans="1:9" x14ac:dyDescent="0.25">
      <c r="A4184" s="41">
        <v>45372.736048611114</v>
      </c>
      <c r="B4184" s="48">
        <f>IF(A4184&lt;&gt;"",DATE(YEAR(TRANSACTIONS!$A4184),MONTH(TRANSACTIONS!$A4184),DAY(TRANSACTIONS!$A4184)),"")</f>
        <v>45372</v>
      </c>
      <c r="C4184" s="49">
        <f>IF(A4184&lt;&gt;"",TIME(HOUR(TRANSACTIONS!$A4184),MINUTE(TRANSACTIONS!$A4184),SECOND(TRANSACTIONS!$A4184)),"")</f>
        <v>0.73605324074074074</v>
      </c>
      <c r="D4184" s="82" t="s">
        <v>62</v>
      </c>
      <c r="E4184" s="82" t="s">
        <v>7</v>
      </c>
      <c r="F4184" s="88">
        <v>5000</v>
      </c>
      <c r="G4184" s="46"/>
      <c r="H4184" s="46">
        <f>IFERROR(TRANSACTIONS!$F4184+TRANSACTIONS!$G4184,"")</f>
        <v>5000</v>
      </c>
      <c r="I4184" s="40" t="s">
        <v>41</v>
      </c>
    </row>
    <row r="4185" spans="1:9" x14ac:dyDescent="0.25">
      <c r="A4185" s="81">
        <v>45372.736055324072</v>
      </c>
      <c r="B4185" s="83">
        <f>IF(A4185&lt;&gt;"",DATE(YEAR(TRANSACTIONS!$A4185),MONTH(TRANSACTIONS!$A4185),DAY(TRANSACTIONS!$A4185)),"")</f>
        <v>45372</v>
      </c>
      <c r="C4185" s="84">
        <f>IF(A4185&lt;&gt;"",TIME(HOUR(TRANSACTIONS!$A4185),MINUTE(TRANSACTIONS!$A4185),SECOND(TRANSACTIONS!$A4185)),"")</f>
        <v>0.73605324074074074</v>
      </c>
      <c r="D4185" s="82" t="s">
        <v>62</v>
      </c>
      <c r="E4185" s="82" t="s">
        <v>6</v>
      </c>
      <c r="F4185" s="88">
        <v>200000</v>
      </c>
      <c r="G4185" s="86"/>
      <c r="H4185" s="86">
        <f>IFERROR(TRANSACTIONS!$F4185+TRANSACTIONS!$G4185,"")</f>
        <v>200000</v>
      </c>
      <c r="I4185" s="88" t="s">
        <v>41</v>
      </c>
    </row>
    <row r="4186" spans="1:9" x14ac:dyDescent="0.25">
      <c r="A4186" s="81">
        <v>45372.73606354167</v>
      </c>
      <c r="B4186" s="83">
        <f>IF(A4186&lt;&gt;"",DATE(YEAR(TRANSACTIONS!$A4186),MONTH(TRANSACTIONS!$A4186),DAY(TRANSACTIONS!$A4186)),"")</f>
        <v>45372</v>
      </c>
      <c r="C4186" s="84">
        <f>IF(A4186&lt;&gt;"",TIME(HOUR(TRANSACTIONS!$A4186),MINUTE(TRANSACTIONS!$A4186),SECOND(TRANSACTIONS!$A4186)),"")</f>
        <v>0.73606481481481489</v>
      </c>
      <c r="D4186" s="82" t="s">
        <v>62</v>
      </c>
      <c r="E4186" s="82" t="s">
        <v>6</v>
      </c>
      <c r="F4186" s="88">
        <v>15000</v>
      </c>
      <c r="G4186" s="86"/>
      <c r="H4186" s="86">
        <f>IFERROR(TRANSACTIONS!$F4186+TRANSACTIONS!$G4186,"")</f>
        <v>15000</v>
      </c>
      <c r="I4186" s="88" t="s">
        <v>41</v>
      </c>
    </row>
    <row r="4187" spans="1:9" x14ac:dyDescent="0.25">
      <c r="A4187" s="81">
        <v>45372.736071180552</v>
      </c>
      <c r="B4187" s="83">
        <f>IF(A4187&lt;&gt;"",DATE(YEAR(TRANSACTIONS!$A4187),MONTH(TRANSACTIONS!$A4187),DAY(TRANSACTIONS!$A4187)),"")</f>
        <v>45372</v>
      </c>
      <c r="C4187" s="84">
        <f>IF(A4187&lt;&gt;"",TIME(HOUR(TRANSACTIONS!$A4187),MINUTE(TRANSACTIONS!$A4187),SECOND(TRANSACTIONS!$A4187)),"")</f>
        <v>0.73607638888888882</v>
      </c>
      <c r="D4187" s="82" t="s">
        <v>62</v>
      </c>
      <c r="E4187" s="82" t="s">
        <v>6</v>
      </c>
      <c r="F4187" s="88">
        <v>15000</v>
      </c>
      <c r="G4187" s="86"/>
      <c r="H4187" s="86">
        <f>IFERROR(TRANSACTIONS!$F4187+TRANSACTIONS!$G4187,"")</f>
        <v>15000</v>
      </c>
      <c r="I4187" s="88" t="s">
        <v>41</v>
      </c>
    </row>
    <row r="4188" spans="1:9" x14ac:dyDescent="0.25">
      <c r="A4188" s="41">
        <v>45372.736078587965</v>
      </c>
      <c r="B4188" s="48">
        <f>IF(A4188&lt;&gt;"",DATE(YEAR(TRANSACTIONS!$A4188),MONTH(TRANSACTIONS!$A4188),DAY(TRANSACTIONS!$A4188)),"")</f>
        <v>45372</v>
      </c>
      <c r="C4188" s="49">
        <f>IF(A4188&lt;&gt;"",TIME(HOUR(TRANSACTIONS!$A4188),MINUTE(TRANSACTIONS!$A4188),SECOND(TRANSACTIONS!$A4188)),"")</f>
        <v>0.73607638888888882</v>
      </c>
      <c r="D4188" s="82" t="s">
        <v>62</v>
      </c>
      <c r="E4188" s="82" t="s">
        <v>6</v>
      </c>
      <c r="F4188" s="88">
        <v>13000</v>
      </c>
      <c r="G4188" s="46"/>
      <c r="H4188" s="46">
        <f>IFERROR(TRANSACTIONS!$F4188+TRANSACTIONS!$G4188,"")</f>
        <v>13000</v>
      </c>
      <c r="I4188" s="40" t="s">
        <v>41</v>
      </c>
    </row>
    <row r="4189" spans="1:9" x14ac:dyDescent="0.25">
      <c r="A4189" s="41">
        <v>45372.73608599537</v>
      </c>
      <c r="B4189" s="48">
        <f>IF(A4189&lt;&gt;"",DATE(YEAR(TRANSACTIONS!$A4189),MONTH(TRANSACTIONS!$A4189),DAY(TRANSACTIONS!$A4189)),"")</f>
        <v>45372</v>
      </c>
      <c r="C4189" s="49">
        <f>IF(A4189&lt;&gt;"",TIME(HOUR(TRANSACTIONS!$A4189),MINUTE(TRANSACTIONS!$A4189),SECOND(TRANSACTIONS!$A4189)),"")</f>
        <v>0.73608796296296297</v>
      </c>
      <c r="D4189" s="82" t="s">
        <v>62</v>
      </c>
      <c r="E4189" s="82" t="s">
        <v>7</v>
      </c>
      <c r="F4189" s="88">
        <v>7500</v>
      </c>
      <c r="G4189" s="46"/>
      <c r="H4189" s="46">
        <f>IFERROR(TRANSACTIONS!$F4189+TRANSACTIONS!$G4189,"")</f>
        <v>7500</v>
      </c>
      <c r="I4189" s="40" t="s">
        <v>41</v>
      </c>
    </row>
    <row r="4190" spans="1:9" x14ac:dyDescent="0.25">
      <c r="A4190" s="41">
        <v>45372.736093402775</v>
      </c>
      <c r="B4190" s="48">
        <f>IF(A4190&lt;&gt;"",DATE(YEAR(TRANSACTIONS!$A4190),MONTH(TRANSACTIONS!$A4190),DAY(TRANSACTIONS!$A4190)),"")</f>
        <v>45372</v>
      </c>
      <c r="C4190" s="49">
        <f>IF(A4190&lt;&gt;"",TIME(HOUR(TRANSACTIONS!$A4190),MINUTE(TRANSACTIONS!$A4190),SECOND(TRANSACTIONS!$A4190)),"")</f>
        <v>0.73608796296296297</v>
      </c>
      <c r="D4190" s="82" t="s">
        <v>62</v>
      </c>
      <c r="E4190" s="82" t="s">
        <v>7</v>
      </c>
      <c r="F4190" s="88">
        <v>900</v>
      </c>
      <c r="G4190" s="46"/>
      <c r="H4190" s="46">
        <f>IFERROR(TRANSACTIONS!$F4190+TRANSACTIONS!$G4190,"")</f>
        <v>900</v>
      </c>
      <c r="I4190" s="40" t="s">
        <v>41</v>
      </c>
    </row>
    <row r="4191" spans="1:9" x14ac:dyDescent="0.25">
      <c r="A4191" s="41">
        <v>45372.736100694441</v>
      </c>
      <c r="B4191" s="48">
        <f>IF(A4191&lt;&gt;"",DATE(YEAR(TRANSACTIONS!$A4191),MONTH(TRANSACTIONS!$A4191),DAY(TRANSACTIONS!$A4191)),"")</f>
        <v>45372</v>
      </c>
      <c r="C4191" s="49">
        <f>IF(A4191&lt;&gt;"",TIME(HOUR(TRANSACTIONS!$A4191),MINUTE(TRANSACTIONS!$A4191),SECOND(TRANSACTIONS!$A4191)),"")</f>
        <v>0.73609953703703701</v>
      </c>
      <c r="D4191" s="82" t="s">
        <v>62</v>
      </c>
      <c r="E4191" s="82" t="s">
        <v>7</v>
      </c>
      <c r="F4191" s="88">
        <v>500</v>
      </c>
      <c r="G4191" s="46"/>
      <c r="H4191" s="46">
        <f>IFERROR(TRANSACTIONS!$F4191+TRANSACTIONS!$G4191,"")</f>
        <v>500</v>
      </c>
      <c r="I4191" s="40" t="s">
        <v>41</v>
      </c>
    </row>
    <row r="4192" spans="1:9" x14ac:dyDescent="0.25">
      <c r="A4192" s="41">
        <v>45372.736107523146</v>
      </c>
      <c r="B4192" s="48">
        <f>IF(A4192&lt;&gt;"",DATE(YEAR(TRANSACTIONS!$A4192),MONTH(TRANSACTIONS!$A4192),DAY(TRANSACTIONS!$A4192)),"")</f>
        <v>45372</v>
      </c>
      <c r="C4192" s="49">
        <f>IF(A4192&lt;&gt;"",TIME(HOUR(TRANSACTIONS!$A4192),MINUTE(TRANSACTIONS!$A4192),SECOND(TRANSACTIONS!$A4192)),"")</f>
        <v>0.73611111111111116</v>
      </c>
      <c r="D4192" s="82" t="s">
        <v>25</v>
      </c>
      <c r="E4192" s="82" t="s">
        <v>6</v>
      </c>
      <c r="F4192" s="88">
        <v>15000</v>
      </c>
      <c r="G4192" s="46"/>
      <c r="H4192" s="46">
        <f>IFERROR(TRANSACTIONS!$F4192+TRANSACTIONS!$G4192,"")</f>
        <v>15000</v>
      </c>
      <c r="I4192" s="40" t="s">
        <v>41</v>
      </c>
    </row>
    <row r="4193" spans="1:9" x14ac:dyDescent="0.25">
      <c r="A4193" s="113">
        <v>45372.736115277781</v>
      </c>
      <c r="B4193" s="114">
        <f>IF(A4193&lt;&gt;"",DATE(YEAR(TRANSACTIONS!$A4193),MONTH(TRANSACTIONS!$A4193),DAY(TRANSACTIONS!$A4193)),"")</f>
        <v>45372</v>
      </c>
      <c r="C4193" s="115">
        <f>IF(A4193&lt;&gt;"",TIME(HOUR(TRANSACTIONS!$A4193),MINUTE(TRANSACTIONS!$A4193),SECOND(TRANSACTIONS!$A4193)),"")</f>
        <v>0.73611111111111116</v>
      </c>
      <c r="D4193" s="82" t="s">
        <v>25</v>
      </c>
      <c r="E4193" s="82" t="s">
        <v>7</v>
      </c>
      <c r="F4193" s="88">
        <v>5000</v>
      </c>
      <c r="G4193" s="117"/>
      <c r="H4193" s="117">
        <f>IFERROR(TRANSACTIONS!$F4193+TRANSACTIONS!$G4193,"")</f>
        <v>5000</v>
      </c>
      <c r="I4193" s="118" t="s">
        <v>41</v>
      </c>
    </row>
    <row r="4194" spans="1:9" x14ac:dyDescent="0.25">
      <c r="A4194" s="41">
        <v>45372.736133217593</v>
      </c>
      <c r="B4194" s="48">
        <f>IF(A4194&lt;&gt;"",DATE(YEAR(TRANSACTIONS!$A4194),MONTH(TRANSACTIONS!$A4194),DAY(TRANSACTIONS!$A4194)),"")</f>
        <v>45372</v>
      </c>
      <c r="C4194" s="49">
        <f>IF(A4194&lt;&gt;"",TIME(HOUR(TRANSACTIONS!$A4194),MINUTE(TRANSACTIONS!$A4194),SECOND(TRANSACTIONS!$A4194)),"")</f>
        <v>0.73613425925925924</v>
      </c>
      <c r="D4194" s="82" t="s">
        <v>25</v>
      </c>
      <c r="E4194" s="82" t="s">
        <v>6</v>
      </c>
      <c r="F4194" s="88">
        <v>2000</v>
      </c>
      <c r="G4194" s="46"/>
      <c r="H4194" s="46">
        <f>IFERROR(TRANSACTIONS!$F4194+TRANSACTIONS!$G4194,"")</f>
        <v>2000</v>
      </c>
      <c r="I4194" s="40" t="s">
        <v>41</v>
      </c>
    </row>
    <row r="4195" spans="1:9" x14ac:dyDescent="0.25">
      <c r="A4195" s="41">
        <v>45372.736140740744</v>
      </c>
      <c r="B4195" s="48">
        <f>IF(A4195&lt;&gt;"",DATE(YEAR(TRANSACTIONS!$A4195),MONTH(TRANSACTIONS!$A4195),DAY(TRANSACTIONS!$A4195)),"")</f>
        <v>45372</v>
      </c>
      <c r="C4195" s="49">
        <f>IF(A4195&lt;&gt;"",TIME(HOUR(TRANSACTIONS!$A4195),MINUTE(TRANSACTIONS!$A4195),SECOND(TRANSACTIONS!$A4195)),"")</f>
        <v>0.73614583333333339</v>
      </c>
      <c r="D4195" s="82" t="s">
        <v>25</v>
      </c>
      <c r="E4195" s="82" t="s">
        <v>7</v>
      </c>
      <c r="F4195" s="88">
        <v>1400</v>
      </c>
      <c r="G4195" s="46"/>
      <c r="H4195" s="46">
        <f>IFERROR(TRANSACTIONS!$F4195+TRANSACTIONS!$G4195,"")</f>
        <v>1400</v>
      </c>
      <c r="I4195" s="40" t="s">
        <v>41</v>
      </c>
    </row>
    <row r="4196" spans="1:9" x14ac:dyDescent="0.25">
      <c r="A4196" s="41">
        <v>45372.736147800926</v>
      </c>
      <c r="B4196" s="48">
        <f>IF(A4196&lt;&gt;"",DATE(YEAR(TRANSACTIONS!$A4196),MONTH(TRANSACTIONS!$A4196),DAY(TRANSACTIONS!$A4196)),"")</f>
        <v>45372</v>
      </c>
      <c r="C4196" s="49">
        <f>IF(A4196&lt;&gt;"",TIME(HOUR(TRANSACTIONS!$A4196),MINUTE(TRANSACTIONS!$A4196),SECOND(TRANSACTIONS!$A4196)),"")</f>
        <v>0.73614583333333339</v>
      </c>
      <c r="D4196" s="82" t="s">
        <v>25</v>
      </c>
      <c r="E4196" s="82" t="s">
        <v>7</v>
      </c>
      <c r="F4196" s="88">
        <v>25000</v>
      </c>
      <c r="G4196" s="46"/>
      <c r="H4196" s="46">
        <f>IFERROR(TRANSACTIONS!$F4196+TRANSACTIONS!$G4196,"")</f>
        <v>25000</v>
      </c>
      <c r="I4196" s="40" t="s">
        <v>41</v>
      </c>
    </row>
    <row r="4197" spans="1:9" x14ac:dyDescent="0.25">
      <c r="A4197" s="41">
        <v>45372.736162499998</v>
      </c>
      <c r="B4197" s="48">
        <f>IF(A4197&lt;&gt;"",DATE(YEAR(TRANSACTIONS!$A4197),MONTH(TRANSACTIONS!$A4197),DAY(TRANSACTIONS!$A4197)),"")</f>
        <v>45372</v>
      </c>
      <c r="C4197" s="49">
        <f>IF(A4197&lt;&gt;"",TIME(HOUR(TRANSACTIONS!$A4197),MINUTE(TRANSACTIONS!$A4197),SECOND(TRANSACTIONS!$A4197)),"")</f>
        <v>0.73615740740740743</v>
      </c>
      <c r="D4197" s="82" t="s">
        <v>25</v>
      </c>
      <c r="E4197" s="82" t="s">
        <v>7</v>
      </c>
      <c r="F4197" s="88">
        <v>30000</v>
      </c>
      <c r="G4197" s="46"/>
      <c r="H4197" s="46">
        <f>IFERROR(TRANSACTIONS!$F4197+TRANSACTIONS!$G4197,"")</f>
        <v>30000</v>
      </c>
      <c r="I4197" s="40" t="s">
        <v>41</v>
      </c>
    </row>
    <row r="4198" spans="1:9" x14ac:dyDescent="0.25">
      <c r="A4198" s="41">
        <v>45372.736154745369</v>
      </c>
      <c r="B4198" s="48">
        <f>IF(A4198&lt;&gt;"",DATE(YEAR(TRANSACTIONS!$A4198),MONTH(TRANSACTIONS!$A4198),DAY(TRANSACTIONS!$A4198)),"")</f>
        <v>45372</v>
      </c>
      <c r="C4198" s="49">
        <f>IF(A4198&lt;&gt;"",TIME(HOUR(TRANSACTIONS!$A4198),MINUTE(TRANSACTIONS!$A4198),SECOND(TRANSACTIONS!$A4198)),"")</f>
        <v>0.73615740740740743</v>
      </c>
      <c r="D4198" s="82" t="s">
        <v>25</v>
      </c>
      <c r="E4198" s="82" t="s">
        <v>7</v>
      </c>
      <c r="F4198" s="88">
        <v>10500</v>
      </c>
      <c r="G4198" s="46"/>
      <c r="H4198" s="46">
        <f>IFERROR(TRANSACTIONS!$F4198+TRANSACTIONS!$G4198,"")</f>
        <v>10500</v>
      </c>
      <c r="I4198" s="40" t="s">
        <v>41</v>
      </c>
    </row>
    <row r="4199" spans="1:9" x14ac:dyDescent="0.25">
      <c r="A4199" s="41">
        <v>45372.736185995367</v>
      </c>
      <c r="B4199" s="48">
        <f>IF(A4199&lt;&gt;"",DATE(YEAR(TRANSACTIONS!$A4199),MONTH(TRANSACTIONS!$A4199),DAY(TRANSACTIONS!$A4199)),"")</f>
        <v>45372</v>
      </c>
      <c r="C4199" s="49">
        <f>IF(A4199&lt;&gt;"",TIME(HOUR(TRANSACTIONS!$A4199),MINUTE(TRANSACTIONS!$A4199),SECOND(TRANSACTIONS!$A4199)),"")</f>
        <v>0.7361805555555555</v>
      </c>
      <c r="D4199" s="82" t="s">
        <v>25</v>
      </c>
      <c r="E4199" s="82" t="s">
        <v>7</v>
      </c>
      <c r="F4199" s="88">
        <v>23500</v>
      </c>
      <c r="G4199" s="46"/>
      <c r="H4199" s="46">
        <f>IFERROR(TRANSACTIONS!$F4199+TRANSACTIONS!$G4199,"")</f>
        <v>23500</v>
      </c>
      <c r="I4199" s="40" t="s">
        <v>41</v>
      </c>
    </row>
    <row r="4200" spans="1:9" x14ac:dyDescent="0.25">
      <c r="A4200" s="41">
        <v>45372.736194328703</v>
      </c>
      <c r="B4200" s="48">
        <f>IF(A4200&lt;&gt;"",DATE(YEAR(TRANSACTIONS!$A4200),MONTH(TRANSACTIONS!$A4200),DAY(TRANSACTIONS!$A4200)),"")</f>
        <v>45372</v>
      </c>
      <c r="C4200" s="49">
        <f>IF(A4200&lt;&gt;"",TIME(HOUR(TRANSACTIONS!$A4200),MINUTE(TRANSACTIONS!$A4200),SECOND(TRANSACTIONS!$A4200)),"")</f>
        <v>0.73619212962962965</v>
      </c>
      <c r="D4200" s="82" t="s">
        <v>25</v>
      </c>
      <c r="E4200" s="82" t="s">
        <v>6</v>
      </c>
      <c r="F4200" s="88">
        <v>112400</v>
      </c>
      <c r="G4200" s="46"/>
      <c r="H4200" s="46">
        <f>IFERROR(TRANSACTIONS!$F4200+TRANSACTIONS!$G4200,"")</f>
        <v>112400</v>
      </c>
      <c r="I4200" s="40" t="s">
        <v>41</v>
      </c>
    </row>
    <row r="4201" spans="1:9" x14ac:dyDescent="0.25">
      <c r="A4201" s="81">
        <v>45372.736201504631</v>
      </c>
      <c r="B4201" s="83">
        <f>IF(A4201&lt;&gt;"",DATE(YEAR(TRANSACTIONS!$A4201),MONTH(TRANSACTIONS!$A4201),DAY(TRANSACTIONS!$A4201)),"")</f>
        <v>45372</v>
      </c>
      <c r="C4201" s="84">
        <f>IF(A4201&lt;&gt;"",TIME(HOUR(TRANSACTIONS!$A4201),MINUTE(TRANSACTIONS!$A4201),SECOND(TRANSACTIONS!$A4201)),"")</f>
        <v>0.7362037037037038</v>
      </c>
      <c r="D4201" s="82" t="s">
        <v>25</v>
      </c>
      <c r="E4201" s="82" t="s">
        <v>7</v>
      </c>
      <c r="F4201" s="88">
        <v>8000</v>
      </c>
      <c r="G4201" s="86"/>
      <c r="H4201" s="86">
        <f>IFERROR(TRANSACTIONS!$F4201+TRANSACTIONS!$G4201,"")</f>
        <v>8000</v>
      </c>
      <c r="I4201" s="88" t="s">
        <v>41</v>
      </c>
    </row>
    <row r="4202" spans="1:9" x14ac:dyDescent="0.25">
      <c r="A4202" s="81">
        <v>45372.736208101851</v>
      </c>
      <c r="B4202" s="83">
        <f>IF(A4202&lt;&gt;"",DATE(YEAR(TRANSACTIONS!$A4202),MONTH(TRANSACTIONS!$A4202),DAY(TRANSACTIONS!$A4202)),"")</f>
        <v>45372</v>
      </c>
      <c r="C4202" s="84">
        <f>IF(A4202&lt;&gt;"",TIME(HOUR(TRANSACTIONS!$A4202),MINUTE(TRANSACTIONS!$A4202),SECOND(TRANSACTIONS!$A4202)),"")</f>
        <v>0.7362037037037038</v>
      </c>
      <c r="D4202" s="82" t="s">
        <v>25</v>
      </c>
      <c r="E4202" s="82" t="s">
        <v>6</v>
      </c>
      <c r="F4202" s="88">
        <v>700</v>
      </c>
      <c r="G4202" s="86"/>
      <c r="H4202" s="86">
        <f>IFERROR(TRANSACTIONS!$F4202+TRANSACTIONS!$G4202,"")</f>
        <v>700</v>
      </c>
      <c r="I4202" s="88" t="s">
        <v>41</v>
      </c>
    </row>
    <row r="4203" spans="1:9" x14ac:dyDescent="0.25">
      <c r="A4203" s="81">
        <v>45372.742921874997</v>
      </c>
      <c r="B4203" s="83">
        <f>IF(A4203&lt;&gt;"",DATE(YEAR(TRANSACTIONS!$A4203),MONTH(TRANSACTIONS!$A4203),DAY(TRANSACTIONS!$A4203)),"")</f>
        <v>45372</v>
      </c>
      <c r="C4203" s="84">
        <f>IF(A4203&lt;&gt;"",TIME(HOUR(TRANSACTIONS!$A4203),MINUTE(TRANSACTIONS!$A4203),SECOND(TRANSACTIONS!$A4203)),"")</f>
        <v>0.74291666666666656</v>
      </c>
      <c r="D4203" s="82" t="s">
        <v>25</v>
      </c>
      <c r="E4203" s="82" t="s">
        <v>7</v>
      </c>
      <c r="F4203" s="88">
        <v>142500</v>
      </c>
      <c r="G4203" s="86"/>
      <c r="H4203" s="86">
        <f>IFERROR(TRANSACTIONS!$F4203+TRANSACTIONS!$G4203,"")</f>
        <v>142500</v>
      </c>
      <c r="I4203" s="88" t="s">
        <v>41</v>
      </c>
    </row>
    <row r="4204" spans="1:9" x14ac:dyDescent="0.25">
      <c r="A4204" s="113">
        <v>45372.742925231483</v>
      </c>
      <c r="B4204" s="114">
        <f>IF(A4204&lt;&gt;"",DATE(YEAR(TRANSACTIONS!$A4204),MONTH(TRANSACTIONS!$A4204),DAY(TRANSACTIONS!$A4204)),"")</f>
        <v>45372</v>
      </c>
      <c r="C4204" s="115">
        <f>IF(A4204&lt;&gt;"",TIME(HOUR(TRANSACTIONS!$A4204),MINUTE(TRANSACTIONS!$A4204),SECOND(TRANSACTIONS!$A4204)),"")</f>
        <v>0.74292824074074071</v>
      </c>
      <c r="D4204" s="82" t="s">
        <v>25</v>
      </c>
      <c r="E4204" s="82" t="s">
        <v>6</v>
      </c>
      <c r="F4204" s="88">
        <v>9000</v>
      </c>
      <c r="G4204" s="117"/>
      <c r="H4204" s="117">
        <f>IFERROR(TRANSACTIONS!$F4204+TRANSACTIONS!$G4204,"")</f>
        <v>9000</v>
      </c>
      <c r="I4204" s="118" t="s">
        <v>41</v>
      </c>
    </row>
    <row r="4205" spans="1:9" x14ac:dyDescent="0.25">
      <c r="A4205" s="41">
        <v>45372.742957986113</v>
      </c>
      <c r="B4205" s="48">
        <f>IF(A4205&lt;&gt;"",DATE(YEAR(TRANSACTIONS!$A4205),MONTH(TRANSACTIONS!$A4205),DAY(TRANSACTIONS!$A4205)),"")</f>
        <v>45372</v>
      </c>
      <c r="C4205" s="49">
        <f>IF(A4205&lt;&gt;"",TIME(HOUR(TRANSACTIONS!$A4205),MINUTE(TRANSACTIONS!$A4205),SECOND(TRANSACTIONS!$A4205)),"")</f>
        <v>0.74296296296296294</v>
      </c>
      <c r="D4205" s="82" t="s">
        <v>25</v>
      </c>
      <c r="E4205" s="82" t="s">
        <v>6</v>
      </c>
      <c r="F4205" s="88">
        <v>5000</v>
      </c>
      <c r="G4205" s="46"/>
      <c r="H4205" s="46">
        <f>IFERROR(TRANSACTIONS!$F4205+TRANSACTIONS!$G4205,"")</f>
        <v>5000</v>
      </c>
      <c r="I4205" s="40" t="s">
        <v>41</v>
      </c>
    </row>
    <row r="4206" spans="1:9" x14ac:dyDescent="0.25">
      <c r="A4206" s="41">
        <v>45372.742965740741</v>
      </c>
      <c r="B4206" s="48">
        <f>IF(A4206&lt;&gt;"",DATE(YEAR(TRANSACTIONS!$A4206),MONTH(TRANSACTIONS!$A4206),DAY(TRANSACTIONS!$A4206)),"")</f>
        <v>45372</v>
      </c>
      <c r="C4206" s="49">
        <f>IF(A4206&lt;&gt;"",TIME(HOUR(TRANSACTIONS!$A4206),MINUTE(TRANSACTIONS!$A4206),SECOND(TRANSACTIONS!$A4206)),"")</f>
        <v>0.74296296296296294</v>
      </c>
      <c r="D4206" s="82" t="s">
        <v>62</v>
      </c>
      <c r="E4206" s="82" t="s">
        <v>7</v>
      </c>
      <c r="F4206" s="88">
        <v>5000</v>
      </c>
      <c r="G4206" s="46"/>
      <c r="H4206" s="46">
        <f>IFERROR(TRANSACTIONS!$F4206+TRANSACTIONS!$G4206,"")</f>
        <v>5000</v>
      </c>
      <c r="I4206" s="40" t="s">
        <v>41</v>
      </c>
    </row>
    <row r="4207" spans="1:9" x14ac:dyDescent="0.25">
      <c r="A4207" s="41">
        <v>45372.742973495369</v>
      </c>
      <c r="B4207" s="48">
        <f>IF(A4207&lt;&gt;"",DATE(YEAR(TRANSACTIONS!$A4207),MONTH(TRANSACTIONS!$A4207),DAY(TRANSACTIONS!$A4207)),"")</f>
        <v>45372</v>
      </c>
      <c r="C4207" s="49">
        <f>IF(A4207&lt;&gt;"",TIME(HOUR(TRANSACTIONS!$A4207),MINUTE(TRANSACTIONS!$A4207),SECOND(TRANSACTIONS!$A4207)),"")</f>
        <v>0.74297453703703698</v>
      </c>
      <c r="D4207" s="82" t="s">
        <v>62</v>
      </c>
      <c r="E4207" s="82" t="s">
        <v>7</v>
      </c>
      <c r="F4207" s="88">
        <v>1000</v>
      </c>
      <c r="G4207" s="46"/>
      <c r="H4207" s="46">
        <f>IFERROR(TRANSACTIONS!$F4207+TRANSACTIONS!$G4207,"")</f>
        <v>1000</v>
      </c>
      <c r="I4207" s="40" t="s">
        <v>41</v>
      </c>
    </row>
    <row r="4208" spans="1:9" x14ac:dyDescent="0.25">
      <c r="A4208" s="41"/>
      <c r="B4208" s="48" t="str">
        <f>IF(A4208&lt;&gt;"",DATE(YEAR(TRANSACTIONS!$A4208),MONTH(TRANSACTIONS!$A4208),DAY(TRANSACTIONS!$A4208)),"")</f>
        <v/>
      </c>
      <c r="C4208" s="49" t="str">
        <f>IF(A4208&lt;&gt;"",TIME(HOUR(TRANSACTIONS!$A4208),MINUTE(TRANSACTIONS!$A4208),SECOND(TRANSACTIONS!$A4208)),"")</f>
        <v/>
      </c>
      <c r="D4208" s="82"/>
      <c r="E4208" s="82"/>
      <c r="F4208" s="88"/>
      <c r="G4208" s="46"/>
      <c r="H4208" s="46">
        <f>IFERROR(TRANSACTIONS!$F4208+TRANSACTIONS!$G4208,"")</f>
        <v>0</v>
      </c>
      <c r="I4208" s="40" t="s">
        <v>41</v>
      </c>
    </row>
    <row r="4209" spans="1:9" x14ac:dyDescent="0.25">
      <c r="A4209" s="41">
        <v>45373.449748032406</v>
      </c>
      <c r="B4209" s="48">
        <f>IF(A4209&lt;&gt;"",DATE(YEAR(TRANSACTIONS!$A4209),MONTH(TRANSACTIONS!$A4209),DAY(TRANSACTIONS!$A4209)),"")</f>
        <v>45373</v>
      </c>
      <c r="C4209" s="49">
        <f>IF(A4209&lt;&gt;"",TIME(HOUR(TRANSACTIONS!$A4209),MINUTE(TRANSACTIONS!$A4209),SECOND(TRANSACTIONS!$A4209)),"")</f>
        <v>0.44974537037037038</v>
      </c>
      <c r="D4209" s="82" t="s">
        <v>62</v>
      </c>
      <c r="E4209" s="82" t="s">
        <v>6</v>
      </c>
      <c r="F4209" s="88">
        <v>10000</v>
      </c>
      <c r="G4209" s="46"/>
      <c r="H4209" s="46">
        <f>IFERROR(TRANSACTIONS!$F4209+TRANSACTIONS!$G4209,"")</f>
        <v>10000</v>
      </c>
      <c r="I4209" s="40" t="s">
        <v>41</v>
      </c>
    </row>
    <row r="4210" spans="1:9" x14ac:dyDescent="0.25">
      <c r="A4210" s="41">
        <v>45373.412790162038</v>
      </c>
      <c r="B4210" s="48">
        <f>IF(A4210&lt;&gt;"",DATE(YEAR(TRANSACTIONS!$A4210),MONTH(TRANSACTIONS!$A4210),DAY(TRANSACTIONS!$A4210)),"")</f>
        <v>45373</v>
      </c>
      <c r="C4210" s="49">
        <f>IF(A4210&lt;&gt;"",TIME(HOUR(TRANSACTIONS!$A4210),MINUTE(TRANSACTIONS!$A4210),SECOND(TRANSACTIONS!$A4210)),"")</f>
        <v>0.41278935185185189</v>
      </c>
      <c r="D4210" s="82" t="s">
        <v>62</v>
      </c>
      <c r="E4210" s="82" t="s">
        <v>6</v>
      </c>
      <c r="F4210" s="88">
        <v>5000</v>
      </c>
      <c r="G4210" s="46"/>
      <c r="H4210" s="46">
        <f>IFERROR(TRANSACTIONS!$F4210+TRANSACTIONS!$G4210,"")</f>
        <v>5000</v>
      </c>
      <c r="I4210" s="40" t="s">
        <v>41</v>
      </c>
    </row>
    <row r="4211" spans="1:9" x14ac:dyDescent="0.25">
      <c r="A4211" s="41">
        <v>45373.412815509262</v>
      </c>
      <c r="B4211" s="48">
        <f>IF(A4211&lt;&gt;"",DATE(YEAR(TRANSACTIONS!$A4211),MONTH(TRANSACTIONS!$A4211),DAY(TRANSACTIONS!$A4211)),"")</f>
        <v>45373</v>
      </c>
      <c r="C4211" s="49">
        <f>IF(A4211&lt;&gt;"",TIME(HOUR(TRANSACTIONS!$A4211),MINUTE(TRANSACTIONS!$A4211),SECOND(TRANSACTIONS!$A4211)),"")</f>
        <v>0.41281250000000003</v>
      </c>
      <c r="D4211" s="82" t="s">
        <v>62</v>
      </c>
      <c r="E4211" s="82" t="s">
        <v>6</v>
      </c>
      <c r="F4211" s="88">
        <v>10000</v>
      </c>
      <c r="G4211" s="46"/>
      <c r="H4211" s="46">
        <f>IFERROR(TRANSACTIONS!$F4211+TRANSACTIONS!$G4211,"")</f>
        <v>10000</v>
      </c>
      <c r="I4211" s="40" t="s">
        <v>41</v>
      </c>
    </row>
    <row r="4212" spans="1:9" x14ac:dyDescent="0.25">
      <c r="A4212" s="41">
        <v>45373.412828472225</v>
      </c>
      <c r="B4212" s="48">
        <f>IF(A4212&lt;&gt;"",DATE(YEAR(TRANSACTIONS!$A4212),MONTH(TRANSACTIONS!$A4212),DAY(TRANSACTIONS!$A4212)),"")</f>
        <v>45373</v>
      </c>
      <c r="C4212" s="49">
        <f>IF(A4212&lt;&gt;"",TIME(HOUR(TRANSACTIONS!$A4212),MINUTE(TRANSACTIONS!$A4212),SECOND(TRANSACTIONS!$A4212)),"")</f>
        <v>0.41282407407407407</v>
      </c>
      <c r="D4212" s="82" t="s">
        <v>62</v>
      </c>
      <c r="E4212" s="82" t="s">
        <v>7</v>
      </c>
      <c r="F4212" s="88">
        <v>80000</v>
      </c>
      <c r="G4212" s="46"/>
      <c r="H4212" s="46">
        <f>IFERROR(TRANSACTIONS!$F4212+TRANSACTIONS!$G4212,"")</f>
        <v>80000</v>
      </c>
      <c r="I4212" s="40" t="s">
        <v>41</v>
      </c>
    </row>
    <row r="4213" spans="1:9" x14ac:dyDescent="0.25">
      <c r="A4213" s="41">
        <v>45373.412837384261</v>
      </c>
      <c r="B4213" s="48">
        <f>IF(A4213&lt;&gt;"",DATE(YEAR(TRANSACTIONS!$A4213),MONTH(TRANSACTIONS!$A4213),DAY(TRANSACTIONS!$A4213)),"")</f>
        <v>45373</v>
      </c>
      <c r="C4213" s="49">
        <f>IF(A4213&lt;&gt;"",TIME(HOUR(TRANSACTIONS!$A4213),MINUTE(TRANSACTIONS!$A4213),SECOND(TRANSACTIONS!$A4213)),"")</f>
        <v>0.41283564814814816</v>
      </c>
      <c r="D4213" s="82" t="s">
        <v>62</v>
      </c>
      <c r="E4213" s="82" t="s">
        <v>6</v>
      </c>
      <c r="F4213" s="88">
        <v>70000</v>
      </c>
      <c r="G4213" s="46"/>
      <c r="H4213" s="46">
        <f>IFERROR(TRANSACTIONS!$F4213+TRANSACTIONS!$G4213,"")</f>
        <v>70000</v>
      </c>
      <c r="I4213" s="40" t="s">
        <v>41</v>
      </c>
    </row>
    <row r="4214" spans="1:9" x14ac:dyDescent="0.25">
      <c r="A4214" s="41">
        <v>45373.412846180552</v>
      </c>
      <c r="B4214" s="48">
        <f>IF(A4214&lt;&gt;"",DATE(YEAR(TRANSACTIONS!$A4214),MONTH(TRANSACTIONS!$A4214),DAY(TRANSACTIONS!$A4214)),"")</f>
        <v>45373</v>
      </c>
      <c r="C4214" s="49">
        <f>IF(A4214&lt;&gt;"",TIME(HOUR(TRANSACTIONS!$A4214),MINUTE(TRANSACTIONS!$A4214),SECOND(TRANSACTIONS!$A4214)),"")</f>
        <v>0.4128472222222222</v>
      </c>
      <c r="D4214" s="82" t="s">
        <v>62</v>
      </c>
      <c r="E4214" s="82" t="s">
        <v>6</v>
      </c>
      <c r="F4214" s="88">
        <v>4000</v>
      </c>
      <c r="G4214" s="46"/>
      <c r="H4214" s="46">
        <f>IFERROR(TRANSACTIONS!$F4214+TRANSACTIONS!$G4214,"")</f>
        <v>4000</v>
      </c>
      <c r="I4214" s="40" t="s">
        <v>41</v>
      </c>
    </row>
    <row r="4215" spans="1:9" x14ac:dyDescent="0.25">
      <c r="A4215" s="41">
        <v>45373.412854050926</v>
      </c>
      <c r="B4215" s="48">
        <f>IF(A4215&lt;&gt;"",DATE(YEAR(TRANSACTIONS!$A4215),MONTH(TRANSACTIONS!$A4215),DAY(TRANSACTIONS!$A4215)),"")</f>
        <v>45373</v>
      </c>
      <c r="C4215" s="49">
        <f>IF(A4215&lt;&gt;"",TIME(HOUR(TRANSACTIONS!$A4215),MINUTE(TRANSACTIONS!$A4215),SECOND(TRANSACTIONS!$A4215)),"")</f>
        <v>0.41285879629629635</v>
      </c>
      <c r="D4215" s="82" t="s">
        <v>62</v>
      </c>
      <c r="E4215" s="82" t="s">
        <v>7</v>
      </c>
      <c r="F4215" s="88">
        <v>35000</v>
      </c>
      <c r="G4215" s="46"/>
      <c r="H4215" s="46">
        <f>IFERROR(TRANSACTIONS!$F4215+TRANSACTIONS!$G4215,"")</f>
        <v>35000</v>
      </c>
      <c r="I4215" s="40" t="s">
        <v>41</v>
      </c>
    </row>
    <row r="4216" spans="1:9" x14ac:dyDescent="0.25">
      <c r="A4216" s="41">
        <v>45373.412861458331</v>
      </c>
      <c r="B4216" s="48">
        <f>IF(A4216&lt;&gt;"",DATE(YEAR(TRANSACTIONS!$A4216),MONTH(TRANSACTIONS!$A4216),DAY(TRANSACTIONS!$A4216)),"")</f>
        <v>45373</v>
      </c>
      <c r="C4216" s="49">
        <f>IF(A4216&lt;&gt;"",TIME(HOUR(TRANSACTIONS!$A4216),MINUTE(TRANSACTIONS!$A4216),SECOND(TRANSACTIONS!$A4216)),"")</f>
        <v>0.41285879629629635</v>
      </c>
      <c r="D4216" s="82" t="s">
        <v>62</v>
      </c>
      <c r="E4216" s="82" t="s">
        <v>6</v>
      </c>
      <c r="F4216" s="88">
        <v>5000</v>
      </c>
      <c r="G4216" s="46"/>
      <c r="H4216" s="46">
        <f>IFERROR(TRANSACTIONS!$F4216+TRANSACTIONS!$G4216,"")</f>
        <v>5000</v>
      </c>
      <c r="I4216" s="40" t="s">
        <v>41</v>
      </c>
    </row>
    <row r="4217" spans="1:9" x14ac:dyDescent="0.25">
      <c r="A4217" s="41">
        <v>45373.412868981482</v>
      </c>
      <c r="B4217" s="48">
        <f>IF(A4217&lt;&gt;"",DATE(YEAR(TRANSACTIONS!$A4217),MONTH(TRANSACTIONS!$A4217),DAY(TRANSACTIONS!$A4217)),"")</f>
        <v>45373</v>
      </c>
      <c r="C4217" s="49">
        <f>IF(A4217&lt;&gt;"",TIME(HOUR(TRANSACTIONS!$A4217),MINUTE(TRANSACTIONS!$A4217),SECOND(TRANSACTIONS!$A4217)),"")</f>
        <v>0.41287037037037039</v>
      </c>
      <c r="D4217" s="82" t="s">
        <v>62</v>
      </c>
      <c r="E4217" s="82" t="s">
        <v>6</v>
      </c>
      <c r="F4217" s="88">
        <v>26800</v>
      </c>
      <c r="G4217" s="46"/>
      <c r="H4217" s="46">
        <f>IFERROR(TRANSACTIONS!$F4217+TRANSACTIONS!$G4217,"")</f>
        <v>26800</v>
      </c>
      <c r="I4217" s="40" t="s">
        <v>41</v>
      </c>
    </row>
    <row r="4218" spans="1:9" x14ac:dyDescent="0.25">
      <c r="A4218" s="41">
        <v>45373.412878009258</v>
      </c>
      <c r="B4218" s="48">
        <f>IF(A4218&lt;&gt;"",DATE(YEAR(TRANSACTIONS!$A4218),MONTH(TRANSACTIONS!$A4218),DAY(TRANSACTIONS!$A4218)),"")</f>
        <v>45373</v>
      </c>
      <c r="C4218" s="49">
        <f>IF(A4218&lt;&gt;"",TIME(HOUR(TRANSACTIONS!$A4218),MINUTE(TRANSACTIONS!$A4218),SECOND(TRANSACTIONS!$A4218)),"")</f>
        <v>0.41288194444444443</v>
      </c>
      <c r="D4218" s="82" t="s">
        <v>62</v>
      </c>
      <c r="E4218" s="82" t="s">
        <v>6</v>
      </c>
      <c r="F4218" s="88">
        <v>10000</v>
      </c>
      <c r="G4218" s="46"/>
      <c r="H4218" s="46">
        <f>IFERROR(TRANSACTIONS!$F4218+TRANSACTIONS!$G4218,"")</f>
        <v>10000</v>
      </c>
      <c r="I4218" s="40" t="s">
        <v>41</v>
      </c>
    </row>
    <row r="4219" spans="1:9" x14ac:dyDescent="0.25">
      <c r="A4219" s="41">
        <v>45373.412885300924</v>
      </c>
      <c r="B4219" s="48">
        <f>IF(A4219&lt;&gt;"",DATE(YEAR(TRANSACTIONS!$A4219),MONTH(TRANSACTIONS!$A4219),DAY(TRANSACTIONS!$A4219)),"")</f>
        <v>45373</v>
      </c>
      <c r="C4219" s="49">
        <f>IF(A4219&lt;&gt;"",TIME(HOUR(TRANSACTIONS!$A4219),MINUTE(TRANSACTIONS!$A4219),SECOND(TRANSACTIONS!$A4219)),"")</f>
        <v>0.41288194444444443</v>
      </c>
      <c r="D4219" s="82" t="s">
        <v>62</v>
      </c>
      <c r="E4219" s="82" t="s">
        <v>7</v>
      </c>
      <c r="F4219" s="88">
        <v>80000</v>
      </c>
      <c r="G4219" s="46"/>
      <c r="H4219" s="46">
        <f>IFERROR(TRANSACTIONS!$F4219+TRANSACTIONS!$G4219,"")</f>
        <v>80000</v>
      </c>
      <c r="I4219" s="40" t="s">
        <v>41</v>
      </c>
    </row>
    <row r="4220" spans="1:9" x14ac:dyDescent="0.25">
      <c r="A4220" s="41">
        <v>45373.41289363426</v>
      </c>
      <c r="B4220" s="48">
        <f>IF(A4220&lt;&gt;"",DATE(YEAR(TRANSACTIONS!$A4220),MONTH(TRANSACTIONS!$A4220),DAY(TRANSACTIONS!$A4220)),"")</f>
        <v>45373</v>
      </c>
      <c r="C4220" s="49">
        <f>IF(A4220&lt;&gt;"",TIME(HOUR(TRANSACTIONS!$A4220),MINUTE(TRANSACTIONS!$A4220),SECOND(TRANSACTIONS!$A4220)),"")</f>
        <v>0.41289351851851852</v>
      </c>
      <c r="D4220" s="82" t="s">
        <v>62</v>
      </c>
      <c r="E4220" s="82" t="s">
        <v>6</v>
      </c>
      <c r="F4220" s="88">
        <v>10000</v>
      </c>
      <c r="G4220" s="46"/>
      <c r="H4220" s="46">
        <f>IFERROR(TRANSACTIONS!$F4220+TRANSACTIONS!$G4220,"")</f>
        <v>10000</v>
      </c>
      <c r="I4220" s="40" t="s">
        <v>41</v>
      </c>
    </row>
    <row r="4221" spans="1:9" x14ac:dyDescent="0.25">
      <c r="A4221" s="41">
        <v>45373.412901041665</v>
      </c>
      <c r="B4221" s="48">
        <f>IF(A4221&lt;&gt;"",DATE(YEAR(TRANSACTIONS!$A4221),MONTH(TRANSACTIONS!$A4221),DAY(TRANSACTIONS!$A4221)),"")</f>
        <v>45373</v>
      </c>
      <c r="C4221" s="49">
        <f>IF(A4221&lt;&gt;"",TIME(HOUR(TRANSACTIONS!$A4221),MINUTE(TRANSACTIONS!$A4221),SECOND(TRANSACTIONS!$A4221)),"")</f>
        <v>0.41290509259259256</v>
      </c>
      <c r="D4221" s="82" t="s">
        <v>62</v>
      </c>
      <c r="E4221" s="82" t="s">
        <v>7</v>
      </c>
      <c r="F4221" s="88">
        <v>9500</v>
      </c>
      <c r="G4221" s="46"/>
      <c r="H4221" s="46">
        <f>IFERROR(TRANSACTIONS!$F4221+TRANSACTIONS!$G4221,"")</f>
        <v>9500</v>
      </c>
      <c r="I4221" s="40" t="s">
        <v>41</v>
      </c>
    </row>
    <row r="4222" spans="1:9" x14ac:dyDescent="0.25">
      <c r="A4222" s="41">
        <v>45373.412908796294</v>
      </c>
      <c r="B4222" s="48">
        <f>IF(A4222&lt;&gt;"",DATE(YEAR(TRANSACTIONS!$A4222),MONTH(TRANSACTIONS!$A4222),DAY(TRANSACTIONS!$A4222)),"")</f>
        <v>45373</v>
      </c>
      <c r="C4222" s="49">
        <f>IF(A4222&lt;&gt;"",TIME(HOUR(TRANSACTIONS!$A4222),MINUTE(TRANSACTIONS!$A4222),SECOND(TRANSACTIONS!$A4222)),"")</f>
        <v>0.41290509259259256</v>
      </c>
      <c r="D4222" s="82" t="s">
        <v>62</v>
      </c>
      <c r="E4222" s="82" t="s">
        <v>6</v>
      </c>
      <c r="F4222" s="88">
        <v>30000</v>
      </c>
      <c r="G4222" s="46"/>
      <c r="H4222" s="46">
        <f>IFERROR(TRANSACTIONS!$F4222+TRANSACTIONS!$G4222,"")</f>
        <v>30000</v>
      </c>
      <c r="I4222" s="40" t="s">
        <v>41</v>
      </c>
    </row>
    <row r="4223" spans="1:9" x14ac:dyDescent="0.25">
      <c r="A4223" s="41">
        <v>45373.412916782407</v>
      </c>
      <c r="B4223" s="48">
        <f>IF(A4223&lt;&gt;"",DATE(YEAR(TRANSACTIONS!$A4223),MONTH(TRANSACTIONS!$A4223),DAY(TRANSACTIONS!$A4223)),"")</f>
        <v>45373</v>
      </c>
      <c r="C4223" s="49">
        <f>IF(A4223&lt;&gt;"",TIME(HOUR(TRANSACTIONS!$A4223),MINUTE(TRANSACTIONS!$A4223),SECOND(TRANSACTIONS!$A4223)),"")</f>
        <v>0.41291666666666665</v>
      </c>
      <c r="D4223" s="82" t="s">
        <v>62</v>
      </c>
      <c r="E4223" s="82" t="s">
        <v>7</v>
      </c>
      <c r="F4223" s="88">
        <v>32000</v>
      </c>
      <c r="G4223" s="46"/>
      <c r="H4223" s="46">
        <f>IFERROR(TRANSACTIONS!$F4223+TRANSACTIONS!$G4223,"")</f>
        <v>32000</v>
      </c>
      <c r="I4223" s="40" t="s">
        <v>41</v>
      </c>
    </row>
    <row r="4224" spans="1:9" x14ac:dyDescent="0.25">
      <c r="A4224" s="41">
        <v>45373.413047106478</v>
      </c>
      <c r="B4224" s="48">
        <f>IF(A4224&lt;&gt;"",DATE(YEAR(TRANSACTIONS!$A4224),MONTH(TRANSACTIONS!$A4224),DAY(TRANSACTIONS!$A4224)),"")</f>
        <v>45373</v>
      </c>
      <c r="C4224" s="49">
        <f>IF(A4224&lt;&gt;"",TIME(HOUR(TRANSACTIONS!$A4224),MINUTE(TRANSACTIONS!$A4224),SECOND(TRANSACTIONS!$A4224)),"")</f>
        <v>0.41304398148148147</v>
      </c>
      <c r="D4224" s="82" t="s">
        <v>72</v>
      </c>
      <c r="E4224" s="82" t="s">
        <v>6</v>
      </c>
      <c r="F4224" s="88">
        <v>1500</v>
      </c>
      <c r="G4224" s="46"/>
      <c r="H4224" s="46">
        <f>IFERROR(TRANSACTIONS!$F4224+TRANSACTIONS!$G4224,"")</f>
        <v>1500</v>
      </c>
      <c r="I4224" s="40" t="s">
        <v>41</v>
      </c>
    </row>
    <row r="4225" spans="1:9" x14ac:dyDescent="0.25">
      <c r="A4225" s="41">
        <v>45373.413055555553</v>
      </c>
      <c r="B4225" s="48">
        <f>IF(A4225&lt;&gt;"",DATE(YEAR(TRANSACTIONS!$A4225),MONTH(TRANSACTIONS!$A4225),DAY(TRANSACTIONS!$A4225)),"")</f>
        <v>45373</v>
      </c>
      <c r="C4225" s="49">
        <f>IF(A4225&lt;&gt;"",TIME(HOUR(TRANSACTIONS!$A4225),MINUTE(TRANSACTIONS!$A4225),SECOND(TRANSACTIONS!$A4225)),"")</f>
        <v>0.41305555555555556</v>
      </c>
      <c r="D4225" s="82" t="s">
        <v>62</v>
      </c>
      <c r="E4225" s="82" t="s">
        <v>7</v>
      </c>
      <c r="F4225" s="88">
        <v>15000</v>
      </c>
      <c r="G4225" s="46"/>
      <c r="H4225" s="46">
        <f>IFERROR(TRANSACTIONS!$F4225+TRANSACTIONS!$G4225,"")</f>
        <v>15000</v>
      </c>
      <c r="I4225" s="40" t="s">
        <v>41</v>
      </c>
    </row>
    <row r="4226" spans="1:9" x14ac:dyDescent="0.25">
      <c r="A4226" s="41">
        <v>45373.413080902777</v>
      </c>
      <c r="B4226" s="48">
        <f>IF(A4226&lt;&gt;"",DATE(YEAR(TRANSACTIONS!$A4226),MONTH(TRANSACTIONS!$A4226),DAY(TRANSACTIONS!$A4226)),"")</f>
        <v>45373</v>
      </c>
      <c r="C4226" s="49">
        <f>IF(A4226&lt;&gt;"",TIME(HOUR(TRANSACTIONS!$A4226),MINUTE(TRANSACTIONS!$A4226),SECOND(TRANSACTIONS!$A4226)),"")</f>
        <v>0.41307870370370375</v>
      </c>
      <c r="D4226" s="82" t="s">
        <v>62</v>
      </c>
      <c r="E4226" s="82" t="s">
        <v>7</v>
      </c>
      <c r="F4226" s="88">
        <v>1000</v>
      </c>
      <c r="G4226" s="46"/>
      <c r="H4226" s="46">
        <f>IFERROR(TRANSACTIONS!$F4226+TRANSACTIONS!$G4226,"")</f>
        <v>1000</v>
      </c>
      <c r="I4226" s="40" t="s">
        <v>41</v>
      </c>
    </row>
    <row r="4227" spans="1:9" x14ac:dyDescent="0.25">
      <c r="A4227" s="41">
        <v>45373.413089930553</v>
      </c>
      <c r="B4227" s="48">
        <f>IF(A4227&lt;&gt;"",DATE(YEAR(TRANSACTIONS!$A4227),MONTH(TRANSACTIONS!$A4227),DAY(TRANSACTIONS!$A4227)),"")</f>
        <v>45373</v>
      </c>
      <c r="C4227" s="49">
        <f>IF(A4227&lt;&gt;"",TIME(HOUR(TRANSACTIONS!$A4227),MINUTE(TRANSACTIONS!$A4227),SECOND(TRANSACTIONS!$A4227)),"")</f>
        <v>0.41309027777777779</v>
      </c>
      <c r="D4227" s="82" t="s">
        <v>62</v>
      </c>
      <c r="E4227" s="82" t="s">
        <v>6</v>
      </c>
      <c r="F4227" s="88">
        <v>15000</v>
      </c>
      <c r="G4227" s="46"/>
      <c r="H4227" s="46">
        <f>IFERROR(TRANSACTIONS!$F4227+TRANSACTIONS!$G4227,"")</f>
        <v>15000</v>
      </c>
      <c r="I4227" s="40" t="s">
        <v>41</v>
      </c>
    </row>
    <row r="4228" spans="1:9" x14ac:dyDescent="0.25">
      <c r="A4228" s="41">
        <v>45373.414494675926</v>
      </c>
      <c r="B4228" s="48">
        <f>IF(A4228&lt;&gt;"",DATE(YEAR(TRANSACTIONS!$A4228),MONTH(TRANSACTIONS!$A4228),DAY(TRANSACTIONS!$A4228)),"")</f>
        <v>45373</v>
      </c>
      <c r="C4228" s="49">
        <f>IF(A4228&lt;&gt;"",TIME(HOUR(TRANSACTIONS!$A4228),MINUTE(TRANSACTIONS!$A4228),SECOND(TRANSACTIONS!$A4228)),"")</f>
        <v>0.41449074074074077</v>
      </c>
      <c r="D4228" s="82" t="s">
        <v>62</v>
      </c>
      <c r="E4228" s="82" t="s">
        <v>7</v>
      </c>
      <c r="F4228" s="88">
        <v>3000</v>
      </c>
      <c r="G4228" s="46"/>
      <c r="H4228" s="46">
        <f>IFERROR(TRANSACTIONS!$F4228+TRANSACTIONS!$G4228,"")</f>
        <v>3000</v>
      </c>
      <c r="I4228" s="40" t="s">
        <v>41</v>
      </c>
    </row>
    <row r="4229" spans="1:9" x14ac:dyDescent="0.25">
      <c r="A4229" s="41">
        <v>45373.447226851851</v>
      </c>
      <c r="B4229" s="48">
        <f>IF(A4229&lt;&gt;"",DATE(YEAR(TRANSACTIONS!$A4229),MONTH(TRANSACTIONS!$A4229),DAY(TRANSACTIONS!$A4229)),"")</f>
        <v>45373</v>
      </c>
      <c r="C4229" s="49">
        <f>IF(A4229&lt;&gt;"",TIME(HOUR(TRANSACTIONS!$A4229),MINUTE(TRANSACTIONS!$A4229),SECOND(TRANSACTIONS!$A4229)),"")</f>
        <v>0.44722222222222219</v>
      </c>
      <c r="D4229" s="82" t="s">
        <v>62</v>
      </c>
      <c r="E4229" s="82" t="s">
        <v>7</v>
      </c>
      <c r="F4229" s="88">
        <v>7000</v>
      </c>
      <c r="G4229" s="46"/>
      <c r="H4229" s="46">
        <f>IFERROR(TRANSACTIONS!$F4229+TRANSACTIONS!$G4229,"")</f>
        <v>7000</v>
      </c>
      <c r="I4229" s="40" t="s">
        <v>41</v>
      </c>
    </row>
    <row r="4230" spans="1:9" x14ac:dyDescent="0.25">
      <c r="A4230" s="41">
        <v>45373.448601388889</v>
      </c>
      <c r="B4230" s="48">
        <f>IF(A4230&lt;&gt;"",DATE(YEAR(TRANSACTIONS!$A4230),MONTH(TRANSACTIONS!$A4230),DAY(TRANSACTIONS!$A4230)),"")</f>
        <v>45373</v>
      </c>
      <c r="C4230" s="49">
        <f>IF(A4230&lt;&gt;"",TIME(HOUR(TRANSACTIONS!$A4230),MINUTE(TRANSACTIONS!$A4230),SECOND(TRANSACTIONS!$A4230)),"")</f>
        <v>0.44859953703703703</v>
      </c>
      <c r="D4230" s="82" t="s">
        <v>25</v>
      </c>
      <c r="E4230" s="82" t="s">
        <v>6</v>
      </c>
      <c r="F4230" s="88">
        <v>3025</v>
      </c>
      <c r="G4230" s="46"/>
      <c r="H4230" s="46">
        <f>IFERROR(TRANSACTIONS!$F4230+TRANSACTIONS!$G4230,"")</f>
        <v>3025</v>
      </c>
      <c r="I4230" s="40" t="s">
        <v>41</v>
      </c>
    </row>
    <row r="4231" spans="1:9" x14ac:dyDescent="0.25">
      <c r="A4231" s="41">
        <v>45373.448604745368</v>
      </c>
      <c r="B4231" s="48">
        <f>IF(A4231&lt;&gt;"",DATE(YEAR(TRANSACTIONS!$A4231),MONTH(TRANSACTIONS!$A4231),DAY(TRANSACTIONS!$A4231)),"")</f>
        <v>45373</v>
      </c>
      <c r="C4231" s="49">
        <f>IF(A4231&lt;&gt;"",TIME(HOUR(TRANSACTIONS!$A4231),MINUTE(TRANSACTIONS!$A4231),SECOND(TRANSACTIONS!$A4231)),"")</f>
        <v>0.44859953703703703</v>
      </c>
      <c r="D4231" s="82" t="s">
        <v>25</v>
      </c>
      <c r="E4231" s="82" t="s">
        <v>6</v>
      </c>
      <c r="F4231" s="88">
        <v>13000</v>
      </c>
      <c r="G4231" s="46"/>
      <c r="H4231" s="46">
        <f>IFERROR(TRANSACTIONS!$F4231+TRANSACTIONS!$G4231,"")</f>
        <v>13000</v>
      </c>
      <c r="I4231" s="40" t="s">
        <v>41</v>
      </c>
    </row>
    <row r="4232" spans="1:9" x14ac:dyDescent="0.25">
      <c r="A4232" s="41">
        <v>45373.448633333333</v>
      </c>
      <c r="B4232" s="48">
        <f>IF(A4232&lt;&gt;"",DATE(YEAR(TRANSACTIONS!$A4232),MONTH(TRANSACTIONS!$A4232),DAY(TRANSACTIONS!$A4232)),"")</f>
        <v>45373</v>
      </c>
      <c r="C4232" s="49">
        <f>IF(A4232&lt;&gt;"",TIME(HOUR(TRANSACTIONS!$A4232),MINUTE(TRANSACTIONS!$A4232),SECOND(TRANSACTIONS!$A4232)),"")</f>
        <v>0.4486342592592592</v>
      </c>
      <c r="D4232" s="82" t="s">
        <v>25</v>
      </c>
      <c r="E4232" s="82" t="s">
        <v>7</v>
      </c>
      <c r="F4232" s="88">
        <v>19000</v>
      </c>
      <c r="G4232" s="46"/>
      <c r="H4232" s="46">
        <f>IFERROR(TRANSACTIONS!$F4232+TRANSACTIONS!$G4232,"")</f>
        <v>19000</v>
      </c>
      <c r="I4232" s="40" t="s">
        <v>41</v>
      </c>
    </row>
    <row r="4233" spans="1:9" x14ac:dyDescent="0.25">
      <c r="A4233" s="41">
        <v>45373.448640393515</v>
      </c>
      <c r="B4233" s="48">
        <f>IF(A4233&lt;&gt;"",DATE(YEAR(TRANSACTIONS!$A4233),MONTH(TRANSACTIONS!$A4233),DAY(TRANSACTIONS!$A4233)),"")</f>
        <v>45373</v>
      </c>
      <c r="C4233" s="49">
        <f>IF(A4233&lt;&gt;"",TIME(HOUR(TRANSACTIONS!$A4233),MINUTE(TRANSACTIONS!$A4233),SECOND(TRANSACTIONS!$A4233)),"")</f>
        <v>0.44864583333333335</v>
      </c>
      <c r="D4233" s="82" t="s">
        <v>62</v>
      </c>
      <c r="E4233" s="82" t="s">
        <v>7</v>
      </c>
      <c r="F4233" s="88">
        <v>2500</v>
      </c>
      <c r="G4233" s="46"/>
      <c r="H4233" s="46">
        <f>IFERROR(TRANSACTIONS!$F4233+TRANSACTIONS!$G4233,"")</f>
        <v>2500</v>
      </c>
      <c r="I4233" s="40" t="s">
        <v>41</v>
      </c>
    </row>
    <row r="4234" spans="1:9" x14ac:dyDescent="0.25">
      <c r="A4234" s="41">
        <v>45373.450308796295</v>
      </c>
      <c r="B4234" s="48">
        <f>IF(A4234&lt;&gt;"",DATE(YEAR(TRANSACTIONS!$A4234),MONTH(TRANSACTIONS!$A4234),DAY(TRANSACTIONS!$A4234)),"")</f>
        <v>45373</v>
      </c>
      <c r="C4234" s="49">
        <f>IF(A4234&lt;&gt;"",TIME(HOUR(TRANSACTIONS!$A4234),MINUTE(TRANSACTIONS!$A4234),SECOND(TRANSACTIONS!$A4234)),"")</f>
        <v>0.45031249999999995</v>
      </c>
      <c r="D4234" s="82" t="s">
        <v>62</v>
      </c>
      <c r="E4234" s="82" t="s">
        <v>7</v>
      </c>
      <c r="F4234" s="88">
        <v>25000</v>
      </c>
      <c r="G4234" s="46"/>
      <c r="H4234" s="46">
        <f>IFERROR(TRANSACTIONS!$F4234+TRANSACTIONS!$G4234,"")</f>
        <v>25000</v>
      </c>
      <c r="I4234" s="40" t="s">
        <v>41</v>
      </c>
    </row>
    <row r="4235" spans="1:9" x14ac:dyDescent="0.25">
      <c r="A4235" s="41">
        <v>45373.52204074074</v>
      </c>
      <c r="B4235" s="48">
        <f>IF(A4235&lt;&gt;"",DATE(YEAR(TRANSACTIONS!$A4235),MONTH(TRANSACTIONS!$A4235),DAY(TRANSACTIONS!$A4235)),"")</f>
        <v>45373</v>
      </c>
      <c r="C4235" s="49">
        <f>IF(A4235&lt;&gt;"",TIME(HOUR(TRANSACTIONS!$A4235),MINUTE(TRANSACTIONS!$A4235),SECOND(TRANSACTIONS!$A4235)),"")</f>
        <v>0.52203703703703697</v>
      </c>
      <c r="D4235" s="82" t="s">
        <v>62</v>
      </c>
      <c r="E4235" s="82" t="s">
        <v>7</v>
      </c>
      <c r="F4235" s="248">
        <v>100000</v>
      </c>
      <c r="G4235" s="46"/>
      <c r="H4235" s="46">
        <f>IFERROR(TRANSACTIONS!$F4235+TRANSACTIONS!$G4235,"")</f>
        <v>100000</v>
      </c>
      <c r="I4235" s="40" t="s">
        <v>41</v>
      </c>
    </row>
    <row r="4236" spans="1:9" x14ac:dyDescent="0.25">
      <c r="A4236" s="41">
        <v>45373.52206747685</v>
      </c>
      <c r="B4236" s="48">
        <f>IF(A4236&lt;&gt;"",DATE(YEAR(TRANSACTIONS!$A4236),MONTH(TRANSACTIONS!$A4236),DAY(TRANSACTIONS!$A4236)),"")</f>
        <v>45373</v>
      </c>
      <c r="C4236" s="49">
        <f>IF(A4236&lt;&gt;"",TIME(HOUR(TRANSACTIONS!$A4236),MINUTE(TRANSACTIONS!$A4236),SECOND(TRANSACTIONS!$A4236)),"")</f>
        <v>0.5220717592592593</v>
      </c>
      <c r="D4236" s="82" t="s">
        <v>62</v>
      </c>
      <c r="E4236" s="82" t="s">
        <v>7</v>
      </c>
      <c r="F4236" s="88">
        <v>75000</v>
      </c>
      <c r="G4236" s="46"/>
      <c r="H4236" s="46">
        <f>IFERROR(TRANSACTIONS!$F4236+TRANSACTIONS!$G4236,"")</f>
        <v>75000</v>
      </c>
      <c r="I4236" s="40" t="s">
        <v>41</v>
      </c>
    </row>
    <row r="4237" spans="1:9" x14ac:dyDescent="0.25">
      <c r="A4237" s="41">
        <v>45373.5220505787</v>
      </c>
      <c r="B4237" s="48">
        <f>IF(A4237&lt;&gt;"",DATE(YEAR(TRANSACTIONS!$A4237),MONTH(TRANSACTIONS!$A4237),DAY(TRANSACTIONS!$A4237)),"")</f>
        <v>45373</v>
      </c>
      <c r="C4237" s="49">
        <f>IF(A4237&lt;&gt;"",TIME(HOUR(TRANSACTIONS!$A4237),MINUTE(TRANSACTIONS!$A4237),SECOND(TRANSACTIONS!$A4237)),"")</f>
        <v>0.52204861111111112</v>
      </c>
      <c r="D4237" s="82" t="s">
        <v>62</v>
      </c>
      <c r="E4237" s="82" t="s">
        <v>7</v>
      </c>
      <c r="F4237" s="88">
        <v>5000</v>
      </c>
      <c r="G4237" s="46"/>
      <c r="H4237" s="46">
        <f>IFERROR(TRANSACTIONS!$F4237+TRANSACTIONS!$G4237,"")</f>
        <v>5000</v>
      </c>
      <c r="I4237" s="40" t="s">
        <v>41</v>
      </c>
    </row>
    <row r="4238" spans="1:9" x14ac:dyDescent="0.25">
      <c r="A4238" s="41">
        <v>45373.524190509263</v>
      </c>
      <c r="B4238" s="48">
        <f>IF(A4238&lt;&gt;"",DATE(YEAR(TRANSACTIONS!$A4238),MONTH(TRANSACTIONS!$A4238),DAY(TRANSACTIONS!$A4238)),"")</f>
        <v>45373</v>
      </c>
      <c r="C4238" s="49">
        <f>IF(A4238&lt;&gt;"",TIME(HOUR(TRANSACTIONS!$A4238),MINUTE(TRANSACTIONS!$A4238),SECOND(TRANSACTIONS!$A4238)),"")</f>
        <v>0.52418981481481486</v>
      </c>
      <c r="D4238" s="82" t="s">
        <v>62</v>
      </c>
      <c r="E4238" s="82" t="s">
        <v>7</v>
      </c>
      <c r="F4238" s="88">
        <v>6000</v>
      </c>
      <c r="G4238" s="46"/>
      <c r="H4238" s="46">
        <f>IFERROR(TRANSACTIONS!$F4238+TRANSACTIONS!$G4238,"")</f>
        <v>6000</v>
      </c>
      <c r="I4238" s="40" t="s">
        <v>41</v>
      </c>
    </row>
    <row r="4239" spans="1:9" x14ac:dyDescent="0.25">
      <c r="A4239" s="41">
        <v>45373.524219212966</v>
      </c>
      <c r="B4239" s="48">
        <f>IF(A4239&lt;&gt;"",DATE(YEAR(TRANSACTIONS!$A4239),MONTH(TRANSACTIONS!$A4239),DAY(TRANSACTIONS!$A4239)),"")</f>
        <v>45373</v>
      </c>
      <c r="C4239" s="49">
        <f>IF(A4239&lt;&gt;"",TIME(HOUR(TRANSACTIONS!$A4239),MINUTE(TRANSACTIONS!$A4239),SECOND(TRANSACTIONS!$A4239)),"")</f>
        <v>0.52422453703703698</v>
      </c>
      <c r="D4239" s="82" t="s">
        <v>62</v>
      </c>
      <c r="E4239" s="82" t="s">
        <v>7</v>
      </c>
      <c r="F4239" s="88">
        <v>200000</v>
      </c>
      <c r="G4239" s="46"/>
      <c r="H4239" s="46">
        <f>IFERROR(TRANSACTIONS!$F4239+TRANSACTIONS!$G4239,"")</f>
        <v>200000</v>
      </c>
      <c r="I4239" s="40" t="s">
        <v>41</v>
      </c>
    </row>
    <row r="4240" spans="1:9" x14ac:dyDescent="0.25">
      <c r="A4240" s="41">
        <v>45373.524227199072</v>
      </c>
      <c r="B4240" s="48">
        <f>IF(A4240&lt;&gt;"",DATE(YEAR(TRANSACTIONS!$A4240),MONTH(TRANSACTIONS!$A4240),DAY(TRANSACTIONS!$A4240)),"")</f>
        <v>45373</v>
      </c>
      <c r="C4240" s="49">
        <f>IF(A4240&lt;&gt;"",TIME(HOUR(TRANSACTIONS!$A4240),MINUTE(TRANSACTIONS!$A4240),SECOND(TRANSACTIONS!$A4240)),"")</f>
        <v>0.52422453703703698</v>
      </c>
      <c r="D4240" s="82" t="s">
        <v>62</v>
      </c>
      <c r="E4240" s="82" t="s">
        <v>6</v>
      </c>
      <c r="F4240" s="88">
        <v>200000</v>
      </c>
      <c r="G4240" s="46"/>
      <c r="H4240" s="46">
        <f>IFERROR(TRANSACTIONS!$F4240+TRANSACTIONS!$G4240,"")</f>
        <v>200000</v>
      </c>
      <c r="I4240" s="40" t="s">
        <v>41</v>
      </c>
    </row>
    <row r="4241" spans="1:10" x14ac:dyDescent="0.25">
      <c r="A4241" s="41">
        <v>45373.524234490738</v>
      </c>
      <c r="B4241" s="48">
        <f>IF(A4241&lt;&gt;"",DATE(YEAR(TRANSACTIONS!$A4241),MONTH(TRANSACTIONS!$A4241),DAY(TRANSACTIONS!$A4241)),"")</f>
        <v>45373</v>
      </c>
      <c r="C4241" s="49">
        <f>IF(A4241&lt;&gt;"",TIME(HOUR(TRANSACTIONS!$A4241),MINUTE(TRANSACTIONS!$A4241),SECOND(TRANSACTIONS!$A4241)),"")</f>
        <v>0.52423611111111112</v>
      </c>
      <c r="D4241" s="82" t="s">
        <v>62</v>
      </c>
      <c r="E4241" s="82"/>
      <c r="F4241" s="88"/>
      <c r="G4241" s="46"/>
      <c r="H4241" s="46" t="str">
        <f>IFERROR(TRANSACTIONS!#REF!+TRANSACTIONS!$G4241,"")</f>
        <v/>
      </c>
      <c r="I4241" s="40" t="s">
        <v>41</v>
      </c>
    </row>
    <row r="4242" spans="1:10" x14ac:dyDescent="0.25">
      <c r="A4242" s="41">
        <v>45373.524242939813</v>
      </c>
      <c r="B4242" s="48">
        <f>IF(A4242&lt;&gt;"",DATE(YEAR(TRANSACTIONS!$A4242),MONTH(TRANSACTIONS!$A4242),DAY(TRANSACTIONS!$A4242)),"")</f>
        <v>45373</v>
      </c>
      <c r="C4242" s="49">
        <f>IF(A4242&lt;&gt;"",TIME(HOUR(TRANSACTIONS!$A4242),MINUTE(TRANSACTIONS!$A4242),SECOND(TRANSACTIONS!$A4242)),"")</f>
        <v>0.52424768518518516</v>
      </c>
      <c r="D4242" s="82" t="s">
        <v>62</v>
      </c>
      <c r="E4242" s="82"/>
      <c r="G4242" s="46"/>
      <c r="H4242" s="46">
        <f>IFERROR(TRANSACTIONS!$F4241+TRANSACTIONS!$G4242,"")</f>
        <v>0</v>
      </c>
      <c r="I4242" s="40" t="s">
        <v>41</v>
      </c>
    </row>
    <row r="4243" spans="1:10" x14ac:dyDescent="0.25">
      <c r="A4243" s="41">
        <v>45373.524270949078</v>
      </c>
      <c r="B4243" s="48">
        <f>IF(A4243&lt;&gt;"",DATE(YEAR(TRANSACTIONS!$A4243),MONTH(TRANSACTIONS!$A4243),DAY(TRANSACTIONS!$A4243)),"")</f>
        <v>45373</v>
      </c>
      <c r="C4243" s="49">
        <f>IF(A4243&lt;&gt;"",TIME(HOUR(TRANSACTIONS!$A4243),MINUTE(TRANSACTIONS!$A4243),SECOND(TRANSACTIONS!$A4243)),"")</f>
        <v>0.52427083333333335</v>
      </c>
      <c r="D4243" s="82" t="s">
        <v>62</v>
      </c>
      <c r="E4243" s="82" t="s">
        <v>7</v>
      </c>
      <c r="F4243" s="88">
        <v>6000</v>
      </c>
      <c r="G4243" s="46"/>
      <c r="H4243" s="46">
        <f>IFERROR(TRANSACTIONS!$F4243+TRANSACTIONS!$G4243,"")</f>
        <v>6000</v>
      </c>
      <c r="I4243" s="40" t="s">
        <v>41</v>
      </c>
    </row>
    <row r="4244" spans="1:10" x14ac:dyDescent="0.25">
      <c r="A4244" s="41">
        <v>45373.524278356483</v>
      </c>
      <c r="B4244" s="48">
        <f>IF(A4244&lt;&gt;"",DATE(YEAR(TRANSACTIONS!$A4244),MONTH(TRANSACTIONS!$A4244),DAY(TRANSACTIONS!$A4244)),"")</f>
        <v>45373</v>
      </c>
      <c r="C4244" s="49">
        <f>IF(A4244&lt;&gt;"",TIME(HOUR(TRANSACTIONS!$A4244),MINUTE(TRANSACTIONS!$A4244),SECOND(TRANSACTIONS!$A4244)),"")</f>
        <v>0.52428240740740739</v>
      </c>
      <c r="D4244" s="82" t="s">
        <v>62</v>
      </c>
      <c r="E4244" s="82" t="s">
        <v>6</v>
      </c>
      <c r="F4244" s="88">
        <v>12500</v>
      </c>
      <c r="G4244" s="46"/>
      <c r="H4244" s="46">
        <f>IFERROR(TRANSACTIONS!$F4244+TRANSACTIONS!$G4244,"")</f>
        <v>12500</v>
      </c>
      <c r="I4244" s="40" t="s">
        <v>41</v>
      </c>
    </row>
    <row r="4245" spans="1:10" x14ac:dyDescent="0.25">
      <c r="A4245" s="81">
        <v>45373.524285763888</v>
      </c>
      <c r="B4245" s="83">
        <f>IF(A4245&lt;&gt;"",DATE(YEAR(TRANSACTIONS!$A4245),MONTH(TRANSACTIONS!$A4245),DAY(TRANSACTIONS!$A4245)),"")</f>
        <v>45373</v>
      </c>
      <c r="C4245" s="84">
        <f>IF(A4245&lt;&gt;"",TIME(HOUR(TRANSACTIONS!$A4245),MINUTE(TRANSACTIONS!$A4245),SECOND(TRANSACTIONS!$A4245)),"")</f>
        <v>0.52428240740740739</v>
      </c>
      <c r="D4245" s="82" t="s">
        <v>62</v>
      </c>
      <c r="E4245" s="82" t="s">
        <v>6</v>
      </c>
      <c r="F4245" s="88">
        <v>7000</v>
      </c>
      <c r="G4245" s="86"/>
      <c r="H4245" s="86">
        <f>IFERROR(TRANSACTIONS!$F4245+TRANSACTIONS!$G4245,"")</f>
        <v>7000</v>
      </c>
      <c r="I4245" s="88" t="s">
        <v>41</v>
      </c>
      <c r="J4245" s="88"/>
    </row>
    <row r="4246" spans="1:10" x14ac:dyDescent="0.25">
      <c r="A4246" s="81">
        <v>45373.524295254632</v>
      </c>
      <c r="B4246" s="83">
        <f>IF(A4246&lt;&gt;"",DATE(YEAR(TRANSACTIONS!$A4246),MONTH(TRANSACTIONS!$A4246),DAY(TRANSACTIONS!$A4246)),"")</f>
        <v>45373</v>
      </c>
      <c r="C4246" s="84">
        <f>IF(A4246&lt;&gt;"",TIME(HOUR(TRANSACTIONS!$A4246),MINUTE(TRANSACTIONS!$A4246),SECOND(TRANSACTIONS!$A4246)),"")</f>
        <v>0.52429398148148143</v>
      </c>
      <c r="D4246" s="82" t="s">
        <v>62</v>
      </c>
      <c r="E4246" s="82" t="s">
        <v>7</v>
      </c>
      <c r="F4246" s="88">
        <v>50000</v>
      </c>
      <c r="G4246" s="86"/>
      <c r="H4246" s="86">
        <f>IFERROR(TRANSACTIONS!$F4246+TRANSACTIONS!$G4246,"")</f>
        <v>50000</v>
      </c>
      <c r="I4246" s="88" t="s">
        <v>41</v>
      </c>
    </row>
    <row r="4247" spans="1:10" x14ac:dyDescent="0.25">
      <c r="A4247" s="41">
        <v>45373.524302430553</v>
      </c>
      <c r="B4247" s="48">
        <f>IF(A4247&lt;&gt;"",DATE(YEAR(TRANSACTIONS!$A4247),MONTH(TRANSACTIONS!$A4247),DAY(TRANSACTIONS!$A4247)),"")</f>
        <v>45373</v>
      </c>
      <c r="C4247" s="49">
        <f>IF(A4247&lt;&gt;"",TIME(HOUR(TRANSACTIONS!$A4247),MINUTE(TRANSACTIONS!$A4247),SECOND(TRANSACTIONS!$A4247)),"")</f>
        <v>0.52430555555555558</v>
      </c>
      <c r="D4247" s="82" t="s">
        <v>62</v>
      </c>
      <c r="E4247" s="82" t="s">
        <v>6</v>
      </c>
      <c r="F4247" s="88">
        <v>25000</v>
      </c>
      <c r="G4247" s="46"/>
      <c r="H4247" s="46">
        <f>IFERROR(TRANSACTIONS!$F4247+TRANSACTIONS!$G4247,"")</f>
        <v>25000</v>
      </c>
      <c r="I4247" s="40" t="s">
        <v>41</v>
      </c>
    </row>
    <row r="4248" spans="1:10" x14ac:dyDescent="0.25">
      <c r="A4248" s="41">
        <v>45373.524310879628</v>
      </c>
      <c r="B4248" s="48">
        <f>IF(A4248&lt;&gt;"",DATE(YEAR(TRANSACTIONS!$A4248),MONTH(TRANSACTIONS!$A4248),DAY(TRANSACTIONS!$A4248)),"")</f>
        <v>45373</v>
      </c>
      <c r="C4248" s="49">
        <f>IF(A4248&lt;&gt;"",TIME(HOUR(TRANSACTIONS!$A4248),MINUTE(TRANSACTIONS!$A4248),SECOND(TRANSACTIONS!$A4248)),"")</f>
        <v>0.52430555555555558</v>
      </c>
      <c r="D4248" s="82" t="s">
        <v>62</v>
      </c>
      <c r="E4248" s="82" t="s">
        <v>6</v>
      </c>
      <c r="F4248" s="88">
        <v>2500</v>
      </c>
      <c r="G4248" s="46"/>
      <c r="H4248" s="46">
        <f>IFERROR(TRANSACTIONS!$F4248+TRANSACTIONS!$G4248,"")</f>
        <v>2500</v>
      </c>
      <c r="I4248" s="40" t="s">
        <v>41</v>
      </c>
    </row>
    <row r="4249" spans="1:10" x14ac:dyDescent="0.25">
      <c r="A4249" s="41">
        <v>45373.524318518517</v>
      </c>
      <c r="B4249" s="48">
        <f>IF(A4249&lt;&gt;"",DATE(YEAR(TRANSACTIONS!$A4249),MONTH(TRANSACTIONS!$A4249),DAY(TRANSACTIONS!$A4249)),"")</f>
        <v>45373</v>
      </c>
      <c r="C4249" s="49">
        <f>IF(A4249&lt;&gt;"",TIME(HOUR(TRANSACTIONS!$A4249),MINUTE(TRANSACTIONS!$A4249),SECOND(TRANSACTIONS!$A4249)),"")</f>
        <v>0.52431712962962962</v>
      </c>
      <c r="D4249" s="82" t="s">
        <v>25</v>
      </c>
      <c r="E4249" s="82" t="s">
        <v>6</v>
      </c>
      <c r="F4249" s="88">
        <v>1000</v>
      </c>
      <c r="G4249" s="46"/>
      <c r="H4249" s="46">
        <f>IFERROR(TRANSACTIONS!$F4249+TRANSACTIONS!$G4249,"")</f>
        <v>1000</v>
      </c>
      <c r="I4249" s="40" t="s">
        <v>41</v>
      </c>
    </row>
    <row r="4250" spans="1:10" x14ac:dyDescent="0.25">
      <c r="A4250" s="41">
        <v>45373.524326157407</v>
      </c>
      <c r="B4250" s="48">
        <f>IF(A4250&lt;&gt;"",DATE(YEAR(TRANSACTIONS!$A4250),MONTH(TRANSACTIONS!$A4250),DAY(TRANSACTIONS!$A4250)),"")</f>
        <v>45373</v>
      </c>
      <c r="C4250" s="49">
        <f>IF(A4250&lt;&gt;"",TIME(HOUR(TRANSACTIONS!$A4250),MINUTE(TRANSACTIONS!$A4250),SECOND(TRANSACTIONS!$A4250)),"")</f>
        <v>0.52432870370370377</v>
      </c>
      <c r="D4250" s="82" t="s">
        <v>62</v>
      </c>
      <c r="E4250" s="82" t="s">
        <v>7</v>
      </c>
      <c r="F4250" s="88">
        <v>80000</v>
      </c>
      <c r="G4250" s="46"/>
      <c r="H4250" s="46">
        <f>IFERROR(TRANSACTIONS!$F4250+TRANSACTIONS!$G4250,"")</f>
        <v>80000</v>
      </c>
      <c r="I4250" s="40" t="s">
        <v>41</v>
      </c>
    </row>
    <row r="4251" spans="1:10" x14ac:dyDescent="0.25">
      <c r="A4251" s="41">
        <v>45373.524333680558</v>
      </c>
      <c r="B4251" s="48">
        <f>IF(A4251&lt;&gt;"",DATE(YEAR(TRANSACTIONS!$A4251),MONTH(TRANSACTIONS!$A4251),DAY(TRANSACTIONS!$A4251)),"")</f>
        <v>45373</v>
      </c>
      <c r="C4251" s="49">
        <f>IF(A4251&lt;&gt;"",TIME(HOUR(TRANSACTIONS!$A4251),MINUTE(TRANSACTIONS!$A4251),SECOND(TRANSACTIONS!$A4251)),"")</f>
        <v>0.52432870370370377</v>
      </c>
      <c r="D4251" s="82" t="s">
        <v>62</v>
      </c>
      <c r="E4251" s="82" t="s">
        <v>7</v>
      </c>
      <c r="F4251" s="88">
        <v>1000</v>
      </c>
      <c r="G4251" s="46"/>
      <c r="H4251" s="46">
        <f>IFERROR(TRANSACTIONS!$F4251+TRANSACTIONS!$G4251,"")</f>
        <v>1000</v>
      </c>
      <c r="I4251" s="40" t="s">
        <v>41</v>
      </c>
    </row>
    <row r="4252" spans="1:10" x14ac:dyDescent="0.25">
      <c r="A4252" s="41">
        <v>45373.524343865742</v>
      </c>
      <c r="B4252" s="48">
        <f>IF(A4252&lt;&gt;"",DATE(YEAR(TRANSACTIONS!$A4252),MONTH(TRANSACTIONS!$A4252),DAY(TRANSACTIONS!$A4252)),"")</f>
        <v>45373</v>
      </c>
      <c r="C4252" s="49">
        <f>IF(A4252&lt;&gt;"",TIME(HOUR(TRANSACTIONS!$A4252),MINUTE(TRANSACTIONS!$A4252),SECOND(TRANSACTIONS!$A4252)),"")</f>
        <v>0.52434027777777781</v>
      </c>
      <c r="D4252" s="82" t="s">
        <v>62</v>
      </c>
      <c r="E4252" s="82" t="s">
        <v>6</v>
      </c>
      <c r="F4252" s="88">
        <v>150000</v>
      </c>
      <c r="G4252" s="46"/>
      <c r="H4252" s="46">
        <f>IFERROR(TRANSACTIONS!$F4252+TRANSACTIONS!$G4252,"")</f>
        <v>150000</v>
      </c>
      <c r="I4252" s="40" t="s">
        <v>41</v>
      </c>
    </row>
    <row r="4253" spans="1:10" x14ac:dyDescent="0.25">
      <c r="A4253" s="81">
        <v>45373.603234259259</v>
      </c>
      <c r="B4253" s="83">
        <f>IF(A4253&lt;&gt;"",DATE(YEAR(TRANSACTIONS!$A4253),MONTH(TRANSACTIONS!$A4253),DAY(TRANSACTIONS!$A4253)),"")</f>
        <v>45373</v>
      </c>
      <c r="C4253" s="84">
        <f>IF(A4253&lt;&gt;"",TIME(HOUR(TRANSACTIONS!$A4253),MINUTE(TRANSACTIONS!$A4253),SECOND(TRANSACTIONS!$A4253)),"")</f>
        <v>0.60322916666666659</v>
      </c>
      <c r="D4253" s="82" t="s">
        <v>62</v>
      </c>
      <c r="E4253" s="82" t="s">
        <v>6</v>
      </c>
      <c r="F4253" s="88">
        <v>8000</v>
      </c>
      <c r="G4253" s="86"/>
      <c r="H4253" s="86">
        <f>IFERROR(TRANSACTIONS!$F4253+TRANSACTIONS!$G4253,"")</f>
        <v>8000</v>
      </c>
      <c r="I4253" s="88" t="s">
        <v>41</v>
      </c>
      <c r="J4253" s="88"/>
    </row>
    <row r="4254" spans="1:10" x14ac:dyDescent="0.25">
      <c r="A4254" s="41">
        <v>45373.603263310186</v>
      </c>
      <c r="B4254" s="48">
        <f>IF(A4254&lt;&gt;"",DATE(YEAR(TRANSACTIONS!$A4254),MONTH(TRANSACTIONS!$A4254),DAY(TRANSACTIONS!$A4254)),"")</f>
        <v>45373</v>
      </c>
      <c r="C4254" s="49">
        <f>IF(A4254&lt;&gt;"",TIME(HOUR(TRANSACTIONS!$A4254),MINUTE(TRANSACTIONS!$A4254),SECOND(TRANSACTIONS!$A4254)),"")</f>
        <v>0.60326388888888893</v>
      </c>
      <c r="D4254" s="82" t="s">
        <v>62</v>
      </c>
      <c r="E4254" s="82" t="s">
        <v>7</v>
      </c>
      <c r="F4254" s="88">
        <v>15000</v>
      </c>
      <c r="G4254" s="46"/>
      <c r="H4254" s="46">
        <f>IFERROR(TRANSACTIONS!$F4254+TRANSACTIONS!$G4254,"")</f>
        <v>15000</v>
      </c>
      <c r="I4254" s="40" t="s">
        <v>41</v>
      </c>
    </row>
    <row r="4255" spans="1:10" x14ac:dyDescent="0.25">
      <c r="A4255" s="41">
        <v>45373.603271643522</v>
      </c>
      <c r="B4255" s="48">
        <f>IF(A4255&lt;&gt;"",DATE(YEAR(TRANSACTIONS!$A4255),MONTH(TRANSACTIONS!$A4255),DAY(TRANSACTIONS!$A4255)),"")</f>
        <v>45373</v>
      </c>
      <c r="C4255" s="49">
        <f>IF(A4255&lt;&gt;"",TIME(HOUR(TRANSACTIONS!$A4255),MINUTE(TRANSACTIONS!$A4255),SECOND(TRANSACTIONS!$A4255)),"")</f>
        <v>0.60327546296296297</v>
      </c>
      <c r="D4255" s="82" t="s">
        <v>62</v>
      </c>
      <c r="E4255" s="82" t="s">
        <v>7</v>
      </c>
      <c r="F4255" s="88">
        <v>110000</v>
      </c>
      <c r="G4255" s="46"/>
      <c r="H4255" s="46">
        <f>IFERROR(TRANSACTIONS!$F4255+TRANSACTIONS!$G4255,"")</f>
        <v>110000</v>
      </c>
      <c r="I4255" s="40" t="s">
        <v>41</v>
      </c>
    </row>
    <row r="4256" spans="1:10" x14ac:dyDescent="0.25">
      <c r="A4256" s="41">
        <v>45373.603280902775</v>
      </c>
      <c r="B4256" s="48">
        <f>IF(A4256&lt;&gt;"",DATE(YEAR(TRANSACTIONS!$A4256),MONTH(TRANSACTIONS!$A4256),DAY(TRANSACTIONS!$A4256)),"")</f>
        <v>45373</v>
      </c>
      <c r="C4256" s="49">
        <f>IF(A4256&lt;&gt;"",TIME(HOUR(TRANSACTIONS!$A4256),MINUTE(TRANSACTIONS!$A4256),SECOND(TRANSACTIONS!$A4256)),"")</f>
        <v>0.60327546296296297</v>
      </c>
      <c r="D4256" s="82" t="s">
        <v>62</v>
      </c>
      <c r="E4256" s="82" t="s">
        <v>7</v>
      </c>
      <c r="F4256" s="112">
        <v>25000</v>
      </c>
      <c r="G4256" s="46"/>
      <c r="H4256" s="46">
        <f>IFERROR(TRANSACTIONS!$F4256+TRANSACTIONS!$G4256,"")</f>
        <v>25000</v>
      </c>
      <c r="I4256" s="40" t="s">
        <v>41</v>
      </c>
    </row>
    <row r="4257" spans="1:9" x14ac:dyDescent="0.25">
      <c r="A4257" s="71">
        <v>45373.603317824076</v>
      </c>
      <c r="B4257" s="73">
        <f>IF(A4257&lt;&gt;"",DATE(YEAR(TRANSACTIONS!$A4257),MONTH(TRANSACTIONS!$A4257),DAY(TRANSACTIONS!$A4257)),"")</f>
        <v>45373</v>
      </c>
      <c r="C4257" s="74">
        <f>IF(A4257&lt;&gt;"",TIME(HOUR(TRANSACTIONS!$A4257),MINUTE(TRANSACTIONS!$A4257),SECOND(TRANSACTIONS!$A4257)),"")</f>
        <v>0.60332175925925924</v>
      </c>
      <c r="D4257" s="72" t="s">
        <v>62</v>
      </c>
      <c r="E4257" s="72" t="s">
        <v>6</v>
      </c>
      <c r="F4257" s="76">
        <v>5000</v>
      </c>
      <c r="G4257" s="75"/>
      <c r="H4257" s="75">
        <f>IFERROR(TRANSACTIONS!$F4257+TRANSACTIONS!$G4257,"")</f>
        <v>5000</v>
      </c>
      <c r="I4257" s="76" t="s">
        <v>41</v>
      </c>
    </row>
    <row r="4258" spans="1:9" x14ac:dyDescent="0.25">
      <c r="A4258" s="41">
        <v>45373.603326620374</v>
      </c>
      <c r="B4258" s="48">
        <f>IF(A4258&lt;&gt;"",DATE(YEAR(TRANSACTIONS!$A4258),MONTH(TRANSACTIONS!$A4258),DAY(TRANSACTIONS!$A4258)),"")</f>
        <v>45373</v>
      </c>
      <c r="C4258" s="49">
        <f>IF(A4258&lt;&gt;"",TIME(HOUR(TRANSACTIONS!$A4258),MINUTE(TRANSACTIONS!$A4258),SECOND(TRANSACTIONS!$A4258)),"")</f>
        <v>0.60332175925925924</v>
      </c>
      <c r="D4258" s="82" t="s">
        <v>62</v>
      </c>
      <c r="E4258" s="82" t="s">
        <v>6</v>
      </c>
      <c r="F4258" s="88">
        <v>9000</v>
      </c>
      <c r="G4258" s="46"/>
      <c r="H4258" s="46">
        <f>IFERROR(TRANSACTIONS!$F4258+TRANSACTIONS!$G4258,"")</f>
        <v>9000</v>
      </c>
      <c r="I4258" s="40" t="s">
        <v>41</v>
      </c>
    </row>
    <row r="4259" spans="1:9" x14ac:dyDescent="0.25">
      <c r="A4259" s="41">
        <v>45373.603334375002</v>
      </c>
      <c r="B4259" s="48">
        <f>IF(A4259&lt;&gt;"",DATE(YEAR(TRANSACTIONS!$A4259),MONTH(TRANSACTIONS!$A4259),DAY(TRANSACTIONS!$A4259)),"")</f>
        <v>45373</v>
      </c>
      <c r="C4259" s="49">
        <f>IF(A4259&lt;&gt;"",TIME(HOUR(TRANSACTIONS!$A4259),MINUTE(TRANSACTIONS!$A4259),SECOND(TRANSACTIONS!$A4259)),"")</f>
        <v>0.60333333333333339</v>
      </c>
      <c r="D4259" s="82" t="s">
        <v>62</v>
      </c>
      <c r="E4259" s="82" t="s">
        <v>6</v>
      </c>
      <c r="F4259" s="88">
        <v>5000</v>
      </c>
      <c r="G4259" s="46"/>
      <c r="H4259" s="46">
        <f>IFERROR(TRANSACTIONS!$F4259+TRANSACTIONS!$G4259,"")</f>
        <v>5000</v>
      </c>
      <c r="I4259" s="40" t="s">
        <v>41</v>
      </c>
    </row>
    <row r="4260" spans="1:9" x14ac:dyDescent="0.25">
      <c r="A4260" s="41">
        <v>45373.603342013892</v>
      </c>
      <c r="B4260" s="48">
        <f>IF(A4260&lt;&gt;"",DATE(YEAR(TRANSACTIONS!$A4260),MONTH(TRANSACTIONS!$A4260),DAY(TRANSACTIONS!$A4260)),"")</f>
        <v>45373</v>
      </c>
      <c r="C4260" s="49">
        <f>IF(A4260&lt;&gt;"",TIME(HOUR(TRANSACTIONS!$A4260),MINUTE(TRANSACTIONS!$A4260),SECOND(TRANSACTIONS!$A4260)),"")</f>
        <v>0.60334490740740743</v>
      </c>
      <c r="D4260" s="82" t="s">
        <v>25</v>
      </c>
      <c r="E4260" s="82" t="s">
        <v>6</v>
      </c>
      <c r="F4260" s="88">
        <v>22000</v>
      </c>
      <c r="G4260" s="46"/>
      <c r="H4260" s="46">
        <f>IFERROR(TRANSACTIONS!$F4260+TRANSACTIONS!$G4260,"")</f>
        <v>22000</v>
      </c>
      <c r="I4260" s="40" t="s">
        <v>41</v>
      </c>
    </row>
    <row r="4261" spans="1:9" x14ac:dyDescent="0.25">
      <c r="A4261" s="81">
        <v>45373.611908217594</v>
      </c>
      <c r="B4261" s="83">
        <f>IF(A4261&lt;&gt;"",DATE(YEAR(TRANSACTIONS!$A4261),MONTH(TRANSACTIONS!$A4261),DAY(TRANSACTIONS!$A4261)),"")</f>
        <v>45373</v>
      </c>
      <c r="C4261" s="84">
        <f>IF(A4261&lt;&gt;"",TIME(HOUR(TRANSACTIONS!$A4261),MINUTE(TRANSACTIONS!$A4261),SECOND(TRANSACTIONS!$A4261)),"")</f>
        <v>0.61190972222222217</v>
      </c>
      <c r="D4261" s="82" t="s">
        <v>62</v>
      </c>
      <c r="E4261" s="82" t="s">
        <v>7</v>
      </c>
      <c r="F4261" s="88">
        <v>1000</v>
      </c>
      <c r="G4261" s="86"/>
      <c r="H4261" s="86">
        <f>IFERROR(TRANSACTIONS!$F4261+TRANSACTIONS!$G4261,"")</f>
        <v>1000</v>
      </c>
      <c r="I4261" s="88" t="s">
        <v>41</v>
      </c>
    </row>
    <row r="4262" spans="1:9" x14ac:dyDescent="0.25">
      <c r="A4262" s="41">
        <v>45373.611911689812</v>
      </c>
      <c r="B4262" s="48">
        <f>IF(A4262&lt;&gt;"",DATE(YEAR(TRANSACTIONS!$A4262),MONTH(TRANSACTIONS!$A4262),DAY(TRANSACTIONS!$A4262)),"")</f>
        <v>45373</v>
      </c>
      <c r="C4262" s="49">
        <f>IF(A4262&lt;&gt;"",TIME(HOUR(TRANSACTIONS!$A4262),MINUTE(TRANSACTIONS!$A4262),SECOND(TRANSACTIONS!$A4262)),"")</f>
        <v>0.61190972222222217</v>
      </c>
      <c r="D4262" s="82" t="s">
        <v>62</v>
      </c>
      <c r="E4262" s="82" t="s">
        <v>6</v>
      </c>
      <c r="F4262" s="112">
        <v>3000</v>
      </c>
      <c r="G4262" s="46"/>
      <c r="H4262" s="46">
        <f>IFERROR(TRANSACTIONS!$F4262+TRANSACTIONS!$G4262,"")</f>
        <v>3000</v>
      </c>
      <c r="I4262" s="40" t="s">
        <v>41</v>
      </c>
    </row>
    <row r="4263" spans="1:9" x14ac:dyDescent="0.25">
      <c r="A4263" s="41">
        <v>45373.611964814816</v>
      </c>
      <c r="B4263" s="48">
        <f>IF(A4263&lt;&gt;"",DATE(YEAR(TRANSACTIONS!$A4263),MONTH(TRANSACTIONS!$A4263),DAY(TRANSACTIONS!$A4263)),"")</f>
        <v>45373</v>
      </c>
      <c r="C4263" s="49">
        <f>IF(A4263&lt;&gt;"",TIME(HOUR(TRANSACTIONS!$A4263),MINUTE(TRANSACTIONS!$A4263),SECOND(TRANSACTIONS!$A4263)),"")</f>
        <v>0.61196759259259259</v>
      </c>
      <c r="D4263" s="82" t="s">
        <v>62</v>
      </c>
      <c r="E4263" s="82" t="s">
        <v>6</v>
      </c>
      <c r="F4263" s="88">
        <v>16000</v>
      </c>
      <c r="G4263" s="46"/>
      <c r="H4263" s="46">
        <f>IFERROR(TRANSACTIONS!$F4263+TRANSACTIONS!$G4263,"")</f>
        <v>16000</v>
      </c>
      <c r="I4263" s="40" t="s">
        <v>41</v>
      </c>
    </row>
    <row r="4264" spans="1:9" x14ac:dyDescent="0.25">
      <c r="A4264" s="41">
        <v>45373.61197395833</v>
      </c>
      <c r="B4264" s="48">
        <f>IF(A4264&lt;&gt;"",DATE(YEAR(TRANSACTIONS!$A4264),MONTH(TRANSACTIONS!$A4264),DAY(TRANSACTIONS!$A4264)),"")</f>
        <v>45373</v>
      </c>
      <c r="C4264" s="49">
        <f>IF(A4264&lt;&gt;"",TIME(HOUR(TRANSACTIONS!$A4264),MINUTE(TRANSACTIONS!$A4264),SECOND(TRANSACTIONS!$A4264)),"")</f>
        <v>0.61197916666666663</v>
      </c>
      <c r="D4264" s="82" t="s">
        <v>62</v>
      </c>
      <c r="E4264" s="82" t="s">
        <v>6</v>
      </c>
      <c r="F4264" s="88">
        <v>25000</v>
      </c>
      <c r="G4264" s="46"/>
      <c r="H4264" s="46">
        <f>IFERROR(TRANSACTIONS!$F4264+TRANSACTIONS!$G4264,"")</f>
        <v>25000</v>
      </c>
      <c r="I4264" s="40" t="s">
        <v>41</v>
      </c>
    </row>
    <row r="4265" spans="1:9" x14ac:dyDescent="0.25">
      <c r="A4265" s="41">
        <v>45373.629608449075</v>
      </c>
      <c r="B4265" s="48">
        <f>IF(A4265&lt;&gt;"",DATE(YEAR(TRANSACTIONS!$A4265),MONTH(TRANSACTIONS!$A4265),DAY(TRANSACTIONS!$A4265)),"")</f>
        <v>45373</v>
      </c>
      <c r="C4265" s="49">
        <f>IF(A4265&lt;&gt;"",TIME(HOUR(TRANSACTIONS!$A4265),MINUTE(TRANSACTIONS!$A4265),SECOND(TRANSACTIONS!$A4265)),"")</f>
        <v>0.62960648148148146</v>
      </c>
      <c r="D4265" s="82" t="s">
        <v>62</v>
      </c>
      <c r="E4265" s="82" t="s">
        <v>7</v>
      </c>
      <c r="F4265" s="88">
        <v>2500</v>
      </c>
      <c r="G4265" s="46"/>
      <c r="H4265" s="46">
        <f>IFERROR(TRANSACTIONS!$F4265+TRANSACTIONS!$G4265,"")</f>
        <v>2500</v>
      </c>
      <c r="I4265" s="40" t="s">
        <v>41</v>
      </c>
    </row>
    <row r="4266" spans="1:9" x14ac:dyDescent="0.25">
      <c r="A4266" s="41">
        <v>45373.705409374998</v>
      </c>
      <c r="B4266" s="48">
        <f>IF(A4266&lt;&gt;"",DATE(YEAR(TRANSACTIONS!$A4266),MONTH(TRANSACTIONS!$A4266),DAY(TRANSACTIONS!$A4266)),"")</f>
        <v>45373</v>
      </c>
      <c r="C4266" s="49">
        <f>IF(A4266&lt;&gt;"",TIME(HOUR(TRANSACTIONS!$A4266),MINUTE(TRANSACTIONS!$A4266),SECOND(TRANSACTIONS!$A4266)),"")</f>
        <v>0.70540509259259254</v>
      </c>
      <c r="D4266" s="82" t="s">
        <v>62</v>
      </c>
      <c r="E4266" s="82" t="s">
        <v>7</v>
      </c>
      <c r="F4266" s="88">
        <v>20000</v>
      </c>
      <c r="G4266" s="46"/>
      <c r="H4266" s="46">
        <f>IFERROR(TRANSACTIONS!$F4266+TRANSACTIONS!$G4266,"")</f>
        <v>20000</v>
      </c>
      <c r="I4266" s="40" t="s">
        <v>41</v>
      </c>
    </row>
    <row r="4267" spans="1:9" x14ac:dyDescent="0.25">
      <c r="A4267" s="41">
        <v>45373.705433564814</v>
      </c>
      <c r="B4267" s="48">
        <f>IF(A4267&lt;&gt;"",DATE(YEAR(TRANSACTIONS!$A4267),MONTH(TRANSACTIONS!$A4267),DAY(TRANSACTIONS!$A4267)),"")</f>
        <v>45373</v>
      </c>
      <c r="C4267" s="49">
        <f>IF(A4267&lt;&gt;"",TIME(HOUR(TRANSACTIONS!$A4267),MINUTE(TRANSACTIONS!$A4267),SECOND(TRANSACTIONS!$A4267)),"")</f>
        <v>0.70542824074074073</v>
      </c>
      <c r="D4267" s="82" t="s">
        <v>62</v>
      </c>
      <c r="E4267" s="82" t="s">
        <v>7</v>
      </c>
      <c r="F4267" s="112">
        <v>10000</v>
      </c>
      <c r="G4267" s="46"/>
      <c r="H4267" s="46">
        <f>IFERROR(TRANSACTIONS!$F4267+TRANSACTIONS!$G4267,"")</f>
        <v>10000</v>
      </c>
      <c r="I4267" s="40" t="s">
        <v>41</v>
      </c>
    </row>
    <row r="4268" spans="1:9" x14ac:dyDescent="0.25">
      <c r="A4268" s="41">
        <v>45373.705442824074</v>
      </c>
      <c r="B4268" s="48">
        <f>IF(A4268&lt;&gt;"",DATE(YEAR(TRANSACTIONS!$A4268),MONTH(TRANSACTIONS!$A4268),DAY(TRANSACTIONS!$A4268)),"")</f>
        <v>45373</v>
      </c>
      <c r="C4268" s="49">
        <f>IF(A4268&lt;&gt;"",TIME(HOUR(TRANSACTIONS!$A4268),MINUTE(TRANSACTIONS!$A4268),SECOND(TRANSACTIONS!$A4268)),"")</f>
        <v>0.70543981481481488</v>
      </c>
      <c r="D4268" s="82" t="s">
        <v>62</v>
      </c>
      <c r="E4268" s="82" t="s">
        <v>6</v>
      </c>
      <c r="F4268" s="88">
        <v>25000</v>
      </c>
      <c r="G4268" s="46"/>
      <c r="H4268" s="46">
        <f>IFERROR(TRANSACTIONS!$F4268+TRANSACTIONS!$G4268,"")</f>
        <v>25000</v>
      </c>
      <c r="I4268" s="40" t="s">
        <v>41</v>
      </c>
    </row>
    <row r="4269" spans="1:9" x14ac:dyDescent="0.25">
      <c r="A4269" s="41">
        <v>45373.705449652778</v>
      </c>
      <c r="B4269" s="48">
        <f>IF(A4269&lt;&gt;"",DATE(YEAR(TRANSACTIONS!$A4269),MONTH(TRANSACTIONS!$A4269),DAY(TRANSACTIONS!$A4269)),"")</f>
        <v>45373</v>
      </c>
      <c r="C4269" s="49">
        <f>IF(A4269&lt;&gt;"",TIME(HOUR(TRANSACTIONS!$A4269),MINUTE(TRANSACTIONS!$A4269),SECOND(TRANSACTIONS!$A4269)),"")</f>
        <v>0.70545138888888881</v>
      </c>
      <c r="D4269" s="82" t="s">
        <v>62</v>
      </c>
      <c r="E4269" s="82" t="s">
        <v>7</v>
      </c>
      <c r="F4269" s="88">
        <v>2000</v>
      </c>
      <c r="G4269" s="46"/>
      <c r="H4269" s="46">
        <f>IFERROR(TRANSACTIONS!$F4269+TRANSACTIONS!$G4269,"")</f>
        <v>2000</v>
      </c>
      <c r="I4269" s="40" t="s">
        <v>41</v>
      </c>
    </row>
    <row r="4270" spans="1:9" x14ac:dyDescent="0.25">
      <c r="A4270" s="41">
        <v>45373.705459606485</v>
      </c>
      <c r="B4270" s="48">
        <f>IF(A4270&lt;&gt;"",DATE(YEAR(TRANSACTIONS!$A4270),MONTH(TRANSACTIONS!$A4270),DAY(TRANSACTIONS!$A4270)),"")</f>
        <v>45373</v>
      </c>
      <c r="C4270" s="49">
        <f>IF(A4270&lt;&gt;"",TIME(HOUR(TRANSACTIONS!$A4270),MINUTE(TRANSACTIONS!$A4270),SECOND(TRANSACTIONS!$A4270)),"")</f>
        <v>0.70546296296296296</v>
      </c>
      <c r="D4270" s="82" t="s">
        <v>62</v>
      </c>
      <c r="E4270" s="82" t="s">
        <v>6</v>
      </c>
      <c r="F4270" s="88">
        <v>45000</v>
      </c>
      <c r="G4270" s="46"/>
      <c r="H4270" s="46">
        <f>IFERROR(TRANSACTIONS!$F4270+TRANSACTIONS!$G4270,"")</f>
        <v>45000</v>
      </c>
      <c r="I4270" s="40" t="s">
        <v>41</v>
      </c>
    </row>
    <row r="4271" spans="1:9" x14ac:dyDescent="0.25">
      <c r="A4271" s="41">
        <v>45373.705466666666</v>
      </c>
      <c r="B4271" s="48">
        <f>IF(A4271&lt;&gt;"",DATE(YEAR(TRANSACTIONS!$A4271),MONTH(TRANSACTIONS!$A4271),DAY(TRANSACTIONS!$A4271)),"")</f>
        <v>45373</v>
      </c>
      <c r="C4271" s="49">
        <f>IF(A4271&lt;&gt;"",TIME(HOUR(TRANSACTIONS!$A4271),MINUTE(TRANSACTIONS!$A4271),SECOND(TRANSACTIONS!$A4271)),"")</f>
        <v>0.70546296296296296</v>
      </c>
      <c r="D4271" s="82" t="s">
        <v>62</v>
      </c>
      <c r="E4271" s="82" t="s">
        <v>7</v>
      </c>
      <c r="F4271" s="112">
        <v>5000</v>
      </c>
      <c r="G4271" s="46"/>
      <c r="H4271" s="46">
        <f>IFERROR(TRANSACTIONS!$F4271+TRANSACTIONS!$G4271,"")</f>
        <v>5000</v>
      </c>
      <c r="I4271" s="40" t="s">
        <v>41</v>
      </c>
    </row>
    <row r="4272" spans="1:9" x14ac:dyDescent="0.25">
      <c r="A4272" s="41">
        <v>45373.705473842594</v>
      </c>
      <c r="B4272" s="48">
        <f>IF(A4272&lt;&gt;"",DATE(YEAR(TRANSACTIONS!$A4272),MONTH(TRANSACTIONS!$A4272),DAY(TRANSACTIONS!$A4272)),"")</f>
        <v>45373</v>
      </c>
      <c r="C4272" s="49">
        <f>IF(A4272&lt;&gt;"",TIME(HOUR(TRANSACTIONS!$A4272),MINUTE(TRANSACTIONS!$A4272),SECOND(TRANSACTIONS!$A4272)),"")</f>
        <v>0.70547453703703711</v>
      </c>
      <c r="D4272" s="82" t="s">
        <v>62</v>
      </c>
      <c r="E4272" s="82" t="s">
        <v>6</v>
      </c>
      <c r="F4272" s="112">
        <v>1500</v>
      </c>
      <c r="G4272" s="46"/>
      <c r="H4272" s="46">
        <f>IFERROR(TRANSACTIONS!$F4272+TRANSACTIONS!$G4272,"")</f>
        <v>1500</v>
      </c>
      <c r="I4272" s="40" t="s">
        <v>41</v>
      </c>
    </row>
    <row r="4273" spans="1:9" x14ac:dyDescent="0.25">
      <c r="A4273" s="41">
        <v>45373.705480787037</v>
      </c>
      <c r="B4273" s="48">
        <f>IF(A4273&lt;&gt;"",DATE(YEAR(TRANSACTIONS!$A4273),MONTH(TRANSACTIONS!$A4273),DAY(TRANSACTIONS!$A4273)),"")</f>
        <v>45373</v>
      </c>
      <c r="C4273" s="49">
        <f>IF(A4273&lt;&gt;"",TIME(HOUR(TRANSACTIONS!$A4273),MINUTE(TRANSACTIONS!$A4273),SECOND(TRANSACTIONS!$A4273)),"")</f>
        <v>0.70548611111111104</v>
      </c>
      <c r="D4273" s="82" t="s">
        <v>62</v>
      </c>
      <c r="E4273" s="82" t="s">
        <v>7</v>
      </c>
      <c r="F4273" s="112">
        <v>8600</v>
      </c>
      <c r="G4273" s="46"/>
      <c r="H4273" s="46">
        <f>IFERROR(TRANSACTIONS!$F4273+TRANSACTIONS!$G4273,"")</f>
        <v>8600</v>
      </c>
      <c r="I4273" s="40" t="s">
        <v>41</v>
      </c>
    </row>
    <row r="4274" spans="1:9" x14ac:dyDescent="0.25">
      <c r="A4274" s="41">
        <v>45373.705489120373</v>
      </c>
      <c r="B4274" s="48">
        <f>IF(A4274&lt;&gt;"",DATE(YEAR(TRANSACTIONS!$A4274),MONTH(TRANSACTIONS!$A4274),DAY(TRANSACTIONS!$A4274)),"")</f>
        <v>45373</v>
      </c>
      <c r="C4274" s="49">
        <f>IF(A4274&lt;&gt;"",TIME(HOUR(TRANSACTIONS!$A4274),MINUTE(TRANSACTIONS!$A4274),SECOND(TRANSACTIONS!$A4274)),"")</f>
        <v>0.70548611111111104</v>
      </c>
      <c r="D4274" s="82" t="s">
        <v>62</v>
      </c>
      <c r="E4274" s="82" t="s">
        <v>7</v>
      </c>
      <c r="F4274" s="88">
        <v>2000</v>
      </c>
      <c r="G4274" s="46"/>
      <c r="H4274" s="46">
        <f>IFERROR(TRANSACTIONS!$F4274+TRANSACTIONS!$G4274,"")</f>
        <v>2000</v>
      </c>
      <c r="I4274" s="40" t="s">
        <v>41</v>
      </c>
    </row>
    <row r="4275" spans="1:9" x14ac:dyDescent="0.25">
      <c r="A4275" s="41">
        <v>45373.705497916664</v>
      </c>
      <c r="B4275" s="48">
        <f>IF(A4275&lt;&gt;"",DATE(YEAR(TRANSACTIONS!$A4275),MONTH(TRANSACTIONS!$A4275),DAY(TRANSACTIONS!$A4275)),"")</f>
        <v>45373</v>
      </c>
      <c r="C4275" s="49">
        <f>IF(A4275&lt;&gt;"",TIME(HOUR(TRANSACTIONS!$A4275),MINUTE(TRANSACTIONS!$A4275),SECOND(TRANSACTIONS!$A4275)),"")</f>
        <v>0.70549768518518519</v>
      </c>
      <c r="D4275" s="82" t="s">
        <v>62</v>
      </c>
      <c r="E4275" s="82" t="s">
        <v>7</v>
      </c>
      <c r="F4275" s="88">
        <v>2000</v>
      </c>
      <c r="G4275" s="46"/>
      <c r="H4275" s="46">
        <f>IFERROR(TRANSACTIONS!$F4275+TRANSACTIONS!$G4275,"")</f>
        <v>2000</v>
      </c>
      <c r="I4275" s="40" t="s">
        <v>41</v>
      </c>
    </row>
    <row r="4276" spans="1:9" x14ac:dyDescent="0.25">
      <c r="A4276" s="41">
        <v>45373.705505324077</v>
      </c>
      <c r="B4276" s="48">
        <f>IF(A4276&lt;&gt;"",DATE(YEAR(TRANSACTIONS!$A4276),MONTH(TRANSACTIONS!$A4276),DAY(TRANSACTIONS!$A4276)),"")</f>
        <v>45373</v>
      </c>
      <c r="C4276" s="49">
        <f>IF(A4276&lt;&gt;"",TIME(HOUR(TRANSACTIONS!$A4276),MINUTE(TRANSACTIONS!$A4276),SECOND(TRANSACTIONS!$A4276)),"")</f>
        <v>0.70550925925925922</v>
      </c>
      <c r="D4276" s="82" t="s">
        <v>62</v>
      </c>
      <c r="E4276" s="82" t="s">
        <v>7</v>
      </c>
      <c r="F4276" s="88">
        <v>2000</v>
      </c>
      <c r="G4276" s="46"/>
      <c r="H4276" s="46">
        <f>IFERROR(TRANSACTIONS!$F4276+TRANSACTIONS!$G4276,"")</f>
        <v>2000</v>
      </c>
      <c r="I4276" s="40" t="s">
        <v>41</v>
      </c>
    </row>
    <row r="4277" spans="1:9" x14ac:dyDescent="0.25">
      <c r="A4277" s="41">
        <v>45373.705512731482</v>
      </c>
      <c r="B4277" s="48">
        <f>IF(A4277&lt;&gt;"",DATE(YEAR(TRANSACTIONS!$A4277),MONTH(TRANSACTIONS!$A4277),DAY(TRANSACTIONS!$A4277)),"")</f>
        <v>45373</v>
      </c>
      <c r="C4277" s="49">
        <f>IF(A4277&lt;&gt;"",TIME(HOUR(TRANSACTIONS!$A4277),MINUTE(TRANSACTIONS!$A4277),SECOND(TRANSACTIONS!$A4277)),"")</f>
        <v>0.70550925925925922</v>
      </c>
      <c r="D4277" s="82" t="s">
        <v>62</v>
      </c>
      <c r="E4277" s="82" t="s">
        <v>6</v>
      </c>
      <c r="F4277" s="88">
        <v>10000</v>
      </c>
      <c r="G4277" s="46"/>
      <c r="H4277" s="46">
        <f>IFERROR(TRANSACTIONS!$F4277+TRANSACTIONS!$G4277,"")</f>
        <v>10000</v>
      </c>
      <c r="I4277" s="40" t="s">
        <v>41</v>
      </c>
    </row>
    <row r="4278" spans="1:9" x14ac:dyDescent="0.25">
      <c r="A4278" s="41">
        <v>45373.705520717594</v>
      </c>
      <c r="B4278" s="48">
        <f>IF(A4278&lt;&gt;"",DATE(YEAR(TRANSACTIONS!$A4278),MONTH(TRANSACTIONS!$A4278),DAY(TRANSACTIONS!$A4278)),"")</f>
        <v>45373</v>
      </c>
      <c r="C4278" s="49">
        <f>IF(A4278&lt;&gt;"",TIME(HOUR(TRANSACTIONS!$A4278),MINUTE(TRANSACTIONS!$A4278),SECOND(TRANSACTIONS!$A4278)),"")</f>
        <v>0.70552083333333337</v>
      </c>
      <c r="D4278" s="82" t="s">
        <v>62</v>
      </c>
      <c r="E4278" s="82" t="s">
        <v>6</v>
      </c>
      <c r="F4278" s="88">
        <v>40000</v>
      </c>
      <c r="G4278" s="46"/>
      <c r="H4278" s="46">
        <f>IFERROR(TRANSACTIONS!$F4278+TRANSACTIONS!$G4278,"")</f>
        <v>40000</v>
      </c>
      <c r="I4278" s="40" t="s">
        <v>41</v>
      </c>
    </row>
    <row r="4279" spans="1:9" x14ac:dyDescent="0.25">
      <c r="A4279" s="41">
        <v>45373.705545486111</v>
      </c>
      <c r="B4279" s="48">
        <f>IF(A4279&lt;&gt;"",DATE(YEAR(TRANSACTIONS!$A4279),MONTH(TRANSACTIONS!$A4279),DAY(TRANSACTIONS!$A4279)),"")</f>
        <v>45373</v>
      </c>
      <c r="C4279" s="49">
        <f>IF(A4279&lt;&gt;"",TIME(HOUR(TRANSACTIONS!$A4279),MINUTE(TRANSACTIONS!$A4279),SECOND(TRANSACTIONS!$A4279)),"")</f>
        <v>0.70554398148148145</v>
      </c>
      <c r="D4279" s="82" t="s">
        <v>62</v>
      </c>
      <c r="E4279" s="82" t="s">
        <v>7</v>
      </c>
      <c r="F4279" s="88">
        <v>5000</v>
      </c>
      <c r="G4279" s="46"/>
      <c r="H4279" s="46">
        <f>IFERROR(TRANSACTIONS!$F4279+TRANSACTIONS!$G4279,"")</f>
        <v>5000</v>
      </c>
      <c r="I4279" s="40" t="s">
        <v>41</v>
      </c>
    </row>
    <row r="4280" spans="1:9" x14ac:dyDescent="0.25">
      <c r="A4280" s="41">
        <v>45373.705552893516</v>
      </c>
      <c r="B4280" s="48">
        <f>IF(A4280&lt;&gt;"",DATE(YEAR(TRANSACTIONS!$A4280),MONTH(TRANSACTIONS!$A4280),DAY(TRANSACTIONS!$A4280)),"")</f>
        <v>45373</v>
      </c>
      <c r="C4280" s="49">
        <f>IF(A4280&lt;&gt;"",TIME(HOUR(TRANSACTIONS!$A4280),MINUTE(TRANSACTIONS!$A4280),SECOND(TRANSACTIONS!$A4280)),"")</f>
        <v>0.7055555555555556</v>
      </c>
      <c r="D4280" s="82" t="s">
        <v>62</v>
      </c>
      <c r="E4280" s="82" t="s">
        <v>7</v>
      </c>
      <c r="F4280" s="88">
        <v>11000</v>
      </c>
      <c r="G4280" s="46"/>
      <c r="H4280" s="46">
        <f>IFERROR(TRANSACTIONS!$F4280+TRANSACTIONS!$G4280,"")</f>
        <v>11000</v>
      </c>
      <c r="I4280" s="40" t="s">
        <v>41</v>
      </c>
    </row>
    <row r="4281" spans="1:9" x14ac:dyDescent="0.25">
      <c r="A4281" s="41">
        <v>45373.705561805553</v>
      </c>
      <c r="B4281" s="48">
        <f>IF(A4281&lt;&gt;"",DATE(YEAR(TRANSACTIONS!$A4281),MONTH(TRANSACTIONS!$A4281),DAY(TRANSACTIONS!$A4281)),"")</f>
        <v>45373</v>
      </c>
      <c r="C4281" s="49">
        <f>IF(A4281&lt;&gt;"",TIME(HOUR(TRANSACTIONS!$A4281),MINUTE(TRANSACTIONS!$A4281),SECOND(TRANSACTIONS!$A4281)),"")</f>
        <v>0.70556712962962964</v>
      </c>
      <c r="D4281" s="82" t="s">
        <v>62</v>
      </c>
      <c r="E4281" s="82" t="s">
        <v>6</v>
      </c>
      <c r="F4281" s="88">
        <v>30000</v>
      </c>
      <c r="G4281" s="46"/>
      <c r="H4281" s="46">
        <f>IFERROR(TRANSACTIONS!$F4281+TRANSACTIONS!$G4281,"")</f>
        <v>30000</v>
      </c>
      <c r="I4281" s="40" t="s">
        <v>41</v>
      </c>
    </row>
    <row r="4282" spans="1:9" x14ac:dyDescent="0.25">
      <c r="A4282" s="41">
        <v>45373.705571527775</v>
      </c>
      <c r="B4282" s="48">
        <f>IF(A4282&lt;&gt;"",DATE(YEAR(TRANSACTIONS!$A4282),MONTH(TRANSACTIONS!$A4282),DAY(TRANSACTIONS!$A4282)),"")</f>
        <v>45373</v>
      </c>
      <c r="C4282" s="49">
        <f>IF(A4282&lt;&gt;"",TIME(HOUR(TRANSACTIONS!$A4282),MINUTE(TRANSACTIONS!$A4282),SECOND(TRANSACTIONS!$A4282)),"")</f>
        <v>0.70556712962962964</v>
      </c>
      <c r="D4282" s="82" t="s">
        <v>62</v>
      </c>
      <c r="E4282" s="82" t="s">
        <v>7</v>
      </c>
      <c r="F4282" s="88">
        <v>4000</v>
      </c>
      <c r="G4282" s="46"/>
      <c r="H4282" s="46">
        <f>IFERROR(TRANSACTIONS!$F4282+TRANSACTIONS!$G4282,"")</f>
        <v>4000</v>
      </c>
      <c r="I4282" s="40" t="s">
        <v>41</v>
      </c>
    </row>
    <row r="4283" spans="1:9" x14ac:dyDescent="0.25">
      <c r="A4283" s="41">
        <v>45373.705583449075</v>
      </c>
      <c r="B4283" s="48">
        <f>IF(A4283&lt;&gt;"",DATE(YEAR(TRANSACTIONS!$A4283),MONTH(TRANSACTIONS!$A4283),DAY(TRANSACTIONS!$A4283)),"")</f>
        <v>45373</v>
      </c>
      <c r="C4283" s="49">
        <f>IF(A4283&lt;&gt;"",TIME(HOUR(TRANSACTIONS!$A4283),MINUTE(TRANSACTIONS!$A4283),SECOND(TRANSACTIONS!$A4283)),"")</f>
        <v>0.70557870370370368</v>
      </c>
      <c r="D4283" s="82" t="s">
        <v>62</v>
      </c>
      <c r="E4283" s="82" t="s">
        <v>7</v>
      </c>
      <c r="F4283" s="88">
        <v>250000</v>
      </c>
      <c r="G4283" s="46"/>
      <c r="H4283" s="46">
        <f>IFERROR(TRANSACTIONS!$F4283+TRANSACTIONS!$G4283,"")</f>
        <v>250000</v>
      </c>
      <c r="I4283" s="40" t="s">
        <v>41</v>
      </c>
    </row>
    <row r="4284" spans="1:9" x14ac:dyDescent="0.25">
      <c r="A4284" s="41">
        <v>45373.705591203703</v>
      </c>
      <c r="B4284" s="48">
        <f>IF(A4284&lt;&gt;"",DATE(YEAR(TRANSACTIONS!$A4284),MONTH(TRANSACTIONS!$A4284),DAY(TRANSACTIONS!$A4284)),"")</f>
        <v>45373</v>
      </c>
      <c r="C4284" s="49">
        <f>IF(A4284&lt;&gt;"",TIME(HOUR(TRANSACTIONS!$A4284),MINUTE(TRANSACTIONS!$A4284),SECOND(TRANSACTIONS!$A4284)),"")</f>
        <v>0.70559027777777772</v>
      </c>
      <c r="D4284" s="82" t="s">
        <v>62</v>
      </c>
      <c r="E4284" s="82" t="s">
        <v>7</v>
      </c>
      <c r="F4284" s="88">
        <v>320000</v>
      </c>
      <c r="G4284" s="46"/>
      <c r="H4284" s="46">
        <f>IFERROR(TRANSACTIONS!$F4284+TRANSACTIONS!$G4284,"")</f>
        <v>320000</v>
      </c>
      <c r="I4284" s="40" t="s">
        <v>41</v>
      </c>
    </row>
    <row r="4285" spans="1:9" x14ac:dyDescent="0.25">
      <c r="A4285" s="81">
        <v>45373.705610185185</v>
      </c>
      <c r="B4285" s="83">
        <f>IF(A4285&lt;&gt;"",DATE(YEAR(TRANSACTIONS!$A4285),MONTH(TRANSACTIONS!$A4285),DAY(TRANSACTIONS!$A4285)),"")</f>
        <v>45373</v>
      </c>
      <c r="C4285" s="84">
        <f>IF(A4285&lt;&gt;"",TIME(HOUR(TRANSACTIONS!$A4285),MINUTE(TRANSACTIONS!$A4285),SECOND(TRANSACTIONS!$A4285)),"")</f>
        <v>0.70561342592592602</v>
      </c>
      <c r="D4285" s="82" t="s">
        <v>62</v>
      </c>
      <c r="E4285" s="82" t="s">
        <v>7</v>
      </c>
      <c r="F4285" s="88">
        <v>10000</v>
      </c>
      <c r="G4285" s="86"/>
      <c r="H4285" s="86">
        <f>IFERROR(TRANSACTIONS!$F4285+TRANSACTIONS!$G4285,"")</f>
        <v>10000</v>
      </c>
      <c r="I4285" s="88" t="s">
        <v>41</v>
      </c>
    </row>
    <row r="4286" spans="1:9" x14ac:dyDescent="0.25">
      <c r="A4286" s="41">
        <v>45373.70561759259</v>
      </c>
      <c r="B4286" s="48">
        <f>IF(A4286&lt;&gt;"",DATE(YEAR(TRANSACTIONS!$A4286),MONTH(TRANSACTIONS!$A4286),DAY(TRANSACTIONS!$A4286)),"")</f>
        <v>45373</v>
      </c>
      <c r="C4286" s="49">
        <f>IF(A4286&lt;&gt;"",TIME(HOUR(TRANSACTIONS!$A4286),MINUTE(TRANSACTIONS!$A4286),SECOND(TRANSACTIONS!$A4286)),"")</f>
        <v>0.70561342592592602</v>
      </c>
      <c r="D4286" s="82" t="s">
        <v>62</v>
      </c>
      <c r="E4286" s="82" t="s">
        <v>7</v>
      </c>
      <c r="F4286" s="88">
        <v>1000</v>
      </c>
      <c r="G4286" s="46"/>
      <c r="H4286" s="46">
        <f>IFERROR(TRANSACTIONS!$F4286+TRANSACTIONS!$G4286,"")</f>
        <v>1000</v>
      </c>
      <c r="I4286" s="40" t="s">
        <v>41</v>
      </c>
    </row>
    <row r="4287" spans="1:9" x14ac:dyDescent="0.25">
      <c r="A4287" s="41">
        <v>45373.705624652779</v>
      </c>
      <c r="B4287" s="48">
        <f>IF(A4287&lt;&gt;"",DATE(YEAR(TRANSACTIONS!$A4287),MONTH(TRANSACTIONS!$A4287),DAY(TRANSACTIONS!$A4287)),"")</f>
        <v>45373</v>
      </c>
      <c r="C4287" s="49">
        <f>IF(A4287&lt;&gt;"",TIME(HOUR(TRANSACTIONS!$A4287),MINUTE(TRANSACTIONS!$A4287),SECOND(TRANSACTIONS!$A4287)),"")</f>
        <v>0.70562499999999995</v>
      </c>
      <c r="D4287" s="82" t="s">
        <v>64</v>
      </c>
      <c r="E4287" s="82" t="s">
        <v>6</v>
      </c>
      <c r="F4287" s="88">
        <v>300000</v>
      </c>
      <c r="G4287" s="46"/>
      <c r="H4287" s="46">
        <f>IFERROR(TRANSACTIONS!$F4287+TRANSACTIONS!$G4287,"")</f>
        <v>300000</v>
      </c>
      <c r="I4287" s="40" t="s">
        <v>41</v>
      </c>
    </row>
    <row r="4288" spans="1:9" x14ac:dyDescent="0.25">
      <c r="A4288" s="41">
        <v>45373.705631712961</v>
      </c>
      <c r="B4288" s="48">
        <f>IF(A4288&lt;&gt;"",DATE(YEAR(TRANSACTIONS!$A4288),MONTH(TRANSACTIONS!$A4288),DAY(TRANSACTIONS!$A4288)),"")</f>
        <v>45373</v>
      </c>
      <c r="C4288" s="49">
        <f>IF(A4288&lt;&gt;"",TIME(HOUR(TRANSACTIONS!$A4288),MINUTE(TRANSACTIONS!$A4288),SECOND(TRANSACTIONS!$A4288)),"")</f>
        <v>0.7056365740740741</v>
      </c>
      <c r="D4288" s="82" t="s">
        <v>25</v>
      </c>
      <c r="E4288" s="82" t="s">
        <v>6</v>
      </c>
      <c r="F4288" s="112">
        <v>500</v>
      </c>
      <c r="G4288" s="46"/>
      <c r="H4288" s="46">
        <f>IFERROR(TRANSACTIONS!$F4288+TRANSACTIONS!$G4288,"")</f>
        <v>500</v>
      </c>
      <c r="I4288" s="40" t="s">
        <v>41</v>
      </c>
    </row>
    <row r="4289" spans="1:9" x14ac:dyDescent="0.25">
      <c r="A4289" s="41">
        <v>45373.705639699074</v>
      </c>
      <c r="B4289" s="48">
        <f>IF(A4289&lt;&gt;"",DATE(YEAR(TRANSACTIONS!$A4289),MONTH(TRANSACTIONS!$A4289),DAY(TRANSACTIONS!$A4289)),"")</f>
        <v>45373</v>
      </c>
      <c r="C4289" s="49">
        <f>IF(A4289&lt;&gt;"",TIME(HOUR(TRANSACTIONS!$A4289),MINUTE(TRANSACTIONS!$A4289),SECOND(TRANSACTIONS!$A4289)),"")</f>
        <v>0.7056365740740741</v>
      </c>
      <c r="D4289" s="82" t="s">
        <v>25</v>
      </c>
      <c r="E4289" s="82" t="s">
        <v>7</v>
      </c>
      <c r="F4289" s="88">
        <v>6000</v>
      </c>
      <c r="G4289" s="46"/>
      <c r="H4289" s="46">
        <f>IFERROR(TRANSACTIONS!$F4289+TRANSACTIONS!$G4289,"")</f>
        <v>6000</v>
      </c>
      <c r="I4289" s="40" t="s">
        <v>41</v>
      </c>
    </row>
    <row r="4290" spans="1:9" x14ac:dyDescent="0.25">
      <c r="A4290" s="41">
        <v>45373.70566712963</v>
      </c>
      <c r="B4290" s="48">
        <f>IF(A4290&lt;&gt;"",DATE(YEAR(TRANSACTIONS!$A4290),MONTH(TRANSACTIONS!$A4290),DAY(TRANSACTIONS!$A4290)),"")</f>
        <v>45373</v>
      </c>
      <c r="C4290" s="49">
        <f>IF(A4290&lt;&gt;"",TIME(HOUR(TRANSACTIONS!$A4290),MINUTE(TRANSACTIONS!$A4290),SECOND(TRANSACTIONS!$A4290)),"")</f>
        <v>0.70567129629629621</v>
      </c>
      <c r="D4290" s="82" t="s">
        <v>25</v>
      </c>
      <c r="E4290" s="82" t="s">
        <v>7</v>
      </c>
      <c r="F4290" s="88">
        <v>3000</v>
      </c>
      <c r="G4290" s="46"/>
      <c r="H4290" s="46">
        <f>IFERROR(TRANSACTIONS!$F4290+TRANSACTIONS!$G4290,"")</f>
        <v>3000</v>
      </c>
      <c r="I4290" s="40" t="s">
        <v>41</v>
      </c>
    </row>
    <row r="4291" spans="1:9" x14ac:dyDescent="0.25">
      <c r="A4291" s="41">
        <v>45373.705675810183</v>
      </c>
      <c r="B4291" s="48">
        <f>IF(A4291&lt;&gt;"",DATE(YEAR(TRANSACTIONS!$A4291),MONTH(TRANSACTIONS!$A4291),DAY(TRANSACTIONS!$A4291)),"")</f>
        <v>45373</v>
      </c>
      <c r="C4291" s="49">
        <f>IF(A4291&lt;&gt;"",TIME(HOUR(TRANSACTIONS!$A4291),MINUTE(TRANSACTIONS!$A4291),SECOND(TRANSACTIONS!$A4291)),"")</f>
        <v>0.70567129629629621</v>
      </c>
      <c r="D4291" s="82" t="s">
        <v>25</v>
      </c>
      <c r="E4291" s="82" t="s">
        <v>7</v>
      </c>
      <c r="F4291" s="88">
        <v>1900</v>
      </c>
      <c r="G4291" s="46"/>
      <c r="H4291" s="46">
        <f>IFERROR(TRANSACTIONS!$F4291+TRANSACTIONS!$G4291,"")</f>
        <v>1900</v>
      </c>
      <c r="I4291" s="40" t="s">
        <v>41</v>
      </c>
    </row>
    <row r="4292" spans="1:9" x14ac:dyDescent="0.25">
      <c r="A4292" s="41">
        <v>45373.705682870372</v>
      </c>
      <c r="B4292" s="48">
        <f>IF(A4292&lt;&gt;"",DATE(YEAR(TRANSACTIONS!$A4292),MONTH(TRANSACTIONS!$A4292),DAY(TRANSACTIONS!$A4292)),"")</f>
        <v>45373</v>
      </c>
      <c r="C4292" s="49">
        <f>IF(A4292&lt;&gt;"",TIME(HOUR(TRANSACTIONS!$A4292),MINUTE(TRANSACTIONS!$A4292),SECOND(TRANSACTIONS!$A4292)),"")</f>
        <v>0.70568287037037036</v>
      </c>
      <c r="D4292" s="82" t="s">
        <v>25</v>
      </c>
      <c r="E4292" s="82" t="s">
        <v>7</v>
      </c>
      <c r="F4292" s="88">
        <v>3000</v>
      </c>
      <c r="G4292" s="46"/>
      <c r="H4292" s="46">
        <f>IFERROR(TRANSACTIONS!$F4292+TRANSACTIONS!$G4292,"")</f>
        <v>3000</v>
      </c>
      <c r="I4292" s="40" t="s">
        <v>41</v>
      </c>
    </row>
    <row r="4293" spans="1:9" x14ac:dyDescent="0.25">
      <c r="A4293" s="41">
        <v>45373.705690162038</v>
      </c>
      <c r="B4293" s="48">
        <f>IF(A4293&lt;&gt;"",DATE(YEAR(TRANSACTIONS!$A4293),MONTH(TRANSACTIONS!$A4293),DAY(TRANSACTIONS!$A4293)),"")</f>
        <v>45373</v>
      </c>
      <c r="C4293" s="49">
        <f>IF(A4293&lt;&gt;"",TIME(HOUR(TRANSACTIONS!$A4293),MINUTE(TRANSACTIONS!$A4293),SECOND(TRANSACTIONS!$A4293)),"")</f>
        <v>0.70569444444444451</v>
      </c>
      <c r="D4293" s="82" t="s">
        <v>25</v>
      </c>
      <c r="E4293" s="82" t="s">
        <v>6</v>
      </c>
      <c r="F4293" s="88">
        <v>2200</v>
      </c>
      <c r="G4293" s="46"/>
      <c r="H4293" s="46">
        <f>IFERROR(TRANSACTIONS!$F4293+TRANSACTIONS!$G4293,"")</f>
        <v>2200</v>
      </c>
      <c r="I4293" s="40" t="s">
        <v>41</v>
      </c>
    </row>
    <row r="4294" spans="1:9" x14ac:dyDescent="0.25">
      <c r="A4294" s="41">
        <v>45373.708463310184</v>
      </c>
      <c r="B4294" s="48">
        <f>IF(A4294&lt;&gt;"",DATE(YEAR(TRANSACTIONS!$A4294),MONTH(TRANSACTIONS!$A4294),DAY(TRANSACTIONS!$A4294)),"")</f>
        <v>45373</v>
      </c>
      <c r="C4294" s="49">
        <f>IF(A4294&lt;&gt;"",TIME(HOUR(TRANSACTIONS!$A4294),MINUTE(TRANSACTIONS!$A4294),SECOND(TRANSACTIONS!$A4294)),"")</f>
        <v>0.70846064814814813</v>
      </c>
      <c r="D4294" s="82" t="s">
        <v>25</v>
      </c>
      <c r="E4294" s="82" t="s">
        <v>6</v>
      </c>
      <c r="F4294" s="112">
        <v>550</v>
      </c>
      <c r="G4294" s="46"/>
      <c r="H4294" s="46">
        <f>IFERROR(TRANSACTIONS!$F4294+TRANSACTIONS!$G4294,"")</f>
        <v>550</v>
      </c>
      <c r="I4294" s="40" t="s">
        <v>41</v>
      </c>
    </row>
    <row r="4295" spans="1:9" x14ac:dyDescent="0.25">
      <c r="A4295" s="41">
        <v>45373.708465972224</v>
      </c>
      <c r="B4295" s="48">
        <f>IF(A4295&lt;&gt;"",DATE(YEAR(TRANSACTIONS!$A4295),MONTH(TRANSACTIONS!$A4295),DAY(TRANSACTIONS!$A4295)),"")</f>
        <v>45373</v>
      </c>
      <c r="C4295" s="49">
        <f>IF(A4295&lt;&gt;"",TIME(HOUR(TRANSACTIONS!$A4295),MINUTE(TRANSACTIONS!$A4295),SECOND(TRANSACTIONS!$A4295)),"")</f>
        <v>0.70846064814814813</v>
      </c>
      <c r="D4295" s="82" t="s">
        <v>25</v>
      </c>
      <c r="E4295" s="82" t="s">
        <v>6</v>
      </c>
      <c r="F4295" s="112">
        <v>20000</v>
      </c>
      <c r="G4295" s="46"/>
      <c r="H4295" s="46">
        <f>IFERROR(TRANSACTIONS!$F4295+TRANSACTIONS!$G4295,"")</f>
        <v>20000</v>
      </c>
      <c r="I4295" s="40" t="s">
        <v>41</v>
      </c>
    </row>
    <row r="4296" spans="1:9" x14ac:dyDescent="0.25">
      <c r="A4296" s="41">
        <v>45373.708499189815</v>
      </c>
      <c r="B4296" s="48">
        <f>IF(A4296&lt;&gt;"",DATE(YEAR(TRANSACTIONS!$A4296),MONTH(TRANSACTIONS!$A4296),DAY(TRANSACTIONS!$A4296)),"")</f>
        <v>45373</v>
      </c>
      <c r="C4296" s="49">
        <f>IF(A4296&lt;&gt;"",TIME(HOUR(TRANSACTIONS!$A4296),MINUTE(TRANSACTIONS!$A4296),SECOND(TRANSACTIONS!$A4296)),"")</f>
        <v>0.70849537037037036</v>
      </c>
      <c r="D4296" s="82" t="s">
        <v>25</v>
      </c>
      <c r="E4296" s="82" t="s">
        <v>6</v>
      </c>
      <c r="F4296" s="112">
        <v>5000</v>
      </c>
      <c r="G4296" s="46"/>
      <c r="H4296" s="46">
        <f>IFERROR(TRANSACTIONS!$F4296+TRANSACTIONS!$G4296,"")</f>
        <v>5000</v>
      </c>
      <c r="I4296" s="40" t="s">
        <v>41</v>
      </c>
    </row>
    <row r="4297" spans="1:9" x14ac:dyDescent="0.25">
      <c r="A4297" s="113">
        <v>45373.708507291667</v>
      </c>
      <c r="B4297" s="114">
        <f>IF(A4297&lt;&gt;"",DATE(YEAR(TRANSACTIONS!$A4297),MONTH(TRANSACTIONS!$A4297),DAY(TRANSACTIONS!$A4297)),"")</f>
        <v>45373</v>
      </c>
      <c r="C4297" s="115">
        <f>IF(A4297&lt;&gt;"",TIME(HOUR(TRANSACTIONS!$A4297),MINUTE(TRANSACTIONS!$A4297),SECOND(TRANSACTIONS!$A4297)),"")</f>
        <v>0.7085069444444444</v>
      </c>
      <c r="D4297" s="82" t="s">
        <v>62</v>
      </c>
      <c r="E4297" s="82" t="s">
        <v>6</v>
      </c>
      <c r="F4297" s="112">
        <v>66500</v>
      </c>
      <c r="G4297" s="117"/>
      <c r="H4297" s="117">
        <f>IFERROR(TRANSACTIONS!$F4297+TRANSACTIONS!$G4297,"")</f>
        <v>66500</v>
      </c>
      <c r="I4297" s="118" t="s">
        <v>41</v>
      </c>
    </row>
    <row r="4298" spans="1:9" x14ac:dyDescent="0.25">
      <c r="A4298" s="41">
        <v>45373.70851527778</v>
      </c>
      <c r="B4298" s="48">
        <f>IF(A4298&lt;&gt;"",DATE(YEAR(TRANSACTIONS!$A4298),MONTH(TRANSACTIONS!$A4298),DAY(TRANSACTIONS!$A4298)),"")</f>
        <v>45373</v>
      </c>
      <c r="C4298" s="49">
        <f>IF(A4298&lt;&gt;"",TIME(HOUR(TRANSACTIONS!$A4298),MINUTE(TRANSACTIONS!$A4298),SECOND(TRANSACTIONS!$A4298)),"")</f>
        <v>0.70851851851851855</v>
      </c>
      <c r="D4298" s="82" t="s">
        <v>62</v>
      </c>
      <c r="E4298" s="82" t="s">
        <v>7</v>
      </c>
      <c r="F4298" s="40">
        <v>1000</v>
      </c>
      <c r="G4298" s="46"/>
      <c r="H4298" s="46">
        <f>IFERROR(TRANSACTIONS!$F4308+TRANSACTIONS!$G4298,"")</f>
        <v>0</v>
      </c>
      <c r="I4298" s="40" t="s">
        <v>41</v>
      </c>
    </row>
    <row r="4299" spans="1:9" x14ac:dyDescent="0.25">
      <c r="A4299" s="41">
        <v>45373.708523032408</v>
      </c>
      <c r="B4299" s="48">
        <f>IF(A4299&lt;&gt;"",DATE(YEAR(TRANSACTIONS!$A4299),MONTH(TRANSACTIONS!$A4299),DAY(TRANSACTIONS!$A4299)),"")</f>
        <v>45373</v>
      </c>
      <c r="C4299" s="49">
        <f>IF(A4299&lt;&gt;"",TIME(HOUR(TRANSACTIONS!$A4299),MINUTE(TRANSACTIONS!$A4299),SECOND(TRANSACTIONS!$A4299)),"")</f>
        <v>0.70851851851851855</v>
      </c>
      <c r="D4299" s="82" t="s">
        <v>62</v>
      </c>
      <c r="E4299" s="82" t="s">
        <v>7</v>
      </c>
      <c r="F4299" s="112">
        <v>500</v>
      </c>
      <c r="G4299" s="46"/>
      <c r="H4299" s="46">
        <f>IFERROR(TRANSACTIONS!$F4299+TRANSACTIONS!$G4299,"")</f>
        <v>500</v>
      </c>
      <c r="I4299" s="40" t="s">
        <v>41</v>
      </c>
    </row>
    <row r="4300" spans="1:9" x14ac:dyDescent="0.25">
      <c r="A4300" s="41">
        <v>45373.742201157409</v>
      </c>
      <c r="B4300" s="48">
        <f>IF(A4300&lt;&gt;"",DATE(YEAR(TRANSACTIONS!$A4300),MONTH(TRANSACTIONS!$A4300),DAY(TRANSACTIONS!$A4300)),"")</f>
        <v>45373</v>
      </c>
      <c r="C4300" s="49">
        <f>IF(A4300&lt;&gt;"",TIME(HOUR(TRANSACTIONS!$A4300),MINUTE(TRANSACTIONS!$A4300),SECOND(TRANSACTIONS!$A4300)),"")</f>
        <v>0.74219907407407415</v>
      </c>
      <c r="D4300" s="82" t="s">
        <v>62</v>
      </c>
      <c r="E4300" s="82" t="s">
        <v>6</v>
      </c>
      <c r="F4300" s="112">
        <v>2500</v>
      </c>
      <c r="G4300" s="46"/>
      <c r="H4300" s="46">
        <f>IFERROR(TRANSACTIONS!$F4300+TRANSACTIONS!$G4300,"")</f>
        <v>2500</v>
      </c>
      <c r="I4300" s="40" t="s">
        <v>41</v>
      </c>
    </row>
    <row r="4301" spans="1:9" x14ac:dyDescent="0.25">
      <c r="A4301" s="41">
        <v>45373.742212268517</v>
      </c>
      <c r="B4301" s="48">
        <f>IF(A4301&lt;&gt;"",DATE(YEAR(TRANSACTIONS!$A4301),MONTH(TRANSACTIONS!$A4301),DAY(TRANSACTIONS!$A4301)),"")</f>
        <v>45373</v>
      </c>
      <c r="C4301" s="49">
        <f>IF(A4301&lt;&gt;"",TIME(HOUR(TRANSACTIONS!$A4301),MINUTE(TRANSACTIONS!$A4301),SECOND(TRANSACTIONS!$A4301)),"")</f>
        <v>0.74221064814814808</v>
      </c>
      <c r="D4301" s="82" t="s">
        <v>62</v>
      </c>
      <c r="E4301" s="82" t="s">
        <v>6</v>
      </c>
      <c r="F4301" s="112">
        <v>10000</v>
      </c>
      <c r="G4301" s="46"/>
      <c r="H4301" s="46">
        <f>IFERROR(TRANSACTIONS!$F4301+TRANSACTIONS!$G4301,"")</f>
        <v>10000</v>
      </c>
      <c r="I4301" s="40" t="s">
        <v>41</v>
      </c>
    </row>
    <row r="4302" spans="1:9" x14ac:dyDescent="0.25">
      <c r="A4302" s="41">
        <v>45373.742253124998</v>
      </c>
      <c r="B4302" s="48">
        <f>IF(A4302&lt;&gt;"",DATE(YEAR(TRANSACTIONS!$A4302),MONTH(TRANSACTIONS!$A4302),DAY(TRANSACTIONS!$A4302)),"")</f>
        <v>45373</v>
      </c>
      <c r="C4302" s="49">
        <f>IF(A4302&lt;&gt;"",TIME(HOUR(TRANSACTIONS!$A4302),MINUTE(TRANSACTIONS!$A4302),SECOND(TRANSACTIONS!$A4302)),"")</f>
        <v>0.74225694444444434</v>
      </c>
      <c r="D4302" s="82" t="s">
        <v>62</v>
      </c>
      <c r="E4302" s="82" t="s">
        <v>7</v>
      </c>
      <c r="F4302" s="112">
        <v>3000</v>
      </c>
      <c r="G4302" s="46"/>
      <c r="H4302" s="46">
        <f>IFERROR(TRANSACTIONS!$F4302+TRANSACTIONS!$G4302,"")</f>
        <v>3000</v>
      </c>
      <c r="I4302" s="40" t="s">
        <v>41</v>
      </c>
    </row>
    <row r="4303" spans="1:9" x14ac:dyDescent="0.25">
      <c r="A4303" s="41">
        <v>45373.742261458334</v>
      </c>
      <c r="B4303" s="48">
        <f>IF(A4303&lt;&gt;"",DATE(YEAR(TRANSACTIONS!$A4303),MONTH(TRANSACTIONS!$A4303),DAY(TRANSACTIONS!$A4303)),"")</f>
        <v>45373</v>
      </c>
      <c r="C4303" s="49">
        <f>IF(A4303&lt;&gt;"",TIME(HOUR(TRANSACTIONS!$A4303),MINUTE(TRANSACTIONS!$A4303),SECOND(TRANSACTIONS!$A4303)),"")</f>
        <v>0.74225694444444434</v>
      </c>
      <c r="D4303" s="82" t="s">
        <v>62</v>
      </c>
      <c r="E4303" s="82" t="s">
        <v>6</v>
      </c>
      <c r="F4303" s="112">
        <v>500</v>
      </c>
      <c r="G4303" s="46"/>
      <c r="H4303" s="46">
        <f>IFERROR(TRANSACTIONS!$F4303+TRANSACTIONS!$G4303,"")</f>
        <v>500</v>
      </c>
      <c r="I4303" s="40" t="s">
        <v>41</v>
      </c>
    </row>
    <row r="4304" spans="1:9" x14ac:dyDescent="0.25">
      <c r="A4304" s="41">
        <v>45373.742270486109</v>
      </c>
      <c r="B4304" s="48">
        <f>IF(A4304&lt;&gt;"",DATE(YEAR(TRANSACTIONS!$A4304),MONTH(TRANSACTIONS!$A4304),DAY(TRANSACTIONS!$A4304)),"")</f>
        <v>45373</v>
      </c>
      <c r="C4304" s="49">
        <f>IF(A4304&lt;&gt;"",TIME(HOUR(TRANSACTIONS!$A4304),MINUTE(TRANSACTIONS!$A4304),SECOND(TRANSACTIONS!$A4304)),"")</f>
        <v>0.74226851851851849</v>
      </c>
      <c r="D4304" s="82" t="s">
        <v>62</v>
      </c>
      <c r="E4304" s="82" t="s">
        <v>6</v>
      </c>
      <c r="F4304" s="112">
        <v>2500</v>
      </c>
      <c r="G4304" s="46"/>
      <c r="H4304" s="46">
        <f>IFERROR(TRANSACTIONS!$F4304+TRANSACTIONS!$G4304,"")</f>
        <v>2500</v>
      </c>
      <c r="I4304" s="40" t="s">
        <v>41</v>
      </c>
    </row>
    <row r="4305" spans="1:10" x14ac:dyDescent="0.25">
      <c r="A4305" s="41">
        <v>45373.742278472222</v>
      </c>
      <c r="B4305" s="48">
        <f>IF(A4305&lt;&gt;"",DATE(YEAR(TRANSACTIONS!$A4305),MONTH(TRANSACTIONS!$A4305),DAY(TRANSACTIONS!$A4305)),"")</f>
        <v>45373</v>
      </c>
      <c r="C4305" s="49">
        <f>IF(A4305&lt;&gt;"",TIME(HOUR(TRANSACTIONS!$A4305),MINUTE(TRANSACTIONS!$A4305),SECOND(TRANSACTIONS!$A4305)),"")</f>
        <v>0.74228009259259264</v>
      </c>
      <c r="D4305" s="82" t="s">
        <v>62</v>
      </c>
      <c r="E4305" s="82" t="s">
        <v>7</v>
      </c>
      <c r="F4305" s="112">
        <v>2000</v>
      </c>
      <c r="G4305" s="46"/>
      <c r="H4305" s="46">
        <f>IFERROR(TRANSACTIONS!$F4305+TRANSACTIONS!$G4305,"")</f>
        <v>2000</v>
      </c>
      <c r="I4305" s="40" t="s">
        <v>41</v>
      </c>
    </row>
    <row r="4306" spans="1:10" x14ac:dyDescent="0.25">
      <c r="A4306" s="41">
        <v>45373.742285995373</v>
      </c>
      <c r="B4306" s="48">
        <f>IF(A4306&lt;&gt;"",DATE(YEAR(TRANSACTIONS!$A4306),MONTH(TRANSACTIONS!$A4306),DAY(TRANSACTIONS!$A4306)),"")</f>
        <v>45373</v>
      </c>
      <c r="C4306" s="49">
        <f>IF(A4306&lt;&gt;"",TIME(HOUR(TRANSACTIONS!$A4306),MINUTE(TRANSACTIONS!$A4306),SECOND(TRANSACTIONS!$A4306)),"")</f>
        <v>0.74229166666666668</v>
      </c>
      <c r="D4306" s="82" t="s">
        <v>62</v>
      </c>
      <c r="E4306" s="82" t="s">
        <v>6</v>
      </c>
      <c r="F4306" s="112">
        <v>10000</v>
      </c>
      <c r="G4306" s="46"/>
      <c r="H4306" s="46">
        <f>IFERROR(TRANSACTIONS!$F4306+TRANSACTIONS!$G4306,"")</f>
        <v>10000</v>
      </c>
      <c r="I4306" s="40" t="s">
        <v>41</v>
      </c>
    </row>
    <row r="4307" spans="1:10" x14ac:dyDescent="0.25">
      <c r="A4307" s="41">
        <v>45373.742293171294</v>
      </c>
      <c r="B4307" s="48">
        <f>IF(A4307&lt;&gt;"",DATE(YEAR(TRANSACTIONS!$A4307),MONTH(TRANSACTIONS!$A4307),DAY(TRANSACTIONS!$A4307)),"")</f>
        <v>45373</v>
      </c>
      <c r="C4307" s="49">
        <f>IF(A4307&lt;&gt;"",TIME(HOUR(TRANSACTIONS!$A4307),MINUTE(TRANSACTIONS!$A4307),SECOND(TRANSACTIONS!$A4307)),"")</f>
        <v>0.74229166666666668</v>
      </c>
      <c r="D4307" s="82"/>
      <c r="E4307" s="82"/>
      <c r="F4307" s="112"/>
      <c r="G4307" s="46"/>
      <c r="H4307" s="46">
        <f>IFERROR(TRANSACTIONS!$F4307+TRANSACTIONS!$G4307,"")</f>
        <v>0</v>
      </c>
      <c r="I4307" s="40" t="s">
        <v>41</v>
      </c>
    </row>
    <row r="4308" spans="1:10" x14ac:dyDescent="0.25">
      <c r="A4308" s="41"/>
      <c r="B4308" s="48" t="str">
        <f>IF(A4308&lt;&gt;"",DATE(YEAR(TRANSACTIONS!$A4308),MONTH(TRANSACTIONS!$A4308),DAY(TRANSACTIONS!$A4308)),"")</f>
        <v/>
      </c>
      <c r="C4308" s="49" t="str">
        <f>IF(A4308&lt;&gt;"",TIME(HOUR(TRANSACTIONS!$A4308),MINUTE(TRANSACTIONS!$A4308),SECOND(TRANSACTIONS!$A4308)),"")</f>
        <v/>
      </c>
      <c r="D4308" s="82"/>
      <c r="E4308" s="82"/>
      <c r="F4308" s="112"/>
      <c r="G4308" s="46"/>
      <c r="H4308" s="46" t="str">
        <f>IFERROR(TRANSACTIONS!#REF!+TRANSACTIONS!$G4308,"")</f>
        <v/>
      </c>
      <c r="I4308" s="40" t="s">
        <v>41</v>
      </c>
    </row>
    <row r="4309" spans="1:10" x14ac:dyDescent="0.25">
      <c r="A4309" s="41">
        <v>45374.414051967593</v>
      </c>
      <c r="B4309" s="48">
        <f>IF(A4309&lt;&gt;"",DATE(YEAR(TRANSACTIONS!$A4309),MONTH(TRANSACTIONS!$A4309),DAY(TRANSACTIONS!$A4309)),"")</f>
        <v>45374</v>
      </c>
      <c r="C4309" s="49">
        <f>IF(A4309&lt;&gt;"",TIME(HOUR(TRANSACTIONS!$A4309),MINUTE(TRANSACTIONS!$A4309),SECOND(TRANSACTIONS!$A4309)),"")</f>
        <v>0.41405092592592596</v>
      </c>
      <c r="D4309" s="82" t="s">
        <v>62</v>
      </c>
      <c r="E4309" s="82" t="s">
        <v>6</v>
      </c>
      <c r="F4309" s="112">
        <v>40000</v>
      </c>
      <c r="G4309" s="46"/>
      <c r="H4309" s="46">
        <f>IFERROR(TRANSACTIONS!$F4309+TRANSACTIONS!$G4309,"")</f>
        <v>40000</v>
      </c>
      <c r="I4309" s="40" t="s">
        <v>41</v>
      </c>
    </row>
    <row r="4310" spans="1:10" x14ac:dyDescent="0.25">
      <c r="A4310" s="41">
        <v>45374.414060185183</v>
      </c>
      <c r="B4310" s="48">
        <f>IF(A4310&lt;&gt;"",DATE(YEAR(TRANSACTIONS!$A4310),MONTH(TRANSACTIONS!$A4310),DAY(TRANSACTIONS!$A4310)),"")</f>
        <v>45374</v>
      </c>
      <c r="C4310" s="49">
        <f>IF(A4310&lt;&gt;"",TIME(HOUR(TRANSACTIONS!$A4310),MINUTE(TRANSACTIONS!$A4310),SECOND(TRANSACTIONS!$A4310)),"")</f>
        <v>0.4140625</v>
      </c>
      <c r="D4310" s="82" t="s">
        <v>62</v>
      </c>
      <c r="E4310" s="82" t="s">
        <v>7</v>
      </c>
      <c r="F4310" s="112">
        <v>5000</v>
      </c>
      <c r="G4310" s="46"/>
      <c r="H4310" s="46">
        <f>IFERROR(TRANSACTIONS!$F4310+TRANSACTIONS!$G4310,"")</f>
        <v>5000</v>
      </c>
      <c r="I4310" s="40" t="s">
        <v>41</v>
      </c>
    </row>
    <row r="4311" spans="1:10" x14ac:dyDescent="0.25">
      <c r="A4311" s="41">
        <v>45374.414181250002</v>
      </c>
      <c r="B4311" s="48">
        <f>IF(A4311&lt;&gt;"",DATE(YEAR(TRANSACTIONS!$A4311),MONTH(TRANSACTIONS!$A4311),DAY(TRANSACTIONS!$A4311)),"")</f>
        <v>45374</v>
      </c>
      <c r="C4311" s="49">
        <f>IF(A4311&lt;&gt;"",TIME(HOUR(TRANSACTIONS!$A4311),MINUTE(TRANSACTIONS!$A4311),SECOND(TRANSACTIONS!$A4311)),"")</f>
        <v>0.41417824074074078</v>
      </c>
      <c r="D4311" s="82" t="s">
        <v>62</v>
      </c>
      <c r="E4311" s="82" t="s">
        <v>7</v>
      </c>
      <c r="F4311" s="88">
        <v>20000</v>
      </c>
      <c r="G4311" s="46"/>
      <c r="H4311" s="46">
        <f>IFERROR(TRANSACTIONS!$F4311+TRANSACTIONS!$G4311,"")</f>
        <v>20000</v>
      </c>
      <c r="I4311" s="40" t="s">
        <v>41</v>
      </c>
    </row>
    <row r="4312" spans="1:10" x14ac:dyDescent="0.25">
      <c r="A4312" s="41">
        <v>45374.492055439812</v>
      </c>
      <c r="B4312" s="48">
        <f>IF(A4312&lt;&gt;"",DATE(YEAR(TRANSACTIONS!$A4312),MONTH(TRANSACTIONS!$A4312),DAY(TRANSACTIONS!$A4312)),"")</f>
        <v>45374</v>
      </c>
      <c r="C4312" s="49">
        <f>IF(A4312&lt;&gt;"",TIME(HOUR(TRANSACTIONS!$A4312),MINUTE(TRANSACTIONS!$A4312),SECOND(TRANSACTIONS!$A4312)),"")</f>
        <v>0.49206018518518518</v>
      </c>
      <c r="D4312" s="82" t="s">
        <v>62</v>
      </c>
      <c r="E4312" s="82" t="s">
        <v>7</v>
      </c>
      <c r="F4312" s="88">
        <v>3000</v>
      </c>
      <c r="G4312" s="46"/>
      <c r="H4312" s="46">
        <f>IFERROR(TRANSACTIONS!$F4312+TRANSACTIONS!$G4312,"")</f>
        <v>3000</v>
      </c>
      <c r="I4312" s="40" t="s">
        <v>41</v>
      </c>
    </row>
    <row r="4313" spans="1:10" x14ac:dyDescent="0.25">
      <c r="A4313" s="41">
        <v>45374.492068402775</v>
      </c>
      <c r="B4313" s="48">
        <f>IF(A4313&lt;&gt;"",DATE(YEAR(TRANSACTIONS!$A4313),MONTH(TRANSACTIONS!$A4313),DAY(TRANSACTIONS!$A4313)),"")</f>
        <v>45374</v>
      </c>
      <c r="C4313" s="49">
        <f>IF(A4313&lt;&gt;"",TIME(HOUR(TRANSACTIONS!$A4313),MINUTE(TRANSACTIONS!$A4313),SECOND(TRANSACTIONS!$A4313)),"")</f>
        <v>0.49207175925925922</v>
      </c>
      <c r="D4313" s="82" t="s">
        <v>62</v>
      </c>
      <c r="E4313" s="82" t="s">
        <v>6</v>
      </c>
      <c r="F4313" s="112">
        <v>1500</v>
      </c>
      <c r="G4313" s="46"/>
      <c r="H4313" s="46">
        <f>IFERROR(TRANSACTIONS!$F4313+TRANSACTIONS!$G4313,"")</f>
        <v>1500</v>
      </c>
      <c r="I4313" s="40" t="s">
        <v>41</v>
      </c>
    </row>
    <row r="4314" spans="1:10" x14ac:dyDescent="0.25">
      <c r="A4314" s="41">
        <v>45374.492081597222</v>
      </c>
      <c r="B4314" s="48">
        <f>IF(A4314&lt;&gt;"",DATE(YEAR(TRANSACTIONS!$A4314),MONTH(TRANSACTIONS!$A4314),DAY(TRANSACTIONS!$A4314)),"")</f>
        <v>45374</v>
      </c>
      <c r="C4314" s="49">
        <f>IF(A4314&lt;&gt;"",TIME(HOUR(TRANSACTIONS!$A4314),MINUTE(TRANSACTIONS!$A4314),SECOND(TRANSACTIONS!$A4314)),"")</f>
        <v>0.49208333333333337</v>
      </c>
      <c r="D4314" s="82" t="s">
        <v>62</v>
      </c>
      <c r="E4314" s="82" t="s">
        <v>6</v>
      </c>
      <c r="F4314" s="112">
        <v>12150</v>
      </c>
      <c r="G4314" s="46"/>
      <c r="H4314" s="46">
        <f>IFERROR(TRANSACTIONS!$F4314+TRANSACTIONS!$G4314,"")</f>
        <v>12150</v>
      </c>
      <c r="I4314" s="40" t="s">
        <v>41</v>
      </c>
    </row>
    <row r="4315" spans="1:10" x14ac:dyDescent="0.25">
      <c r="A4315" s="41">
        <v>45374.493615509258</v>
      </c>
      <c r="B4315" s="48">
        <f>IF(A4315&lt;&gt;"",DATE(YEAR(TRANSACTIONS!$A4315),MONTH(TRANSACTIONS!$A4315),DAY(TRANSACTIONS!$A4315)),"")</f>
        <v>45374</v>
      </c>
      <c r="C4315" s="49">
        <f>IF(A4315&lt;&gt;"",TIME(HOUR(TRANSACTIONS!$A4315),MINUTE(TRANSACTIONS!$A4315),SECOND(TRANSACTIONS!$A4315)),"")</f>
        <v>0.49361111111111106</v>
      </c>
      <c r="D4315" s="82" t="s">
        <v>62</v>
      </c>
      <c r="E4315" s="82" t="s">
        <v>6</v>
      </c>
      <c r="F4315" s="88">
        <v>40000</v>
      </c>
      <c r="G4315" s="46"/>
      <c r="H4315" s="46">
        <f>IFERROR(TRANSACTIONS!$F4315+TRANSACTIONS!$G4315,"")</f>
        <v>40000</v>
      </c>
      <c r="I4315" s="40" t="s">
        <v>41</v>
      </c>
    </row>
    <row r="4316" spans="1:10" x14ac:dyDescent="0.25">
      <c r="A4316" s="249">
        <v>45374.493618749999</v>
      </c>
      <c r="B4316" s="250">
        <f>IF(A4316&lt;&gt;"",DATE(YEAR(TRANSACTIONS!$A4316),MONTH(TRANSACTIONS!$A4316),DAY(TRANSACTIONS!$A4316)),"")</f>
        <v>45374</v>
      </c>
      <c r="C4316" s="251">
        <f>IF(A4316&lt;&gt;"",TIME(HOUR(TRANSACTIONS!$A4316),MINUTE(TRANSACTIONS!$A4316),SECOND(TRANSACTIONS!$A4316)),"")</f>
        <v>0.49362268518518521</v>
      </c>
      <c r="D4316" s="252" t="s">
        <v>62</v>
      </c>
      <c r="E4316" s="252" t="s">
        <v>6</v>
      </c>
      <c r="F4316" s="253">
        <v>5000</v>
      </c>
      <c r="G4316" s="254"/>
      <c r="H4316" s="254">
        <f>IFERROR(TRANSACTIONS!$F4316+TRANSACTIONS!$G4316,"")</f>
        <v>5000</v>
      </c>
      <c r="I4316" s="255" t="s">
        <v>41</v>
      </c>
      <c r="J4316" s="255"/>
    </row>
    <row r="4317" spans="1:10" x14ac:dyDescent="0.25">
      <c r="A4317" s="105">
        <v>45374.493655671293</v>
      </c>
      <c r="B4317" s="106">
        <f>IF(A4317&lt;&gt;"",DATE(YEAR(TRANSACTIONS!$A4317),MONTH(TRANSACTIONS!$A4317),DAY(TRANSACTIONS!$A4317)),"")</f>
        <v>45374</v>
      </c>
      <c r="C4317" s="107">
        <f>IF(A4317&lt;&gt;"",TIME(HOUR(TRANSACTIONS!$A4317),MINUTE(TRANSACTIONS!$A4317),SECOND(TRANSACTIONS!$A4317)),"")</f>
        <v>0.49365740740740738</v>
      </c>
      <c r="D4317" s="93" t="s">
        <v>62</v>
      </c>
      <c r="E4317" s="93" t="s">
        <v>7</v>
      </c>
      <c r="F4317" s="112">
        <v>5200</v>
      </c>
      <c r="G4317" s="108"/>
      <c r="H4317" s="108">
        <f>IFERROR(TRANSACTIONS!$F4317+TRANSACTIONS!$G4317,"")</f>
        <v>5200</v>
      </c>
      <c r="I4317" s="109" t="s">
        <v>41</v>
      </c>
    </row>
    <row r="4318" spans="1:10" x14ac:dyDescent="0.25">
      <c r="A4318" s="41">
        <v>45374.493726851855</v>
      </c>
      <c r="B4318" s="48">
        <f>IF(A4318&lt;&gt;"",DATE(YEAR(TRANSACTIONS!$A4318),MONTH(TRANSACTIONS!$A4318),DAY(TRANSACTIONS!$A4318)),"")</f>
        <v>45374</v>
      </c>
      <c r="C4318" s="49">
        <f>IF(A4318&lt;&gt;"",TIME(HOUR(TRANSACTIONS!$A4318),MINUTE(TRANSACTIONS!$A4318),SECOND(TRANSACTIONS!$A4318)),"")</f>
        <v>0.49372685185185183</v>
      </c>
      <c r="D4318" s="82" t="s">
        <v>62</v>
      </c>
      <c r="E4318" s="82" t="s">
        <v>7</v>
      </c>
      <c r="F4318" s="88">
        <v>10000</v>
      </c>
      <c r="G4318" s="46"/>
      <c r="H4318" s="46">
        <f>IFERROR(TRANSACTIONS!$F4318+TRANSACTIONS!$G4318,"")</f>
        <v>10000</v>
      </c>
      <c r="I4318" s="40" t="s">
        <v>41</v>
      </c>
    </row>
    <row r="4319" spans="1:10" x14ac:dyDescent="0.25">
      <c r="A4319" s="41">
        <v>45374.493734606483</v>
      </c>
      <c r="B4319" s="48">
        <f>IF(A4319&lt;&gt;"",DATE(YEAR(TRANSACTIONS!$A4319),MONTH(TRANSACTIONS!$A4319),DAY(TRANSACTIONS!$A4319)),"")</f>
        <v>45374</v>
      </c>
      <c r="C4319" s="49">
        <f>IF(A4319&lt;&gt;"",TIME(HOUR(TRANSACTIONS!$A4319),MINUTE(TRANSACTIONS!$A4319),SECOND(TRANSACTIONS!$A4319)),"")</f>
        <v>0.49373842592592593</v>
      </c>
      <c r="D4319" s="82" t="s">
        <v>62</v>
      </c>
      <c r="E4319" s="82" t="s">
        <v>7</v>
      </c>
      <c r="F4319" s="88">
        <v>9000</v>
      </c>
      <c r="G4319" s="46"/>
      <c r="H4319" s="46">
        <f>IFERROR(TRANSACTIONS!$F4319+TRANSACTIONS!$G4319,"")</f>
        <v>9000</v>
      </c>
      <c r="I4319" s="40" t="s">
        <v>41</v>
      </c>
    </row>
    <row r="4320" spans="1:10" x14ac:dyDescent="0.25">
      <c r="A4320" s="41">
        <v>45374.493742708335</v>
      </c>
      <c r="B4320" s="48">
        <f>IF(A4320&lt;&gt;"",DATE(YEAR(TRANSACTIONS!$A4320),MONTH(TRANSACTIONS!$A4320),DAY(TRANSACTIONS!$A4320)),"")</f>
        <v>45374</v>
      </c>
      <c r="C4320" s="49">
        <f>IF(A4320&lt;&gt;"",TIME(HOUR(TRANSACTIONS!$A4320),MINUTE(TRANSACTIONS!$A4320),SECOND(TRANSACTIONS!$A4320)),"")</f>
        <v>0.49373842592592593</v>
      </c>
      <c r="D4320" s="82" t="s">
        <v>62</v>
      </c>
      <c r="E4320" s="82" t="s">
        <v>7</v>
      </c>
      <c r="F4320" s="88">
        <v>5000</v>
      </c>
      <c r="G4320" s="46"/>
      <c r="H4320" s="46">
        <f>IFERROR(TRANSACTIONS!$F4320+TRANSACTIONS!$G4320,"")</f>
        <v>5000</v>
      </c>
      <c r="I4320" s="40" t="s">
        <v>41</v>
      </c>
    </row>
    <row r="4321" spans="1:9" x14ac:dyDescent="0.25">
      <c r="A4321" s="41">
        <v>45374.493751388887</v>
      </c>
      <c r="B4321" s="48">
        <f>IF(A4321&lt;&gt;"",DATE(YEAR(TRANSACTIONS!$A4321),MONTH(TRANSACTIONS!$A4321),DAY(TRANSACTIONS!$A4321)),"")</f>
        <v>45374</v>
      </c>
      <c r="C4321" s="49">
        <f>IF(A4321&lt;&gt;"",TIME(HOUR(TRANSACTIONS!$A4321),MINUTE(TRANSACTIONS!$A4321),SECOND(TRANSACTIONS!$A4321)),"")</f>
        <v>0.49374999999999997</v>
      </c>
      <c r="D4321" s="82" t="s">
        <v>62</v>
      </c>
      <c r="E4321" s="82" t="s">
        <v>7</v>
      </c>
      <c r="F4321" s="88">
        <v>2000</v>
      </c>
      <c r="G4321" s="46"/>
      <c r="H4321" s="46">
        <f>IFERROR(TRANSACTIONS!$F4321+TRANSACTIONS!$G4321,"")</f>
        <v>2000</v>
      </c>
      <c r="I4321" s="40" t="s">
        <v>41</v>
      </c>
    </row>
    <row r="4322" spans="1:9" x14ac:dyDescent="0.25">
      <c r="A4322" s="41">
        <v>45374.493764467596</v>
      </c>
      <c r="B4322" s="48">
        <f>IF(A4322&lt;&gt;"",DATE(YEAR(TRANSACTIONS!$A4322),MONTH(TRANSACTIONS!$A4322),DAY(TRANSACTIONS!$A4322)),"")</f>
        <v>45374</v>
      </c>
      <c r="C4322" s="49">
        <f>IF(A4322&lt;&gt;"",TIME(HOUR(TRANSACTIONS!$A4322),MINUTE(TRANSACTIONS!$A4322),SECOND(TRANSACTIONS!$A4322)),"")</f>
        <v>0.49376157407407412</v>
      </c>
      <c r="D4322" s="82" t="s">
        <v>62</v>
      </c>
      <c r="E4322" s="82" t="s">
        <v>6</v>
      </c>
      <c r="F4322" s="88">
        <v>12500</v>
      </c>
      <c r="G4322" s="46"/>
      <c r="H4322" s="46">
        <f>IFERROR(TRANSACTIONS!$F4322+TRANSACTIONS!$G4322,"")</f>
        <v>12500</v>
      </c>
      <c r="I4322" s="40" t="s">
        <v>41</v>
      </c>
    </row>
    <row r="4323" spans="1:9" x14ac:dyDescent="0.25">
      <c r="A4323" s="41">
        <v>45374.493772800924</v>
      </c>
      <c r="B4323" s="48">
        <f>IF(A4323&lt;&gt;"",DATE(YEAR(TRANSACTIONS!$A4323),MONTH(TRANSACTIONS!$A4323),DAY(TRANSACTIONS!$A4323)),"")</f>
        <v>45374</v>
      </c>
      <c r="C4323" s="49">
        <f>IF(A4323&lt;&gt;"",TIME(HOUR(TRANSACTIONS!$A4323),MINUTE(TRANSACTIONS!$A4323),SECOND(TRANSACTIONS!$A4323)),"")</f>
        <v>0.49377314814814816</v>
      </c>
      <c r="D4323" s="82" t="s">
        <v>25</v>
      </c>
      <c r="E4323" s="82" t="s">
        <v>6</v>
      </c>
      <c r="F4323" s="88">
        <v>10000</v>
      </c>
      <c r="G4323" s="46"/>
      <c r="H4323" s="46">
        <f>IFERROR(TRANSACTIONS!$F4323+TRANSACTIONS!$G4323,"")</f>
        <v>10000</v>
      </c>
      <c r="I4323" s="40" t="s">
        <v>41</v>
      </c>
    </row>
    <row r="4324" spans="1:9" x14ac:dyDescent="0.25">
      <c r="A4324" s="41">
        <v>45374.493780208337</v>
      </c>
      <c r="B4324" s="48">
        <f>IF(A4324&lt;&gt;"",DATE(YEAR(TRANSACTIONS!$A4324),MONTH(TRANSACTIONS!$A4324),DAY(TRANSACTIONS!$A4324)),"")</f>
        <v>45374</v>
      </c>
      <c r="C4324" s="49">
        <f>IF(A4324&lt;&gt;"",TIME(HOUR(TRANSACTIONS!$A4324),MINUTE(TRANSACTIONS!$A4324),SECOND(TRANSACTIONS!$A4324)),"")</f>
        <v>0.49378472222222225</v>
      </c>
      <c r="D4324" s="82" t="s">
        <v>25</v>
      </c>
      <c r="E4324" s="82" t="s">
        <v>7</v>
      </c>
      <c r="F4324" s="88">
        <v>5000</v>
      </c>
      <c r="G4324" s="46"/>
      <c r="H4324" s="46">
        <f>IFERROR(TRANSACTIONS!$F4324+TRANSACTIONS!$G4324,"")</f>
        <v>5000</v>
      </c>
      <c r="I4324" s="40" t="s">
        <v>41</v>
      </c>
    </row>
    <row r="4325" spans="1:9" x14ac:dyDescent="0.25">
      <c r="A4325" s="41">
        <v>45374.493787731481</v>
      </c>
      <c r="B4325" s="48">
        <f>IF(A4325&lt;&gt;"",DATE(YEAR(TRANSACTIONS!$A4325),MONTH(TRANSACTIONS!$A4325),DAY(TRANSACTIONS!$A4325)),"")</f>
        <v>45374</v>
      </c>
      <c r="C4325" s="49">
        <f>IF(A4325&lt;&gt;"",TIME(HOUR(TRANSACTIONS!$A4325),MINUTE(TRANSACTIONS!$A4325),SECOND(TRANSACTIONS!$A4325)),"")</f>
        <v>0.49378472222222225</v>
      </c>
      <c r="D4325" s="82" t="s">
        <v>25</v>
      </c>
      <c r="E4325" s="82" t="s">
        <v>6</v>
      </c>
      <c r="F4325" s="88">
        <v>5050</v>
      </c>
      <c r="G4325" s="46"/>
      <c r="H4325" s="46">
        <f>IFERROR(TRANSACTIONS!$F4325+TRANSACTIONS!$G4325,"")</f>
        <v>5050</v>
      </c>
      <c r="I4325" s="40" t="s">
        <v>41</v>
      </c>
    </row>
    <row r="4326" spans="1:9" x14ac:dyDescent="0.25">
      <c r="A4326" s="41">
        <v>45374.493796064817</v>
      </c>
      <c r="B4326" s="48">
        <f>IF(A4326&lt;&gt;"",DATE(YEAR(TRANSACTIONS!$A4326),MONTH(TRANSACTIONS!$A4326),DAY(TRANSACTIONS!$A4326)),"")</f>
        <v>45374</v>
      </c>
      <c r="C4326" s="49">
        <f>IF(A4326&lt;&gt;"",TIME(HOUR(TRANSACTIONS!$A4326),MINUTE(TRANSACTIONS!$A4326),SECOND(TRANSACTIONS!$A4326)),"")</f>
        <v>0.49379629629629629</v>
      </c>
      <c r="D4326" s="82" t="s">
        <v>25</v>
      </c>
      <c r="E4326" s="82" t="s">
        <v>7</v>
      </c>
      <c r="F4326" s="88">
        <v>15000</v>
      </c>
      <c r="G4326" s="46"/>
      <c r="H4326" s="46">
        <f>IFERROR(TRANSACTIONS!$F4326+TRANSACTIONS!$G4326,"")</f>
        <v>15000</v>
      </c>
      <c r="I4326" s="40" t="s">
        <v>41</v>
      </c>
    </row>
    <row r="4327" spans="1:9" x14ac:dyDescent="0.25">
      <c r="A4327" s="41">
        <v>45374.49380300926</v>
      </c>
      <c r="B4327" s="48">
        <f>IF(A4327&lt;&gt;"",DATE(YEAR(TRANSACTIONS!$A4327),MONTH(TRANSACTIONS!$A4327),DAY(TRANSACTIONS!$A4327)),"")</f>
        <v>45374</v>
      </c>
      <c r="C4327" s="49">
        <f>IF(A4327&lt;&gt;"",TIME(HOUR(TRANSACTIONS!$A4327),MINUTE(TRANSACTIONS!$A4327),SECOND(TRANSACTIONS!$A4327)),"")</f>
        <v>0.49380787037037038</v>
      </c>
      <c r="D4327" s="82" t="s">
        <v>25</v>
      </c>
      <c r="E4327" s="82" t="s">
        <v>6</v>
      </c>
      <c r="F4327" s="88">
        <v>2000</v>
      </c>
      <c r="G4327" s="46"/>
      <c r="H4327" s="46">
        <f>IFERROR(TRANSACTIONS!$F4327+TRANSACTIONS!$G4327,"")</f>
        <v>2000</v>
      </c>
      <c r="I4327" s="40" t="s">
        <v>41</v>
      </c>
    </row>
    <row r="4328" spans="1:9" x14ac:dyDescent="0.25">
      <c r="A4328" s="41">
        <v>45374.493820138887</v>
      </c>
      <c r="B4328" s="48">
        <f>IF(A4328&lt;&gt;"",DATE(YEAR(TRANSACTIONS!$A4328),MONTH(TRANSACTIONS!$A4328),DAY(TRANSACTIONS!$A4328)),"")</f>
        <v>45374</v>
      </c>
      <c r="C4328" s="49">
        <f>IF(A4328&lt;&gt;"",TIME(HOUR(TRANSACTIONS!$A4328),MINUTE(TRANSACTIONS!$A4328),SECOND(TRANSACTIONS!$A4328)),"")</f>
        <v>0.49381944444444442</v>
      </c>
      <c r="D4328" s="82" t="s">
        <v>63</v>
      </c>
      <c r="E4328" s="82" t="s">
        <v>6</v>
      </c>
      <c r="F4328" s="88">
        <v>12000</v>
      </c>
      <c r="G4328" s="46"/>
      <c r="H4328" s="46">
        <f>IFERROR(TRANSACTIONS!$F4328+TRANSACTIONS!$G4328,"")</f>
        <v>12000</v>
      </c>
      <c r="I4328" s="40" t="s">
        <v>41</v>
      </c>
    </row>
    <row r="4329" spans="1:9" x14ac:dyDescent="0.25">
      <c r="A4329" s="41">
        <v>45374.493838541668</v>
      </c>
      <c r="B4329" s="48">
        <f>IF(A4329&lt;&gt;"",DATE(YEAR(TRANSACTIONS!$A4329),MONTH(TRANSACTIONS!$A4329),DAY(TRANSACTIONS!$A4329)),"")</f>
        <v>45374</v>
      </c>
      <c r="C4329" s="49">
        <f>IF(A4329&lt;&gt;"",TIME(HOUR(TRANSACTIONS!$A4329),MINUTE(TRANSACTIONS!$A4329),SECOND(TRANSACTIONS!$A4329)),"")</f>
        <v>0.49384259259259261</v>
      </c>
      <c r="D4329" s="82" t="s">
        <v>62</v>
      </c>
      <c r="E4329" s="82" t="s">
        <v>7</v>
      </c>
      <c r="F4329" s="88">
        <v>80000</v>
      </c>
      <c r="G4329" s="46"/>
      <c r="H4329" s="46">
        <f>IFERROR(TRANSACTIONS!$F4329+TRANSACTIONS!$G4329,"")</f>
        <v>80000</v>
      </c>
      <c r="I4329" s="40" t="s">
        <v>41</v>
      </c>
    </row>
    <row r="4330" spans="1:9" x14ac:dyDescent="0.25">
      <c r="A4330" s="41">
        <v>45374.493853935186</v>
      </c>
      <c r="B4330" s="48">
        <f>IF(A4330&lt;&gt;"",DATE(YEAR(TRANSACTIONS!$A4330),MONTH(TRANSACTIONS!$A4330),DAY(TRANSACTIONS!$A4330)),"")</f>
        <v>45374</v>
      </c>
      <c r="C4330" s="49">
        <f>IF(A4330&lt;&gt;"",TIME(HOUR(TRANSACTIONS!$A4330),MINUTE(TRANSACTIONS!$A4330),SECOND(TRANSACTIONS!$A4330)),"")</f>
        <v>0.49385416666666665</v>
      </c>
      <c r="D4330" s="82" t="s">
        <v>62</v>
      </c>
      <c r="E4330" s="82" t="s">
        <v>6</v>
      </c>
      <c r="F4330" s="88">
        <v>2000</v>
      </c>
      <c r="G4330" s="46"/>
      <c r="H4330" s="46">
        <f>IFERROR(TRANSACTIONS!$F4330+TRANSACTIONS!$G4330,"")</f>
        <v>2000</v>
      </c>
      <c r="I4330" s="40" t="s">
        <v>41</v>
      </c>
    </row>
    <row r="4331" spans="1:9" x14ac:dyDescent="0.25">
      <c r="A4331" s="41">
        <v>45374.49386736111</v>
      </c>
      <c r="B4331" s="48">
        <f>IF(A4331&lt;&gt;"",DATE(YEAR(TRANSACTIONS!$A4331),MONTH(TRANSACTIONS!$A4331),DAY(TRANSACTIONS!$A4331)),"")</f>
        <v>45374</v>
      </c>
      <c r="C4331" s="49">
        <f>IF(A4331&lt;&gt;"",TIME(HOUR(TRANSACTIONS!$A4331),MINUTE(TRANSACTIONS!$A4331),SECOND(TRANSACTIONS!$A4331)),"")</f>
        <v>0.49386574074074074</v>
      </c>
      <c r="D4331" s="82" t="s">
        <v>62</v>
      </c>
      <c r="E4331" s="82" t="s">
        <v>6</v>
      </c>
      <c r="F4331" s="88">
        <v>20000</v>
      </c>
      <c r="G4331" s="46"/>
      <c r="H4331" s="46">
        <f>IFERROR(TRANSACTIONS!$F4331+TRANSACTIONS!$G4331,"")</f>
        <v>20000</v>
      </c>
      <c r="I4331" s="40" t="s">
        <v>41</v>
      </c>
    </row>
    <row r="4332" spans="1:9" x14ac:dyDescent="0.25">
      <c r="A4332" s="41">
        <v>45374.510739120371</v>
      </c>
      <c r="B4332" s="48">
        <f>IF(A4332&lt;&gt;"",DATE(YEAR(TRANSACTIONS!$A4332),MONTH(TRANSACTIONS!$A4332),DAY(TRANSACTIONS!$A4332)),"")</f>
        <v>45374</v>
      </c>
      <c r="C4332" s="49">
        <f>IF(A4332&lt;&gt;"",TIME(HOUR(TRANSACTIONS!$A4332),MINUTE(TRANSACTIONS!$A4332),SECOND(TRANSACTIONS!$A4332)),"")</f>
        <v>0.51074074074074072</v>
      </c>
      <c r="D4332" s="82" t="s">
        <v>62</v>
      </c>
      <c r="E4332" s="82" t="s">
        <v>7</v>
      </c>
      <c r="F4332" s="88">
        <v>15000</v>
      </c>
      <c r="G4332" s="46"/>
      <c r="H4332" s="46">
        <f>IFERROR(TRANSACTIONS!$F4332+TRANSACTIONS!$G4332,"")</f>
        <v>15000</v>
      </c>
      <c r="I4332" s="40" t="s">
        <v>41</v>
      </c>
    </row>
    <row r="4333" spans="1:9" x14ac:dyDescent="0.25">
      <c r="A4333" s="41">
        <v>45374.510743171297</v>
      </c>
      <c r="B4333" s="48">
        <f>IF(A4333&lt;&gt;"",DATE(YEAR(TRANSACTIONS!$A4333),MONTH(TRANSACTIONS!$A4333),DAY(TRANSACTIONS!$A4333)),"")</f>
        <v>45374</v>
      </c>
      <c r="C4333" s="49">
        <f>IF(A4333&lt;&gt;"",TIME(HOUR(TRANSACTIONS!$A4333),MINUTE(TRANSACTIONS!$A4333),SECOND(TRANSACTIONS!$A4333)),"")</f>
        <v>0.51074074074074072</v>
      </c>
      <c r="D4333" s="82" t="s">
        <v>62</v>
      </c>
      <c r="E4333" s="82" t="s">
        <v>6</v>
      </c>
      <c r="F4333" s="88">
        <v>1000</v>
      </c>
      <c r="G4333" s="46"/>
      <c r="H4333" s="46">
        <f>IFERROR(TRANSACTIONS!$F4333+TRANSACTIONS!$G4333,"")</f>
        <v>1000</v>
      </c>
      <c r="I4333" s="40" t="s">
        <v>41</v>
      </c>
    </row>
    <row r="4334" spans="1:9" x14ac:dyDescent="0.25">
      <c r="A4334" s="41">
        <v>45374.51077627315</v>
      </c>
      <c r="B4334" s="48">
        <f>IF(A4334&lt;&gt;"",DATE(YEAR(TRANSACTIONS!$A4334),MONTH(TRANSACTIONS!$A4334),DAY(TRANSACTIONS!$A4334)),"")</f>
        <v>45374</v>
      </c>
      <c r="C4334" s="49">
        <f>IF(A4334&lt;&gt;"",TIME(HOUR(TRANSACTIONS!$A4334),MINUTE(TRANSACTIONS!$A4334),SECOND(TRANSACTIONS!$A4334)),"")</f>
        <v>0.51077546296296295</v>
      </c>
      <c r="D4334" s="82" t="s">
        <v>62</v>
      </c>
      <c r="E4334" s="82" t="s">
        <v>7</v>
      </c>
      <c r="F4334" s="88">
        <v>4500</v>
      </c>
      <c r="G4334" s="46"/>
      <c r="H4334" s="46">
        <f>IFERROR(TRANSACTIONS!$F4334+TRANSACTIONS!$G4334,"")</f>
        <v>4500</v>
      </c>
      <c r="I4334" s="40" t="s">
        <v>41</v>
      </c>
    </row>
    <row r="4335" spans="1:9" x14ac:dyDescent="0.25">
      <c r="A4335" s="41">
        <v>45374.530835879632</v>
      </c>
      <c r="B4335" s="48">
        <f>IF(A4335&lt;&gt;"",DATE(YEAR(TRANSACTIONS!$A4335),MONTH(TRANSACTIONS!$A4335),DAY(TRANSACTIONS!$A4335)),"")</f>
        <v>45374</v>
      </c>
      <c r="C4335" s="49">
        <f>IF(A4335&lt;&gt;"",TIME(HOUR(TRANSACTIONS!$A4335),MINUTE(TRANSACTIONS!$A4335),SECOND(TRANSACTIONS!$A4335)),"")</f>
        <v>0.53083333333333338</v>
      </c>
      <c r="D4335" s="82" t="s">
        <v>62</v>
      </c>
      <c r="E4335" s="82" t="s">
        <v>6</v>
      </c>
      <c r="F4335" s="88">
        <v>70000</v>
      </c>
      <c r="G4335" s="46"/>
      <c r="H4335" s="46">
        <f>IFERROR(TRANSACTIONS!$F4335+TRANSACTIONS!$G4335,"")</f>
        <v>70000</v>
      </c>
      <c r="I4335" s="40" t="s">
        <v>41</v>
      </c>
    </row>
    <row r="4336" spans="1:9" x14ac:dyDescent="0.25">
      <c r="A4336" s="41">
        <v>45374.530838657411</v>
      </c>
      <c r="B4336" s="48">
        <f>IF(A4336&lt;&gt;"",DATE(YEAR(TRANSACTIONS!$A4336),MONTH(TRANSACTIONS!$A4336),DAY(TRANSACTIONS!$A4336)),"")</f>
        <v>45374</v>
      </c>
      <c r="C4336" s="49">
        <f>IF(A4336&lt;&gt;"",TIME(HOUR(TRANSACTIONS!$A4336),MINUTE(TRANSACTIONS!$A4336),SECOND(TRANSACTIONS!$A4336)),"")</f>
        <v>0.53083333333333338</v>
      </c>
      <c r="D4336" s="82" t="s">
        <v>62</v>
      </c>
      <c r="E4336" s="82" t="s">
        <v>7</v>
      </c>
      <c r="F4336" s="88">
        <v>24000</v>
      </c>
      <c r="G4336" s="46"/>
      <c r="H4336" s="46">
        <f>IFERROR(TRANSACTIONS!$F4336+TRANSACTIONS!$G4336,"")</f>
        <v>24000</v>
      </c>
      <c r="I4336" s="40" t="s">
        <v>41</v>
      </c>
    </row>
    <row r="4337" spans="1:10" x14ac:dyDescent="0.25">
      <c r="A4337" s="113">
        <v>45374.530869560185</v>
      </c>
      <c r="B4337" s="114">
        <f>IF(A4337&lt;&gt;"",DATE(YEAR(TRANSACTIONS!$A4337),MONTH(TRANSACTIONS!$A4337),DAY(TRANSACTIONS!$A4337)),"")</f>
        <v>45374</v>
      </c>
      <c r="C4337" s="115">
        <f>IF(A4337&lt;&gt;"",TIME(HOUR(TRANSACTIONS!$A4337),MINUTE(TRANSACTIONS!$A4337),SECOND(TRANSACTIONS!$A4337)),"")</f>
        <v>0.5308680555555555</v>
      </c>
      <c r="D4337" s="116" t="s">
        <v>25</v>
      </c>
      <c r="E4337" s="116" t="s">
        <v>6</v>
      </c>
      <c r="F4337" s="118">
        <v>24000</v>
      </c>
      <c r="G4337" s="117"/>
      <c r="H4337" s="117">
        <f>IFERROR(TRANSACTIONS!$F4337+TRANSACTIONS!$G4337,"")</f>
        <v>24000</v>
      </c>
      <c r="I4337" s="118" t="s">
        <v>41</v>
      </c>
      <c r="J4337" s="118"/>
    </row>
    <row r="4338" spans="1:10" x14ac:dyDescent="0.25">
      <c r="A4338" s="41">
        <v>45374.530882060186</v>
      </c>
      <c r="B4338" s="48">
        <f>IF(A4338&lt;&gt;"",DATE(YEAR(TRANSACTIONS!$A4338),MONTH(TRANSACTIONS!$A4338),DAY(TRANSACTIONS!$A4338)),"")</f>
        <v>45374</v>
      </c>
      <c r="C4338" s="49">
        <f>IF(A4338&lt;&gt;"",TIME(HOUR(TRANSACTIONS!$A4338),MINUTE(TRANSACTIONS!$A4338),SECOND(TRANSACTIONS!$A4338)),"")</f>
        <v>0.53087962962962965</v>
      </c>
      <c r="D4338" s="82" t="s">
        <v>25</v>
      </c>
      <c r="E4338" s="82" t="s">
        <v>6</v>
      </c>
      <c r="F4338" s="88">
        <v>5000</v>
      </c>
      <c r="G4338" s="46"/>
      <c r="H4338" s="46">
        <f>IFERROR(TRANSACTIONS!$F4338+TRANSACTIONS!$G4338,"")</f>
        <v>5000</v>
      </c>
      <c r="I4338" s="40" t="s">
        <v>41</v>
      </c>
    </row>
    <row r="4339" spans="1:10" ht="14.25" customHeight="1" x14ac:dyDescent="0.25">
      <c r="A4339" s="113">
        <v>45374.530889699075</v>
      </c>
      <c r="B4339" s="114">
        <f>IF(A4339&lt;&gt;"",DATE(YEAR(TRANSACTIONS!$A4339),MONTH(TRANSACTIONS!$A4339),DAY(TRANSACTIONS!$A4339)),"")</f>
        <v>45374</v>
      </c>
      <c r="C4339" s="115">
        <f>IF(A4339&lt;&gt;"",TIME(HOUR(TRANSACTIONS!$A4339),MINUTE(TRANSACTIONS!$A4339),SECOND(TRANSACTIONS!$A4339)),"")</f>
        <v>0.53089120370370368</v>
      </c>
      <c r="D4339" s="82" t="s">
        <v>62</v>
      </c>
      <c r="E4339" s="82" t="s">
        <v>6</v>
      </c>
      <c r="F4339" s="88">
        <v>60000</v>
      </c>
      <c r="G4339" s="117"/>
      <c r="H4339" s="117">
        <f>IFERROR(TRANSACTIONS!$F4339+TRANSACTIONS!$G4339,"")</f>
        <v>60000</v>
      </c>
      <c r="I4339" s="136" t="s">
        <v>67</v>
      </c>
    </row>
    <row r="4340" spans="1:10" x14ac:dyDescent="0.25">
      <c r="A4340" s="41">
        <v>45374.530902314815</v>
      </c>
      <c r="B4340" s="48">
        <f>IF(A4340&lt;&gt;"",DATE(YEAR(TRANSACTIONS!$A4340),MONTH(TRANSACTIONS!$A4340),DAY(TRANSACTIONS!$A4340)),"")</f>
        <v>45374</v>
      </c>
      <c r="C4340" s="49">
        <f>IF(A4340&lt;&gt;"",TIME(HOUR(TRANSACTIONS!$A4340),MINUTE(TRANSACTIONS!$A4340),SECOND(TRANSACTIONS!$A4340)),"")</f>
        <v>0.53090277777777783</v>
      </c>
      <c r="D4340" s="82" t="s">
        <v>62</v>
      </c>
      <c r="E4340" s="82" t="s">
        <v>6</v>
      </c>
      <c r="F4340" s="88">
        <v>42000</v>
      </c>
      <c r="G4340" s="46"/>
      <c r="H4340" s="46">
        <f>IFERROR(TRANSACTIONS!$F4340+TRANSACTIONS!$G4340,"")</f>
        <v>42000</v>
      </c>
      <c r="I4340" s="40" t="s">
        <v>41</v>
      </c>
    </row>
    <row r="4341" spans="1:10" x14ac:dyDescent="0.25">
      <c r="A4341" s="41">
        <v>45374.552365393516</v>
      </c>
      <c r="B4341" s="48">
        <f>IF(A4341&lt;&gt;"",DATE(YEAR(TRANSACTIONS!$A4341),MONTH(TRANSACTIONS!$A4341),DAY(TRANSACTIONS!$A4341)),"")</f>
        <v>45374</v>
      </c>
      <c r="C4341" s="49">
        <f>IF(A4341&lt;&gt;"",TIME(HOUR(TRANSACTIONS!$A4341),MINUTE(TRANSACTIONS!$A4341),SECOND(TRANSACTIONS!$A4341)),"")</f>
        <v>0.55236111111111108</v>
      </c>
      <c r="D4341" s="82" t="s">
        <v>62</v>
      </c>
      <c r="E4341" s="82" t="s">
        <v>7</v>
      </c>
      <c r="F4341" s="88">
        <v>1300</v>
      </c>
      <c r="G4341" s="46"/>
      <c r="H4341" s="46">
        <f>IFERROR(TRANSACTIONS!$F4341+TRANSACTIONS!$G4341,"")</f>
        <v>1300</v>
      </c>
      <c r="I4341" s="40" t="s">
        <v>41</v>
      </c>
    </row>
    <row r="4342" spans="1:10" x14ac:dyDescent="0.25">
      <c r="A4342" s="41">
        <v>45374.552368518518</v>
      </c>
      <c r="B4342" s="48">
        <f>IF(A4342&lt;&gt;"",DATE(YEAR(TRANSACTIONS!$A4342),MONTH(TRANSACTIONS!$A4342),DAY(TRANSACTIONS!$A4342)),"")</f>
        <v>45374</v>
      </c>
      <c r="C4342" s="49">
        <f>IF(A4342&lt;&gt;"",TIME(HOUR(TRANSACTIONS!$A4342),MINUTE(TRANSACTIONS!$A4342),SECOND(TRANSACTIONS!$A4342)),"")</f>
        <v>0.55237268518518523</v>
      </c>
      <c r="D4342" s="82" t="s">
        <v>62</v>
      </c>
      <c r="E4342" s="82" t="s">
        <v>6</v>
      </c>
      <c r="F4342" s="88">
        <v>10000</v>
      </c>
      <c r="G4342" s="46"/>
      <c r="H4342" s="46">
        <f>IFERROR(TRANSACTIONS!$F4342+TRANSACTIONS!$G4342,"")</f>
        <v>10000</v>
      </c>
      <c r="I4342" s="40" t="s">
        <v>41</v>
      </c>
    </row>
    <row r="4343" spans="1:10" x14ac:dyDescent="0.25">
      <c r="A4343" s="41">
        <v>45374.552382060188</v>
      </c>
      <c r="B4343" s="48">
        <f>IF(A4343&lt;&gt;"",DATE(YEAR(TRANSACTIONS!$A4343),MONTH(TRANSACTIONS!$A4343),DAY(TRANSACTIONS!$A4343)),"")</f>
        <v>45374</v>
      </c>
      <c r="C4343" s="49">
        <f>IF(A4343&lt;&gt;"",TIME(HOUR(TRANSACTIONS!$A4343),MINUTE(TRANSACTIONS!$A4343),SECOND(TRANSACTIONS!$A4343)),"")</f>
        <v>0.55238425925925927</v>
      </c>
      <c r="D4343" s="82" t="s">
        <v>62</v>
      </c>
      <c r="E4343" s="82" t="s">
        <v>6</v>
      </c>
      <c r="F4343" s="88">
        <v>65000</v>
      </c>
      <c r="G4343" s="46"/>
      <c r="H4343" s="46">
        <f>IFERROR(TRANSACTIONS!$F4343+TRANSACTIONS!$G4343,"")</f>
        <v>65000</v>
      </c>
      <c r="I4343" s="40" t="s">
        <v>41</v>
      </c>
    </row>
    <row r="4344" spans="1:10" x14ac:dyDescent="0.25">
      <c r="A4344" s="41">
        <v>45374.552392013888</v>
      </c>
      <c r="B4344" s="48">
        <f>IF(A4344&lt;&gt;"",DATE(YEAR(TRANSACTIONS!$A4344),MONTH(TRANSACTIONS!$A4344),DAY(TRANSACTIONS!$A4344)),"")</f>
        <v>45374</v>
      </c>
      <c r="C4344" s="49">
        <f>IF(A4344&lt;&gt;"",TIME(HOUR(TRANSACTIONS!$A4344),MINUTE(TRANSACTIONS!$A4344),SECOND(TRANSACTIONS!$A4344)),"")</f>
        <v>0.55239583333333331</v>
      </c>
      <c r="D4344" s="82" t="s">
        <v>25</v>
      </c>
      <c r="E4344" s="82" t="s">
        <v>6</v>
      </c>
      <c r="F4344" s="88">
        <v>1300</v>
      </c>
      <c r="G4344" s="46"/>
      <c r="H4344" s="46">
        <f>IFERROR(TRANSACTIONS!$F4344+TRANSACTIONS!$G4344,"")</f>
        <v>1300</v>
      </c>
      <c r="I4344" s="40" t="s">
        <v>41</v>
      </c>
    </row>
    <row r="4345" spans="1:10" x14ac:dyDescent="0.25">
      <c r="A4345" s="41">
        <v>45374.55240104167</v>
      </c>
      <c r="B4345" s="48">
        <f>IF(A4345&lt;&gt;"",DATE(YEAR(TRANSACTIONS!$A4345),MONTH(TRANSACTIONS!$A4345),DAY(TRANSACTIONS!$A4345)),"")</f>
        <v>45374</v>
      </c>
      <c r="C4345" s="49">
        <f>IF(A4345&lt;&gt;"",TIME(HOUR(TRANSACTIONS!$A4345),MINUTE(TRANSACTIONS!$A4345),SECOND(TRANSACTIONS!$A4345)),"")</f>
        <v>0.55239583333333331</v>
      </c>
      <c r="D4345" s="82" t="s">
        <v>62</v>
      </c>
      <c r="E4345" s="82" t="s">
        <v>6</v>
      </c>
      <c r="F4345" s="88">
        <v>6000</v>
      </c>
      <c r="G4345" s="46"/>
      <c r="H4345" s="46">
        <f>IFERROR(TRANSACTIONS!$F4345+TRANSACTIONS!$G4345,"")</f>
        <v>6000</v>
      </c>
      <c r="I4345" s="40" t="s">
        <v>41</v>
      </c>
    </row>
    <row r="4346" spans="1:10" x14ac:dyDescent="0.25">
      <c r="A4346" s="41">
        <v>45374.552416782404</v>
      </c>
      <c r="B4346" s="48">
        <f>IF(A4346&lt;&gt;"",DATE(YEAR(TRANSACTIONS!$A4346),MONTH(TRANSACTIONS!$A4346),DAY(TRANSACTIONS!$A4346)),"")</f>
        <v>45374</v>
      </c>
      <c r="C4346" s="49">
        <f>IF(A4346&lt;&gt;"",TIME(HOUR(TRANSACTIONS!$A4346),MINUTE(TRANSACTIONS!$A4346),SECOND(TRANSACTIONS!$A4346)),"")</f>
        <v>0.5524189814814815</v>
      </c>
      <c r="D4346" s="82" t="s">
        <v>62</v>
      </c>
      <c r="E4346" s="82" t="s">
        <v>7</v>
      </c>
      <c r="F4346" s="88">
        <v>5000</v>
      </c>
      <c r="G4346" s="46"/>
      <c r="H4346" s="46">
        <f>IFERROR(TRANSACTIONS!$F4346+TRANSACTIONS!$G4346,"")</f>
        <v>5000</v>
      </c>
      <c r="I4346" s="40" t="s">
        <v>41</v>
      </c>
    </row>
    <row r="4347" spans="1:10" x14ac:dyDescent="0.25">
      <c r="A4347" s="41">
        <v>45374.563512615743</v>
      </c>
      <c r="B4347" s="48">
        <f>IF(A4347&lt;&gt;"",DATE(YEAR(TRANSACTIONS!$A4347),MONTH(TRANSACTIONS!$A4347),DAY(TRANSACTIONS!$A4347)),"")</f>
        <v>45374</v>
      </c>
      <c r="C4347" s="49">
        <f>IF(A4347&lt;&gt;"",TIME(HOUR(TRANSACTIONS!$A4347),MINUTE(TRANSACTIONS!$A4347),SECOND(TRANSACTIONS!$A4347)),"")</f>
        <v>0.56350694444444438</v>
      </c>
      <c r="D4347" s="82" t="s">
        <v>62</v>
      </c>
      <c r="E4347" s="82" t="s">
        <v>7</v>
      </c>
      <c r="F4347" s="88">
        <v>1000</v>
      </c>
      <c r="G4347" s="46"/>
      <c r="H4347" s="46">
        <f>IFERROR(TRANSACTIONS!$F4347+TRANSACTIONS!$G4347,"")</f>
        <v>1000</v>
      </c>
      <c r="I4347" s="40" t="s">
        <v>41</v>
      </c>
    </row>
    <row r="4348" spans="1:10" x14ac:dyDescent="0.25">
      <c r="A4348" s="41">
        <v>45374.563547453705</v>
      </c>
      <c r="B4348" s="48">
        <f>IF(A4348&lt;&gt;"",DATE(YEAR(TRANSACTIONS!$A4348),MONTH(TRANSACTIONS!$A4348),DAY(TRANSACTIONS!$A4348)),"")</f>
        <v>45374</v>
      </c>
      <c r="C4348" s="49">
        <f>IF(A4348&lt;&gt;"",TIME(HOUR(TRANSACTIONS!$A4348),MINUTE(TRANSACTIONS!$A4348),SECOND(TRANSACTIONS!$A4348)),"")</f>
        <v>0.56354166666666672</v>
      </c>
      <c r="D4348" s="82" t="s">
        <v>25</v>
      </c>
      <c r="E4348" s="82" t="s">
        <v>7</v>
      </c>
      <c r="F4348" s="88">
        <v>150000</v>
      </c>
      <c r="G4348" s="46"/>
      <c r="H4348" s="46">
        <f>IFERROR(TRANSACTIONS!$F4348+TRANSACTIONS!$G4348,"")</f>
        <v>150000</v>
      </c>
      <c r="I4348" s="40" t="s">
        <v>41</v>
      </c>
    </row>
    <row r="4349" spans="1:10" x14ac:dyDescent="0.25">
      <c r="A4349" s="41">
        <v>45374.564270833333</v>
      </c>
      <c r="B4349" s="48">
        <f>IF(A4349&lt;&gt;"",DATE(YEAR(TRANSACTIONS!$A4349),MONTH(TRANSACTIONS!$A4349),DAY(TRANSACTIONS!$A4349)),"")</f>
        <v>45374</v>
      </c>
      <c r="C4349" s="49">
        <f>IF(A4349&lt;&gt;"",TIME(HOUR(TRANSACTIONS!$A4349),MINUTE(TRANSACTIONS!$A4349),SECOND(TRANSACTIONS!$A4349)),"")</f>
        <v>0.56427083333333339</v>
      </c>
      <c r="D4349" s="82" t="s">
        <v>62</v>
      </c>
      <c r="E4349" s="82" t="s">
        <v>6</v>
      </c>
      <c r="F4349" s="88">
        <v>10000</v>
      </c>
      <c r="G4349" s="46"/>
      <c r="H4349" s="46">
        <f>IFERROR(TRANSACTIONS!$F4349+TRANSACTIONS!$G4349,"")</f>
        <v>10000</v>
      </c>
      <c r="I4349" s="40" t="s">
        <v>41</v>
      </c>
    </row>
    <row r="4350" spans="1:10" x14ac:dyDescent="0.25">
      <c r="A4350" s="41">
        <v>45374.564974189816</v>
      </c>
      <c r="B4350" s="48">
        <f>IF(A4350&lt;&gt;"",DATE(YEAR(TRANSACTIONS!$A4350),MONTH(TRANSACTIONS!$A4350),DAY(TRANSACTIONS!$A4350)),"")</f>
        <v>45374</v>
      </c>
      <c r="C4350" s="49">
        <f>IF(A4350&lt;&gt;"",TIME(HOUR(TRANSACTIONS!$A4350),MINUTE(TRANSACTIONS!$A4350),SECOND(TRANSACTIONS!$A4350)),"")</f>
        <v>0.56497685185185187</v>
      </c>
      <c r="D4350" s="82" t="s">
        <v>62</v>
      </c>
      <c r="E4350" s="82" t="s">
        <v>6</v>
      </c>
      <c r="F4350" s="88">
        <v>50000</v>
      </c>
      <c r="G4350" s="46"/>
      <c r="H4350" s="46">
        <f>IFERROR(TRANSACTIONS!$F4350+TRANSACTIONS!$G4350,"")</f>
        <v>50000</v>
      </c>
      <c r="I4350" s="40" t="s">
        <v>41</v>
      </c>
    </row>
    <row r="4351" spans="1:10" x14ac:dyDescent="0.25">
      <c r="A4351" s="41">
        <v>45374.56502465278</v>
      </c>
      <c r="B4351" s="48">
        <f>IF(A4351&lt;&gt;"",DATE(YEAR(TRANSACTIONS!$A4351),MONTH(TRANSACTIONS!$A4351),DAY(TRANSACTIONS!$A4351)),"")</f>
        <v>45374</v>
      </c>
      <c r="C4351" s="49">
        <f>IF(A4351&lt;&gt;"",TIME(HOUR(TRANSACTIONS!$A4351),MINUTE(TRANSACTIONS!$A4351),SECOND(TRANSACTIONS!$A4351)),"")</f>
        <v>0.56502314814814814</v>
      </c>
      <c r="D4351" s="82" t="s">
        <v>62</v>
      </c>
      <c r="E4351" s="82" t="s">
        <v>6</v>
      </c>
      <c r="F4351" s="88">
        <v>400000</v>
      </c>
      <c r="G4351" s="46"/>
      <c r="H4351" s="46">
        <f>IFERROR(TRANSACTIONS!$F4351+TRANSACTIONS!$G4351,"")</f>
        <v>400000</v>
      </c>
      <c r="I4351" s="40" t="s">
        <v>41</v>
      </c>
    </row>
    <row r="4352" spans="1:10" x14ac:dyDescent="0.25">
      <c r="A4352" s="41">
        <v>45374.565029745369</v>
      </c>
      <c r="B4352" s="48">
        <f>IF(A4352&lt;&gt;"",DATE(YEAR(TRANSACTIONS!$A4352),MONTH(TRANSACTIONS!$A4352),DAY(TRANSACTIONS!$A4352)),"")</f>
        <v>45374</v>
      </c>
      <c r="C4352" s="49">
        <f>IF(A4352&lt;&gt;"",TIME(HOUR(TRANSACTIONS!$A4352),MINUTE(TRANSACTIONS!$A4352),SECOND(TRANSACTIONS!$A4352)),"")</f>
        <v>0.56503472222222217</v>
      </c>
      <c r="D4352" s="82" t="s">
        <v>62</v>
      </c>
      <c r="E4352" s="82" t="s">
        <v>7</v>
      </c>
      <c r="F4352" s="88">
        <v>2000</v>
      </c>
      <c r="G4352" s="46"/>
      <c r="H4352" s="46">
        <f>IFERROR(TRANSACTIONS!$F4352+TRANSACTIONS!$G4352,"")</f>
        <v>2000</v>
      </c>
      <c r="I4352" s="40" t="s">
        <v>41</v>
      </c>
    </row>
    <row r="4353" spans="1:9" x14ac:dyDescent="0.25">
      <c r="A4353" s="41">
        <v>45374.565040624999</v>
      </c>
      <c r="B4353" s="48">
        <f>IF(A4353&lt;&gt;"",DATE(YEAR(TRANSACTIONS!$A4353),MONTH(TRANSACTIONS!$A4353),DAY(TRANSACTIONS!$A4353)),"")</f>
        <v>45374</v>
      </c>
      <c r="C4353" s="49">
        <f>IF(A4353&lt;&gt;"",TIME(HOUR(TRANSACTIONS!$A4353),MINUTE(TRANSACTIONS!$A4353),SECOND(TRANSACTIONS!$A4353)),"")</f>
        <v>0.56504629629629632</v>
      </c>
      <c r="D4353" s="82" t="s">
        <v>25</v>
      </c>
      <c r="E4353" s="82" t="s">
        <v>6</v>
      </c>
      <c r="F4353" s="88">
        <v>1300</v>
      </c>
      <c r="G4353" s="46"/>
      <c r="H4353" s="46">
        <f>IFERROR(TRANSACTIONS!$F4353+TRANSACTIONS!$G4353,"")</f>
        <v>1300</v>
      </c>
      <c r="I4353" s="40" t="s">
        <v>41</v>
      </c>
    </row>
    <row r="4354" spans="1:9" x14ac:dyDescent="0.25">
      <c r="A4354" s="41">
        <v>45374.565079282409</v>
      </c>
      <c r="B4354" s="48">
        <f>IF(A4354&lt;&gt;"",DATE(YEAR(TRANSACTIONS!$A4354),MONTH(TRANSACTIONS!$A4354),DAY(TRANSACTIONS!$A4354)),"")</f>
        <v>45374</v>
      </c>
      <c r="C4354" s="49">
        <f>IF(A4354&lt;&gt;"",TIME(HOUR(TRANSACTIONS!$A4354),MINUTE(TRANSACTIONS!$A4354),SECOND(TRANSACTIONS!$A4354)),"")</f>
        <v>0.56508101851851855</v>
      </c>
      <c r="D4354" s="82" t="s">
        <v>62</v>
      </c>
      <c r="E4354" s="82" t="s">
        <v>7</v>
      </c>
      <c r="F4354" s="88">
        <v>5000</v>
      </c>
      <c r="G4354" s="46"/>
      <c r="H4354" s="46">
        <f>IFERROR(TRANSACTIONS!$F4354+TRANSACTIONS!$G4354,"")</f>
        <v>5000</v>
      </c>
      <c r="I4354" s="40" t="s">
        <v>41</v>
      </c>
    </row>
    <row r="4355" spans="1:9" x14ac:dyDescent="0.25">
      <c r="A4355" s="41">
        <v>45374.565087268522</v>
      </c>
      <c r="B4355" s="48">
        <f>IF(A4355&lt;&gt;"",DATE(YEAR(TRANSACTIONS!$A4355),MONTH(TRANSACTIONS!$A4355),DAY(TRANSACTIONS!$A4355)),"")</f>
        <v>45374</v>
      </c>
      <c r="C4355" s="49">
        <f>IF(A4355&lt;&gt;"",TIME(HOUR(TRANSACTIONS!$A4355),MINUTE(TRANSACTIONS!$A4355),SECOND(TRANSACTIONS!$A4355)),"")</f>
        <v>0.56509259259259259</v>
      </c>
      <c r="D4355" s="82" t="s">
        <v>62</v>
      </c>
      <c r="E4355" s="82" t="s">
        <v>7</v>
      </c>
      <c r="F4355" s="88">
        <v>900</v>
      </c>
      <c r="G4355" s="46"/>
      <c r="H4355" s="46">
        <f>IFERROR(TRANSACTIONS!$F4355+TRANSACTIONS!$G4355,"")</f>
        <v>900</v>
      </c>
      <c r="I4355" s="40" t="s">
        <v>41</v>
      </c>
    </row>
    <row r="4356" spans="1:9" x14ac:dyDescent="0.25">
      <c r="A4356" s="41">
        <v>45374.565094675927</v>
      </c>
      <c r="B4356" s="48">
        <f>IF(A4356&lt;&gt;"",DATE(YEAR(TRANSACTIONS!$A4356),MONTH(TRANSACTIONS!$A4356),DAY(TRANSACTIONS!$A4356)),"")</f>
        <v>45374</v>
      </c>
      <c r="C4356" s="49">
        <f>IF(A4356&lt;&gt;"",TIME(HOUR(TRANSACTIONS!$A4356),MINUTE(TRANSACTIONS!$A4356),SECOND(TRANSACTIONS!$A4356)),"")</f>
        <v>0.56509259259259259</v>
      </c>
      <c r="D4356" s="82" t="s">
        <v>62</v>
      </c>
      <c r="E4356" s="82" t="s">
        <v>6</v>
      </c>
      <c r="F4356" s="88">
        <v>30300</v>
      </c>
      <c r="G4356" s="46"/>
      <c r="H4356" s="46">
        <f>IFERROR(TRANSACTIONS!$F4356+TRANSACTIONS!$G4356,"")</f>
        <v>30300</v>
      </c>
      <c r="I4356" s="40" t="s">
        <v>41</v>
      </c>
    </row>
    <row r="4357" spans="1:9" x14ac:dyDescent="0.25">
      <c r="A4357" s="41">
        <v>45374.604749421298</v>
      </c>
      <c r="B4357" s="48">
        <f>IF(A4357&lt;&gt;"",DATE(YEAR(TRANSACTIONS!$A4357),MONTH(TRANSACTIONS!$A4357),DAY(TRANSACTIONS!$A4357)),"")</f>
        <v>45374</v>
      </c>
      <c r="C4357" s="49">
        <f>IF(A4357&lt;&gt;"",TIME(HOUR(TRANSACTIONS!$A4357),MINUTE(TRANSACTIONS!$A4357),SECOND(TRANSACTIONS!$A4357)),"")</f>
        <v>0.60474537037037035</v>
      </c>
      <c r="D4357" s="82" t="s">
        <v>62</v>
      </c>
      <c r="E4357" s="82" t="s">
        <v>7</v>
      </c>
      <c r="F4357" s="88">
        <v>3000</v>
      </c>
      <c r="G4357" s="46"/>
      <c r="H4357" s="46">
        <f>IFERROR(TRANSACTIONS!$F4357+TRANSACTIONS!$G4357,"")</f>
        <v>3000</v>
      </c>
      <c r="I4357" s="40" t="s">
        <v>41</v>
      </c>
    </row>
    <row r="4358" spans="1:9" x14ac:dyDescent="0.25">
      <c r="A4358" s="113">
        <v>45374.604759837966</v>
      </c>
      <c r="B4358" s="114">
        <f>IF(A4358&lt;&gt;"",DATE(YEAR(TRANSACTIONS!$A4358),MONTH(TRANSACTIONS!$A4358),DAY(TRANSACTIONS!$A4358)),"")</f>
        <v>45374</v>
      </c>
      <c r="C4358" s="115">
        <f>IF(A4358&lt;&gt;"",TIME(HOUR(TRANSACTIONS!$A4358),MINUTE(TRANSACTIONS!$A4358),SECOND(TRANSACTIONS!$A4358)),"")</f>
        <v>0.60475694444444439</v>
      </c>
      <c r="D4358" s="82" t="s">
        <v>64</v>
      </c>
      <c r="E4358" s="82" t="s">
        <v>7</v>
      </c>
      <c r="F4358" s="88">
        <v>300000</v>
      </c>
      <c r="G4358" s="117"/>
      <c r="H4358" s="117">
        <f>IFERROR(TRANSACTIONS!$F4358+TRANSACTIONS!$G4358,"")</f>
        <v>300000</v>
      </c>
      <c r="I4358" s="118" t="s">
        <v>41</v>
      </c>
    </row>
    <row r="4359" spans="1:9" x14ac:dyDescent="0.25">
      <c r="A4359" s="41">
        <v>45374.604791203703</v>
      </c>
      <c r="B4359" s="48">
        <f>IF(A4359&lt;&gt;"",DATE(YEAR(TRANSACTIONS!$A4359),MONTH(TRANSACTIONS!$A4359),DAY(TRANSACTIONS!$A4359)),"")</f>
        <v>45374</v>
      </c>
      <c r="C4359" s="49">
        <f>IF(A4359&lt;&gt;"",TIME(HOUR(TRANSACTIONS!$A4359),MINUTE(TRANSACTIONS!$A4359),SECOND(TRANSACTIONS!$A4359)),"")</f>
        <v>0.60479166666666673</v>
      </c>
      <c r="D4359" s="82" t="s">
        <v>62</v>
      </c>
      <c r="E4359" s="82" t="s">
        <v>7</v>
      </c>
      <c r="F4359" s="88">
        <v>5000</v>
      </c>
      <c r="G4359" s="46"/>
      <c r="H4359" s="46">
        <f>IFERROR(TRANSACTIONS!$F4359+TRANSACTIONS!$G4359,"")</f>
        <v>5000</v>
      </c>
      <c r="I4359" s="40" t="s">
        <v>41</v>
      </c>
    </row>
    <row r="4360" spans="1:9" x14ac:dyDescent="0.25">
      <c r="A4360" s="41">
        <v>45374.604798263892</v>
      </c>
      <c r="B4360" s="48">
        <f>IF(A4360&lt;&gt;"",DATE(YEAR(TRANSACTIONS!$A4360),MONTH(TRANSACTIONS!$A4360),DAY(TRANSACTIONS!$A4360)),"")</f>
        <v>45374</v>
      </c>
      <c r="C4360" s="49">
        <f>IF(A4360&lt;&gt;"",TIME(HOUR(TRANSACTIONS!$A4360),MINUTE(TRANSACTIONS!$A4360),SECOND(TRANSACTIONS!$A4360)),"")</f>
        <v>0.60480324074074077</v>
      </c>
      <c r="D4360" s="82" t="s">
        <v>62</v>
      </c>
      <c r="E4360" s="82" t="s">
        <v>6</v>
      </c>
      <c r="F4360" s="88">
        <v>2000</v>
      </c>
      <c r="G4360" s="46"/>
      <c r="H4360" s="46">
        <f>IFERROR(TRANSACTIONS!$F4360+TRANSACTIONS!$G4360,"")</f>
        <v>2000</v>
      </c>
      <c r="I4360" s="40" t="s">
        <v>41</v>
      </c>
    </row>
    <row r="4361" spans="1:9" x14ac:dyDescent="0.25">
      <c r="A4361" s="41">
        <v>45374.604807291667</v>
      </c>
      <c r="B4361" s="48">
        <f>IF(A4361&lt;&gt;"",DATE(YEAR(TRANSACTIONS!$A4361),MONTH(TRANSACTIONS!$A4361),DAY(TRANSACTIONS!$A4361)),"")</f>
        <v>45374</v>
      </c>
      <c r="C4361" s="49">
        <f>IF(A4361&lt;&gt;"",TIME(HOUR(TRANSACTIONS!$A4361),MINUTE(TRANSACTIONS!$A4361),SECOND(TRANSACTIONS!$A4361)),"")</f>
        <v>0.60480324074074077</v>
      </c>
      <c r="D4361" s="82" t="s">
        <v>62</v>
      </c>
      <c r="E4361" s="82" t="s">
        <v>7</v>
      </c>
      <c r="F4361" s="88">
        <v>5000</v>
      </c>
      <c r="G4361" s="46"/>
      <c r="H4361" s="46">
        <f>IFERROR(TRANSACTIONS!$F4361+TRANSACTIONS!$G4361,"")</f>
        <v>5000</v>
      </c>
      <c r="I4361" s="40" t="s">
        <v>41</v>
      </c>
    </row>
    <row r="4362" spans="1:9" x14ac:dyDescent="0.25">
      <c r="A4362" s="41">
        <v>45374.604815625004</v>
      </c>
      <c r="B4362" s="48">
        <f>IF(A4362&lt;&gt;"",DATE(YEAR(TRANSACTIONS!$A4362),MONTH(TRANSACTIONS!$A4362),DAY(TRANSACTIONS!$A4362)),"")</f>
        <v>45374</v>
      </c>
      <c r="C4362" s="49">
        <f>IF(A4362&lt;&gt;"",TIME(HOUR(TRANSACTIONS!$A4362),MINUTE(TRANSACTIONS!$A4362),SECOND(TRANSACTIONS!$A4362)),"")</f>
        <v>0.60481481481481481</v>
      </c>
      <c r="D4362" s="82" t="s">
        <v>62</v>
      </c>
      <c r="E4362" s="82" t="s">
        <v>7</v>
      </c>
      <c r="F4362" s="88">
        <v>58000</v>
      </c>
      <c r="G4362" s="46"/>
      <c r="H4362" s="46">
        <f>IFERROR(TRANSACTIONS!$F4362+TRANSACTIONS!$G4362,"")</f>
        <v>58000</v>
      </c>
      <c r="I4362" s="40" t="s">
        <v>41</v>
      </c>
    </row>
    <row r="4363" spans="1:9" x14ac:dyDescent="0.25">
      <c r="A4363" s="41">
        <v>45374.604823726855</v>
      </c>
      <c r="B4363" s="48">
        <f>IF(A4363&lt;&gt;"",DATE(YEAR(TRANSACTIONS!$A4363),MONTH(TRANSACTIONS!$A4363),DAY(TRANSACTIONS!$A4363)),"")</f>
        <v>45374</v>
      </c>
      <c r="C4363" s="49">
        <f>IF(A4363&lt;&gt;"",TIME(HOUR(TRANSACTIONS!$A4363),MINUTE(TRANSACTIONS!$A4363),SECOND(TRANSACTIONS!$A4363)),"")</f>
        <v>0.60482638888888884</v>
      </c>
      <c r="D4363" s="82" t="s">
        <v>62</v>
      </c>
      <c r="E4363" s="82" t="s">
        <v>7</v>
      </c>
      <c r="F4363" s="88">
        <v>40000</v>
      </c>
      <c r="G4363" s="46"/>
      <c r="H4363" s="46">
        <f>IFERROR(TRANSACTIONS!$F4363+TRANSACTIONS!$G4363,"")</f>
        <v>40000</v>
      </c>
      <c r="I4363" s="40" t="s">
        <v>41</v>
      </c>
    </row>
    <row r="4364" spans="1:9" x14ac:dyDescent="0.25">
      <c r="A4364" s="90">
        <v>45374.60646354167</v>
      </c>
      <c r="B4364" s="91">
        <f>IF(A4364&lt;&gt;"",DATE(YEAR(TRANSACTIONS!$A4364),MONTH(TRANSACTIONS!$A4364),DAY(TRANSACTIONS!$A4364)),"")</f>
        <v>45374</v>
      </c>
      <c r="C4364" s="92">
        <f>IF(A4364&lt;&gt;"",TIME(HOUR(TRANSACTIONS!$A4364),MINUTE(TRANSACTIONS!$A4364),SECOND(TRANSACTIONS!$A4364)),"")</f>
        <v>0.60645833333333332</v>
      </c>
      <c r="D4364" s="93" t="s">
        <v>62</v>
      </c>
      <c r="E4364" s="93" t="s">
        <v>6</v>
      </c>
      <c r="F4364" s="112">
        <v>37000</v>
      </c>
      <c r="G4364" s="95"/>
      <c r="H4364" s="95">
        <f>IFERROR(TRANSACTIONS!$F4364+TRANSACTIONS!$G4364,"")</f>
        <v>37000</v>
      </c>
      <c r="I4364" s="112" t="s">
        <v>41</v>
      </c>
    </row>
    <row r="4365" spans="1:9" x14ac:dyDescent="0.25">
      <c r="A4365" s="90">
        <v>45374.624794328702</v>
      </c>
      <c r="B4365" s="91">
        <f>IF(A4365&lt;&gt;"",DATE(YEAR(TRANSACTIONS!$A4365),MONTH(TRANSACTIONS!$A4365),DAY(TRANSACTIONS!$A4365)),"")</f>
        <v>45374</v>
      </c>
      <c r="C4365" s="92">
        <f>IF(A4365&lt;&gt;"",TIME(HOUR(TRANSACTIONS!$A4365),MINUTE(TRANSACTIONS!$A4365),SECOND(TRANSACTIONS!$A4365)),"")</f>
        <v>0.62479166666666663</v>
      </c>
      <c r="D4365" s="93" t="s">
        <v>25</v>
      </c>
      <c r="E4365" s="93" t="s">
        <v>6</v>
      </c>
      <c r="F4365" s="112">
        <v>1300</v>
      </c>
      <c r="G4365" s="95"/>
      <c r="H4365" s="95">
        <f>IFERROR(TRANSACTIONS!$F4365+TRANSACTIONS!$G4365,"")</f>
        <v>1300</v>
      </c>
      <c r="I4365" s="112" t="s">
        <v>41</v>
      </c>
    </row>
    <row r="4366" spans="1:9" x14ac:dyDescent="0.25">
      <c r="A4366" s="41">
        <v>45374.624824537037</v>
      </c>
      <c r="B4366" s="48">
        <f>IF(A4366&lt;&gt;"",DATE(YEAR(TRANSACTIONS!$A4366),MONTH(TRANSACTIONS!$A4366),DAY(TRANSACTIONS!$A4366)),"")</f>
        <v>45374</v>
      </c>
      <c r="C4366" s="49">
        <f>IF(A4366&lt;&gt;"",TIME(HOUR(TRANSACTIONS!$A4366),MINUTE(TRANSACTIONS!$A4366),SECOND(TRANSACTIONS!$A4366)),"")</f>
        <v>0.62482638888888886</v>
      </c>
      <c r="D4366" s="82" t="s">
        <v>25</v>
      </c>
      <c r="E4366" s="82" t="s">
        <v>6</v>
      </c>
      <c r="F4366" s="88">
        <v>500</v>
      </c>
      <c r="G4366" s="46"/>
      <c r="H4366" s="46">
        <f>IFERROR(TRANSACTIONS!$F4366+TRANSACTIONS!$G4366,"")</f>
        <v>500</v>
      </c>
      <c r="I4366" s="40" t="s">
        <v>41</v>
      </c>
    </row>
    <row r="4367" spans="1:9" x14ac:dyDescent="0.25">
      <c r="A4367" s="81">
        <v>45374.624834837959</v>
      </c>
      <c r="B4367" s="83">
        <f>IF(A4367&lt;&gt;"",DATE(YEAR(TRANSACTIONS!$A4367),MONTH(TRANSACTIONS!$A4367),DAY(TRANSACTIONS!$A4367)),"")</f>
        <v>45374</v>
      </c>
      <c r="C4367" s="84">
        <f>IF(A4367&lt;&gt;"",TIME(HOUR(TRANSACTIONS!$A4367),MINUTE(TRANSACTIONS!$A4367),SECOND(TRANSACTIONS!$A4367)),"")</f>
        <v>0.6248379629629629</v>
      </c>
      <c r="D4367" s="82" t="s">
        <v>62</v>
      </c>
      <c r="E4367" s="82" t="s">
        <v>6</v>
      </c>
      <c r="F4367" s="88">
        <v>3500</v>
      </c>
      <c r="G4367" s="86"/>
      <c r="H4367" s="86">
        <f>IFERROR(TRANSACTIONS!$F4367+TRANSACTIONS!$G4367,"")</f>
        <v>3500</v>
      </c>
      <c r="I4367" s="88" t="s">
        <v>41</v>
      </c>
    </row>
    <row r="4368" spans="1:9" x14ac:dyDescent="0.25">
      <c r="A4368" s="41">
        <v>45374.624845370374</v>
      </c>
      <c r="B4368" s="48">
        <f>IF(A4368&lt;&gt;"",DATE(YEAR(TRANSACTIONS!$A4368),MONTH(TRANSACTIONS!$A4368),DAY(TRANSACTIONS!$A4368)),"")</f>
        <v>45374</v>
      </c>
      <c r="C4368" s="49">
        <f>IF(A4368&lt;&gt;"",TIME(HOUR(TRANSACTIONS!$A4368),MINUTE(TRANSACTIONS!$A4368),SECOND(TRANSACTIONS!$A4368)),"")</f>
        <v>0.62484953703703705</v>
      </c>
      <c r="D4368" s="82" t="s">
        <v>62</v>
      </c>
      <c r="E4368" s="82" t="s">
        <v>7</v>
      </c>
      <c r="F4368" s="88">
        <v>25000</v>
      </c>
      <c r="G4368" s="46"/>
      <c r="H4368" s="46">
        <f>IFERROR(TRANSACTIONS!$F4368+TRANSACTIONS!$G4368,"")</f>
        <v>25000</v>
      </c>
      <c r="I4368" s="40" t="s">
        <v>41</v>
      </c>
    </row>
    <row r="4369" spans="1:9" x14ac:dyDescent="0.25">
      <c r="A4369" s="41">
        <v>45374.634951157408</v>
      </c>
      <c r="B4369" s="48">
        <f>IF(A4369&lt;&gt;"",DATE(YEAR(TRANSACTIONS!$A4369),MONTH(TRANSACTIONS!$A4369),DAY(TRANSACTIONS!$A4369)),"")</f>
        <v>45374</v>
      </c>
      <c r="C4369" s="49">
        <f>IF(A4369&lt;&gt;"",TIME(HOUR(TRANSACTIONS!$A4369),MINUTE(TRANSACTIONS!$A4369),SECOND(TRANSACTIONS!$A4369)),"")</f>
        <v>0.63495370370370374</v>
      </c>
      <c r="D4369" s="82" t="s">
        <v>62</v>
      </c>
      <c r="E4369" s="82" t="s">
        <v>7</v>
      </c>
      <c r="F4369" s="88">
        <v>6000</v>
      </c>
      <c r="G4369" s="46"/>
      <c r="H4369" s="46">
        <f>IFERROR(TRANSACTIONS!$F4369+TRANSACTIONS!$G4369,"")</f>
        <v>6000</v>
      </c>
      <c r="I4369" s="40" t="s">
        <v>41</v>
      </c>
    </row>
    <row r="4370" spans="1:9" x14ac:dyDescent="0.25">
      <c r="A4370" s="41">
        <v>45374.634955092595</v>
      </c>
      <c r="B4370" s="48">
        <f>IF(A4370&lt;&gt;"",DATE(YEAR(TRANSACTIONS!$A4370),MONTH(TRANSACTIONS!$A4370),DAY(TRANSACTIONS!$A4370)),"")</f>
        <v>45374</v>
      </c>
      <c r="C4370" s="49">
        <f>IF(A4370&lt;&gt;"",TIME(HOUR(TRANSACTIONS!$A4370),MINUTE(TRANSACTIONS!$A4370),SECOND(TRANSACTIONS!$A4370)),"")</f>
        <v>0.63495370370370374</v>
      </c>
      <c r="D4370" s="82" t="s">
        <v>62</v>
      </c>
      <c r="E4370" s="82" t="s">
        <v>6</v>
      </c>
      <c r="F4370" s="88">
        <v>5000</v>
      </c>
      <c r="G4370" s="46"/>
      <c r="H4370" s="46">
        <f>IFERROR(TRANSACTIONS!$F4370+TRANSACTIONS!$G4370,"")</f>
        <v>5000</v>
      </c>
      <c r="I4370" s="40" t="s">
        <v>41</v>
      </c>
    </row>
    <row r="4371" spans="1:9" x14ac:dyDescent="0.25">
      <c r="A4371" s="41">
        <v>45374.635006944445</v>
      </c>
      <c r="B4371" s="48">
        <f>IF(A4371&lt;&gt;"",DATE(YEAR(TRANSACTIONS!$A4371),MONTH(TRANSACTIONS!$A4371),DAY(TRANSACTIONS!$A4371)),"")</f>
        <v>45374</v>
      </c>
      <c r="C4371" s="49">
        <f>IF(A4371&lt;&gt;"",TIME(HOUR(TRANSACTIONS!$A4371),MINUTE(TRANSACTIONS!$A4371),SECOND(TRANSACTIONS!$A4371)),"")</f>
        <v>0.63501157407407405</v>
      </c>
      <c r="D4371" s="82" t="s">
        <v>62</v>
      </c>
      <c r="E4371" s="82" t="s">
        <v>7</v>
      </c>
      <c r="F4371" s="88">
        <v>1000</v>
      </c>
      <c r="G4371" s="46"/>
      <c r="H4371" s="46">
        <f>IFERROR(TRANSACTIONS!$F4371+TRANSACTIONS!$G4371,"")</f>
        <v>1000</v>
      </c>
      <c r="I4371" s="40" t="s">
        <v>41</v>
      </c>
    </row>
    <row r="4372" spans="1:9" x14ac:dyDescent="0.25">
      <c r="A4372" s="41">
        <v>45374.635014930558</v>
      </c>
      <c r="B4372" s="48">
        <f>IF(A4372&lt;&gt;"",DATE(YEAR(TRANSACTIONS!$A4372),MONTH(TRANSACTIONS!$A4372),DAY(TRANSACTIONS!$A4372)),"")</f>
        <v>45374</v>
      </c>
      <c r="C4372" s="49">
        <f>IF(A4372&lt;&gt;"",TIME(HOUR(TRANSACTIONS!$A4372),MINUTE(TRANSACTIONS!$A4372),SECOND(TRANSACTIONS!$A4372)),"")</f>
        <v>0.63501157407407405</v>
      </c>
      <c r="D4372" s="82" t="s">
        <v>62</v>
      </c>
      <c r="E4372" s="82" t="s">
        <v>7</v>
      </c>
      <c r="F4372" s="88">
        <v>160000</v>
      </c>
      <c r="G4372" s="46"/>
      <c r="H4372" s="46">
        <f>IFERROR(TRANSACTIONS!$F4372+TRANSACTIONS!$G4372,"")</f>
        <v>160000</v>
      </c>
      <c r="I4372" s="40" t="s">
        <v>41</v>
      </c>
    </row>
    <row r="4373" spans="1:9" x14ac:dyDescent="0.25">
      <c r="A4373" s="41">
        <v>45374.63502199074</v>
      </c>
      <c r="B4373" s="48">
        <f>IF(A4373&lt;&gt;"",DATE(YEAR(TRANSACTIONS!$A4373),MONTH(TRANSACTIONS!$A4373),DAY(TRANSACTIONS!$A4373)),"")</f>
        <v>45374</v>
      </c>
      <c r="C4373" s="49">
        <f>IF(A4373&lt;&gt;"",TIME(HOUR(TRANSACTIONS!$A4373),MINUTE(TRANSACTIONS!$A4373),SECOND(TRANSACTIONS!$A4373)),"")</f>
        <v>0.6350231481481482</v>
      </c>
      <c r="D4373" s="82" t="s">
        <v>62</v>
      </c>
      <c r="E4373" s="82" t="s">
        <v>7</v>
      </c>
      <c r="F4373" s="88">
        <v>5000</v>
      </c>
      <c r="G4373" s="46"/>
      <c r="H4373" s="46">
        <f>IFERROR(TRANSACTIONS!$F4373+TRANSACTIONS!$G4373,"")</f>
        <v>5000</v>
      </c>
      <c r="I4373" s="40" t="s">
        <v>41</v>
      </c>
    </row>
    <row r="4374" spans="1:9" x14ac:dyDescent="0.25">
      <c r="A4374" s="41">
        <v>45374.635030671299</v>
      </c>
      <c r="B4374" s="48">
        <f>IF(A4374&lt;&gt;"",DATE(YEAR(TRANSACTIONS!$A4374),MONTH(TRANSACTIONS!$A4374),DAY(TRANSACTIONS!$A4374)),"")</f>
        <v>45374</v>
      </c>
      <c r="C4374" s="49">
        <f>IF(A4374&lt;&gt;"",TIME(HOUR(TRANSACTIONS!$A4374),MINUTE(TRANSACTIONS!$A4374),SECOND(TRANSACTIONS!$A4374)),"")</f>
        <v>0.63503472222222224</v>
      </c>
      <c r="D4374" s="82" t="s">
        <v>62</v>
      </c>
      <c r="E4374" s="82" t="s">
        <v>6</v>
      </c>
      <c r="F4374" s="88">
        <v>3500</v>
      </c>
      <c r="G4374" s="46"/>
      <c r="H4374" s="46">
        <f>IFERROR(TRANSACTIONS!$F4374+TRANSACTIONS!$G4374,"")</f>
        <v>3500</v>
      </c>
      <c r="I4374" s="40" t="s">
        <v>41</v>
      </c>
    </row>
    <row r="4375" spans="1:9" x14ac:dyDescent="0.25">
      <c r="A4375" s="41">
        <v>45374.635038425928</v>
      </c>
      <c r="B4375" s="48">
        <f>IF(A4375&lt;&gt;"",DATE(YEAR(TRANSACTIONS!$A4375),MONTH(TRANSACTIONS!$A4375),DAY(TRANSACTIONS!$A4375)),"")</f>
        <v>45374</v>
      </c>
      <c r="C4375" s="49">
        <f>IF(A4375&lt;&gt;"",TIME(HOUR(TRANSACTIONS!$A4375),MINUTE(TRANSACTIONS!$A4375),SECOND(TRANSACTIONS!$A4375)),"")</f>
        <v>0.63503472222222224</v>
      </c>
      <c r="D4375" s="82" t="s">
        <v>62</v>
      </c>
      <c r="E4375" s="82" t="s">
        <v>6</v>
      </c>
      <c r="F4375" s="88">
        <v>4000</v>
      </c>
      <c r="G4375" s="46"/>
      <c r="H4375" s="46">
        <f>IFERROR(TRANSACTIONS!$F4375+TRANSACTIONS!$G4375,"")</f>
        <v>4000</v>
      </c>
      <c r="I4375" s="40" t="s">
        <v>41</v>
      </c>
    </row>
    <row r="4376" spans="1:9" x14ac:dyDescent="0.25">
      <c r="A4376" s="41">
        <v>45374.635045254632</v>
      </c>
      <c r="B4376" s="48">
        <f>IF(A4376&lt;&gt;"",DATE(YEAR(TRANSACTIONS!$A4376),MONTH(TRANSACTIONS!$A4376),DAY(TRANSACTIONS!$A4376)),"")</f>
        <v>45374</v>
      </c>
      <c r="C4376" s="49">
        <f>IF(A4376&lt;&gt;"",TIME(HOUR(TRANSACTIONS!$A4376),MINUTE(TRANSACTIONS!$A4376),SECOND(TRANSACTIONS!$A4376)),"")</f>
        <v>0.63504629629629628</v>
      </c>
      <c r="D4376" s="82" t="s">
        <v>62</v>
      </c>
      <c r="E4376" s="82" t="s">
        <v>7</v>
      </c>
      <c r="F4376" s="88">
        <v>1000</v>
      </c>
      <c r="G4376" s="46"/>
      <c r="H4376" s="46">
        <f>IFERROR(TRANSACTIONS!$F4376+TRANSACTIONS!$G4376,"")</f>
        <v>1000</v>
      </c>
      <c r="I4376" s="40" t="s">
        <v>41</v>
      </c>
    </row>
    <row r="4377" spans="1:9" x14ac:dyDescent="0.25">
      <c r="A4377" s="41">
        <v>45374.635052662037</v>
      </c>
      <c r="B4377" s="48">
        <f>IF(A4377&lt;&gt;"",DATE(YEAR(TRANSACTIONS!$A4377),MONTH(TRANSACTIONS!$A4377),DAY(TRANSACTIONS!$A4377)),"")</f>
        <v>45374</v>
      </c>
      <c r="C4377" s="49">
        <f>IF(A4377&lt;&gt;"",TIME(HOUR(TRANSACTIONS!$A4377),MINUTE(TRANSACTIONS!$A4377),SECOND(TRANSACTIONS!$A4377)),"")</f>
        <v>0.63505787037037031</v>
      </c>
      <c r="D4377" s="82" t="s">
        <v>62</v>
      </c>
      <c r="E4377" s="82" t="s">
        <v>7</v>
      </c>
      <c r="F4377" s="88">
        <v>500</v>
      </c>
      <c r="G4377" s="46"/>
      <c r="H4377" s="46">
        <f>IFERROR(TRANSACTIONS!$F4377+TRANSACTIONS!$G4377,"")</f>
        <v>500</v>
      </c>
      <c r="I4377" s="40" t="s">
        <v>41</v>
      </c>
    </row>
    <row r="4378" spans="1:9" x14ac:dyDescent="0.25">
      <c r="A4378" s="41">
        <v>45374.728370486111</v>
      </c>
      <c r="B4378" s="48">
        <f>IF(A4378&lt;&gt;"",DATE(YEAR(TRANSACTIONS!$A4378),MONTH(TRANSACTIONS!$A4378),DAY(TRANSACTIONS!$A4378)),"")</f>
        <v>45374</v>
      </c>
      <c r="C4378" s="49">
        <f>IF(A4378&lt;&gt;"",TIME(HOUR(TRANSACTIONS!$A4378),MINUTE(TRANSACTIONS!$A4378),SECOND(TRANSACTIONS!$A4378)),"")</f>
        <v>0.7283680555555555</v>
      </c>
      <c r="D4378" s="82" t="s">
        <v>62</v>
      </c>
      <c r="E4378" s="82" t="s">
        <v>7</v>
      </c>
      <c r="F4378" s="189">
        <v>3000</v>
      </c>
      <c r="G4378" s="46"/>
      <c r="H4378" s="46">
        <f>IFERROR(TRANSACTIONS!$F4378+TRANSACTIONS!$G4378,"")</f>
        <v>3000</v>
      </c>
      <c r="I4378" s="40" t="s">
        <v>41</v>
      </c>
    </row>
    <row r="4379" spans="1:9" x14ac:dyDescent="0.25">
      <c r="A4379" s="41">
        <v>45374.728381597219</v>
      </c>
      <c r="B4379" s="48">
        <f>IF(A4379&lt;&gt;"",DATE(YEAR(TRANSACTIONS!$A4379),MONTH(TRANSACTIONS!$A4379),DAY(TRANSACTIONS!$A4379)),"")</f>
        <v>45374</v>
      </c>
      <c r="C4379" s="49">
        <f>IF(A4379&lt;&gt;"",TIME(HOUR(TRANSACTIONS!$A4379),MINUTE(TRANSACTIONS!$A4379),SECOND(TRANSACTIONS!$A4379)),"")</f>
        <v>0.72837962962962965</v>
      </c>
      <c r="D4379" s="82" t="s">
        <v>62</v>
      </c>
      <c r="E4379" s="82" t="s">
        <v>6</v>
      </c>
      <c r="F4379" s="88">
        <v>1000</v>
      </c>
      <c r="G4379" s="46"/>
      <c r="H4379" s="46">
        <f>IFERROR(TRANSACTIONS!$F4379+TRANSACTIONS!$G4379,"")</f>
        <v>1000</v>
      </c>
      <c r="I4379" s="40" t="s">
        <v>41</v>
      </c>
    </row>
    <row r="4380" spans="1:9" x14ac:dyDescent="0.25">
      <c r="A4380" s="41">
        <v>45374.72842013889</v>
      </c>
      <c r="B4380" s="48">
        <f>IF(A4380&lt;&gt;"",DATE(YEAR(TRANSACTIONS!$A4380),MONTH(TRANSACTIONS!$A4380),DAY(TRANSACTIONS!$A4380)),"")</f>
        <v>45374</v>
      </c>
      <c r="C4380" s="49">
        <f>IF(A4380&lt;&gt;"",TIME(HOUR(TRANSACTIONS!$A4380),MINUTE(TRANSACTIONS!$A4380),SECOND(TRANSACTIONS!$A4380)),"")</f>
        <v>0.72841435185185188</v>
      </c>
      <c r="D4380" s="82" t="s">
        <v>62</v>
      </c>
      <c r="E4380" s="82" t="s">
        <v>7</v>
      </c>
      <c r="F4380" s="88">
        <v>60300</v>
      </c>
      <c r="G4380" s="46"/>
      <c r="H4380" s="46">
        <f>IFERROR(TRANSACTIONS!$F4380+TRANSACTIONS!$G4380,"")</f>
        <v>60300</v>
      </c>
      <c r="I4380" s="40" t="s">
        <v>41</v>
      </c>
    </row>
    <row r="4381" spans="1:9" x14ac:dyDescent="0.25">
      <c r="A4381" s="41">
        <v>45374.72842835648</v>
      </c>
      <c r="B4381" s="48">
        <f>IF(A4381&lt;&gt;"",DATE(YEAR(TRANSACTIONS!$A4381),MONTH(TRANSACTIONS!$A4381),DAY(TRANSACTIONS!$A4381)),"")</f>
        <v>45374</v>
      </c>
      <c r="C4381" s="49">
        <f>IF(A4381&lt;&gt;"",TIME(HOUR(TRANSACTIONS!$A4381),MINUTE(TRANSACTIONS!$A4381),SECOND(TRANSACTIONS!$A4381)),"")</f>
        <v>0.72842592592592592</v>
      </c>
      <c r="D4381" s="82" t="s">
        <v>62</v>
      </c>
      <c r="E4381" s="82" t="s">
        <v>6</v>
      </c>
      <c r="F4381" s="88">
        <v>60600</v>
      </c>
      <c r="G4381" s="46"/>
      <c r="H4381" s="46">
        <f>IFERROR(TRANSACTIONS!$F4381+TRANSACTIONS!$G4381,"")</f>
        <v>60600</v>
      </c>
      <c r="I4381" s="40" t="s">
        <v>41</v>
      </c>
    </row>
    <row r="4382" spans="1:9" x14ac:dyDescent="0.25">
      <c r="A4382" s="41">
        <v>45374.72843541667</v>
      </c>
      <c r="B4382" s="48">
        <f>IF(A4382&lt;&gt;"",DATE(YEAR(TRANSACTIONS!$A4382),MONTH(TRANSACTIONS!$A4382),DAY(TRANSACTIONS!$A4382)),"")</f>
        <v>45374</v>
      </c>
      <c r="C4382" s="49">
        <f>IF(A4382&lt;&gt;"",TIME(HOUR(TRANSACTIONS!$A4382),MINUTE(TRANSACTIONS!$A4382),SECOND(TRANSACTIONS!$A4382)),"")</f>
        <v>0.72843750000000007</v>
      </c>
      <c r="D4382" s="82" t="s">
        <v>62</v>
      </c>
      <c r="E4382" s="82" t="s">
        <v>7</v>
      </c>
      <c r="F4382" s="88">
        <v>5000</v>
      </c>
      <c r="G4382" s="46"/>
      <c r="H4382" s="46">
        <f>IFERROR(TRANSACTIONS!$F4382+TRANSACTIONS!$G4382,"")</f>
        <v>5000</v>
      </c>
      <c r="I4382" s="40" t="s">
        <v>41</v>
      </c>
    </row>
    <row r="4383" spans="1:9" x14ac:dyDescent="0.25">
      <c r="A4383" s="81">
        <v>45374.72844259259</v>
      </c>
      <c r="B4383" s="83">
        <f>IF(A4383&lt;&gt;"",DATE(YEAR(TRANSACTIONS!$A4383),MONTH(TRANSACTIONS!$A4383),DAY(TRANSACTIONS!$A4383)),"")</f>
        <v>45374</v>
      </c>
      <c r="C4383" s="84">
        <f>IF(A4383&lt;&gt;"",TIME(HOUR(TRANSACTIONS!$A4383),MINUTE(TRANSACTIONS!$A4383),SECOND(TRANSACTIONS!$A4383)),"")</f>
        <v>0.72843750000000007</v>
      </c>
      <c r="D4383" s="82" t="s">
        <v>62</v>
      </c>
      <c r="E4383" s="82" t="s">
        <v>7</v>
      </c>
      <c r="F4383" s="88">
        <v>3000</v>
      </c>
      <c r="G4383" s="86"/>
      <c r="H4383" s="86">
        <f>IFERROR(TRANSACTIONS!$F4383+TRANSACTIONS!$G4383,"")</f>
        <v>3000</v>
      </c>
      <c r="I4383" s="88" t="s">
        <v>41</v>
      </c>
    </row>
    <row r="4384" spans="1:9" x14ac:dyDescent="0.25">
      <c r="A4384" s="41">
        <v>45374.728457986108</v>
      </c>
      <c r="B4384" s="48">
        <f>IF(A4384&lt;&gt;"",DATE(YEAR(TRANSACTIONS!$A4384),MONTH(TRANSACTIONS!$A4384),DAY(TRANSACTIONS!$A4384)),"")</f>
        <v>45374</v>
      </c>
      <c r="C4384" s="49">
        <f>IF(A4384&lt;&gt;"",TIME(HOUR(TRANSACTIONS!$A4384),MINUTE(TRANSACTIONS!$A4384),SECOND(TRANSACTIONS!$A4384)),"")</f>
        <v>0.72846064814814815</v>
      </c>
      <c r="D4384" s="82" t="s">
        <v>62</v>
      </c>
      <c r="E4384" s="82" t="s">
        <v>6</v>
      </c>
      <c r="F4384" s="88">
        <v>2525</v>
      </c>
      <c r="G4384" s="46"/>
      <c r="H4384" s="46">
        <f>IFERROR(TRANSACTIONS!$F4384+TRANSACTIONS!$G4384,"")</f>
        <v>2525</v>
      </c>
      <c r="I4384" s="40" t="s">
        <v>41</v>
      </c>
    </row>
    <row r="4385" spans="1:13" x14ac:dyDescent="0.25">
      <c r="A4385" s="41">
        <v>45374.72846539352</v>
      </c>
      <c r="B4385" s="48">
        <f>IF(A4385&lt;&gt;"",DATE(YEAR(TRANSACTIONS!$A4385),MONTH(TRANSACTIONS!$A4385),DAY(TRANSACTIONS!$A4385)),"")</f>
        <v>45374</v>
      </c>
      <c r="C4385" s="49">
        <f>IF(A4385&lt;&gt;"",TIME(HOUR(TRANSACTIONS!$A4385),MINUTE(TRANSACTIONS!$A4385),SECOND(TRANSACTIONS!$A4385)),"")</f>
        <v>0.72846064814814815</v>
      </c>
      <c r="D4385" s="82" t="s">
        <v>62</v>
      </c>
      <c r="E4385" s="82" t="s">
        <v>7</v>
      </c>
      <c r="F4385" s="88">
        <v>13000</v>
      </c>
      <c r="G4385" s="46"/>
      <c r="H4385" s="46">
        <f>IFERROR(TRANSACTIONS!$F4385+TRANSACTIONS!$G4385,"")</f>
        <v>13000</v>
      </c>
      <c r="I4385" s="40" t="s">
        <v>41</v>
      </c>
    </row>
    <row r="4386" spans="1:13" x14ac:dyDescent="0.25">
      <c r="A4386" s="41">
        <v>45374.728472106479</v>
      </c>
      <c r="B4386" s="48">
        <f>IF(A4386&lt;&gt;"",DATE(YEAR(TRANSACTIONS!$A4386),MONTH(TRANSACTIONS!$A4386),DAY(TRANSACTIONS!$A4386)),"")</f>
        <v>45374</v>
      </c>
      <c r="C4386" s="49">
        <f>IF(A4386&lt;&gt;"",TIME(HOUR(TRANSACTIONS!$A4386),MINUTE(TRANSACTIONS!$A4386),SECOND(TRANSACTIONS!$A4386)),"")</f>
        <v>0.7284722222222223</v>
      </c>
      <c r="D4386" s="82" t="s">
        <v>62</v>
      </c>
      <c r="E4386" s="82" t="s">
        <v>6</v>
      </c>
      <c r="F4386" s="88">
        <v>35000</v>
      </c>
      <c r="G4386" s="46"/>
      <c r="H4386" s="46">
        <f>IFERROR(TRANSACTIONS!$F4386+TRANSACTIONS!$G4386,"")</f>
        <v>35000</v>
      </c>
      <c r="I4386" s="40" t="s">
        <v>41</v>
      </c>
    </row>
    <row r="4387" spans="1:13" x14ac:dyDescent="0.25">
      <c r="A4387" s="41">
        <v>45374.728482175924</v>
      </c>
      <c r="B4387" s="48">
        <f>IF(A4387&lt;&gt;"",DATE(YEAR(TRANSACTIONS!$A4387),MONTH(TRANSACTIONS!$A4387),DAY(TRANSACTIONS!$A4387)),"")</f>
        <v>45374</v>
      </c>
      <c r="C4387" s="49">
        <f>IF(A4387&lt;&gt;"",TIME(HOUR(TRANSACTIONS!$A4387),MINUTE(TRANSACTIONS!$A4387),SECOND(TRANSACTIONS!$A4387)),"")</f>
        <v>0.72848379629629623</v>
      </c>
      <c r="D4387" s="82" t="s">
        <v>62</v>
      </c>
      <c r="E4387" s="82" t="s">
        <v>6</v>
      </c>
      <c r="F4387" s="88">
        <v>35000</v>
      </c>
      <c r="G4387" s="46"/>
      <c r="H4387" s="46">
        <f>IFERROR(TRANSACTIONS!$F4387+TRANSACTIONS!$G4387,"")</f>
        <v>35000</v>
      </c>
      <c r="I4387" s="40" t="s">
        <v>41</v>
      </c>
    </row>
    <row r="4388" spans="1:13" x14ac:dyDescent="0.25">
      <c r="A4388" s="41">
        <v>45374.72848946759</v>
      </c>
      <c r="B4388" s="48">
        <f>IF(A4388&lt;&gt;"",DATE(YEAR(TRANSACTIONS!$A4388),MONTH(TRANSACTIONS!$A4388),DAY(TRANSACTIONS!$A4388)),"")</f>
        <v>45374</v>
      </c>
      <c r="C4388" s="49">
        <f>IF(A4388&lt;&gt;"",TIME(HOUR(TRANSACTIONS!$A4388),MINUTE(TRANSACTIONS!$A4388),SECOND(TRANSACTIONS!$A4388)),"")</f>
        <v>0.72848379629629623</v>
      </c>
      <c r="D4388" s="82" t="s">
        <v>62</v>
      </c>
      <c r="E4388" s="82" t="s">
        <v>7</v>
      </c>
      <c r="F4388" s="88">
        <v>5500</v>
      </c>
      <c r="G4388" s="46"/>
      <c r="H4388" s="46">
        <f>IFERROR(TRANSACTIONS!$F4388+TRANSACTIONS!$G4388,"")</f>
        <v>5500</v>
      </c>
      <c r="I4388" s="40" t="s">
        <v>41</v>
      </c>
    </row>
    <row r="4389" spans="1:13" x14ac:dyDescent="0.25">
      <c r="A4389" s="41">
        <v>45374.728496296295</v>
      </c>
      <c r="B4389" s="48">
        <f>IF(A4389&lt;&gt;"",DATE(YEAR(TRANSACTIONS!$A4389),MONTH(TRANSACTIONS!$A4389),DAY(TRANSACTIONS!$A4389)),"")</f>
        <v>45374</v>
      </c>
      <c r="C4389" s="49">
        <f>IF(A4389&lt;&gt;"",TIME(HOUR(TRANSACTIONS!$A4389),MINUTE(TRANSACTIONS!$A4389),SECOND(TRANSACTIONS!$A4389)),"")</f>
        <v>0.72849537037037038</v>
      </c>
      <c r="D4389" s="82" t="s">
        <v>62</v>
      </c>
      <c r="E4389" s="82" t="s">
        <v>7</v>
      </c>
      <c r="F4389" s="88">
        <v>5000</v>
      </c>
      <c r="G4389" s="46"/>
      <c r="H4389" s="46">
        <f>IFERROR(TRANSACTIONS!$F4389+TRANSACTIONS!$G4389,"")</f>
        <v>5000</v>
      </c>
      <c r="I4389" s="40" t="s">
        <v>41</v>
      </c>
    </row>
    <row r="4390" spans="1:13" x14ac:dyDescent="0.25">
      <c r="A4390" s="113">
        <v>45374.728518865741</v>
      </c>
      <c r="B4390" s="114">
        <f>IF(A4390&lt;&gt;"",DATE(YEAR(TRANSACTIONS!$A4390),MONTH(TRANSACTIONS!$A4390),DAY(TRANSACTIONS!$A4390)),"")</f>
        <v>45374</v>
      </c>
      <c r="C4390" s="115">
        <f>IF(A4390&lt;&gt;"",TIME(HOUR(TRANSACTIONS!$A4390),MINUTE(TRANSACTIONS!$A4390),SECOND(TRANSACTIONS!$A4390)),"")</f>
        <v>0.72851851851851857</v>
      </c>
      <c r="D4390" s="82" t="s">
        <v>25</v>
      </c>
      <c r="E4390" s="82" t="s">
        <v>6</v>
      </c>
      <c r="F4390" s="88">
        <v>1000</v>
      </c>
      <c r="G4390" s="117"/>
      <c r="H4390" s="117">
        <f>IFERROR(TRANSACTIONS!$F4390+TRANSACTIONS!$G4390,"")</f>
        <v>1000</v>
      </c>
      <c r="I4390" s="118" t="s">
        <v>41</v>
      </c>
      <c r="J4390" s="118"/>
      <c r="K4390" s="118"/>
      <c r="L4390" s="118"/>
      <c r="M4390" s="118"/>
    </row>
    <row r="4391" spans="1:13" x14ac:dyDescent="0.25">
      <c r="A4391" s="41">
        <v>45374.728577662034</v>
      </c>
      <c r="B4391" s="48">
        <f>IF(A4391&lt;&gt;"",DATE(YEAR(TRANSACTIONS!$A4391),MONTH(TRANSACTIONS!$A4391),DAY(TRANSACTIONS!$A4391)),"")</f>
        <v>45374</v>
      </c>
      <c r="C4391" s="49">
        <f>IF(A4391&lt;&gt;"",TIME(HOUR(TRANSACTIONS!$A4391),MINUTE(TRANSACTIONS!$A4391),SECOND(TRANSACTIONS!$A4391)),"")</f>
        <v>0.72857638888888887</v>
      </c>
      <c r="D4391" s="82" t="s">
        <v>25</v>
      </c>
      <c r="E4391" s="82" t="s">
        <v>7</v>
      </c>
      <c r="F4391" s="88">
        <v>5000</v>
      </c>
      <c r="G4391" s="46"/>
      <c r="H4391" s="46">
        <f>IFERROR(TRANSACTIONS!$F4391+TRANSACTIONS!$G4391,"")</f>
        <v>5000</v>
      </c>
      <c r="I4391" s="40" t="s">
        <v>41</v>
      </c>
    </row>
    <row r="4392" spans="1:13" x14ac:dyDescent="0.25">
      <c r="A4392" s="41">
        <v>45374.72858865741</v>
      </c>
      <c r="B4392" s="48">
        <f>IF(A4392&lt;&gt;"",DATE(YEAR(TRANSACTIONS!$A4392),MONTH(TRANSACTIONS!$A4392),DAY(TRANSACTIONS!$A4392)),"")</f>
        <v>45374</v>
      </c>
      <c r="C4392" s="49">
        <f>IF(A4392&lt;&gt;"",TIME(HOUR(TRANSACTIONS!$A4392),MINUTE(TRANSACTIONS!$A4392),SECOND(TRANSACTIONS!$A4392)),"")</f>
        <v>0.72858796296296291</v>
      </c>
      <c r="D4392" s="82" t="s">
        <v>25</v>
      </c>
      <c r="E4392" s="82" t="s">
        <v>6</v>
      </c>
      <c r="F4392" s="88">
        <v>600</v>
      </c>
      <c r="G4392" s="46"/>
      <c r="H4392" s="46">
        <f>IFERROR(TRANSACTIONS!$F4392+TRANSACTIONS!$G4392,"")</f>
        <v>600</v>
      </c>
      <c r="I4392" s="40" t="s">
        <v>41</v>
      </c>
    </row>
    <row r="4393" spans="1:13" x14ac:dyDescent="0.25">
      <c r="A4393" s="41">
        <v>45374.728595949076</v>
      </c>
      <c r="B4393" s="48">
        <f>IF(A4393&lt;&gt;"",DATE(YEAR(TRANSACTIONS!$A4393),MONTH(TRANSACTIONS!$A4393),DAY(TRANSACTIONS!$A4393)),"")</f>
        <v>45374</v>
      </c>
      <c r="C4393" s="49">
        <f>IF(A4393&lt;&gt;"",TIME(HOUR(TRANSACTIONS!$A4393),MINUTE(TRANSACTIONS!$A4393),SECOND(TRANSACTIONS!$A4393)),"")</f>
        <v>0.72859953703703706</v>
      </c>
      <c r="D4393" s="82" t="s">
        <v>25</v>
      </c>
      <c r="E4393" s="82" t="s">
        <v>6</v>
      </c>
      <c r="F4393" s="88">
        <v>5000</v>
      </c>
      <c r="G4393" s="46"/>
      <c r="H4393" s="46">
        <f>IFERROR(TRANSACTIONS!$F4393+TRANSACTIONS!$G4393,"")</f>
        <v>5000</v>
      </c>
      <c r="I4393" s="40" t="s">
        <v>41</v>
      </c>
    </row>
    <row r="4394" spans="1:13" x14ac:dyDescent="0.25">
      <c r="A4394" s="81">
        <v>45374.728603124997</v>
      </c>
      <c r="B4394" s="83">
        <f>IF(A4394&lt;&gt;"",DATE(YEAR(TRANSACTIONS!$A4394),MONTH(TRANSACTIONS!$A4394),DAY(TRANSACTIONS!$A4394)),"")</f>
        <v>45374</v>
      </c>
      <c r="C4394" s="84">
        <f>IF(A4394&lt;&gt;"",TIME(HOUR(TRANSACTIONS!$A4394),MINUTE(TRANSACTIONS!$A4394),SECOND(TRANSACTIONS!$A4394)),"")</f>
        <v>0.72859953703703706</v>
      </c>
      <c r="D4394" s="82" t="s">
        <v>25</v>
      </c>
      <c r="E4394" s="82" t="s">
        <v>6</v>
      </c>
      <c r="F4394" s="88">
        <v>500</v>
      </c>
      <c r="G4394" s="86"/>
      <c r="H4394" s="86">
        <f>IFERROR(TRANSACTIONS!$F4394+TRANSACTIONS!$G4394,"")</f>
        <v>500</v>
      </c>
      <c r="I4394" s="88" t="s">
        <v>41</v>
      </c>
    </row>
    <row r="4395" spans="1:13" x14ac:dyDescent="0.25">
      <c r="A4395" s="41">
        <v>45374.728618171299</v>
      </c>
      <c r="B4395" s="48">
        <f>IF(A4395&lt;&gt;"",DATE(YEAR(TRANSACTIONS!$A4395),MONTH(TRANSACTIONS!$A4395),DAY(TRANSACTIONS!$A4395)),"")</f>
        <v>45374</v>
      </c>
      <c r="C4395" s="49">
        <f>IF(A4395&lt;&gt;"",TIME(HOUR(TRANSACTIONS!$A4395),MINUTE(TRANSACTIONS!$A4395),SECOND(TRANSACTIONS!$A4395)),"")</f>
        <v>0.72862268518518514</v>
      </c>
      <c r="D4395" s="82" t="s">
        <v>25</v>
      </c>
      <c r="E4395" s="82" t="s">
        <v>7</v>
      </c>
      <c r="F4395" s="88">
        <v>10000</v>
      </c>
      <c r="G4395" s="46"/>
      <c r="H4395" s="46">
        <f>IFERROR(TRANSACTIONS!$F4395+TRANSACTIONS!$G4395,"")</f>
        <v>10000</v>
      </c>
      <c r="I4395" s="40" t="s">
        <v>41</v>
      </c>
    </row>
    <row r="4396" spans="1:13" x14ac:dyDescent="0.25">
      <c r="A4396" s="41">
        <v>45374.728631134261</v>
      </c>
      <c r="B4396" s="48">
        <f>IF(A4396&lt;&gt;"",DATE(YEAR(TRANSACTIONS!$A4396),MONTH(TRANSACTIONS!$A4396),DAY(TRANSACTIONS!$A4396)),"")</f>
        <v>45374</v>
      </c>
      <c r="C4396" s="49">
        <f>IF(A4396&lt;&gt;"",TIME(HOUR(TRANSACTIONS!$A4396),MINUTE(TRANSACTIONS!$A4396),SECOND(TRANSACTIONS!$A4396)),"")</f>
        <v>0.72863425925925929</v>
      </c>
      <c r="D4396" s="82" t="s">
        <v>25</v>
      </c>
      <c r="E4396" s="82" t="s">
        <v>7</v>
      </c>
      <c r="F4396" s="88">
        <v>1000000</v>
      </c>
      <c r="G4396" s="46"/>
      <c r="H4396" s="46">
        <f>IFERROR(TRANSACTIONS!$F4396+TRANSACTIONS!$G4396,"")</f>
        <v>1000000</v>
      </c>
      <c r="I4396" s="40" t="s">
        <v>41</v>
      </c>
    </row>
    <row r="4397" spans="1:13" x14ac:dyDescent="0.25">
      <c r="A4397" s="41">
        <v>45374.728639351852</v>
      </c>
      <c r="B4397" s="48">
        <f>IF(A4397&lt;&gt;"",DATE(YEAR(TRANSACTIONS!$A4397),MONTH(TRANSACTIONS!$A4397),DAY(TRANSACTIONS!$A4397)),"")</f>
        <v>45374</v>
      </c>
      <c r="C4397" s="49">
        <f>IF(A4397&lt;&gt;"",TIME(HOUR(TRANSACTIONS!$A4397),MINUTE(TRANSACTIONS!$A4397),SECOND(TRANSACTIONS!$A4397)),"")</f>
        <v>0.72863425925925929</v>
      </c>
      <c r="D4397" s="82" t="s">
        <v>25</v>
      </c>
      <c r="E4397" s="82" t="s">
        <v>6</v>
      </c>
      <c r="F4397" s="88">
        <v>1280000</v>
      </c>
      <c r="G4397" s="46"/>
      <c r="H4397" s="46">
        <f>IFERROR(TRANSACTIONS!$F4397+TRANSACTIONS!$G4397,"")</f>
        <v>1280000</v>
      </c>
      <c r="I4397" s="40" t="s">
        <v>41</v>
      </c>
    </row>
    <row r="4398" spans="1:13" x14ac:dyDescent="0.25">
      <c r="A4398" s="41">
        <v>45374.728646412033</v>
      </c>
      <c r="B4398" s="48">
        <f>IF(A4398&lt;&gt;"",DATE(YEAR(TRANSACTIONS!$A4398),MONTH(TRANSACTIONS!$A4398),DAY(TRANSACTIONS!$A4398)),"")</f>
        <v>45374</v>
      </c>
      <c r="C4398" s="49">
        <f>IF(A4398&lt;&gt;"",TIME(HOUR(TRANSACTIONS!$A4398),MINUTE(TRANSACTIONS!$A4398),SECOND(TRANSACTIONS!$A4398)),"")</f>
        <v>0.72864583333333333</v>
      </c>
      <c r="D4398" s="82" t="s">
        <v>62</v>
      </c>
      <c r="E4398" s="82" t="s">
        <v>7</v>
      </c>
      <c r="F4398" s="88">
        <v>5000</v>
      </c>
      <c r="G4398" s="46"/>
      <c r="H4398" s="46">
        <f>IFERROR(TRANSACTIONS!$F4398+TRANSACTIONS!$G4398,"")</f>
        <v>5000</v>
      </c>
      <c r="I4398" s="40" t="s">
        <v>41</v>
      </c>
    </row>
    <row r="4399" spans="1:13" x14ac:dyDescent="0.25">
      <c r="A4399" s="41">
        <v>45374.728653587961</v>
      </c>
      <c r="B4399" s="48">
        <f>IF(A4399&lt;&gt;"",DATE(YEAR(TRANSACTIONS!$A4399),MONTH(TRANSACTIONS!$A4399),DAY(TRANSACTIONS!$A4399)),"")</f>
        <v>45374</v>
      </c>
      <c r="C4399" s="49">
        <f>IF(A4399&lt;&gt;"",TIME(HOUR(TRANSACTIONS!$A4399),MINUTE(TRANSACTIONS!$A4399),SECOND(TRANSACTIONS!$A4399)),"")</f>
        <v>0.72865740740740748</v>
      </c>
      <c r="D4399" s="82" t="s">
        <v>62</v>
      </c>
      <c r="E4399" s="82" t="s">
        <v>7</v>
      </c>
      <c r="F4399" s="88">
        <v>2000</v>
      </c>
      <c r="G4399" s="46"/>
      <c r="H4399" s="46">
        <f>IFERROR(TRANSACTIONS!$F4399+TRANSACTIONS!$G4399,"")</f>
        <v>2000</v>
      </c>
      <c r="I4399" s="40" t="s">
        <v>41</v>
      </c>
    </row>
    <row r="4400" spans="1:13" x14ac:dyDescent="0.25">
      <c r="A4400" s="113"/>
      <c r="B4400" s="114" t="str">
        <f>IF(A4400&lt;&gt;"",DATE(YEAR(TRANSACTIONS!$A4400),MONTH(TRANSACTIONS!$A4400),DAY(TRANSACTIONS!$A4400)),"")</f>
        <v/>
      </c>
      <c r="C4400" s="115" t="str">
        <f>IF(A4400&lt;&gt;"",TIME(HOUR(TRANSACTIONS!$A4400),MINUTE(TRANSACTIONS!$A4400),SECOND(TRANSACTIONS!$A4400)),"")</f>
        <v/>
      </c>
      <c r="D4400" s="82"/>
      <c r="E4400" s="82"/>
      <c r="F4400" s="88"/>
      <c r="G4400" s="117"/>
      <c r="H4400" s="117">
        <f>IFERROR(TRANSACTIONS!$F4400+TRANSACTIONS!$G4400,"")</f>
        <v>0</v>
      </c>
      <c r="I4400" s="118" t="s">
        <v>41</v>
      </c>
    </row>
    <row r="4401" spans="1:9" x14ac:dyDescent="0.25">
      <c r="A4401" s="41">
        <v>45376.40471412037</v>
      </c>
      <c r="B4401" s="48">
        <f>IF(A4401&lt;&gt;"",DATE(YEAR(TRANSACTIONS!$A4401),MONTH(TRANSACTIONS!$A4401),DAY(TRANSACTIONS!$A4401)),"")</f>
        <v>45376</v>
      </c>
      <c r="C4401" s="49">
        <f>IF(A4401&lt;&gt;"",TIME(HOUR(TRANSACTIONS!$A4401),MINUTE(TRANSACTIONS!$A4401),SECOND(TRANSACTIONS!$A4401)),"")</f>
        <v>0.40471064814814817</v>
      </c>
      <c r="D4401" s="82" t="s">
        <v>62</v>
      </c>
      <c r="E4401" s="82" t="s">
        <v>6</v>
      </c>
      <c r="F4401" s="88">
        <v>2500</v>
      </c>
      <c r="G4401" s="46"/>
      <c r="H4401" s="46">
        <f>IFERROR(TRANSACTIONS!$F4401+TRANSACTIONS!$G4401,"")</f>
        <v>2500</v>
      </c>
      <c r="I4401" s="40" t="s">
        <v>41</v>
      </c>
    </row>
    <row r="4402" spans="1:9" x14ac:dyDescent="0.25">
      <c r="A4402" s="41">
        <v>45376.405214814811</v>
      </c>
      <c r="B4402" s="48">
        <f>IF(A4402&lt;&gt;"",DATE(YEAR(TRANSACTIONS!$A4402),MONTH(TRANSACTIONS!$A4402),DAY(TRANSACTIONS!$A4402)),"")</f>
        <v>45376</v>
      </c>
      <c r="C4402" s="49">
        <f>IF(A4402&lt;&gt;"",TIME(HOUR(TRANSACTIONS!$A4402),MINUTE(TRANSACTIONS!$A4402),SECOND(TRANSACTIONS!$A4402)),"")</f>
        <v>0.40521990740740743</v>
      </c>
      <c r="D4402" s="82" t="s">
        <v>62</v>
      </c>
      <c r="E4402" s="82" t="s">
        <v>6</v>
      </c>
      <c r="F4402" s="88">
        <v>27000</v>
      </c>
      <c r="G4402" s="46"/>
      <c r="H4402" s="46">
        <f>IFERROR(TRANSACTIONS!$F4402+TRANSACTIONS!$G4402,"")</f>
        <v>27000</v>
      </c>
      <c r="I4402" s="40" t="s">
        <v>41</v>
      </c>
    </row>
    <row r="4403" spans="1:9" x14ac:dyDescent="0.25">
      <c r="A4403" s="41">
        <v>45376.405218055559</v>
      </c>
      <c r="B4403" s="48">
        <f>IF(A4403&lt;&gt;"",DATE(YEAR(TRANSACTIONS!$A4403),MONTH(TRANSACTIONS!$A4403),DAY(TRANSACTIONS!$A4403)),"")</f>
        <v>45376</v>
      </c>
      <c r="C4403" s="49">
        <f>IF(A4403&lt;&gt;"",TIME(HOUR(TRANSACTIONS!$A4403),MINUTE(TRANSACTIONS!$A4403),SECOND(TRANSACTIONS!$A4403)),"")</f>
        <v>0.40521990740740743</v>
      </c>
      <c r="D4403" s="82" t="s">
        <v>62</v>
      </c>
      <c r="E4403" s="82" t="s">
        <v>6</v>
      </c>
      <c r="F4403" s="88">
        <v>1500</v>
      </c>
      <c r="G4403" s="46"/>
      <c r="H4403" s="46">
        <f>IFERROR(TRANSACTIONS!$F4403+TRANSACTIONS!$G4403,"")</f>
        <v>1500</v>
      </c>
      <c r="I4403" s="40" t="s">
        <v>41</v>
      </c>
    </row>
    <row r="4404" spans="1:9" x14ac:dyDescent="0.25">
      <c r="A4404" s="41">
        <v>45376.405252662036</v>
      </c>
      <c r="B4404" s="48">
        <f>IF(A4404&lt;&gt;"",DATE(YEAR(TRANSACTIONS!$A4404),MONTH(TRANSACTIONS!$A4404),DAY(TRANSACTIONS!$A4404)),"")</f>
        <v>45376</v>
      </c>
      <c r="C4404" s="49">
        <f>IF(A4404&lt;&gt;"",TIME(HOUR(TRANSACTIONS!$A4404),MINUTE(TRANSACTIONS!$A4404),SECOND(TRANSACTIONS!$A4404)),"")</f>
        <v>0.4052546296296296</v>
      </c>
      <c r="D4404" s="82" t="s">
        <v>62</v>
      </c>
      <c r="E4404" s="82" t="s">
        <v>7</v>
      </c>
      <c r="F4404" s="88">
        <v>2000</v>
      </c>
      <c r="G4404" s="46"/>
      <c r="H4404" s="46">
        <f>IFERROR(TRANSACTIONS!$F4404+TRANSACTIONS!$G4404,"")</f>
        <v>2000</v>
      </c>
      <c r="I4404" s="40" t="s">
        <v>41</v>
      </c>
    </row>
    <row r="4405" spans="1:9" x14ac:dyDescent="0.25">
      <c r="A4405" s="41">
        <v>45376.405261574073</v>
      </c>
      <c r="B4405" s="48">
        <f>IF(A4405&lt;&gt;"",DATE(YEAR(TRANSACTIONS!$A4405),MONTH(TRANSACTIONS!$A4405),DAY(TRANSACTIONS!$A4405)),"")</f>
        <v>45376</v>
      </c>
      <c r="C4405" s="49">
        <f>IF(A4405&lt;&gt;"",TIME(HOUR(TRANSACTIONS!$A4405),MINUTE(TRANSACTIONS!$A4405),SECOND(TRANSACTIONS!$A4405)),"")</f>
        <v>0.40526620370370375</v>
      </c>
      <c r="D4405" s="82" t="s">
        <v>62</v>
      </c>
      <c r="E4405" s="82" t="s">
        <v>7</v>
      </c>
      <c r="F4405" s="88">
        <v>1000</v>
      </c>
      <c r="G4405" s="46"/>
      <c r="H4405" s="46">
        <f>IFERROR(TRANSACTIONS!$F4405+TRANSACTIONS!$G4405,"")</f>
        <v>1000</v>
      </c>
      <c r="I4405" s="40" t="s">
        <v>41</v>
      </c>
    </row>
    <row r="4406" spans="1:9" x14ac:dyDescent="0.25">
      <c r="A4406" s="41">
        <v>45376.405269328701</v>
      </c>
      <c r="B4406" s="48">
        <f>IF(A4406&lt;&gt;"",DATE(YEAR(TRANSACTIONS!$A4406),MONTH(TRANSACTIONS!$A4406),DAY(TRANSACTIONS!$A4406)),"")</f>
        <v>45376</v>
      </c>
      <c r="C4406" s="49">
        <f>IF(A4406&lt;&gt;"",TIME(HOUR(TRANSACTIONS!$A4406),MINUTE(TRANSACTIONS!$A4406),SECOND(TRANSACTIONS!$A4406)),"")</f>
        <v>0.40526620370370375</v>
      </c>
      <c r="D4406" s="82" t="s">
        <v>62</v>
      </c>
      <c r="E4406" s="82" t="s">
        <v>7</v>
      </c>
      <c r="F4406" s="88">
        <v>535000</v>
      </c>
      <c r="G4406" s="46"/>
      <c r="H4406" s="46">
        <f>IFERROR(TRANSACTIONS!$F4406+TRANSACTIONS!$G4406,"")</f>
        <v>535000</v>
      </c>
      <c r="I4406" s="40" t="s">
        <v>41</v>
      </c>
    </row>
    <row r="4407" spans="1:9" x14ac:dyDescent="0.25">
      <c r="A4407" s="41">
        <v>45376.405278935184</v>
      </c>
      <c r="B4407" s="48">
        <f>IF(A4407&lt;&gt;"",DATE(YEAR(TRANSACTIONS!$A4407),MONTH(TRANSACTIONS!$A4407),DAY(TRANSACTIONS!$A4407)),"")</f>
        <v>45376</v>
      </c>
      <c r="C4407" s="49">
        <f>IF(A4407&lt;&gt;"",TIME(HOUR(TRANSACTIONS!$A4407),MINUTE(TRANSACTIONS!$A4407),SECOND(TRANSACTIONS!$A4407)),"")</f>
        <v>0.40527777777777779</v>
      </c>
      <c r="D4407" s="82" t="s">
        <v>62</v>
      </c>
      <c r="E4407" s="82" t="s">
        <v>7</v>
      </c>
      <c r="F4407" s="88">
        <v>30000</v>
      </c>
      <c r="G4407" s="46"/>
      <c r="H4407" s="46">
        <f>IFERROR(TRANSACTIONS!$F4407+TRANSACTIONS!$G4407,"")</f>
        <v>30000</v>
      </c>
      <c r="I4407" s="40" t="s">
        <v>41</v>
      </c>
    </row>
    <row r="4408" spans="1:9" x14ac:dyDescent="0.25">
      <c r="A4408" s="41">
        <v>45376.405287384259</v>
      </c>
      <c r="B4408" s="48">
        <f>IF(A4408&lt;&gt;"",DATE(YEAR(TRANSACTIONS!$A4408),MONTH(TRANSACTIONS!$A4408),DAY(TRANSACTIONS!$A4408)),"")</f>
        <v>45376</v>
      </c>
      <c r="C4408" s="49">
        <f>IF(A4408&lt;&gt;"",TIME(HOUR(TRANSACTIONS!$A4408),MINUTE(TRANSACTIONS!$A4408),SECOND(TRANSACTIONS!$A4408)),"")</f>
        <v>0.40528935185185189</v>
      </c>
      <c r="D4408" s="82" t="s">
        <v>62</v>
      </c>
      <c r="E4408" s="82" t="s">
        <v>7</v>
      </c>
      <c r="F4408" s="88">
        <v>10000</v>
      </c>
      <c r="G4408" s="46"/>
      <c r="H4408" s="46">
        <f>IFERROR(TRANSACTIONS!$F4408+TRANSACTIONS!$G4408,"")</f>
        <v>10000</v>
      </c>
      <c r="I4408" s="40" t="s">
        <v>41</v>
      </c>
    </row>
    <row r="4409" spans="1:9" x14ac:dyDescent="0.25">
      <c r="A4409" s="41">
        <v>45376.405295949073</v>
      </c>
      <c r="B4409" s="48">
        <f>IF(A4409&lt;&gt;"",DATE(YEAR(TRANSACTIONS!$A4409),MONTH(TRANSACTIONS!$A4409),DAY(TRANSACTIONS!$A4409)),"")</f>
        <v>45376</v>
      </c>
      <c r="C4409" s="49">
        <f>IF(A4409&lt;&gt;"",TIME(HOUR(TRANSACTIONS!$A4409),MINUTE(TRANSACTIONS!$A4409),SECOND(TRANSACTIONS!$A4409)),"")</f>
        <v>0.40530092592592593</v>
      </c>
      <c r="D4409" s="82" t="s">
        <v>64</v>
      </c>
      <c r="E4409" s="82" t="s">
        <v>6</v>
      </c>
      <c r="F4409" s="88">
        <v>500000</v>
      </c>
      <c r="G4409" s="46"/>
      <c r="H4409" s="46">
        <f>IFERROR(TRANSACTIONS!$F4409+TRANSACTIONS!$G4409,"")</f>
        <v>500000</v>
      </c>
      <c r="I4409" s="40" t="s">
        <v>41</v>
      </c>
    </row>
    <row r="4410" spans="1:9" x14ac:dyDescent="0.25">
      <c r="A4410" s="41">
        <v>45376.405304629632</v>
      </c>
      <c r="B4410" s="48">
        <f>IF(A4410&lt;&gt;"",DATE(YEAR(TRANSACTIONS!$A4410),MONTH(TRANSACTIONS!$A4410),DAY(TRANSACTIONS!$A4410)),"")</f>
        <v>45376</v>
      </c>
      <c r="C4410" s="49">
        <f>IF(A4410&lt;&gt;"",TIME(HOUR(TRANSACTIONS!$A4410),MINUTE(TRANSACTIONS!$A4410),SECOND(TRANSACTIONS!$A4410)),"")</f>
        <v>0.40530092592592593</v>
      </c>
      <c r="D4410" s="82" t="s">
        <v>62</v>
      </c>
      <c r="E4410" s="82" t="s">
        <v>6</v>
      </c>
      <c r="F4410" s="88">
        <v>10000</v>
      </c>
      <c r="G4410" s="46"/>
      <c r="H4410" s="46">
        <f>IFERROR(TRANSACTIONS!$F4410+TRANSACTIONS!$G4410,"")</f>
        <v>10000</v>
      </c>
      <c r="I4410" s="40" t="s">
        <v>41</v>
      </c>
    </row>
    <row r="4411" spans="1:9" x14ac:dyDescent="0.25">
      <c r="A4411" s="41">
        <v>45376.40531238426</v>
      </c>
      <c r="B4411" s="48">
        <f>IF(A4411&lt;&gt;"",DATE(YEAR(TRANSACTIONS!$A4411),MONTH(TRANSACTIONS!$A4411),DAY(TRANSACTIONS!$A4411)),"")</f>
        <v>45376</v>
      </c>
      <c r="C4411" s="49">
        <f>IF(A4411&lt;&gt;"",TIME(HOUR(TRANSACTIONS!$A4411),MINUTE(TRANSACTIONS!$A4411),SECOND(TRANSACTIONS!$A4411)),"")</f>
        <v>0.40531249999999996</v>
      </c>
      <c r="D4411" s="82" t="s">
        <v>62</v>
      </c>
      <c r="E4411" s="82" t="s">
        <v>7</v>
      </c>
      <c r="F4411" s="88">
        <v>9950</v>
      </c>
      <c r="G4411" s="46"/>
      <c r="H4411" s="46">
        <f>IFERROR(TRANSACTIONS!$F4411+TRANSACTIONS!$G4411,"")</f>
        <v>9950</v>
      </c>
      <c r="I4411" s="40" t="s">
        <v>41</v>
      </c>
    </row>
    <row r="4412" spans="1:9" x14ac:dyDescent="0.25">
      <c r="A4412" s="41">
        <v>45376.405320254627</v>
      </c>
      <c r="B4412" s="48">
        <f>IF(A4412&lt;&gt;"",DATE(YEAR(TRANSACTIONS!$A4412),MONTH(TRANSACTIONS!$A4412),DAY(TRANSACTIONS!$A4412)),"")</f>
        <v>45376</v>
      </c>
      <c r="C4412" s="49">
        <f>IF(A4412&lt;&gt;"",TIME(HOUR(TRANSACTIONS!$A4412),MINUTE(TRANSACTIONS!$A4412),SECOND(TRANSACTIONS!$A4412)),"")</f>
        <v>0.40532407407407406</v>
      </c>
      <c r="D4412" s="82" t="s">
        <v>62</v>
      </c>
      <c r="E4412" s="82" t="s">
        <v>7</v>
      </c>
      <c r="F4412" s="88">
        <v>25000</v>
      </c>
      <c r="G4412" s="46"/>
      <c r="H4412" s="46">
        <f>IFERROR(TRANSACTIONS!$F4412+TRANSACTIONS!$G4412,"")</f>
        <v>25000</v>
      </c>
      <c r="I4412" s="40" t="s">
        <v>41</v>
      </c>
    </row>
    <row r="4413" spans="1:9" x14ac:dyDescent="0.25">
      <c r="A4413" s="41">
        <v>45376.405328472225</v>
      </c>
      <c r="B4413" s="48">
        <f>IF(A4413&lt;&gt;"",DATE(YEAR(TRANSACTIONS!$A4413),MONTH(TRANSACTIONS!$A4413),DAY(TRANSACTIONS!$A4413)),"")</f>
        <v>45376</v>
      </c>
      <c r="C4413" s="49">
        <f>IF(A4413&lt;&gt;"",TIME(HOUR(TRANSACTIONS!$A4413),MINUTE(TRANSACTIONS!$A4413),SECOND(TRANSACTIONS!$A4413)),"")</f>
        <v>0.40532407407407406</v>
      </c>
      <c r="D4413" s="82" t="s">
        <v>62</v>
      </c>
      <c r="E4413" s="82" t="s">
        <v>6</v>
      </c>
      <c r="F4413" s="88">
        <v>9000</v>
      </c>
      <c r="G4413" s="46"/>
      <c r="H4413" s="46">
        <f>IFERROR(TRANSACTIONS!$F4413+TRANSACTIONS!$G4413,"")</f>
        <v>9000</v>
      </c>
      <c r="I4413" s="40" t="s">
        <v>41</v>
      </c>
    </row>
    <row r="4414" spans="1:9" x14ac:dyDescent="0.25">
      <c r="A4414" s="41">
        <v>45376.443197916669</v>
      </c>
      <c r="B4414" s="48">
        <f>IF(A4414&lt;&gt;"",DATE(YEAR(TRANSACTIONS!$A4414),MONTH(TRANSACTIONS!$A4414),DAY(TRANSACTIONS!$A4414)),"")</f>
        <v>45376</v>
      </c>
      <c r="C4414" s="49">
        <f>IF(A4414&lt;&gt;"",TIME(HOUR(TRANSACTIONS!$A4414),MINUTE(TRANSACTIONS!$A4414),SECOND(TRANSACTIONS!$A4414)),"")</f>
        <v>0.44319444444444445</v>
      </c>
      <c r="D4414" s="82" t="s">
        <v>62</v>
      </c>
      <c r="E4414" s="82" t="s">
        <v>7</v>
      </c>
      <c r="F4414" s="88">
        <v>2000</v>
      </c>
      <c r="G4414" s="46"/>
      <c r="H4414" s="46">
        <f>IFERROR(TRANSACTIONS!$F4414+TRANSACTIONS!$G4414,"")</f>
        <v>2000</v>
      </c>
      <c r="I4414" s="40" t="s">
        <v>41</v>
      </c>
    </row>
    <row r="4415" spans="1:9" x14ac:dyDescent="0.25">
      <c r="A4415" s="41">
        <v>45376.443246527779</v>
      </c>
      <c r="B4415" s="48">
        <f>IF(A4415&lt;&gt;"",DATE(YEAR(TRANSACTIONS!$A4415),MONTH(TRANSACTIONS!$A4415),DAY(TRANSACTIONS!$A4415)),"")</f>
        <v>45376</v>
      </c>
      <c r="C4415" s="49">
        <f>IF(A4415&lt;&gt;"",TIME(HOUR(TRANSACTIONS!$A4415),MINUTE(TRANSACTIONS!$A4415),SECOND(TRANSACTIONS!$A4415)),"")</f>
        <v>0.44324074074074077</v>
      </c>
      <c r="D4415" s="82" t="s">
        <v>62</v>
      </c>
      <c r="E4415" s="82" t="s">
        <v>6</v>
      </c>
      <c r="F4415" s="88">
        <v>20000</v>
      </c>
      <c r="G4415" s="46"/>
      <c r="H4415" s="46">
        <f>IFERROR(TRANSACTIONS!$F4415+TRANSACTIONS!$G4415,"")</f>
        <v>20000</v>
      </c>
      <c r="I4415" s="40" t="s">
        <v>41</v>
      </c>
    </row>
    <row r="4416" spans="1:9" x14ac:dyDescent="0.25">
      <c r="A4416" s="41">
        <v>45376.443262615743</v>
      </c>
      <c r="B4416" s="48">
        <f>IF(A4416&lt;&gt;"",DATE(YEAR(TRANSACTIONS!$A4416),MONTH(TRANSACTIONS!$A4416),DAY(TRANSACTIONS!$A4416)),"")</f>
        <v>45376</v>
      </c>
      <c r="C4416" s="49">
        <f>IF(A4416&lt;&gt;"",TIME(HOUR(TRANSACTIONS!$A4416),MINUTE(TRANSACTIONS!$A4416),SECOND(TRANSACTIONS!$A4416)),"")</f>
        <v>0.4432638888888889</v>
      </c>
      <c r="D4416" s="82" t="s">
        <v>62</v>
      </c>
      <c r="E4416" s="82" t="s">
        <v>7</v>
      </c>
      <c r="F4416" s="88">
        <v>5000</v>
      </c>
      <c r="G4416" s="46"/>
      <c r="H4416" s="46">
        <f>IFERROR(TRANSACTIONS!$F4416+TRANSACTIONS!$G4416,"")</f>
        <v>5000</v>
      </c>
      <c r="I4416" s="40" t="s">
        <v>41</v>
      </c>
    </row>
    <row r="4417" spans="1:9" x14ac:dyDescent="0.25">
      <c r="A4417" s="41">
        <v>45376.443277314815</v>
      </c>
      <c r="B4417" s="48">
        <f>IF(A4417&lt;&gt;"",DATE(YEAR(TRANSACTIONS!$A4417),MONTH(TRANSACTIONS!$A4417),DAY(TRANSACTIONS!$A4417)),"")</f>
        <v>45376</v>
      </c>
      <c r="C4417" s="49">
        <f>IF(A4417&lt;&gt;"",TIME(HOUR(TRANSACTIONS!$A4417),MINUTE(TRANSACTIONS!$A4417),SECOND(TRANSACTIONS!$A4417)),"")</f>
        <v>0.44327546296296294</v>
      </c>
      <c r="D4417" s="82" t="s">
        <v>25</v>
      </c>
      <c r="E4417" s="82" t="s">
        <v>6</v>
      </c>
      <c r="F4417" s="88">
        <v>2000</v>
      </c>
      <c r="G4417" s="46"/>
      <c r="H4417" s="46">
        <f>IFERROR(TRANSACTIONS!$F4417+TRANSACTIONS!$G4417,"")</f>
        <v>2000</v>
      </c>
      <c r="I4417" s="40" t="s">
        <v>41</v>
      </c>
    </row>
    <row r="4418" spans="1:9" x14ac:dyDescent="0.25">
      <c r="A4418" s="41">
        <v>45376.443285185182</v>
      </c>
      <c r="B4418" s="48">
        <f>IF(A4418&lt;&gt;"",DATE(YEAR(TRANSACTIONS!$A4418),MONTH(TRANSACTIONS!$A4418),DAY(TRANSACTIONS!$A4418)),"")</f>
        <v>45376</v>
      </c>
      <c r="C4418" s="49">
        <f>IF(A4418&lt;&gt;"",TIME(HOUR(TRANSACTIONS!$A4418),MINUTE(TRANSACTIONS!$A4418),SECOND(TRANSACTIONS!$A4418)),"")</f>
        <v>0.44328703703703703</v>
      </c>
      <c r="D4418" s="82" t="s">
        <v>62</v>
      </c>
      <c r="E4418" s="82" t="s">
        <v>7</v>
      </c>
      <c r="F4418" s="88">
        <v>22000</v>
      </c>
      <c r="G4418" s="46"/>
      <c r="H4418" s="46">
        <f>IFERROR(TRANSACTIONS!$F4418+TRANSACTIONS!$G4418,"")</f>
        <v>22000</v>
      </c>
      <c r="I4418" s="40" t="s">
        <v>41</v>
      </c>
    </row>
    <row r="4419" spans="1:9" x14ac:dyDescent="0.25">
      <c r="A4419" s="41">
        <v>45376.443292245371</v>
      </c>
      <c r="B4419" s="48">
        <f>IF(A4419&lt;&gt;"",DATE(YEAR(TRANSACTIONS!$A4419),MONTH(TRANSACTIONS!$A4419),DAY(TRANSACTIONS!$A4419)),"")</f>
        <v>45376</v>
      </c>
      <c r="C4419" s="49">
        <f>IF(A4419&lt;&gt;"",TIME(HOUR(TRANSACTIONS!$A4419),MINUTE(TRANSACTIONS!$A4419),SECOND(TRANSACTIONS!$A4419)),"")</f>
        <v>0.44328703703703703</v>
      </c>
      <c r="D4419" s="82" t="s">
        <v>62</v>
      </c>
      <c r="E4419" s="82" t="s">
        <v>6</v>
      </c>
      <c r="F4419" s="88">
        <v>3500</v>
      </c>
      <c r="G4419" s="46"/>
      <c r="H4419" s="46">
        <f>IFERROR(TRANSACTIONS!$F4419+TRANSACTIONS!$G4419,"")</f>
        <v>3500</v>
      </c>
      <c r="I4419" s="40" t="s">
        <v>41</v>
      </c>
    </row>
    <row r="4420" spans="1:9" x14ac:dyDescent="0.25">
      <c r="A4420" s="41">
        <v>45376.44329988426</v>
      </c>
      <c r="B4420" s="48">
        <f>IF(A4420&lt;&gt;"",DATE(YEAR(TRANSACTIONS!$A4420),MONTH(TRANSACTIONS!$A4420),DAY(TRANSACTIONS!$A4420)),"")</f>
        <v>45376</v>
      </c>
      <c r="C4420" s="49">
        <f>IF(A4420&lt;&gt;"",TIME(HOUR(TRANSACTIONS!$A4420),MINUTE(TRANSACTIONS!$A4420),SECOND(TRANSACTIONS!$A4420)),"")</f>
        <v>0.44329861111111107</v>
      </c>
      <c r="D4420" s="82" t="s">
        <v>62</v>
      </c>
      <c r="E4420" s="82" t="s">
        <v>7</v>
      </c>
      <c r="F4420" s="88">
        <v>60000</v>
      </c>
      <c r="G4420" s="46"/>
      <c r="H4420" s="46">
        <f>IFERROR(TRANSACTIONS!$F4420+TRANSACTIONS!$G4420,"")</f>
        <v>60000</v>
      </c>
      <c r="I4420" s="40" t="s">
        <v>41</v>
      </c>
    </row>
    <row r="4421" spans="1:9" x14ac:dyDescent="0.25">
      <c r="A4421" s="41">
        <v>45376.485454629626</v>
      </c>
      <c r="B4421" s="48">
        <f>IF(A4421&lt;&gt;"",DATE(YEAR(TRANSACTIONS!$A4421),MONTH(TRANSACTIONS!$A4421),DAY(TRANSACTIONS!$A4421)),"")</f>
        <v>45376</v>
      </c>
      <c r="C4421" s="49">
        <f>IF(A4421&lt;&gt;"",TIME(HOUR(TRANSACTIONS!$A4421),MINUTE(TRANSACTIONS!$A4421),SECOND(TRANSACTIONS!$A4421)),"")</f>
        <v>0.48545138888888889</v>
      </c>
      <c r="D4421" s="82" t="s">
        <v>62</v>
      </c>
      <c r="E4421" s="82" t="s">
        <v>6</v>
      </c>
      <c r="F4421" s="88">
        <v>5000</v>
      </c>
      <c r="G4421" s="46"/>
      <c r="H4421" s="46">
        <f>IFERROR(TRANSACTIONS!$F4421+TRANSACTIONS!$G4421,"")</f>
        <v>5000</v>
      </c>
      <c r="I4421" s="40" t="s">
        <v>41</v>
      </c>
    </row>
    <row r="4422" spans="1:9" x14ac:dyDescent="0.25">
      <c r="A4422" s="41">
        <v>45376.485483680553</v>
      </c>
      <c r="B4422" s="48">
        <f>IF(A4422&lt;&gt;"",DATE(YEAR(TRANSACTIONS!$A4422),MONTH(TRANSACTIONS!$A4422),DAY(TRANSACTIONS!$A4422)),"")</f>
        <v>45376</v>
      </c>
      <c r="C4422" s="49">
        <f>IF(A4422&lt;&gt;"",TIME(HOUR(TRANSACTIONS!$A4422),MINUTE(TRANSACTIONS!$A4422),SECOND(TRANSACTIONS!$A4422)),"")</f>
        <v>0.48548611111111112</v>
      </c>
      <c r="D4422" s="82" t="s">
        <v>62</v>
      </c>
      <c r="E4422" s="82" t="s">
        <v>6</v>
      </c>
      <c r="F4422" s="88">
        <v>12000</v>
      </c>
      <c r="G4422" s="46"/>
      <c r="H4422" s="46">
        <f>IFERROR(TRANSACTIONS!$F4422+TRANSACTIONS!$G4422,"")</f>
        <v>12000</v>
      </c>
      <c r="I4422" s="40" t="s">
        <v>41</v>
      </c>
    </row>
    <row r="4423" spans="1:9" x14ac:dyDescent="0.25">
      <c r="A4423" s="41">
        <v>45376.485502777781</v>
      </c>
      <c r="B4423" s="48">
        <f>IF(A4423&lt;&gt;"",DATE(YEAR(TRANSACTIONS!$A4423),MONTH(TRANSACTIONS!$A4423),DAY(TRANSACTIONS!$A4423)),"")</f>
        <v>45376</v>
      </c>
      <c r="C4423" s="49">
        <f>IF(A4423&lt;&gt;"",TIME(HOUR(TRANSACTIONS!$A4423),MINUTE(TRANSACTIONS!$A4423),SECOND(TRANSACTIONS!$A4423)),"")</f>
        <v>0.48549768518518516</v>
      </c>
      <c r="D4423" s="82" t="s">
        <v>62</v>
      </c>
      <c r="E4423" s="82" t="s">
        <v>6</v>
      </c>
      <c r="F4423" s="88">
        <v>5000</v>
      </c>
      <c r="G4423" s="46"/>
      <c r="H4423" s="46">
        <f>IFERROR(TRANSACTIONS!$F4423+TRANSACTIONS!$G4423,"")</f>
        <v>5000</v>
      </c>
      <c r="I4423" s="40" t="s">
        <v>41</v>
      </c>
    </row>
    <row r="4424" spans="1:9" x14ac:dyDescent="0.25">
      <c r="A4424" s="41">
        <v>45376.485514120373</v>
      </c>
      <c r="B4424" s="48">
        <f>IF(A4424&lt;&gt;"",DATE(YEAR(TRANSACTIONS!$A4424),MONTH(TRANSACTIONS!$A4424),DAY(TRANSACTIONS!$A4424)),"")</f>
        <v>45376</v>
      </c>
      <c r="C4424" s="49">
        <f>IF(A4424&lt;&gt;"",TIME(HOUR(TRANSACTIONS!$A4424),MINUTE(TRANSACTIONS!$A4424),SECOND(TRANSACTIONS!$A4424)),"")</f>
        <v>0.48550925925925931</v>
      </c>
      <c r="D4424" s="82" t="s">
        <v>62</v>
      </c>
      <c r="E4424" s="82" t="s">
        <v>7</v>
      </c>
      <c r="F4424" s="88">
        <v>2000</v>
      </c>
      <c r="G4424" s="46"/>
      <c r="H4424" s="46">
        <f>IFERROR(TRANSACTIONS!$F4424+TRANSACTIONS!$G4424,"")</f>
        <v>2000</v>
      </c>
      <c r="I4424" s="40" t="s">
        <v>41</v>
      </c>
    </row>
    <row r="4425" spans="1:9" x14ac:dyDescent="0.25">
      <c r="A4425" s="41">
        <v>45376.485522453702</v>
      </c>
      <c r="B4425" s="48">
        <f>IF(A4425&lt;&gt;"",DATE(YEAR(TRANSACTIONS!$A4425),MONTH(TRANSACTIONS!$A4425),DAY(TRANSACTIONS!$A4425)),"")</f>
        <v>45376</v>
      </c>
      <c r="C4425" s="49">
        <f>IF(A4425&lt;&gt;"",TIME(HOUR(TRANSACTIONS!$A4425),MINUTE(TRANSACTIONS!$A4425),SECOND(TRANSACTIONS!$A4425)),"")</f>
        <v>0.48552083333333335</v>
      </c>
      <c r="D4425" s="82" t="s">
        <v>62</v>
      </c>
      <c r="E4425" s="82" t="s">
        <v>7</v>
      </c>
      <c r="F4425" s="88">
        <v>4000</v>
      </c>
      <c r="G4425" s="46"/>
      <c r="H4425" s="46">
        <f>IFERROR(TRANSACTIONS!$F4425+TRANSACTIONS!$G4425,"")</f>
        <v>4000</v>
      </c>
      <c r="I4425" s="40" t="s">
        <v>41</v>
      </c>
    </row>
    <row r="4426" spans="1:9" x14ac:dyDescent="0.25">
      <c r="A4426" s="71">
        <v>45376.485530555554</v>
      </c>
      <c r="B4426" s="73">
        <f>IF(A4426&lt;&gt;"",DATE(YEAR(TRANSACTIONS!$A4426),MONTH(TRANSACTIONS!$A4426),DAY(TRANSACTIONS!$A4426)),"")</f>
        <v>45376</v>
      </c>
      <c r="C4426" s="74">
        <f>IF(A4426&lt;&gt;"",TIME(HOUR(TRANSACTIONS!$A4426),MINUTE(TRANSACTIONS!$A4426),SECOND(TRANSACTIONS!$A4426)),"")</f>
        <v>0.48553240740740744</v>
      </c>
      <c r="D4426" s="72" t="s">
        <v>62</v>
      </c>
      <c r="E4426" s="72" t="s">
        <v>6</v>
      </c>
      <c r="F4426" s="76">
        <v>25200</v>
      </c>
      <c r="G4426" s="75"/>
      <c r="H4426" s="75">
        <f>IFERROR(TRANSACTIONS!$F4426+TRANSACTIONS!$G4426,"")</f>
        <v>25200</v>
      </c>
      <c r="I4426" s="76" t="s">
        <v>41</v>
      </c>
    </row>
    <row r="4427" spans="1:9" x14ac:dyDescent="0.25">
      <c r="A4427" s="81">
        <v>45376.485538310182</v>
      </c>
      <c r="B4427" s="83">
        <f>IF(A4427&lt;&gt;"",DATE(YEAR(TRANSACTIONS!$A4427),MONTH(TRANSACTIONS!$A4427),DAY(TRANSACTIONS!$A4427)),"")</f>
        <v>45376</v>
      </c>
      <c r="C4427" s="84">
        <f>IF(A4427&lt;&gt;"",TIME(HOUR(TRANSACTIONS!$A4427),MINUTE(TRANSACTIONS!$A4427),SECOND(TRANSACTIONS!$A4427)),"")</f>
        <v>0.48554398148148148</v>
      </c>
      <c r="D4427" s="82" t="s">
        <v>62</v>
      </c>
      <c r="E4427" s="82" t="s">
        <v>7</v>
      </c>
      <c r="F4427" s="88">
        <v>1000</v>
      </c>
      <c r="G4427" s="86"/>
      <c r="H4427" s="86">
        <f>IFERROR(TRANSACTIONS!$F4427+TRANSACTIONS!$G4427,"")</f>
        <v>1000</v>
      </c>
      <c r="I4427" s="88" t="s">
        <v>41</v>
      </c>
    </row>
    <row r="4428" spans="1:9" x14ac:dyDescent="0.25">
      <c r="A4428" s="41">
        <v>45376.485546296295</v>
      </c>
      <c r="B4428" s="48">
        <f>IF(A4428&lt;&gt;"",DATE(YEAR(TRANSACTIONS!$A4428),MONTH(TRANSACTIONS!$A4428),DAY(TRANSACTIONS!$A4428)),"")</f>
        <v>45376</v>
      </c>
      <c r="C4428" s="49">
        <f>IF(A4428&lt;&gt;"",TIME(HOUR(TRANSACTIONS!$A4428),MINUTE(TRANSACTIONS!$A4428),SECOND(TRANSACTIONS!$A4428)),"")</f>
        <v>0.48554398148148148</v>
      </c>
      <c r="D4428" s="82" t="s">
        <v>62</v>
      </c>
      <c r="E4428" s="82" t="s">
        <v>6</v>
      </c>
      <c r="F4428" s="88">
        <v>60000</v>
      </c>
      <c r="G4428" s="46"/>
      <c r="H4428" s="46">
        <f>IFERROR(TRANSACTIONS!$F4428+TRANSACTIONS!$G4428,"")</f>
        <v>60000</v>
      </c>
      <c r="I4428" s="40" t="s">
        <v>41</v>
      </c>
    </row>
    <row r="4429" spans="1:9" x14ac:dyDescent="0.25">
      <c r="A4429" s="41">
        <v>45376.486668171296</v>
      </c>
      <c r="B4429" s="48">
        <f>IF(A4429&lt;&gt;"",DATE(YEAR(TRANSACTIONS!$A4429),MONTH(TRANSACTIONS!$A4429),DAY(TRANSACTIONS!$A4429)),"")</f>
        <v>45376</v>
      </c>
      <c r="C4429" s="49">
        <f>IF(A4429&lt;&gt;"",TIME(HOUR(TRANSACTIONS!$A4429),MINUTE(TRANSACTIONS!$A4429),SECOND(TRANSACTIONS!$A4429)),"")</f>
        <v>0.48666666666666664</v>
      </c>
      <c r="D4429" s="82" t="s">
        <v>62</v>
      </c>
      <c r="E4429" s="82" t="s">
        <v>7</v>
      </c>
      <c r="F4429" s="88">
        <v>2000</v>
      </c>
      <c r="G4429" s="46"/>
      <c r="H4429" s="46">
        <f>IFERROR(TRANSACTIONS!$F4429+TRANSACTIONS!$G4429,"")</f>
        <v>2000</v>
      </c>
      <c r="I4429" s="40" t="s">
        <v>41</v>
      </c>
    </row>
    <row r="4430" spans="1:9" x14ac:dyDescent="0.25">
      <c r="A4430" s="41">
        <v>45376.607958912035</v>
      </c>
      <c r="B4430" s="48">
        <f>IF(A4430&lt;&gt;"",DATE(YEAR(TRANSACTIONS!$A4430),MONTH(TRANSACTIONS!$A4430),DAY(TRANSACTIONS!$A4430)),"")</f>
        <v>45376</v>
      </c>
      <c r="C4430" s="49">
        <f>IF(A4430&lt;&gt;"",TIME(HOUR(TRANSACTIONS!$A4430),MINUTE(TRANSACTIONS!$A4430),SECOND(TRANSACTIONS!$A4430)),"")</f>
        <v>0.60796296296296293</v>
      </c>
      <c r="D4430" s="82" t="s">
        <v>62</v>
      </c>
      <c r="E4430" s="82" t="s">
        <v>6</v>
      </c>
      <c r="F4430" s="88">
        <v>25200</v>
      </c>
      <c r="G4430" s="46"/>
      <c r="H4430" s="46">
        <f>IFERROR(TRANSACTIONS!$F4430+TRANSACTIONS!$G4430,"")</f>
        <v>25200</v>
      </c>
      <c r="I4430" s="40" t="s">
        <v>41</v>
      </c>
    </row>
    <row r="4431" spans="1:9" x14ac:dyDescent="0.25">
      <c r="A4431" s="41">
        <v>45376.607997800929</v>
      </c>
      <c r="B4431" s="48">
        <f>IF(A4431&lt;&gt;"",DATE(YEAR(TRANSACTIONS!$A4431),MONTH(TRANSACTIONS!$A4431),DAY(TRANSACTIONS!$A4431)),"")</f>
        <v>45376</v>
      </c>
      <c r="C4431" s="49">
        <f>IF(A4431&lt;&gt;"",TIME(HOUR(TRANSACTIONS!$A4431),MINUTE(TRANSACTIONS!$A4431),SECOND(TRANSACTIONS!$A4431)),"")</f>
        <v>0.60799768518518515</v>
      </c>
      <c r="D4431" s="82" t="s">
        <v>62</v>
      </c>
      <c r="E4431" s="82" t="s">
        <v>7</v>
      </c>
      <c r="F4431" s="88">
        <v>17000</v>
      </c>
      <c r="G4431" s="46"/>
      <c r="H4431" s="46">
        <f>IFERROR(TRANSACTIONS!$F4431+TRANSACTIONS!$G4431,"")</f>
        <v>17000</v>
      </c>
      <c r="I4431" s="40" t="s">
        <v>41</v>
      </c>
    </row>
    <row r="4432" spans="1:9" x14ac:dyDescent="0.25">
      <c r="A4432" s="41">
        <v>45376.608062500003</v>
      </c>
      <c r="B4432" s="48">
        <f>IF(A4432&lt;&gt;"",DATE(YEAR(TRANSACTIONS!$A4432),MONTH(TRANSACTIONS!$A4432),DAY(TRANSACTIONS!$A4432)),"")</f>
        <v>45376</v>
      </c>
      <c r="C4432" s="49">
        <f>IF(A4432&lt;&gt;"",TIME(HOUR(TRANSACTIONS!$A4432),MINUTE(TRANSACTIONS!$A4432),SECOND(TRANSACTIONS!$A4432)),"")</f>
        <v>0.60806712962962961</v>
      </c>
      <c r="D4432" s="82" t="s">
        <v>62</v>
      </c>
      <c r="E4432" s="82" t="s">
        <v>6</v>
      </c>
      <c r="F4432" s="88">
        <v>15000</v>
      </c>
      <c r="G4432" s="46"/>
      <c r="H4432" s="46">
        <f>IFERROR(TRANSACTIONS!$F4432+TRANSACTIONS!$G4432,"")</f>
        <v>15000</v>
      </c>
      <c r="I4432" s="40" t="s">
        <v>41</v>
      </c>
    </row>
    <row r="4433" spans="1:11" x14ac:dyDescent="0.25">
      <c r="A4433" s="41">
        <v>45376.608092245369</v>
      </c>
      <c r="B4433" s="48">
        <f>IF(A4433&lt;&gt;"",DATE(YEAR(TRANSACTIONS!$A4433),MONTH(TRANSACTIONS!$A4433),DAY(TRANSACTIONS!$A4433)),"")</f>
        <v>45376</v>
      </c>
      <c r="C4433" s="49">
        <f>IF(A4433&lt;&gt;"",TIME(HOUR(TRANSACTIONS!$A4433),MINUTE(TRANSACTIONS!$A4433),SECOND(TRANSACTIONS!$A4433)),"")</f>
        <v>0.6080902777777778</v>
      </c>
      <c r="D4433" s="82" t="s">
        <v>62</v>
      </c>
      <c r="E4433" s="82" t="s">
        <v>7</v>
      </c>
      <c r="F4433" s="88">
        <v>5000</v>
      </c>
      <c r="G4433" s="46"/>
      <c r="H4433" s="46">
        <f>IFERROR(TRANSACTIONS!$F4433+TRANSACTIONS!$G4433,"")</f>
        <v>5000</v>
      </c>
      <c r="I4433" s="40" t="s">
        <v>41</v>
      </c>
    </row>
    <row r="4434" spans="1:11" x14ac:dyDescent="0.25">
      <c r="A4434" s="41">
        <v>45376.608100810183</v>
      </c>
      <c r="B4434" s="48">
        <f>IF(A4434&lt;&gt;"",DATE(YEAR(TRANSACTIONS!$A4434),MONTH(TRANSACTIONS!$A4434),DAY(TRANSACTIONS!$A4434)),"")</f>
        <v>45376</v>
      </c>
      <c r="C4434" s="49">
        <f>IF(A4434&lt;&gt;"",TIME(HOUR(TRANSACTIONS!$A4434),MINUTE(TRANSACTIONS!$A4434),SECOND(TRANSACTIONS!$A4434)),"")</f>
        <v>0.60810185185185184</v>
      </c>
      <c r="D4434" s="82" t="s">
        <v>62</v>
      </c>
      <c r="E4434" s="82" t="s">
        <v>6</v>
      </c>
      <c r="F4434" s="88">
        <v>40000</v>
      </c>
      <c r="G4434" s="46"/>
      <c r="H4434" s="46">
        <f>IFERROR(TRANSACTIONS!$F4434+TRANSACTIONS!$G4434,"")</f>
        <v>40000</v>
      </c>
      <c r="I4434" s="40" t="s">
        <v>41</v>
      </c>
    </row>
    <row r="4435" spans="1:11" x14ac:dyDescent="0.25">
      <c r="A4435" s="41">
        <v>45376.608122337966</v>
      </c>
      <c r="B4435" s="48">
        <f>IF(A4435&lt;&gt;"",DATE(YEAR(TRANSACTIONS!$A4435),MONTH(TRANSACTIONS!$A4435),DAY(TRANSACTIONS!$A4435)),"")</f>
        <v>45376</v>
      </c>
      <c r="C4435" s="49">
        <f>IF(A4435&lt;&gt;"",TIME(HOUR(TRANSACTIONS!$A4435),MINUTE(TRANSACTIONS!$A4435),SECOND(TRANSACTIONS!$A4435)),"")</f>
        <v>0.60812500000000003</v>
      </c>
      <c r="D4435" s="82" t="s">
        <v>62</v>
      </c>
      <c r="E4435" s="82" t="s">
        <v>7</v>
      </c>
      <c r="F4435" s="88">
        <v>5000</v>
      </c>
      <c r="G4435" s="46"/>
      <c r="H4435" s="46">
        <f>IFERROR(TRANSACTIONS!$F4435+TRANSACTIONS!$G4435,"")</f>
        <v>5000</v>
      </c>
      <c r="I4435" s="40" t="s">
        <v>41</v>
      </c>
    </row>
    <row r="4436" spans="1:11" x14ac:dyDescent="0.25">
      <c r="A4436" s="41">
        <v>45376.608132986112</v>
      </c>
      <c r="B4436" s="48">
        <f>IF(A4436&lt;&gt;"",DATE(YEAR(TRANSACTIONS!$A4436),MONTH(TRANSACTIONS!$A4436),DAY(TRANSACTIONS!$A4436)),"")</f>
        <v>45376</v>
      </c>
      <c r="C4436" s="49">
        <f>IF(A4436&lt;&gt;"",TIME(HOUR(TRANSACTIONS!$A4436),MINUTE(TRANSACTIONS!$A4436),SECOND(TRANSACTIONS!$A4436)),"")</f>
        <v>0.60813657407407407</v>
      </c>
      <c r="D4436" s="82" t="s">
        <v>62</v>
      </c>
      <c r="E4436" s="82" t="s">
        <v>6</v>
      </c>
      <c r="F4436" s="88">
        <v>5000</v>
      </c>
      <c r="G4436" s="46"/>
      <c r="H4436" s="46">
        <f>IFERROR(TRANSACTIONS!$F4436+TRANSACTIONS!$G4436,"")</f>
        <v>5000</v>
      </c>
      <c r="I4436" s="40" t="s">
        <v>41</v>
      </c>
    </row>
    <row r="4437" spans="1:11" x14ac:dyDescent="0.25">
      <c r="A4437" s="113">
        <v>45376.608147106483</v>
      </c>
      <c r="B4437" s="114">
        <f>IF(A4437&lt;&gt;"",DATE(YEAR(TRANSACTIONS!$A4437),MONTH(TRANSACTIONS!$A4437),DAY(TRANSACTIONS!$A4437)),"")</f>
        <v>45376</v>
      </c>
      <c r="C4437" s="115">
        <f>IF(A4437&lt;&gt;"",TIME(HOUR(TRANSACTIONS!$A4437),MINUTE(TRANSACTIONS!$A4437),SECOND(TRANSACTIONS!$A4437)),"")</f>
        <v>0.60814814814814822</v>
      </c>
      <c r="D4437" s="82" t="s">
        <v>62</v>
      </c>
      <c r="E4437" s="82" t="s">
        <v>7</v>
      </c>
      <c r="F4437" s="88">
        <v>20000</v>
      </c>
      <c r="G4437" s="117"/>
      <c r="H4437" s="117">
        <f>IFERROR(TRANSACTIONS!$F4437+TRANSACTIONS!$G4437,"")</f>
        <v>20000</v>
      </c>
      <c r="I4437" s="118" t="s">
        <v>41</v>
      </c>
    </row>
    <row r="4438" spans="1:11" x14ac:dyDescent="0.25">
      <c r="A4438" s="41">
        <v>45376.608184027777</v>
      </c>
      <c r="B4438" s="48">
        <f>IF(A4438&lt;&gt;"",DATE(YEAR(TRANSACTIONS!$A4438),MONTH(TRANSACTIONS!$A4438),DAY(TRANSACTIONS!$A4438)),"")</f>
        <v>45376</v>
      </c>
      <c r="C4438" s="49">
        <f>IF(A4438&lt;&gt;"",TIME(HOUR(TRANSACTIONS!$A4438),MINUTE(TRANSACTIONS!$A4438),SECOND(TRANSACTIONS!$A4438)),"")</f>
        <v>0.60818287037037033</v>
      </c>
      <c r="D4438" s="82" t="s">
        <v>62</v>
      </c>
      <c r="E4438" s="82" t="s">
        <v>7</v>
      </c>
      <c r="F4438" s="88">
        <v>5000</v>
      </c>
      <c r="G4438" s="46"/>
      <c r="H4438" s="46">
        <f>IFERROR(TRANSACTIONS!$F4438+TRANSACTIONS!$G4438,"")</f>
        <v>5000</v>
      </c>
      <c r="I4438" s="40" t="s">
        <v>41</v>
      </c>
    </row>
    <row r="4439" spans="1:11" x14ac:dyDescent="0.25">
      <c r="A4439" s="41">
        <v>45376.60819467593</v>
      </c>
      <c r="B4439" s="48">
        <f>IF(A4439&lt;&gt;"",DATE(YEAR(TRANSACTIONS!$A4439),MONTH(TRANSACTIONS!$A4439),DAY(TRANSACTIONS!$A4439)),"")</f>
        <v>45376</v>
      </c>
      <c r="C4439" s="49">
        <f>IF(A4439&lt;&gt;"",TIME(HOUR(TRANSACTIONS!$A4439),MINUTE(TRANSACTIONS!$A4439),SECOND(TRANSACTIONS!$A4439)),"")</f>
        <v>0.60819444444444437</v>
      </c>
      <c r="D4439" s="82" t="s">
        <v>62</v>
      </c>
      <c r="E4439" s="82" t="s">
        <v>6</v>
      </c>
      <c r="F4439" s="88">
        <v>8000</v>
      </c>
      <c r="G4439" s="46"/>
      <c r="H4439" s="46">
        <f>IFERROR(TRANSACTIONS!$F4439+TRANSACTIONS!$G4439,"")</f>
        <v>8000</v>
      </c>
      <c r="I4439" s="40" t="s">
        <v>41</v>
      </c>
    </row>
    <row r="4440" spans="1:11" x14ac:dyDescent="0.25">
      <c r="A4440" s="41">
        <v>45376.608208564816</v>
      </c>
      <c r="B4440" s="48">
        <f>IF(A4440&lt;&gt;"",DATE(YEAR(TRANSACTIONS!$A4440),MONTH(TRANSACTIONS!$A4440),DAY(TRANSACTIONS!$A4440)),"")</f>
        <v>45376</v>
      </c>
      <c r="C4440" s="49">
        <f>IF(A4440&lt;&gt;"",TIME(HOUR(TRANSACTIONS!$A4440),MINUTE(TRANSACTIONS!$A4440),SECOND(TRANSACTIONS!$A4440)),"")</f>
        <v>0.60820601851851852</v>
      </c>
      <c r="D4440" s="82" t="s">
        <v>62</v>
      </c>
      <c r="E4440" s="82" t="s">
        <v>7</v>
      </c>
      <c r="F4440" s="88">
        <v>10000</v>
      </c>
      <c r="G4440" s="46"/>
      <c r="H4440" s="46">
        <f>IFERROR(TRANSACTIONS!$F4440+TRANSACTIONS!$G4440,"")</f>
        <v>10000</v>
      </c>
      <c r="I4440" s="40" t="s">
        <v>41</v>
      </c>
    </row>
    <row r="4441" spans="1:11" x14ac:dyDescent="0.25">
      <c r="A4441" s="41">
        <v>45376.608218518515</v>
      </c>
      <c r="B4441" s="48">
        <f>IF(A4441&lt;&gt;"",DATE(YEAR(TRANSACTIONS!$A4441),MONTH(TRANSACTIONS!$A4441),DAY(TRANSACTIONS!$A4441)),"")</f>
        <v>45376</v>
      </c>
      <c r="C4441" s="49">
        <f>IF(A4441&lt;&gt;"",TIME(HOUR(TRANSACTIONS!$A4441),MINUTE(TRANSACTIONS!$A4441),SECOND(TRANSACTIONS!$A4441)),"")</f>
        <v>0.60821759259259256</v>
      </c>
      <c r="D4441" s="82" t="s">
        <v>62</v>
      </c>
      <c r="E4441" s="82" t="s">
        <v>6</v>
      </c>
      <c r="F4441" s="88">
        <v>33000</v>
      </c>
      <c r="G4441" s="46"/>
      <c r="H4441" s="46">
        <f>IFERROR(TRANSACTIONS!$F4441+TRANSACTIONS!$G4441,"")</f>
        <v>33000</v>
      </c>
      <c r="I4441" s="40" t="s">
        <v>41</v>
      </c>
    </row>
    <row r="4442" spans="1:11" x14ac:dyDescent="0.25">
      <c r="A4442" s="41">
        <v>45376.60822696759</v>
      </c>
      <c r="B4442" s="48">
        <f>IF(A4442&lt;&gt;"",DATE(YEAR(TRANSACTIONS!$A4442),MONTH(TRANSACTIONS!$A4442),DAY(TRANSACTIONS!$A4442)),"")</f>
        <v>45376</v>
      </c>
      <c r="C4442" s="49">
        <f>IF(A4442&lt;&gt;"",TIME(HOUR(TRANSACTIONS!$A4442),MINUTE(TRANSACTIONS!$A4442),SECOND(TRANSACTIONS!$A4442)),"")</f>
        <v>0.60822916666666671</v>
      </c>
      <c r="D4442" s="82" t="s">
        <v>62</v>
      </c>
      <c r="E4442" s="82" t="s">
        <v>7</v>
      </c>
      <c r="F4442" s="88">
        <v>1400</v>
      </c>
      <c r="G4442" s="46"/>
      <c r="H4442" s="46">
        <f>IFERROR(TRANSACTIONS!$F4442+TRANSACTIONS!$G4442,"")</f>
        <v>1400</v>
      </c>
      <c r="I4442" s="40" t="s">
        <v>41</v>
      </c>
    </row>
    <row r="4443" spans="1:11" x14ac:dyDescent="0.25">
      <c r="A4443" s="41">
        <v>45376.610481249998</v>
      </c>
      <c r="B4443" s="48">
        <f>IF(A4443&lt;&gt;"",DATE(YEAR(TRANSACTIONS!$A4443),MONTH(TRANSACTIONS!$A4443),DAY(TRANSACTIONS!$A4443)),"")</f>
        <v>45376</v>
      </c>
      <c r="C4443" s="49">
        <f>IF(A4443&lt;&gt;"",TIME(HOUR(TRANSACTIONS!$A4443),MINUTE(TRANSACTIONS!$A4443),SECOND(TRANSACTIONS!$A4443)),"")</f>
        <v>0.61048611111111117</v>
      </c>
      <c r="D4443" s="82" t="s">
        <v>62</v>
      </c>
      <c r="E4443" s="82" t="s">
        <v>7</v>
      </c>
      <c r="F4443" s="88">
        <v>12400</v>
      </c>
      <c r="G4443" s="46"/>
      <c r="H4443" s="46">
        <f>IFERROR(TRANSACTIONS!$F4443+TRANSACTIONS!$G4443,"")</f>
        <v>12400</v>
      </c>
      <c r="I4443" s="40" t="s">
        <v>41</v>
      </c>
    </row>
    <row r="4444" spans="1:11" x14ac:dyDescent="0.25">
      <c r="A4444" s="41">
        <v>45376.612780208336</v>
      </c>
      <c r="B4444" s="48">
        <f>IF(A4444&lt;&gt;"",DATE(YEAR(TRANSACTIONS!$A4444),MONTH(TRANSACTIONS!$A4444),DAY(TRANSACTIONS!$A4444)),"")</f>
        <v>45376</v>
      </c>
      <c r="C4444" s="49">
        <f>IF(A4444&lt;&gt;"",TIME(HOUR(TRANSACTIONS!$A4444),MINUTE(TRANSACTIONS!$A4444),SECOND(TRANSACTIONS!$A4444)),"")</f>
        <v>0.61277777777777775</v>
      </c>
      <c r="D4444" s="82" t="s">
        <v>62</v>
      </c>
      <c r="E4444" s="82" t="s">
        <v>6</v>
      </c>
      <c r="F4444" s="88">
        <v>100000</v>
      </c>
      <c r="G4444" s="46"/>
      <c r="H4444" s="46">
        <f>IFERROR(TRANSACTIONS!$F4444+TRANSACTIONS!$G4444,"")</f>
        <v>100000</v>
      </c>
      <c r="I4444" s="40" t="s">
        <v>41</v>
      </c>
    </row>
    <row r="4445" spans="1:11" x14ac:dyDescent="0.25">
      <c r="A4445" s="41">
        <v>45376.612783101853</v>
      </c>
      <c r="B4445" s="48">
        <f>IF(A4445&lt;&gt;"",DATE(YEAR(TRANSACTIONS!$A4445),MONTH(TRANSACTIONS!$A4445),DAY(TRANSACTIONS!$A4445)),"")</f>
        <v>45376</v>
      </c>
      <c r="C4445" s="49">
        <f>IF(A4445&lt;&gt;"",TIME(HOUR(TRANSACTIONS!$A4445),MINUTE(TRANSACTIONS!$A4445),SECOND(TRANSACTIONS!$A4445)),"")</f>
        <v>0.61277777777777775</v>
      </c>
      <c r="D4445" s="82" t="s">
        <v>62</v>
      </c>
      <c r="E4445" s="82" t="s">
        <v>6</v>
      </c>
      <c r="F4445" s="88">
        <v>71000</v>
      </c>
      <c r="G4445" s="46"/>
      <c r="H4445" s="46">
        <f>IFERROR(TRANSACTIONS!$F4445+TRANSACTIONS!$G4445,"")</f>
        <v>71000</v>
      </c>
      <c r="I4445" s="40" t="s">
        <v>41</v>
      </c>
    </row>
    <row r="4446" spans="1:11" x14ac:dyDescent="0.25">
      <c r="A4446" s="113">
        <v>45376.6128193287</v>
      </c>
      <c r="B4446" s="114">
        <f>IF(A4446&lt;&gt;"",DATE(YEAR(TRANSACTIONS!$A4446),MONTH(TRANSACTIONS!$A4446),DAY(TRANSACTIONS!$A4446)),"")</f>
        <v>45376</v>
      </c>
      <c r="C4446" s="115">
        <f>IF(A4446&lt;&gt;"",TIME(HOUR(TRANSACTIONS!$A4446),MINUTE(TRANSACTIONS!$A4446),SECOND(TRANSACTIONS!$A4446)),"")</f>
        <v>0.61282407407407413</v>
      </c>
      <c r="D4446" s="116" t="s">
        <v>62</v>
      </c>
      <c r="E4446" s="116" t="s">
        <v>7</v>
      </c>
      <c r="F4446" s="118">
        <v>10000</v>
      </c>
      <c r="G4446" s="117"/>
      <c r="H4446" s="117">
        <f>IFERROR(TRANSACTIONS!$F4446+TRANSACTIONS!$G4446,"")</f>
        <v>10000</v>
      </c>
      <c r="I4446" s="118" t="s">
        <v>41</v>
      </c>
      <c r="J4446" s="118"/>
      <c r="K4446" s="118"/>
    </row>
    <row r="4447" spans="1:11" x14ac:dyDescent="0.25">
      <c r="A4447" s="41">
        <v>45376.612827662037</v>
      </c>
      <c r="B4447" s="48">
        <f>IF(A4447&lt;&gt;"",DATE(YEAR(TRANSACTIONS!$A4447),MONTH(TRANSACTIONS!$A4447),DAY(TRANSACTIONS!$A4447)),"")</f>
        <v>45376</v>
      </c>
      <c r="C4447" s="49">
        <f>IF(A4447&lt;&gt;"",TIME(HOUR(TRANSACTIONS!$A4447),MINUTE(TRANSACTIONS!$A4447),SECOND(TRANSACTIONS!$A4447)),"")</f>
        <v>0.61282407407407413</v>
      </c>
      <c r="D4447" s="82" t="s">
        <v>62</v>
      </c>
      <c r="E4447" s="82" t="s">
        <v>6</v>
      </c>
      <c r="F4447" s="88">
        <v>45000</v>
      </c>
      <c r="G4447" s="46"/>
      <c r="H4447" s="46">
        <f>IFERROR(TRANSACTIONS!$F4447+TRANSACTIONS!$G4447,"")</f>
        <v>45000</v>
      </c>
      <c r="I4447" s="40" t="s">
        <v>41</v>
      </c>
    </row>
    <row r="4448" spans="1:11" x14ac:dyDescent="0.25">
      <c r="A4448" s="41">
        <v>45376.612835995373</v>
      </c>
      <c r="B4448" s="48">
        <f>IF(A4448&lt;&gt;"",DATE(YEAR(TRANSACTIONS!$A4448),MONTH(TRANSACTIONS!$A4448),DAY(TRANSACTIONS!$A4448)),"")</f>
        <v>45376</v>
      </c>
      <c r="C4448" s="49">
        <f>IF(A4448&lt;&gt;"",TIME(HOUR(TRANSACTIONS!$A4448),MINUTE(TRANSACTIONS!$A4448),SECOND(TRANSACTIONS!$A4448)),"")</f>
        <v>0.61283564814814817</v>
      </c>
      <c r="D4448" s="82" t="s">
        <v>62</v>
      </c>
      <c r="E4448" s="82" t="s">
        <v>7</v>
      </c>
      <c r="F4448" s="88">
        <v>2000</v>
      </c>
      <c r="G4448" s="46"/>
      <c r="H4448" s="46">
        <f>IFERROR(TRANSACTIONS!$F4448+TRANSACTIONS!$G4448,"")</f>
        <v>2000</v>
      </c>
      <c r="I4448" s="40" t="s">
        <v>41</v>
      </c>
    </row>
    <row r="4449" spans="1:9" x14ac:dyDescent="0.25">
      <c r="A4449" s="41">
        <v>45376.612843402778</v>
      </c>
      <c r="B4449" s="48">
        <f>IF(A4449&lt;&gt;"",DATE(YEAR(TRANSACTIONS!$A4449),MONTH(TRANSACTIONS!$A4449),DAY(TRANSACTIONS!$A4449)),"")</f>
        <v>45376</v>
      </c>
      <c r="C4449" s="49">
        <f>IF(A4449&lt;&gt;"",TIME(HOUR(TRANSACTIONS!$A4449),MINUTE(TRANSACTIONS!$A4449),SECOND(TRANSACTIONS!$A4449)),"")</f>
        <v>0.61284722222222221</v>
      </c>
      <c r="D4449" s="82" t="s">
        <v>62</v>
      </c>
      <c r="E4449" s="82" t="s">
        <v>6</v>
      </c>
      <c r="F4449" s="88">
        <v>50000</v>
      </c>
      <c r="G4449" s="46"/>
      <c r="H4449" s="46">
        <f>IFERROR(TRANSACTIONS!$F4449+TRANSACTIONS!$G4449,"")</f>
        <v>50000</v>
      </c>
      <c r="I4449" s="40" t="s">
        <v>41</v>
      </c>
    </row>
    <row r="4450" spans="1:9" x14ac:dyDescent="0.25">
      <c r="A4450" s="41">
        <v>45376.612853009261</v>
      </c>
      <c r="B4450" s="48">
        <f>IF(A4450&lt;&gt;"",DATE(YEAR(TRANSACTIONS!$A4450),MONTH(TRANSACTIONS!$A4450),DAY(TRANSACTIONS!$A4450)),"")</f>
        <v>45376</v>
      </c>
      <c r="C4450" s="49">
        <f>IF(A4450&lt;&gt;"",TIME(HOUR(TRANSACTIONS!$A4450),MINUTE(TRANSACTIONS!$A4450),SECOND(TRANSACTIONS!$A4450)),"")</f>
        <v>0.61284722222222221</v>
      </c>
      <c r="D4450" s="82" t="s">
        <v>62</v>
      </c>
      <c r="E4450" s="82" t="s">
        <v>6</v>
      </c>
      <c r="F4450" s="88">
        <v>14000</v>
      </c>
      <c r="G4450" s="46"/>
      <c r="H4450" s="46">
        <f>IFERROR(TRANSACTIONS!$F4450+TRANSACTIONS!$G4450,"")</f>
        <v>14000</v>
      </c>
      <c r="I4450" s="40" t="s">
        <v>41</v>
      </c>
    </row>
    <row r="4451" spans="1:9" x14ac:dyDescent="0.25">
      <c r="A4451" s="41">
        <v>45376.612868750002</v>
      </c>
      <c r="B4451" s="48">
        <f>IF(A4451&lt;&gt;"",DATE(YEAR(TRANSACTIONS!$A4451),MONTH(TRANSACTIONS!$A4451),DAY(TRANSACTIONS!$A4451)),"")</f>
        <v>45376</v>
      </c>
      <c r="C4451" s="49">
        <f>IF(A4451&lt;&gt;"",TIME(HOUR(TRANSACTIONS!$A4451),MINUTE(TRANSACTIONS!$A4451),SECOND(TRANSACTIONS!$A4451)),"")</f>
        <v>0.6128703703703704</v>
      </c>
      <c r="D4451" s="82" t="s">
        <v>62</v>
      </c>
      <c r="E4451" s="82" t="s">
        <v>6</v>
      </c>
      <c r="F4451" s="88">
        <v>8100</v>
      </c>
      <c r="G4451" s="46"/>
      <c r="H4451" s="46">
        <f>IFERROR(TRANSACTIONS!$F4451+TRANSACTIONS!$G4451,"")</f>
        <v>8100</v>
      </c>
      <c r="I4451" s="40" t="s">
        <v>41</v>
      </c>
    </row>
    <row r="4452" spans="1:9" x14ac:dyDescent="0.25">
      <c r="A4452" s="41">
        <v>45376.612876736108</v>
      </c>
      <c r="B4452" s="48">
        <f>IF(A4452&lt;&gt;"",DATE(YEAR(TRANSACTIONS!$A4452),MONTH(TRANSACTIONS!$A4452),DAY(TRANSACTIONS!$A4452)),"")</f>
        <v>45376</v>
      </c>
      <c r="C4452" s="49">
        <f>IF(A4452&lt;&gt;"",TIME(HOUR(TRANSACTIONS!$A4452),MINUTE(TRANSACTIONS!$A4452),SECOND(TRANSACTIONS!$A4452)),"")</f>
        <v>0.61288194444444444</v>
      </c>
      <c r="D4452" s="82" t="s">
        <v>62</v>
      </c>
      <c r="E4452" s="82" t="s">
        <v>6</v>
      </c>
      <c r="F4452" s="88">
        <v>50000</v>
      </c>
      <c r="G4452" s="46"/>
      <c r="H4452" s="46">
        <f>IFERROR(TRANSACTIONS!$F4452+TRANSACTIONS!$G4452,"")</f>
        <v>50000</v>
      </c>
      <c r="I4452" s="40" t="s">
        <v>41</v>
      </c>
    </row>
    <row r="4453" spans="1:9" x14ac:dyDescent="0.25">
      <c r="A4453" s="41">
        <v>45376.612884953705</v>
      </c>
      <c r="B4453" s="48">
        <f>IF(A4453&lt;&gt;"",DATE(YEAR(TRANSACTIONS!$A4453),MONTH(TRANSACTIONS!$A4453),DAY(TRANSACTIONS!$A4453)),"")</f>
        <v>45376</v>
      </c>
      <c r="C4453" s="49">
        <f>IF(A4453&lt;&gt;"",TIME(HOUR(TRANSACTIONS!$A4453),MINUTE(TRANSACTIONS!$A4453),SECOND(TRANSACTIONS!$A4453)),"")</f>
        <v>0.61288194444444444</v>
      </c>
      <c r="D4453" s="82" t="s">
        <v>25</v>
      </c>
      <c r="E4453" s="82" t="s">
        <v>7</v>
      </c>
      <c r="F4453" s="88">
        <v>20000</v>
      </c>
      <c r="G4453" s="46"/>
      <c r="H4453" s="46">
        <f>IFERROR(TRANSACTIONS!$F4453+TRANSACTIONS!$G4453,"")</f>
        <v>20000</v>
      </c>
      <c r="I4453" s="40" t="s">
        <v>41</v>
      </c>
    </row>
    <row r="4454" spans="1:9" x14ac:dyDescent="0.25">
      <c r="A4454" s="41">
        <v>45376.612895486112</v>
      </c>
      <c r="B4454" s="48">
        <f>IF(A4454&lt;&gt;"",DATE(YEAR(TRANSACTIONS!$A4454),MONTH(TRANSACTIONS!$A4454),DAY(TRANSACTIONS!$A4454)),"")</f>
        <v>45376</v>
      </c>
      <c r="C4454" s="49">
        <f>IF(A4454&lt;&gt;"",TIME(HOUR(TRANSACTIONS!$A4454),MINUTE(TRANSACTIONS!$A4454),SECOND(TRANSACTIONS!$A4454)),"")</f>
        <v>0.61289351851851859</v>
      </c>
      <c r="D4454" s="82" t="s">
        <v>25</v>
      </c>
      <c r="E4454" s="82" t="s">
        <v>6</v>
      </c>
      <c r="F4454" s="88">
        <v>2000</v>
      </c>
      <c r="G4454" s="46"/>
      <c r="H4454" s="46">
        <f>IFERROR(TRANSACTIONS!$F4454+TRANSACTIONS!$G4454,"")</f>
        <v>2000</v>
      </c>
      <c r="I4454" s="40" t="s">
        <v>41</v>
      </c>
    </row>
    <row r="4455" spans="1:9" x14ac:dyDescent="0.25">
      <c r="A4455" s="41">
        <v>45376.612904166665</v>
      </c>
      <c r="B4455" s="48">
        <f>IF(A4455&lt;&gt;"",DATE(YEAR(TRANSACTIONS!$A4455),MONTH(TRANSACTIONS!$A4455),DAY(TRANSACTIONS!$A4455)),"")</f>
        <v>45376</v>
      </c>
      <c r="C4455" s="49">
        <f>IF(A4455&lt;&gt;"",TIME(HOUR(TRANSACTIONS!$A4455),MINUTE(TRANSACTIONS!$A4455),SECOND(TRANSACTIONS!$A4455)),"")</f>
        <v>0.61290509259259263</v>
      </c>
      <c r="D4455" s="82" t="s">
        <v>25</v>
      </c>
      <c r="E4455" s="82" t="s">
        <v>6</v>
      </c>
      <c r="F4455" s="88">
        <v>2000</v>
      </c>
      <c r="G4455" s="46"/>
      <c r="H4455" s="46">
        <f>IFERROR(TRANSACTIONS!$F4455+TRANSACTIONS!$G4455,"")</f>
        <v>2000</v>
      </c>
      <c r="I4455" s="40" t="s">
        <v>41</v>
      </c>
    </row>
    <row r="4456" spans="1:9" x14ac:dyDescent="0.25">
      <c r="A4456" s="113">
        <v>45376.613371180552</v>
      </c>
      <c r="B4456" s="114">
        <f>IF(A4456&lt;&gt;"",DATE(YEAR(TRANSACTIONS!$A4456),MONTH(TRANSACTIONS!$A4456),DAY(TRANSACTIONS!$A4456)),"")</f>
        <v>45376</v>
      </c>
      <c r="C4456" s="115">
        <f>IF(A4456&lt;&gt;"",TIME(HOUR(TRANSACTIONS!$A4456),MINUTE(TRANSACTIONS!$A4456),SECOND(TRANSACTIONS!$A4456)),"")</f>
        <v>0.61336805555555551</v>
      </c>
      <c r="D4456" s="82" t="s">
        <v>25</v>
      </c>
      <c r="E4456" s="82" t="s">
        <v>6</v>
      </c>
      <c r="F4456" s="88">
        <v>10000</v>
      </c>
      <c r="G4456" s="117"/>
      <c r="H4456" s="117">
        <f>IFERROR(TRANSACTIONS!$F4456+TRANSACTIONS!$G4456,"")</f>
        <v>10000</v>
      </c>
      <c r="I4456" s="118" t="s">
        <v>41</v>
      </c>
    </row>
    <row r="4457" spans="1:9" x14ac:dyDescent="0.25">
      <c r="A4457" s="113">
        <v>45376.613512152777</v>
      </c>
      <c r="B4457" s="114">
        <f>IF(A4457&lt;&gt;"",DATE(YEAR(TRANSACTIONS!$A4457),MONTH(TRANSACTIONS!$A4457),DAY(TRANSACTIONS!$A4457)),"")</f>
        <v>45376</v>
      </c>
      <c r="C4457" s="115">
        <f>IF(A4457&lt;&gt;"",TIME(HOUR(TRANSACTIONS!$A4457),MINUTE(TRANSACTIONS!$A4457),SECOND(TRANSACTIONS!$A4457)),"")</f>
        <v>0.61350694444444442</v>
      </c>
      <c r="D4457" s="82" t="s">
        <v>25</v>
      </c>
      <c r="E4457" s="82" t="s">
        <v>7</v>
      </c>
      <c r="F4457" s="88">
        <v>6500</v>
      </c>
      <c r="G4457" s="117"/>
      <c r="H4457" s="117">
        <f>IFERROR(TRANSACTIONS!$F4457+TRANSACTIONS!$G4457,"")</f>
        <v>6500</v>
      </c>
      <c r="I4457" s="118" t="s">
        <v>41</v>
      </c>
    </row>
    <row r="4458" spans="1:9" x14ac:dyDescent="0.25">
      <c r="A4458" s="41">
        <v>45376.613520486113</v>
      </c>
      <c r="B4458" s="48">
        <f>IF(A4458&lt;&gt;"",DATE(YEAR(TRANSACTIONS!$A4458),MONTH(TRANSACTIONS!$A4458),DAY(TRANSACTIONS!$A4458)),"")</f>
        <v>45376</v>
      </c>
      <c r="C4458" s="49">
        <f>IF(A4458&lt;&gt;"",TIME(HOUR(TRANSACTIONS!$A4458),MINUTE(TRANSACTIONS!$A4458),SECOND(TRANSACTIONS!$A4458)),"")</f>
        <v>0.61351851851851846</v>
      </c>
      <c r="D4458" s="82" t="s">
        <v>25</v>
      </c>
      <c r="E4458" s="82" t="s">
        <v>6</v>
      </c>
      <c r="F4458" s="88">
        <v>500</v>
      </c>
      <c r="G4458" s="46"/>
      <c r="H4458" s="46">
        <f>IFERROR(TRANSACTIONS!$F4458+TRANSACTIONS!$G4458,"")</f>
        <v>500</v>
      </c>
      <c r="I4458" s="40" t="s">
        <v>41</v>
      </c>
    </row>
    <row r="4459" spans="1:9" x14ac:dyDescent="0.25">
      <c r="A4459" s="41">
        <v>45376.613537152778</v>
      </c>
      <c r="B4459" s="48">
        <f>IF(A4459&lt;&gt;"",DATE(YEAR(TRANSACTIONS!$A4459),MONTH(TRANSACTIONS!$A4459),DAY(TRANSACTIONS!$A4459)),"")</f>
        <v>45376</v>
      </c>
      <c r="C4459" s="49">
        <f>IF(A4459&lt;&gt;"",TIME(HOUR(TRANSACTIONS!$A4459),MINUTE(TRANSACTIONS!$A4459),SECOND(TRANSACTIONS!$A4459)),"")</f>
        <v>0.61354166666666665</v>
      </c>
      <c r="D4459" s="82" t="s">
        <v>25</v>
      </c>
      <c r="E4459" s="82" t="s">
        <v>6</v>
      </c>
      <c r="F4459" s="88">
        <v>30000</v>
      </c>
      <c r="G4459" s="46"/>
      <c r="H4459" s="46">
        <f>IFERROR(TRANSACTIONS!$F4459+TRANSACTIONS!$G4459,"")</f>
        <v>30000</v>
      </c>
      <c r="I4459" s="40" t="s">
        <v>41</v>
      </c>
    </row>
    <row r="4460" spans="1:9" x14ac:dyDescent="0.25">
      <c r="A4460" s="41">
        <v>45376.616218055555</v>
      </c>
      <c r="B4460" s="48">
        <f>IF(A4460&lt;&gt;"",DATE(YEAR(TRANSACTIONS!$A4460),MONTH(TRANSACTIONS!$A4460),DAY(TRANSACTIONS!$A4460)),"")</f>
        <v>45376</v>
      </c>
      <c r="C4460" s="49">
        <f>IF(A4460&lt;&gt;"",TIME(HOUR(TRANSACTIONS!$A4460),MINUTE(TRANSACTIONS!$A4460),SECOND(TRANSACTIONS!$A4460)),"")</f>
        <v>0.61621527777777774</v>
      </c>
      <c r="D4460" s="82" t="s">
        <v>25</v>
      </c>
      <c r="E4460" s="82" t="s">
        <v>6</v>
      </c>
      <c r="F4460" s="88">
        <v>120000</v>
      </c>
      <c r="G4460" s="46"/>
      <c r="H4460" s="46">
        <f>IFERROR(TRANSACTIONS!$F4460+TRANSACTIONS!$G4460,"")</f>
        <v>120000</v>
      </c>
      <c r="I4460" s="40" t="s">
        <v>41</v>
      </c>
    </row>
    <row r="4461" spans="1:9" x14ac:dyDescent="0.25">
      <c r="A4461" s="41">
        <v>45376.616222106481</v>
      </c>
      <c r="B4461" s="48">
        <f>IF(A4461&lt;&gt;"",DATE(YEAR(TRANSACTIONS!$A4461),MONTH(TRANSACTIONS!$A4461),DAY(TRANSACTIONS!$A4461)),"")</f>
        <v>45376</v>
      </c>
      <c r="C4461" s="49">
        <f>IF(A4461&lt;&gt;"",TIME(HOUR(TRANSACTIONS!$A4461),MINUTE(TRANSACTIONS!$A4461),SECOND(TRANSACTIONS!$A4461)),"")</f>
        <v>0.61622685185185189</v>
      </c>
      <c r="D4461" s="82" t="s">
        <v>25</v>
      </c>
      <c r="E4461" s="82" t="s">
        <v>7</v>
      </c>
      <c r="F4461" s="88">
        <v>2000</v>
      </c>
      <c r="G4461" s="46"/>
      <c r="H4461" s="46">
        <f>IFERROR(TRANSACTIONS!$F4461+TRANSACTIONS!$G4461,"")</f>
        <v>2000</v>
      </c>
      <c r="I4461" s="40" t="s">
        <v>41</v>
      </c>
    </row>
    <row r="4462" spans="1:9" x14ac:dyDescent="0.25">
      <c r="A4462" s="41">
        <v>45376.616545138888</v>
      </c>
      <c r="B4462" s="48">
        <f>IF(A4462&lt;&gt;"",DATE(YEAR(TRANSACTIONS!$A4462),MONTH(TRANSACTIONS!$A4462),DAY(TRANSACTIONS!$A4462)),"")</f>
        <v>45376</v>
      </c>
      <c r="C4462" s="49">
        <f>IF(A4462&lt;&gt;"",TIME(HOUR(TRANSACTIONS!$A4462),MINUTE(TRANSACTIONS!$A4462),SECOND(TRANSACTIONS!$A4462)),"")</f>
        <v>0.61653935185185182</v>
      </c>
      <c r="D4462" s="82" t="s">
        <v>62</v>
      </c>
      <c r="E4462" s="82" t="s">
        <v>6</v>
      </c>
      <c r="F4462" s="88">
        <v>20000</v>
      </c>
      <c r="G4462" s="46"/>
      <c r="H4462" s="46">
        <f>IFERROR(TRANSACTIONS!$F4462+TRANSACTIONS!$G4462,"")</f>
        <v>20000</v>
      </c>
      <c r="I4462" s="40" t="s">
        <v>41</v>
      </c>
    </row>
    <row r="4463" spans="1:9" x14ac:dyDescent="0.25">
      <c r="A4463" s="81">
        <v>45376.616609722223</v>
      </c>
      <c r="B4463" s="83">
        <f>IF(A4463&lt;&gt;"",DATE(YEAR(TRANSACTIONS!$A4463),MONTH(TRANSACTIONS!$A4463),DAY(TRANSACTIONS!$A4463)),"")</f>
        <v>45376</v>
      </c>
      <c r="C4463" s="84">
        <f>IF(A4463&lt;&gt;"",TIME(HOUR(TRANSACTIONS!$A4463),MINUTE(TRANSACTIONS!$A4463),SECOND(TRANSACTIONS!$A4463)),"")</f>
        <v>0.61660879629629628</v>
      </c>
      <c r="D4463" s="82" t="s">
        <v>62</v>
      </c>
      <c r="E4463" s="82" t="s">
        <v>7</v>
      </c>
      <c r="F4463" s="88">
        <v>75000</v>
      </c>
      <c r="G4463" s="86"/>
      <c r="H4463" s="86">
        <f>IFERROR(TRANSACTIONS!$F4463+TRANSACTIONS!$G4463,"")</f>
        <v>75000</v>
      </c>
      <c r="I4463" s="88" t="s">
        <v>41</v>
      </c>
    </row>
    <row r="4464" spans="1:9" x14ac:dyDescent="0.25">
      <c r="A4464" s="41">
        <v>45376.616619328706</v>
      </c>
      <c r="B4464" s="48">
        <f>IF(A4464&lt;&gt;"",DATE(YEAR(TRANSACTIONS!$A4464),MONTH(TRANSACTIONS!$A4464),DAY(TRANSACTIONS!$A4464)),"")</f>
        <v>45376</v>
      </c>
      <c r="C4464" s="49">
        <f>IF(A4464&lt;&gt;"",TIME(HOUR(TRANSACTIONS!$A4464),MINUTE(TRANSACTIONS!$A4464),SECOND(TRANSACTIONS!$A4464)),"")</f>
        <v>0.61662037037037043</v>
      </c>
      <c r="D4464" s="82" t="s">
        <v>62</v>
      </c>
      <c r="E4464" s="82" t="s">
        <v>6</v>
      </c>
      <c r="F4464" s="88">
        <v>5000</v>
      </c>
      <c r="G4464" s="46"/>
      <c r="H4464" s="46">
        <f>IFERROR(TRANSACTIONS!$F4464+TRANSACTIONS!$G4464,"")</f>
        <v>5000</v>
      </c>
      <c r="I4464" s="40" t="s">
        <v>41</v>
      </c>
    </row>
    <row r="4465" spans="1:9" x14ac:dyDescent="0.25">
      <c r="A4465" s="41">
        <v>45376.616628009258</v>
      </c>
      <c r="B4465" s="48">
        <f>IF(A4465&lt;&gt;"",DATE(YEAR(TRANSACTIONS!$A4465),MONTH(TRANSACTIONS!$A4465),DAY(TRANSACTIONS!$A4465)),"")</f>
        <v>45376</v>
      </c>
      <c r="C4465" s="49">
        <f>IF(A4465&lt;&gt;"",TIME(HOUR(TRANSACTIONS!$A4465),MINUTE(TRANSACTIONS!$A4465),SECOND(TRANSACTIONS!$A4465)),"")</f>
        <v>0.61663194444444447</v>
      </c>
      <c r="D4465" s="82" t="s">
        <v>25</v>
      </c>
      <c r="E4465" s="82" t="s">
        <v>7</v>
      </c>
      <c r="F4465" s="88">
        <v>2000</v>
      </c>
      <c r="G4465" s="46"/>
      <c r="H4465" s="46">
        <f>IFERROR(TRANSACTIONS!$F4465+TRANSACTIONS!$G4465,"")</f>
        <v>2000</v>
      </c>
      <c r="I4465" s="40" t="s">
        <v>41</v>
      </c>
    </row>
    <row r="4466" spans="1:9" x14ac:dyDescent="0.25">
      <c r="A4466" s="41">
        <v>45376.616638425927</v>
      </c>
      <c r="B4466" s="48">
        <f>IF(A4466&lt;&gt;"",DATE(YEAR(TRANSACTIONS!$A4466),MONTH(TRANSACTIONS!$A4466),DAY(TRANSACTIONS!$A4466)),"")</f>
        <v>45376</v>
      </c>
      <c r="C4466" s="49">
        <f>IF(A4466&lt;&gt;"",TIME(HOUR(TRANSACTIONS!$A4466),MINUTE(TRANSACTIONS!$A4466),SECOND(TRANSACTIONS!$A4466)),"")</f>
        <v>0.61664351851851851</v>
      </c>
      <c r="D4466" s="82" t="s">
        <v>25</v>
      </c>
      <c r="E4466" s="82" t="s">
        <v>7</v>
      </c>
      <c r="F4466" s="88">
        <v>2000</v>
      </c>
      <c r="G4466" s="46"/>
      <c r="H4466" s="46">
        <f>IFERROR(TRANSACTIONS!$F4466+TRANSACTIONS!$G4466,"")</f>
        <v>2000</v>
      </c>
      <c r="I4466" s="40" t="s">
        <v>41</v>
      </c>
    </row>
    <row r="4467" spans="1:9" x14ac:dyDescent="0.25">
      <c r="A4467" s="41">
        <v>45376.621871180556</v>
      </c>
      <c r="B4467" s="48">
        <f>IF(A4467&lt;&gt;"",DATE(YEAR(TRANSACTIONS!$A4467),MONTH(TRANSACTIONS!$A4467),DAY(TRANSACTIONS!$A4467)),"")</f>
        <v>45376</v>
      </c>
      <c r="C4467" s="49">
        <f>IF(A4467&lt;&gt;"",TIME(HOUR(TRANSACTIONS!$A4467),MINUTE(TRANSACTIONS!$A4467),SECOND(TRANSACTIONS!$A4467)),"")</f>
        <v>0.62187500000000007</v>
      </c>
      <c r="D4467" s="82" t="s">
        <v>25</v>
      </c>
      <c r="E4467" s="82" t="s">
        <v>6</v>
      </c>
      <c r="F4467" s="88">
        <v>500</v>
      </c>
      <c r="G4467" s="46"/>
      <c r="H4467" s="46">
        <f>IFERROR(TRANSACTIONS!$F4467+TRANSACTIONS!$G4467,"")</f>
        <v>500</v>
      </c>
      <c r="I4467" s="40" t="s">
        <v>41</v>
      </c>
    </row>
    <row r="4468" spans="1:9" x14ac:dyDescent="0.25">
      <c r="A4468" s="41">
        <v>45376.62188402778</v>
      </c>
      <c r="B4468" s="48">
        <f>IF(A4468&lt;&gt;"",DATE(YEAR(TRANSACTIONS!$A4468),MONTH(TRANSACTIONS!$A4468),DAY(TRANSACTIONS!$A4468)),"")</f>
        <v>45376</v>
      </c>
      <c r="C4468" s="49">
        <f>IF(A4468&lt;&gt;"",TIME(HOUR(TRANSACTIONS!$A4468),MINUTE(TRANSACTIONS!$A4468),SECOND(TRANSACTIONS!$A4468)),"")</f>
        <v>0.62188657407407411</v>
      </c>
      <c r="D4468" s="82" t="s">
        <v>25</v>
      </c>
      <c r="E4468" s="82" t="s">
        <v>7</v>
      </c>
      <c r="F4468" s="88">
        <v>11000</v>
      </c>
      <c r="G4468" s="46"/>
      <c r="H4468" s="46">
        <f>IFERROR(TRANSACTIONS!$F4468+TRANSACTIONS!$G4468,"")</f>
        <v>11000</v>
      </c>
      <c r="I4468" s="40" t="s">
        <v>41</v>
      </c>
    </row>
    <row r="4469" spans="1:9" x14ac:dyDescent="0.25">
      <c r="A4469" s="41">
        <v>45376.721317013886</v>
      </c>
      <c r="B4469" s="48">
        <f>IF(A4469&lt;&gt;"",DATE(YEAR(TRANSACTIONS!$A4469),MONTH(TRANSACTIONS!$A4469),DAY(TRANSACTIONS!$A4469)),"")</f>
        <v>45376</v>
      </c>
      <c r="C4469" s="49">
        <f>IF(A4469&lt;&gt;"",TIME(HOUR(TRANSACTIONS!$A4469),MINUTE(TRANSACTIONS!$A4469),SECOND(TRANSACTIONS!$A4469)),"")</f>
        <v>0.72131944444444451</v>
      </c>
      <c r="D4469" s="82" t="s">
        <v>25</v>
      </c>
      <c r="E4469" s="82" t="s">
        <v>6</v>
      </c>
      <c r="F4469" s="88">
        <v>15000</v>
      </c>
      <c r="G4469" s="46"/>
      <c r="H4469" s="46">
        <f>IFERROR(TRANSACTIONS!$F4469+TRANSACTIONS!$G4469,"")</f>
        <v>15000</v>
      </c>
      <c r="I4469" s="40" t="s">
        <v>41</v>
      </c>
    </row>
    <row r="4470" spans="1:9" x14ac:dyDescent="0.25">
      <c r="A4470" s="41">
        <v>45376.721350115738</v>
      </c>
      <c r="B4470" s="48">
        <f>IF(A4470&lt;&gt;"",DATE(YEAR(TRANSACTIONS!$A4470),MONTH(TRANSACTIONS!$A4470),DAY(TRANSACTIONS!$A4470)),"")</f>
        <v>45376</v>
      </c>
      <c r="C4470" s="49">
        <f>IF(A4470&lt;&gt;"",TIME(HOUR(TRANSACTIONS!$A4470),MINUTE(TRANSACTIONS!$A4470),SECOND(TRANSACTIONS!$A4470)),"")</f>
        <v>0.72135416666666663</v>
      </c>
      <c r="D4470" s="82" t="s">
        <v>25</v>
      </c>
      <c r="E4470" s="82" t="s">
        <v>7</v>
      </c>
      <c r="F4470" s="88">
        <v>5000</v>
      </c>
      <c r="G4470" s="46"/>
      <c r="H4470" s="46">
        <f>IFERROR(TRANSACTIONS!$F4470+TRANSACTIONS!$G4470,"")</f>
        <v>5000</v>
      </c>
      <c r="I4470" s="40" t="s">
        <v>41</v>
      </c>
    </row>
    <row r="4471" spans="1:9" x14ac:dyDescent="0.25">
      <c r="A4471" s="41">
        <v>45376.721361342592</v>
      </c>
      <c r="B4471" s="48">
        <f>IF(A4471&lt;&gt;"",DATE(YEAR(TRANSACTIONS!$A4471),MONTH(TRANSACTIONS!$A4471),DAY(TRANSACTIONS!$A4471)),"")</f>
        <v>45376</v>
      </c>
      <c r="C4471" s="49">
        <f>IF(A4471&lt;&gt;"",TIME(HOUR(TRANSACTIONS!$A4471),MINUTE(TRANSACTIONS!$A4471),SECOND(TRANSACTIONS!$A4471)),"")</f>
        <v>0.72136574074074078</v>
      </c>
      <c r="D4471" s="82" t="s">
        <v>25</v>
      </c>
      <c r="E4471" s="82" t="s">
        <v>7</v>
      </c>
      <c r="F4471" s="88">
        <v>3000</v>
      </c>
      <c r="G4471" s="46"/>
      <c r="H4471" s="46">
        <f>IFERROR(TRANSACTIONS!$F4471+TRANSACTIONS!$G4471,"")</f>
        <v>3000</v>
      </c>
      <c r="I4471" s="40" t="s">
        <v>41</v>
      </c>
    </row>
    <row r="4472" spans="1:9" x14ac:dyDescent="0.25">
      <c r="A4472" s="41">
        <v>45376.721376967595</v>
      </c>
      <c r="B4472" s="48">
        <f>IF(A4472&lt;&gt;"",DATE(YEAR(TRANSACTIONS!$A4472),MONTH(TRANSACTIONS!$A4472),DAY(TRANSACTIONS!$A4472)),"")</f>
        <v>45376</v>
      </c>
      <c r="C4472" s="49">
        <f>IF(A4472&lt;&gt;"",TIME(HOUR(TRANSACTIONS!$A4472),MINUTE(TRANSACTIONS!$A4472),SECOND(TRANSACTIONS!$A4472)),"")</f>
        <v>0.72137731481481471</v>
      </c>
      <c r="D4472" s="82" t="s">
        <v>25</v>
      </c>
      <c r="E4472" s="82" t="s">
        <v>7</v>
      </c>
      <c r="F4472" s="88">
        <v>82000</v>
      </c>
      <c r="G4472" s="46"/>
      <c r="H4472" s="46">
        <f>IFERROR(TRANSACTIONS!$F4472+TRANSACTIONS!$G4472,"")</f>
        <v>82000</v>
      </c>
      <c r="I4472" s="40" t="s">
        <v>41</v>
      </c>
    </row>
    <row r="4473" spans="1:9" x14ac:dyDescent="0.25">
      <c r="A4473" s="41">
        <v>45376.721385648147</v>
      </c>
      <c r="B4473" s="48">
        <f>IF(A4473&lt;&gt;"",DATE(YEAR(TRANSACTIONS!$A4473),MONTH(TRANSACTIONS!$A4473),DAY(TRANSACTIONS!$A4473)),"")</f>
        <v>45376</v>
      </c>
      <c r="C4473" s="49">
        <f>IF(A4473&lt;&gt;"",TIME(HOUR(TRANSACTIONS!$A4473),MINUTE(TRANSACTIONS!$A4473),SECOND(TRANSACTIONS!$A4473)),"")</f>
        <v>0.72138888888888886</v>
      </c>
      <c r="D4473" s="82" t="s">
        <v>62</v>
      </c>
      <c r="E4473" s="82" t="s">
        <v>7</v>
      </c>
      <c r="F4473" s="88">
        <v>18000</v>
      </c>
      <c r="G4473" s="46"/>
      <c r="H4473" s="46">
        <f>IFERROR(TRANSACTIONS!$F4473+TRANSACTIONS!$G4473,"")</f>
        <v>18000</v>
      </c>
      <c r="I4473" s="40" t="s">
        <v>41</v>
      </c>
    </row>
    <row r="4474" spans="1:9" x14ac:dyDescent="0.25">
      <c r="A4474" s="41">
        <v>45376.721402199073</v>
      </c>
      <c r="B4474" s="48">
        <f>IF(A4474&lt;&gt;"",DATE(YEAR(TRANSACTIONS!$A4474),MONTH(TRANSACTIONS!$A4474),DAY(TRANSACTIONS!$A4474)),"")</f>
        <v>45376</v>
      </c>
      <c r="C4474" s="49">
        <f>IF(A4474&lt;&gt;"",TIME(HOUR(TRANSACTIONS!$A4474),MINUTE(TRANSACTIONS!$A4474),SECOND(TRANSACTIONS!$A4474)),"")</f>
        <v>0.72140046296296301</v>
      </c>
      <c r="D4474" s="82" t="s">
        <v>62</v>
      </c>
      <c r="E4474" s="82" t="s">
        <v>7</v>
      </c>
      <c r="F4474" s="88">
        <v>12000</v>
      </c>
      <c r="G4474" s="46"/>
      <c r="H4474" s="46">
        <f>IFERROR(TRANSACTIONS!$F4474+TRANSACTIONS!$G4474,"")</f>
        <v>12000</v>
      </c>
      <c r="I4474" s="40" t="s">
        <v>41</v>
      </c>
    </row>
    <row r="4475" spans="1:9" x14ac:dyDescent="0.25">
      <c r="A4475" s="41">
        <v>45376.721432523147</v>
      </c>
      <c r="B4475" s="48">
        <f>IF(A4475&lt;&gt;"",DATE(YEAR(TRANSACTIONS!$A4475),MONTH(TRANSACTIONS!$A4475),DAY(TRANSACTIONS!$A4475)),"")</f>
        <v>45376</v>
      </c>
      <c r="C4475" s="49">
        <f>IF(A4475&lt;&gt;"",TIME(HOUR(TRANSACTIONS!$A4475),MINUTE(TRANSACTIONS!$A4475),SECOND(TRANSACTIONS!$A4475)),"")</f>
        <v>0.72143518518518512</v>
      </c>
      <c r="D4475" s="82" t="s">
        <v>62</v>
      </c>
      <c r="E4475" s="82" t="s">
        <v>6</v>
      </c>
      <c r="F4475" s="88">
        <v>10000</v>
      </c>
      <c r="G4475" s="46"/>
      <c r="H4475" s="46">
        <f>IFERROR(TRANSACTIONS!$F4475+TRANSACTIONS!$G4475,"")</f>
        <v>10000</v>
      </c>
      <c r="I4475" s="40" t="s">
        <v>41</v>
      </c>
    </row>
    <row r="4476" spans="1:9" x14ac:dyDescent="0.25">
      <c r="A4476" s="41">
        <v>45376.721474189813</v>
      </c>
      <c r="B4476" s="48">
        <f>IF(A4476&lt;&gt;"",DATE(YEAR(TRANSACTIONS!$A4476),MONTH(TRANSACTIONS!$A4476),DAY(TRANSACTIONS!$A4476)),"")</f>
        <v>45376</v>
      </c>
      <c r="C4476" s="49">
        <f>IF(A4476&lt;&gt;"",TIME(HOUR(TRANSACTIONS!$A4476),MINUTE(TRANSACTIONS!$A4476),SECOND(TRANSACTIONS!$A4476)),"")</f>
        <v>0.72146990740740735</v>
      </c>
      <c r="D4476" s="82" t="s">
        <v>62</v>
      </c>
      <c r="E4476" s="82" t="s">
        <v>7</v>
      </c>
      <c r="F4476" s="88">
        <v>35000</v>
      </c>
      <c r="G4476" s="46"/>
      <c r="H4476" s="46">
        <f>IFERROR(TRANSACTIONS!$F4476+TRANSACTIONS!$G4476,"")</f>
        <v>35000</v>
      </c>
      <c r="I4476" s="40" t="s">
        <v>41</v>
      </c>
    </row>
    <row r="4477" spans="1:9" x14ac:dyDescent="0.25">
      <c r="A4477" s="41">
        <v>45376.721494791665</v>
      </c>
      <c r="B4477" s="48">
        <f>IF(A4477&lt;&gt;"",DATE(YEAR(TRANSACTIONS!$A4477),MONTH(TRANSACTIONS!$A4477),DAY(TRANSACTIONS!$A4477)),"")</f>
        <v>45376</v>
      </c>
      <c r="C4477" s="49">
        <f>IF(A4477&lt;&gt;"",TIME(HOUR(TRANSACTIONS!$A4477),MINUTE(TRANSACTIONS!$A4477),SECOND(TRANSACTIONS!$A4477)),"")</f>
        <v>0.72149305555555554</v>
      </c>
      <c r="D4477" s="82" t="s">
        <v>62</v>
      </c>
      <c r="E4477" s="82" t="s">
        <v>7</v>
      </c>
      <c r="F4477" s="88">
        <v>5000</v>
      </c>
      <c r="G4477" s="46"/>
      <c r="H4477" s="46">
        <f>IFERROR(TRANSACTIONS!$F4477+TRANSACTIONS!$G4477,"")</f>
        <v>5000</v>
      </c>
      <c r="I4477" s="40" t="s">
        <v>41</v>
      </c>
    </row>
    <row r="4478" spans="1:9" x14ac:dyDescent="0.25">
      <c r="A4478" s="41">
        <v>45376.721546759261</v>
      </c>
      <c r="B4478" s="48">
        <f>IF(A4478&lt;&gt;"",DATE(YEAR(TRANSACTIONS!$A4478),MONTH(TRANSACTIONS!$A4478),DAY(TRANSACTIONS!$A4478)),"")</f>
        <v>45376</v>
      </c>
      <c r="C4478" s="49">
        <f>IF(A4478&lt;&gt;"",TIME(HOUR(TRANSACTIONS!$A4478),MINUTE(TRANSACTIONS!$A4478),SECOND(TRANSACTIONS!$A4478)),"")</f>
        <v>0.72155092592592596</v>
      </c>
      <c r="D4478" s="82" t="s">
        <v>62</v>
      </c>
      <c r="E4478" s="82" t="s">
        <v>6</v>
      </c>
      <c r="F4478" s="88">
        <v>2000</v>
      </c>
      <c r="G4478" s="46"/>
      <c r="H4478" s="46">
        <f>IFERROR(TRANSACTIONS!$F4478+TRANSACTIONS!$G4478,"")</f>
        <v>2000</v>
      </c>
      <c r="I4478" s="40" t="s">
        <v>41</v>
      </c>
    </row>
    <row r="4479" spans="1:9" x14ac:dyDescent="0.25">
      <c r="A4479" s="41">
        <v>45376.721641319447</v>
      </c>
      <c r="B4479" s="48">
        <f>IF(A4479&lt;&gt;"",DATE(YEAR(TRANSACTIONS!$A4479),MONTH(TRANSACTIONS!$A4479),DAY(TRANSACTIONS!$A4479)),"")</f>
        <v>45376</v>
      </c>
      <c r="C4479" s="49">
        <f>IF(A4479&lt;&gt;"",TIME(HOUR(TRANSACTIONS!$A4479),MINUTE(TRANSACTIONS!$A4479),SECOND(TRANSACTIONS!$A4479)),"")</f>
        <v>0.72164351851851849</v>
      </c>
      <c r="D4479" s="82" t="s">
        <v>62</v>
      </c>
      <c r="E4479" s="82" t="s">
        <v>7</v>
      </c>
      <c r="F4479" s="88">
        <v>3000</v>
      </c>
      <c r="G4479" s="46"/>
      <c r="H4479" s="46">
        <f>IFERROR(TRANSACTIONS!$F4479+TRANSACTIONS!$G4479,"")</f>
        <v>3000</v>
      </c>
      <c r="I4479" s="40" t="s">
        <v>41</v>
      </c>
    </row>
    <row r="4480" spans="1:9" x14ac:dyDescent="0.25">
      <c r="A4480" s="81">
        <v>45376.723195949075</v>
      </c>
      <c r="B4480" s="83">
        <f>IF(A4480&lt;&gt;"",DATE(YEAR(TRANSACTIONS!$A4480),MONTH(TRANSACTIONS!$A4480),DAY(TRANSACTIONS!$A4480)),"")</f>
        <v>45376</v>
      </c>
      <c r="C4480" s="84">
        <f>IF(A4480&lt;&gt;"",TIME(HOUR(TRANSACTIONS!$A4480),MINUTE(TRANSACTIONS!$A4480),SECOND(TRANSACTIONS!$A4480)),"")</f>
        <v>0.72319444444444436</v>
      </c>
      <c r="D4480" s="82" t="s">
        <v>62</v>
      </c>
      <c r="E4480" s="82" t="s">
        <v>7</v>
      </c>
      <c r="F4480" s="88">
        <v>8500</v>
      </c>
      <c r="G4480" s="86"/>
      <c r="H4480" s="86">
        <f>IFERROR(TRANSACTIONS!$F4480+TRANSACTIONS!$G4480,"")</f>
        <v>8500</v>
      </c>
      <c r="I4480" s="88" t="s">
        <v>41</v>
      </c>
    </row>
    <row r="4481" spans="1:9" x14ac:dyDescent="0.25">
      <c r="A4481" s="81">
        <v>45376.723199652777</v>
      </c>
      <c r="B4481" s="83">
        <f>IF(A4481&lt;&gt;"",DATE(YEAR(TRANSACTIONS!$A4481),MONTH(TRANSACTIONS!$A4481),DAY(TRANSACTIONS!$A4481)),"")</f>
        <v>45376</v>
      </c>
      <c r="C4481" s="84">
        <f>IF(A4481&lt;&gt;"",TIME(HOUR(TRANSACTIONS!$A4481),MINUTE(TRANSACTIONS!$A4481),SECOND(TRANSACTIONS!$A4481)),"")</f>
        <v>0.72319444444444436</v>
      </c>
      <c r="D4481" s="82" t="s">
        <v>62</v>
      </c>
      <c r="E4481" s="82" t="s">
        <v>7</v>
      </c>
      <c r="F4481" s="88">
        <v>5000</v>
      </c>
      <c r="G4481" s="86"/>
      <c r="H4481" s="86">
        <f>IFERROR(TRANSACTIONS!$F4481+TRANSACTIONS!$G4481,"")</f>
        <v>5000</v>
      </c>
      <c r="I4481" s="88" t="s">
        <v>41</v>
      </c>
    </row>
    <row r="4482" spans="1:9" x14ac:dyDescent="0.25">
      <c r="A4482" s="41">
        <v>45376.723228587965</v>
      </c>
      <c r="B4482" s="48">
        <f>IF(A4482&lt;&gt;"",DATE(YEAR(TRANSACTIONS!$A4482),MONTH(TRANSACTIONS!$A4482),DAY(TRANSACTIONS!$A4482)),"")</f>
        <v>45376</v>
      </c>
      <c r="C4482" s="49">
        <f>IF(A4482&lt;&gt;"",TIME(HOUR(TRANSACTIONS!$A4482),MINUTE(TRANSACTIONS!$A4482),SECOND(TRANSACTIONS!$A4482)),"")</f>
        <v>0.7232291666666667</v>
      </c>
      <c r="D4482" s="82" t="s">
        <v>62</v>
      </c>
      <c r="E4482" s="82" t="s">
        <v>7</v>
      </c>
      <c r="F4482" s="88">
        <v>10000</v>
      </c>
      <c r="G4482" s="46"/>
      <c r="H4482" s="46">
        <f>IFERROR(TRANSACTIONS!$F4482+TRANSACTIONS!$G4482,"")</f>
        <v>10000</v>
      </c>
      <c r="I4482" s="40" t="s">
        <v>41</v>
      </c>
    </row>
    <row r="4483" spans="1:9" x14ac:dyDescent="0.25">
      <c r="A4483" s="41">
        <v>45376.723236689817</v>
      </c>
      <c r="B4483" s="48">
        <f>IF(A4483&lt;&gt;"",DATE(YEAR(TRANSACTIONS!$A4483),MONTH(TRANSACTIONS!$A4483),DAY(TRANSACTIONS!$A4483)),"")</f>
        <v>45376</v>
      </c>
      <c r="C4483" s="49">
        <f>IF(A4483&lt;&gt;"",TIME(HOUR(TRANSACTIONS!$A4483),MINUTE(TRANSACTIONS!$A4483),SECOND(TRANSACTIONS!$A4483)),"")</f>
        <v>0.72324074074074074</v>
      </c>
      <c r="D4483" s="82" t="s">
        <v>62</v>
      </c>
      <c r="E4483" s="82" t="s">
        <v>6</v>
      </c>
      <c r="F4483" s="88">
        <v>7000</v>
      </c>
      <c r="G4483" s="46"/>
      <c r="H4483" s="46">
        <f>IFERROR(TRANSACTIONS!$F4483+TRANSACTIONS!$G4483,"")</f>
        <v>7000</v>
      </c>
      <c r="I4483" s="40" t="s">
        <v>41</v>
      </c>
    </row>
    <row r="4484" spans="1:9" x14ac:dyDescent="0.25">
      <c r="A4484" s="41">
        <v>45376.723243749999</v>
      </c>
      <c r="B4484" s="48">
        <f>IF(A4484&lt;&gt;"",DATE(YEAR(TRANSACTIONS!$A4484),MONTH(TRANSACTIONS!$A4484),DAY(TRANSACTIONS!$A4484)),"")</f>
        <v>45376</v>
      </c>
      <c r="C4484" s="49">
        <f>IF(A4484&lt;&gt;"",TIME(HOUR(TRANSACTIONS!$A4484),MINUTE(TRANSACTIONS!$A4484),SECOND(TRANSACTIONS!$A4484)),"")</f>
        <v>0.72324074074074074</v>
      </c>
      <c r="D4484" s="82" t="s">
        <v>62</v>
      </c>
      <c r="E4484" s="82" t="s">
        <v>6</v>
      </c>
      <c r="F4484" s="88">
        <v>10100</v>
      </c>
      <c r="G4484" s="46"/>
      <c r="H4484" s="46">
        <f>IFERROR(TRANSACTIONS!$F4484+TRANSACTIONS!$G4484,"")</f>
        <v>10100</v>
      </c>
      <c r="I4484" s="40" t="s">
        <v>41</v>
      </c>
    </row>
    <row r="4485" spans="1:9" x14ac:dyDescent="0.25">
      <c r="A4485" s="41">
        <v>45376.723264351851</v>
      </c>
      <c r="B4485" s="48">
        <f>IF(A4485&lt;&gt;"",DATE(YEAR(TRANSACTIONS!$A4485),MONTH(TRANSACTIONS!$A4485),DAY(TRANSACTIONS!$A4485)),"")</f>
        <v>45376</v>
      </c>
      <c r="C4485" s="49">
        <f>IF(A4485&lt;&gt;"",TIME(HOUR(TRANSACTIONS!$A4485),MINUTE(TRANSACTIONS!$A4485),SECOND(TRANSACTIONS!$A4485)),"")</f>
        <v>0.72326388888888893</v>
      </c>
      <c r="D4485" s="82" t="s">
        <v>62</v>
      </c>
      <c r="E4485" s="82" t="s">
        <v>6</v>
      </c>
      <c r="F4485" s="88">
        <v>3000</v>
      </c>
      <c r="G4485" s="46"/>
      <c r="H4485" s="46">
        <f>IFERROR(TRANSACTIONS!$F4485+TRANSACTIONS!$G4485,"")</f>
        <v>3000</v>
      </c>
      <c r="I4485" s="40" t="s">
        <v>41</v>
      </c>
    </row>
    <row r="4486" spans="1:9" x14ac:dyDescent="0.25">
      <c r="A4486" s="113">
        <v>45376.723274884258</v>
      </c>
      <c r="B4486" s="114">
        <f>IF(A4486&lt;&gt;"",DATE(YEAR(TRANSACTIONS!$A4486),MONTH(TRANSACTIONS!$A4486),DAY(TRANSACTIONS!$A4486)),"")</f>
        <v>45376</v>
      </c>
      <c r="C4486" s="115">
        <f>IF(A4486&lt;&gt;"",TIME(HOUR(TRANSACTIONS!$A4486),MINUTE(TRANSACTIONS!$A4486),SECOND(TRANSACTIONS!$A4486)),"")</f>
        <v>0.72327546296296286</v>
      </c>
      <c r="D4486" s="82" t="s">
        <v>62</v>
      </c>
      <c r="E4486" s="82" t="s">
        <v>7</v>
      </c>
      <c r="F4486" s="88">
        <v>10000</v>
      </c>
      <c r="G4486" s="117"/>
      <c r="H4486" s="117">
        <f>IFERROR(TRANSACTIONS!$F4486+TRANSACTIONS!$G4486,"")</f>
        <v>10000</v>
      </c>
      <c r="I4486" s="118" t="s">
        <v>41</v>
      </c>
    </row>
    <row r="4487" spans="1:9" x14ac:dyDescent="0.25">
      <c r="A4487" s="41">
        <v>45376.723282870371</v>
      </c>
      <c r="B4487" s="48">
        <f>IF(A4487&lt;&gt;"",DATE(YEAR(TRANSACTIONS!$A4487),MONTH(TRANSACTIONS!$A4487),DAY(TRANSACTIONS!$A4487)),"")</f>
        <v>45376</v>
      </c>
      <c r="C4487" s="49">
        <f>IF(A4487&lt;&gt;"",TIME(HOUR(TRANSACTIONS!$A4487),MINUTE(TRANSACTIONS!$A4487),SECOND(TRANSACTIONS!$A4487)),"")</f>
        <v>0.72328703703703701</v>
      </c>
      <c r="D4487" s="82" t="s">
        <v>62</v>
      </c>
      <c r="E4487" s="82" t="s">
        <v>7</v>
      </c>
      <c r="F4487" s="88">
        <v>5000</v>
      </c>
      <c r="G4487" s="46"/>
      <c r="H4487" s="46">
        <f>IFERROR(TRANSACTIONS!$F4487+TRANSACTIONS!$G4487,"")</f>
        <v>5000</v>
      </c>
      <c r="I4487" s="40" t="s">
        <v>41</v>
      </c>
    </row>
    <row r="4488" spans="1:9" x14ac:dyDescent="0.25">
      <c r="A4488" s="41">
        <v>45376.723290624999</v>
      </c>
      <c r="B4488" s="48">
        <f>IF(A4488&lt;&gt;"",DATE(YEAR(TRANSACTIONS!$A4488),MONTH(TRANSACTIONS!$A4488),DAY(TRANSACTIONS!$A4488)),"")</f>
        <v>45376</v>
      </c>
      <c r="C4488" s="49">
        <f>IF(A4488&lt;&gt;"",TIME(HOUR(TRANSACTIONS!$A4488),MINUTE(TRANSACTIONS!$A4488),SECOND(TRANSACTIONS!$A4488)),"")</f>
        <v>0.72328703703703701</v>
      </c>
      <c r="D4488" s="82" t="s">
        <v>62</v>
      </c>
      <c r="E4488" s="82" t="s">
        <v>6</v>
      </c>
      <c r="F4488" s="88">
        <v>25000</v>
      </c>
      <c r="G4488" s="46"/>
      <c r="H4488" s="46">
        <f>IFERROR(TRANSACTIONS!$F4488+TRANSACTIONS!$G4488,"")</f>
        <v>25000</v>
      </c>
      <c r="I4488" s="40" t="s">
        <v>41</v>
      </c>
    </row>
    <row r="4489" spans="1:9" x14ac:dyDescent="0.25">
      <c r="A4489" s="41">
        <v>45376.72329814815</v>
      </c>
      <c r="B4489" s="48">
        <f>IF(A4489&lt;&gt;"",DATE(YEAR(TRANSACTIONS!$A4489),MONTH(TRANSACTIONS!$A4489),DAY(TRANSACTIONS!$A4489)),"")</f>
        <v>45376</v>
      </c>
      <c r="C4489" s="49">
        <f>IF(A4489&lt;&gt;"",TIME(HOUR(TRANSACTIONS!$A4489),MINUTE(TRANSACTIONS!$A4489),SECOND(TRANSACTIONS!$A4489)),"")</f>
        <v>0.72329861111111116</v>
      </c>
      <c r="D4489" s="82" t="s">
        <v>62</v>
      </c>
      <c r="E4489" s="82" t="s">
        <v>6</v>
      </c>
      <c r="F4489" s="88">
        <v>100000</v>
      </c>
      <c r="G4489" s="46"/>
      <c r="H4489" s="46">
        <f>IFERROR(TRANSACTIONS!$F4489+TRANSACTIONS!$G4489,"")</f>
        <v>100000</v>
      </c>
      <c r="I4489" s="40" t="s">
        <v>41</v>
      </c>
    </row>
    <row r="4490" spans="1:9" x14ac:dyDescent="0.25">
      <c r="A4490" s="41">
        <v>45376.723306018517</v>
      </c>
      <c r="B4490" s="48">
        <f>IF(A4490&lt;&gt;"",DATE(YEAR(TRANSACTIONS!$A4490),MONTH(TRANSACTIONS!$A4490),DAY(TRANSACTIONS!$A4490)),"")</f>
        <v>45376</v>
      </c>
      <c r="C4490" s="49">
        <f>IF(A4490&lt;&gt;"",TIME(HOUR(TRANSACTIONS!$A4490),MINUTE(TRANSACTIONS!$A4490),SECOND(TRANSACTIONS!$A4490)),"")</f>
        <v>0.72331018518518519</v>
      </c>
      <c r="D4490" s="82" t="s">
        <v>62</v>
      </c>
      <c r="E4490" s="82" t="s">
        <v>7</v>
      </c>
      <c r="F4490" s="88">
        <v>1000</v>
      </c>
      <c r="G4490" s="46"/>
      <c r="H4490" s="46">
        <f>IFERROR(TRANSACTIONS!$F4490+TRANSACTIONS!$G4490,"")</f>
        <v>1000</v>
      </c>
      <c r="I4490" s="40" t="s">
        <v>41</v>
      </c>
    </row>
    <row r="4491" spans="1:9" x14ac:dyDescent="0.25">
      <c r="A4491" s="41">
        <v>45376.723331944442</v>
      </c>
      <c r="B4491" s="48">
        <f>IF(A4491&lt;&gt;"",DATE(YEAR(TRANSACTIONS!$A4491),MONTH(TRANSACTIONS!$A4491),DAY(TRANSACTIONS!$A4491)),"")</f>
        <v>45376</v>
      </c>
      <c r="C4491" s="49">
        <f>IF(A4491&lt;&gt;"",TIME(HOUR(TRANSACTIONS!$A4491),MINUTE(TRANSACTIONS!$A4491),SECOND(TRANSACTIONS!$A4491)),"")</f>
        <v>0.72333333333333327</v>
      </c>
      <c r="D4491" s="82" t="s">
        <v>62</v>
      </c>
      <c r="E4491" s="82" t="s">
        <v>6</v>
      </c>
      <c r="F4491" s="88">
        <v>2800</v>
      </c>
      <c r="G4491" s="46"/>
      <c r="H4491" s="46">
        <f>IFERROR(TRANSACTIONS!$F4491+TRANSACTIONS!$G4491,"")</f>
        <v>2800</v>
      </c>
      <c r="I4491" s="40" t="s">
        <v>41</v>
      </c>
    </row>
    <row r="4492" spans="1:9" x14ac:dyDescent="0.25">
      <c r="A4492" s="81">
        <v>45376.723402662035</v>
      </c>
      <c r="B4492" s="83">
        <f>IF(A4492&lt;&gt;"",DATE(YEAR(TRANSACTIONS!$A4492),MONTH(TRANSACTIONS!$A4492),DAY(TRANSACTIONS!$A4492)),"")</f>
        <v>45376</v>
      </c>
      <c r="C4492" s="84">
        <f>IF(A4492&lt;&gt;"",TIME(HOUR(TRANSACTIONS!$A4492),MINUTE(TRANSACTIONS!$A4492),SECOND(TRANSACTIONS!$A4492)),"")</f>
        <v>0.72340277777777784</v>
      </c>
      <c r="D4492" s="82" t="s">
        <v>62</v>
      </c>
      <c r="E4492" s="82" t="s">
        <v>7</v>
      </c>
      <c r="F4492" s="88">
        <v>10000</v>
      </c>
      <c r="G4492" s="86"/>
      <c r="H4492" s="86">
        <f>IFERROR(TRANSACTIONS!$F4492+TRANSACTIONS!$G4492,"")</f>
        <v>10000</v>
      </c>
      <c r="I4492" s="88" t="s">
        <v>41</v>
      </c>
    </row>
    <row r="4493" spans="1:9" x14ac:dyDescent="0.25">
      <c r="A4493" s="81">
        <v>45376.723455092593</v>
      </c>
      <c r="B4493" s="83">
        <f>IF(A4493&lt;&gt;"",DATE(YEAR(TRANSACTIONS!$A4493),MONTH(TRANSACTIONS!$A4493),DAY(TRANSACTIONS!$A4493)),"")</f>
        <v>45376</v>
      </c>
      <c r="C4493" s="84">
        <f>IF(A4493&lt;&gt;"",TIME(HOUR(TRANSACTIONS!$A4493),MINUTE(TRANSACTIONS!$A4493),SECOND(TRANSACTIONS!$A4493)),"")</f>
        <v>0.72346064814814814</v>
      </c>
      <c r="D4493" s="82" t="s">
        <v>62</v>
      </c>
      <c r="E4493" s="82" t="s">
        <v>7</v>
      </c>
      <c r="F4493" s="88">
        <v>5000</v>
      </c>
      <c r="G4493" s="86"/>
      <c r="H4493" s="86">
        <f>IFERROR(TRANSACTIONS!$F4493+TRANSACTIONS!$G4493,"")</f>
        <v>5000</v>
      </c>
      <c r="I4493" s="88" t="s">
        <v>41</v>
      </c>
    </row>
    <row r="4494" spans="1:9" x14ac:dyDescent="0.25">
      <c r="A4494" s="41">
        <v>45376.723464699076</v>
      </c>
      <c r="B4494" s="48">
        <f>IF(A4494&lt;&gt;"",DATE(YEAR(TRANSACTIONS!$A4494),MONTH(TRANSACTIONS!$A4494),DAY(TRANSACTIONS!$A4494)),"")</f>
        <v>45376</v>
      </c>
      <c r="C4494" s="49">
        <f>IF(A4494&lt;&gt;"",TIME(HOUR(TRANSACTIONS!$A4494),MINUTE(TRANSACTIONS!$A4494),SECOND(TRANSACTIONS!$A4494)),"")</f>
        <v>0.72346064814814814</v>
      </c>
      <c r="D4494" s="82" t="s">
        <v>62</v>
      </c>
      <c r="E4494" s="82" t="s">
        <v>6</v>
      </c>
      <c r="F4494" s="88">
        <v>10000</v>
      </c>
      <c r="G4494" s="46"/>
      <c r="H4494" s="46">
        <f>IFERROR(TRANSACTIONS!$F4494+TRANSACTIONS!$G4494,"")</f>
        <v>10000</v>
      </c>
      <c r="I4494" s="40" t="s">
        <v>41</v>
      </c>
    </row>
    <row r="4495" spans="1:9" x14ac:dyDescent="0.25">
      <c r="A4495" s="41">
        <v>45376.723473148151</v>
      </c>
      <c r="B4495" s="48">
        <f>IF(A4495&lt;&gt;"",DATE(YEAR(TRANSACTIONS!$A4495),MONTH(TRANSACTIONS!$A4495),DAY(TRANSACTIONS!$A4495)),"")</f>
        <v>45376</v>
      </c>
      <c r="C4495" s="49">
        <f>IF(A4495&lt;&gt;"",TIME(HOUR(TRANSACTIONS!$A4495),MINUTE(TRANSACTIONS!$A4495),SECOND(TRANSACTIONS!$A4495)),"")</f>
        <v>0.72347222222222218</v>
      </c>
      <c r="D4495" s="82" t="s">
        <v>62</v>
      </c>
      <c r="E4495" s="82" t="s">
        <v>7</v>
      </c>
      <c r="F4495" s="88">
        <v>2000</v>
      </c>
      <c r="G4495" s="46"/>
      <c r="H4495" s="46">
        <f>IFERROR(TRANSACTIONS!$F4495+TRANSACTIONS!$G4495,"")</f>
        <v>2000</v>
      </c>
      <c r="I4495" s="40" t="s">
        <v>41</v>
      </c>
    </row>
    <row r="4496" spans="1:9" x14ac:dyDescent="0.25">
      <c r="A4496" s="41">
        <v>45376.723481134257</v>
      </c>
      <c r="B4496" s="48">
        <f>IF(A4496&lt;&gt;"",DATE(YEAR(TRANSACTIONS!$A4496),MONTH(TRANSACTIONS!$A4496),DAY(TRANSACTIONS!$A4496)),"")</f>
        <v>45376</v>
      </c>
      <c r="C4496" s="49">
        <f>IF(A4496&lt;&gt;"",TIME(HOUR(TRANSACTIONS!$A4496),MINUTE(TRANSACTIONS!$A4496),SECOND(TRANSACTIONS!$A4496)),"")</f>
        <v>0.72348379629629633</v>
      </c>
      <c r="D4496" s="82" t="s">
        <v>62</v>
      </c>
      <c r="E4496" s="82" t="s">
        <v>6</v>
      </c>
      <c r="F4496" s="88">
        <v>250000</v>
      </c>
      <c r="G4496" s="46"/>
      <c r="H4496" s="46">
        <f>IFERROR(TRANSACTIONS!$F4496+TRANSACTIONS!$G4496,"")</f>
        <v>250000</v>
      </c>
      <c r="I4496" s="40" t="s">
        <v>41</v>
      </c>
    </row>
    <row r="4497" spans="1:9" x14ac:dyDescent="0.25">
      <c r="A4497" s="41">
        <v>45376.723489351854</v>
      </c>
      <c r="B4497" s="48">
        <f>IF(A4497&lt;&gt;"",DATE(YEAR(TRANSACTIONS!$A4497),MONTH(TRANSACTIONS!$A4497),DAY(TRANSACTIONS!$A4497)),"")</f>
        <v>45376</v>
      </c>
      <c r="C4497" s="49">
        <f>IF(A4497&lt;&gt;"",TIME(HOUR(TRANSACTIONS!$A4497),MINUTE(TRANSACTIONS!$A4497),SECOND(TRANSACTIONS!$A4497)),"")</f>
        <v>0.72348379629629633</v>
      </c>
      <c r="D4497" s="82" t="s">
        <v>62</v>
      </c>
      <c r="E4497" s="82" t="s">
        <v>7</v>
      </c>
      <c r="F4497" s="88">
        <v>4000</v>
      </c>
      <c r="G4497" s="46"/>
      <c r="H4497" s="46">
        <f>IFERROR(TRANSACTIONS!$F4502+TRANSACTIONS!$G4497,"")</f>
        <v>0</v>
      </c>
      <c r="I4497" s="40" t="s">
        <v>41</v>
      </c>
    </row>
    <row r="4498" spans="1:9" x14ac:dyDescent="0.25">
      <c r="A4498" s="41">
        <v>45376.723497453706</v>
      </c>
      <c r="B4498" s="48">
        <f>IF(A4498&lt;&gt;"",DATE(YEAR(TRANSACTIONS!$A4498),MONTH(TRANSACTIONS!$A4498),DAY(TRANSACTIONS!$A4498)),"")</f>
        <v>45376</v>
      </c>
      <c r="C4498" s="49">
        <f>IF(A4498&lt;&gt;"",TIME(HOUR(TRANSACTIONS!$A4498),MINUTE(TRANSACTIONS!$A4498),SECOND(TRANSACTIONS!$A4498)),"")</f>
        <v>0.72349537037037026</v>
      </c>
      <c r="D4498" s="82" t="s">
        <v>62</v>
      </c>
      <c r="E4498" s="82" t="s">
        <v>7</v>
      </c>
      <c r="F4498" s="88">
        <v>3000</v>
      </c>
      <c r="G4498" s="46"/>
      <c r="H4498" s="46">
        <f>IFERROR(TRANSACTIONS!$F4503+TRANSACTIONS!$G4498,"")</f>
        <v>0</v>
      </c>
      <c r="I4498" s="40" t="s">
        <v>41</v>
      </c>
    </row>
    <row r="4499" spans="1:9" x14ac:dyDescent="0.25">
      <c r="A4499" s="41">
        <v>45376.739631249999</v>
      </c>
      <c r="B4499" s="48">
        <f>IF(A4499&lt;&gt;"",DATE(YEAR(TRANSACTIONS!$A4499),MONTH(TRANSACTIONS!$A4499),DAY(TRANSACTIONS!$A4499)),"")</f>
        <v>45376</v>
      </c>
      <c r="C4499" s="49">
        <f>IF(A4499&lt;&gt;"",TIME(HOUR(TRANSACTIONS!$A4499),MINUTE(TRANSACTIONS!$A4499),SECOND(TRANSACTIONS!$A4499)),"")</f>
        <v>0.73962962962962964</v>
      </c>
      <c r="D4499" s="82" t="s">
        <v>64</v>
      </c>
      <c r="E4499" s="82" t="s">
        <v>7</v>
      </c>
      <c r="F4499" s="88">
        <v>500000</v>
      </c>
      <c r="G4499" s="46"/>
      <c r="H4499" s="46">
        <f>IFERROR(TRANSACTIONS!$F4504+TRANSACTIONS!$G4499,"")</f>
        <v>0</v>
      </c>
      <c r="I4499" s="40" t="s">
        <v>41</v>
      </c>
    </row>
    <row r="4500" spans="1:9" x14ac:dyDescent="0.25">
      <c r="A4500" s="41"/>
      <c r="B4500" s="48" t="str">
        <f>IF(A4500&lt;&gt;"",DATE(YEAR(TRANSACTIONS!$A4500),MONTH(TRANSACTIONS!$A4500),DAY(TRANSACTIONS!$A4500)),"")</f>
        <v/>
      </c>
      <c r="C4500" s="49" t="str">
        <f>IF(A4500&lt;&gt;"",TIME(HOUR(TRANSACTIONS!$A4500),MINUTE(TRANSACTIONS!$A4500),SECOND(TRANSACTIONS!$A4500)),"")</f>
        <v/>
      </c>
      <c r="D4500" s="82"/>
      <c r="E4500" s="82"/>
      <c r="F4500" s="88"/>
      <c r="G4500" s="46"/>
      <c r="H4500" s="46">
        <f>IFERROR(TRANSACTIONS!$F4505+TRANSACTIONS!$G4500,"")</f>
        <v>0</v>
      </c>
      <c r="I4500" s="40" t="s">
        <v>41</v>
      </c>
    </row>
    <row r="4501" spans="1:9" x14ac:dyDescent="0.25">
      <c r="A4501" s="41"/>
      <c r="B4501" s="48" t="str">
        <f>IF(A4501&lt;&gt;"",DATE(YEAR(TRANSACTIONS!$A4501),MONTH(TRANSACTIONS!$A4501),DAY(TRANSACTIONS!$A4501)),"")</f>
        <v/>
      </c>
      <c r="C4501" s="49" t="str">
        <f>IF(A4501&lt;&gt;"",TIME(HOUR(TRANSACTIONS!$A4501),MINUTE(TRANSACTIONS!$A4501),SECOND(TRANSACTIONS!$A4501)),"")</f>
        <v/>
      </c>
      <c r="D4501" s="82"/>
      <c r="E4501" s="82"/>
      <c r="F4501" s="88"/>
      <c r="G4501" s="46"/>
      <c r="H4501" s="46">
        <f>IFERROR(TRANSACTIONS!$F4506+TRANSACTIONS!$G4501,"")</f>
        <v>0</v>
      </c>
      <c r="I4501" s="40" t="s">
        <v>41</v>
      </c>
    </row>
    <row r="4502" spans="1:9" x14ac:dyDescent="0.25">
      <c r="A4502" s="41"/>
      <c r="B4502" s="48" t="str">
        <f>IF(A4502&lt;&gt;"",DATE(YEAR(TRANSACTIONS!$A4502),MONTH(TRANSACTIONS!$A4502),DAY(TRANSACTIONS!$A4502)),"")</f>
        <v/>
      </c>
      <c r="C4502" s="49" t="str">
        <f>IF(A4502&lt;&gt;"",TIME(HOUR(TRANSACTIONS!$A4502),MINUTE(TRANSACTIONS!$A4502),SECOND(TRANSACTIONS!$A4502)),"")</f>
        <v/>
      </c>
      <c r="D4502" s="82"/>
      <c r="E4502" s="82"/>
      <c r="F4502" s="88"/>
      <c r="G4502" s="46"/>
      <c r="H4502" s="46" t="str">
        <f>IFERROR(TRANSACTIONS!#REF!+TRANSACTIONS!$G4502,"")</f>
        <v/>
      </c>
      <c r="I4502" s="40" t="s">
        <v>41</v>
      </c>
    </row>
    <row r="4503" spans="1:9" x14ac:dyDescent="0.25">
      <c r="A4503" s="41"/>
      <c r="B4503" s="48" t="str">
        <f>IF(A4503&lt;&gt;"",DATE(YEAR(TRANSACTIONS!$A4503),MONTH(TRANSACTIONS!$A4503),DAY(TRANSACTIONS!$A4503)),"")</f>
        <v/>
      </c>
      <c r="C4503" s="49" t="str">
        <f>IF(A4503&lt;&gt;"",TIME(HOUR(TRANSACTIONS!$A4503),MINUTE(TRANSACTIONS!$A4503),SECOND(TRANSACTIONS!$A4503)),"")</f>
        <v/>
      </c>
      <c r="D4503" s="82"/>
      <c r="E4503" s="82"/>
      <c r="F4503" s="88"/>
      <c r="G4503" s="46"/>
      <c r="H4503" s="46" t="str">
        <f>IFERROR(TRANSACTIONS!#REF!+TRANSACTIONS!$G4503,"")</f>
        <v/>
      </c>
      <c r="I4503" s="40" t="s">
        <v>41</v>
      </c>
    </row>
    <row r="4504" spans="1:9" x14ac:dyDescent="0.25">
      <c r="A4504" s="41"/>
      <c r="B4504" s="48" t="str">
        <f>IF(A4504&lt;&gt;"",DATE(YEAR(TRANSACTIONS!$A4504),MONTH(TRANSACTIONS!$A4504),DAY(TRANSACTIONS!$A4504)),"")</f>
        <v/>
      </c>
      <c r="C4504" s="49" t="str">
        <f>IF(A4504&lt;&gt;"",TIME(HOUR(TRANSACTIONS!$A4504),MINUTE(TRANSACTIONS!$A4504),SECOND(TRANSACTIONS!$A4504)),"")</f>
        <v/>
      </c>
      <c r="D4504" s="82"/>
      <c r="E4504" s="82"/>
      <c r="F4504" s="88"/>
      <c r="G4504" s="46"/>
      <c r="H4504" s="46" t="str">
        <f>IFERROR(TRANSACTIONS!#REF!+TRANSACTIONS!$G4504,"")</f>
        <v/>
      </c>
      <c r="I4504" s="40" t="s">
        <v>41</v>
      </c>
    </row>
    <row r="4505" spans="1:9" x14ac:dyDescent="0.25">
      <c r="A4505" s="41"/>
      <c r="B4505" s="48" t="str">
        <f>IF(A4505&lt;&gt;"",DATE(YEAR(TRANSACTIONS!$A4505),MONTH(TRANSACTIONS!$A4505),DAY(TRANSACTIONS!$A4505)),"")</f>
        <v/>
      </c>
      <c r="C4505" s="49" t="str">
        <f>IF(A4505&lt;&gt;"",TIME(HOUR(TRANSACTIONS!$A4505),MINUTE(TRANSACTIONS!$A4505),SECOND(TRANSACTIONS!$A4505)),"")</f>
        <v/>
      </c>
      <c r="D4505" s="82"/>
      <c r="E4505" s="82"/>
      <c r="F4505" s="88"/>
      <c r="G4505" s="46"/>
      <c r="H4505" s="46" t="str">
        <f>IFERROR(TRANSACTIONS!#REF!+TRANSACTIONS!$G4505,"")</f>
        <v/>
      </c>
      <c r="I4505" s="110" t="s">
        <v>41</v>
      </c>
    </row>
    <row r="4506" spans="1:9" x14ac:dyDescent="0.25">
      <c r="A4506" s="41"/>
      <c r="B4506" s="48" t="str">
        <f>IF(A4506&lt;&gt;"",DATE(YEAR(TRANSACTIONS!$A4506),MONTH(TRANSACTIONS!$A4506),DAY(TRANSACTIONS!$A4506)),"")</f>
        <v/>
      </c>
      <c r="C4506" s="49" t="str">
        <f>IF(A4506&lt;&gt;"",TIME(HOUR(TRANSACTIONS!$A4506),MINUTE(TRANSACTIONS!$A4506),SECOND(TRANSACTIONS!$A4506)),"")</f>
        <v/>
      </c>
      <c r="D4506" s="82"/>
      <c r="E4506" s="82"/>
      <c r="F4506" s="88"/>
      <c r="G4506" s="46"/>
      <c r="H4506" s="46" t="str">
        <f>IFERROR(TRANSACTIONS!#REF!+TRANSACTIONS!$G4506,"")</f>
        <v/>
      </c>
      <c r="I4506" s="40" t="s">
        <v>41</v>
      </c>
    </row>
    <row r="4507" spans="1:9" x14ac:dyDescent="0.25">
      <c r="A4507" s="41">
        <v>45377.417876157408</v>
      </c>
      <c r="B4507" s="48">
        <f>IF(A4507&lt;&gt;"",DATE(YEAR(TRANSACTIONS!$A4507),MONTH(TRANSACTIONS!$A4507),DAY(TRANSACTIONS!$A4507)),"")</f>
        <v>45377</v>
      </c>
      <c r="C4507" s="49">
        <f>IF(A4507&lt;&gt;"",TIME(HOUR(TRANSACTIONS!$A4507),MINUTE(TRANSACTIONS!$A4507),SECOND(TRANSACTIONS!$A4507)),"")</f>
        <v>0.41787037037037034</v>
      </c>
      <c r="D4507" s="82" t="s">
        <v>62</v>
      </c>
      <c r="E4507" s="82" t="s">
        <v>6</v>
      </c>
      <c r="F4507" s="88">
        <v>1450</v>
      </c>
      <c r="G4507" s="46"/>
      <c r="H4507" s="46">
        <f>IFERROR(TRANSACTIONS!$F4507+TRANSACTIONS!$G4507,"")</f>
        <v>1450</v>
      </c>
      <c r="I4507" s="40" t="s">
        <v>41</v>
      </c>
    </row>
    <row r="4508" spans="1:9" x14ac:dyDescent="0.25">
      <c r="A4508" s="41">
        <v>45377.417910300923</v>
      </c>
      <c r="B4508" s="48">
        <f>IF(A4508&lt;&gt;"",DATE(YEAR(TRANSACTIONS!$A4508),MONTH(TRANSACTIONS!$A4508),DAY(TRANSACTIONS!$A4508)),"")</f>
        <v>45377</v>
      </c>
      <c r="C4508" s="49">
        <f>IF(A4508&lt;&gt;"",TIME(HOUR(TRANSACTIONS!$A4508),MINUTE(TRANSACTIONS!$A4508),SECOND(TRANSACTIONS!$A4508)),"")</f>
        <v>0.41790509259259262</v>
      </c>
      <c r="D4508" s="82" t="s">
        <v>62</v>
      </c>
      <c r="E4508" s="82" t="s">
        <v>7</v>
      </c>
      <c r="F4508" s="88">
        <v>1000</v>
      </c>
      <c r="G4508" s="46"/>
      <c r="H4508" s="46">
        <f>IFERROR(TRANSACTIONS!$F4508+TRANSACTIONS!$G4508,"")</f>
        <v>1000</v>
      </c>
      <c r="I4508" s="40" t="s">
        <v>41</v>
      </c>
    </row>
    <row r="4509" spans="1:9" x14ac:dyDescent="0.25">
      <c r="A4509" s="41">
        <v>45377.417918402774</v>
      </c>
      <c r="B4509" s="48">
        <f>IF(A4509&lt;&gt;"",DATE(YEAR(TRANSACTIONS!$A4509),MONTH(TRANSACTIONS!$A4509),DAY(TRANSACTIONS!$A4509)),"")</f>
        <v>45377</v>
      </c>
      <c r="C4509" s="49">
        <f>IF(A4509&lt;&gt;"",TIME(HOUR(TRANSACTIONS!$A4509),MINUTE(TRANSACTIONS!$A4509),SECOND(TRANSACTIONS!$A4509)),"")</f>
        <v>0.41791666666666666</v>
      </c>
      <c r="D4509" s="82" t="s">
        <v>62</v>
      </c>
      <c r="E4509" s="82" t="s">
        <v>7</v>
      </c>
      <c r="F4509" s="88">
        <v>10000</v>
      </c>
      <c r="G4509" s="46"/>
      <c r="H4509" s="46">
        <f>IFERROR(TRANSACTIONS!$F4509+TRANSACTIONS!$G4509,"")</f>
        <v>10000</v>
      </c>
      <c r="I4509" s="40" t="s">
        <v>41</v>
      </c>
    </row>
    <row r="4510" spans="1:9" x14ac:dyDescent="0.25">
      <c r="A4510" s="41">
        <v>45377.417926388887</v>
      </c>
      <c r="B4510" s="48">
        <f>IF(A4510&lt;&gt;"",DATE(YEAR(TRANSACTIONS!$A4510),MONTH(TRANSACTIONS!$A4510),DAY(TRANSACTIONS!$A4510)),"")</f>
        <v>45377</v>
      </c>
      <c r="C4510" s="49">
        <f>IF(A4510&lt;&gt;"",TIME(HOUR(TRANSACTIONS!$A4510),MINUTE(TRANSACTIONS!$A4510),SECOND(TRANSACTIONS!$A4510)),"")</f>
        <v>0.41792824074074075</v>
      </c>
      <c r="D4510" s="82" t="s">
        <v>62</v>
      </c>
      <c r="E4510" s="82" t="s">
        <v>7</v>
      </c>
      <c r="F4510" s="88">
        <v>15000</v>
      </c>
      <c r="G4510" s="46"/>
      <c r="H4510" s="46">
        <f>IFERROR(TRANSACTIONS!$F4510+TRANSACTIONS!$G4510,"")</f>
        <v>15000</v>
      </c>
      <c r="I4510" s="40" t="s">
        <v>41</v>
      </c>
    </row>
    <row r="4511" spans="1:9" x14ac:dyDescent="0.25">
      <c r="A4511" s="41">
        <v>45377.41793333333</v>
      </c>
      <c r="B4511" s="48">
        <f>IF(A4511&lt;&gt;"",DATE(YEAR(TRANSACTIONS!$A4511),MONTH(TRANSACTIONS!$A4511),DAY(TRANSACTIONS!$A4511)),"")</f>
        <v>45377</v>
      </c>
      <c r="C4511" s="49">
        <f>IF(A4511&lt;&gt;"",TIME(HOUR(TRANSACTIONS!$A4511),MINUTE(TRANSACTIONS!$A4511),SECOND(TRANSACTIONS!$A4511)),"")</f>
        <v>0.41792824074074075</v>
      </c>
      <c r="D4511" s="82" t="s">
        <v>62</v>
      </c>
      <c r="E4511" s="82" t="s">
        <v>6</v>
      </c>
      <c r="F4511" s="88">
        <v>1000</v>
      </c>
      <c r="G4511" s="46"/>
      <c r="H4511" s="46">
        <f>IFERROR(TRANSACTIONS!$F4511+TRANSACTIONS!$G4511,"")</f>
        <v>1000</v>
      </c>
      <c r="I4511" s="40" t="s">
        <v>41</v>
      </c>
    </row>
    <row r="4512" spans="1:9" x14ac:dyDescent="0.25">
      <c r="A4512" s="41">
        <v>45377.417941319443</v>
      </c>
      <c r="B4512" s="48">
        <f>IF(A4512&lt;&gt;"",DATE(YEAR(TRANSACTIONS!$A4512),MONTH(TRANSACTIONS!$A4512),DAY(TRANSACTIONS!$A4512)),"")</f>
        <v>45377</v>
      </c>
      <c r="C4512" s="49">
        <f>IF(A4512&lt;&gt;"",TIME(HOUR(TRANSACTIONS!$A4512),MINUTE(TRANSACTIONS!$A4512),SECOND(TRANSACTIONS!$A4512)),"")</f>
        <v>0.41793981481481479</v>
      </c>
      <c r="D4512" s="82" t="s">
        <v>62</v>
      </c>
      <c r="E4512" s="82" t="s">
        <v>6</v>
      </c>
      <c r="F4512" s="88">
        <v>5000</v>
      </c>
      <c r="G4512" s="46"/>
      <c r="H4512" s="46">
        <f>IFERROR(TRANSACTIONS!$F4512+TRANSACTIONS!$G4512,"")</f>
        <v>5000</v>
      </c>
      <c r="I4512" s="40" t="s">
        <v>41</v>
      </c>
    </row>
    <row r="4513" spans="1:9" x14ac:dyDescent="0.25">
      <c r="A4513" s="41">
        <v>45377.417950115741</v>
      </c>
      <c r="B4513" s="48">
        <f>IF(A4513&lt;&gt;"",DATE(YEAR(TRANSACTIONS!$A4513),MONTH(TRANSACTIONS!$A4513),DAY(TRANSACTIONS!$A4513)),"")</f>
        <v>45377</v>
      </c>
      <c r="C4513" s="49">
        <f>IF(A4513&lt;&gt;"",TIME(HOUR(TRANSACTIONS!$A4513),MINUTE(TRANSACTIONS!$A4513),SECOND(TRANSACTIONS!$A4513)),"")</f>
        <v>0.41795138888888889</v>
      </c>
      <c r="D4513" s="82" t="s">
        <v>62</v>
      </c>
      <c r="E4513" s="82" t="s">
        <v>7</v>
      </c>
      <c r="F4513" s="88">
        <v>15000</v>
      </c>
      <c r="G4513" s="46"/>
      <c r="H4513" s="46">
        <f>IFERROR(TRANSACTIONS!$F4513+TRANSACTIONS!$G4513,"")</f>
        <v>15000</v>
      </c>
      <c r="I4513" s="40" t="s">
        <v>41</v>
      </c>
    </row>
    <row r="4514" spans="1:9" x14ac:dyDescent="0.25">
      <c r="A4514" s="41">
        <v>45377.417957407408</v>
      </c>
      <c r="B4514" s="48">
        <f>IF(A4514&lt;&gt;"",DATE(YEAR(TRANSACTIONS!$A4514),MONTH(TRANSACTIONS!$A4514),DAY(TRANSACTIONS!$A4514)),"")</f>
        <v>45377</v>
      </c>
      <c r="C4514" s="49">
        <f>IF(A4514&lt;&gt;"",TIME(HOUR(TRANSACTIONS!$A4514),MINUTE(TRANSACTIONS!$A4514),SECOND(TRANSACTIONS!$A4514)),"")</f>
        <v>0.41796296296296293</v>
      </c>
      <c r="D4514" s="82" t="s">
        <v>62</v>
      </c>
      <c r="E4514" s="82" t="s">
        <v>7</v>
      </c>
      <c r="F4514" s="88">
        <v>5000</v>
      </c>
      <c r="G4514" s="46"/>
      <c r="H4514" s="46">
        <f>IFERROR(TRANSACTIONS!$F4514+TRANSACTIONS!$G4514,"")</f>
        <v>5000</v>
      </c>
      <c r="I4514" s="40" t="s">
        <v>41</v>
      </c>
    </row>
    <row r="4515" spans="1:9" x14ac:dyDescent="0.25">
      <c r="A4515" s="41">
        <v>45377.417964930559</v>
      </c>
      <c r="B4515" s="48">
        <f>IF(A4515&lt;&gt;"",DATE(YEAR(TRANSACTIONS!$A4515),MONTH(TRANSACTIONS!$A4515),DAY(TRANSACTIONS!$A4515)),"")</f>
        <v>45377</v>
      </c>
      <c r="C4515" s="49">
        <f>IF(A4515&lt;&gt;"",TIME(HOUR(TRANSACTIONS!$A4515),MINUTE(TRANSACTIONS!$A4515),SECOND(TRANSACTIONS!$A4515)),"")</f>
        <v>0.41796296296296293</v>
      </c>
      <c r="D4515" s="82" t="s">
        <v>62</v>
      </c>
      <c r="E4515" s="82" t="s">
        <v>7</v>
      </c>
      <c r="F4515" s="88">
        <v>1000</v>
      </c>
      <c r="G4515" s="46"/>
      <c r="H4515" s="46">
        <f>IFERROR(TRANSACTIONS!$F4515+TRANSACTIONS!$G4515,"")</f>
        <v>1000</v>
      </c>
      <c r="I4515" s="40" t="s">
        <v>41</v>
      </c>
    </row>
    <row r="4516" spans="1:9" x14ac:dyDescent="0.25">
      <c r="A4516" s="41">
        <v>45377.417972916664</v>
      </c>
      <c r="B4516" s="48">
        <f>IF(A4516&lt;&gt;"",DATE(YEAR(TRANSACTIONS!$A4516),MONTH(TRANSACTIONS!$A4516),DAY(TRANSACTIONS!$A4516)),"")</f>
        <v>45377</v>
      </c>
      <c r="C4516" s="49">
        <f>IF(A4516&lt;&gt;"",TIME(HOUR(TRANSACTIONS!$A4516),MINUTE(TRANSACTIONS!$A4516),SECOND(TRANSACTIONS!$A4516)),"")</f>
        <v>0.41797453703703707</v>
      </c>
      <c r="D4516" s="82" t="s">
        <v>25</v>
      </c>
      <c r="E4516" s="82" t="s">
        <v>6</v>
      </c>
      <c r="F4516" s="88">
        <v>550</v>
      </c>
      <c r="G4516" s="46"/>
      <c r="H4516" s="46">
        <f>IFERROR(TRANSACTIONS!$F4516+TRANSACTIONS!$G4516,"")</f>
        <v>550</v>
      </c>
      <c r="I4516" s="40" t="s">
        <v>41</v>
      </c>
    </row>
    <row r="4517" spans="1:9" x14ac:dyDescent="0.25">
      <c r="A4517" s="41">
        <v>45377.417979976854</v>
      </c>
      <c r="B4517" s="48">
        <f>IF(A4517&lt;&gt;"",DATE(YEAR(TRANSACTIONS!$A4517),MONTH(TRANSACTIONS!$A4517),DAY(TRANSACTIONS!$A4517)),"")</f>
        <v>45377</v>
      </c>
      <c r="C4517" s="49">
        <f>IF(A4517&lt;&gt;"",TIME(HOUR(TRANSACTIONS!$A4517),MINUTE(TRANSACTIONS!$A4517),SECOND(TRANSACTIONS!$A4517)),"")</f>
        <v>0.41797453703703707</v>
      </c>
      <c r="D4517" s="82" t="s">
        <v>25</v>
      </c>
      <c r="E4517" s="82" t="s">
        <v>6</v>
      </c>
      <c r="F4517" s="88">
        <v>700</v>
      </c>
      <c r="G4517" s="46"/>
      <c r="H4517" s="46">
        <f>IFERROR(TRANSACTIONS!$F4517+TRANSACTIONS!$G4517,"")</f>
        <v>700</v>
      </c>
      <c r="I4517" s="40" t="s">
        <v>41</v>
      </c>
    </row>
    <row r="4518" spans="1:9" x14ac:dyDescent="0.25">
      <c r="A4518" s="41">
        <v>45377.41798726852</v>
      </c>
      <c r="B4518" s="48">
        <f>IF(A4518&lt;&gt;"",DATE(YEAR(TRANSACTIONS!$A4518),MONTH(TRANSACTIONS!$A4518),DAY(TRANSACTIONS!$A4518)),"")</f>
        <v>45377</v>
      </c>
      <c r="C4518" s="49">
        <f>IF(A4518&lt;&gt;"",TIME(HOUR(TRANSACTIONS!$A4518),MINUTE(TRANSACTIONS!$A4518),SECOND(TRANSACTIONS!$A4518)),"")</f>
        <v>0.41798611111111111</v>
      </c>
      <c r="D4518" s="82" t="s">
        <v>62</v>
      </c>
      <c r="E4518" s="82" t="s">
        <v>7</v>
      </c>
      <c r="F4518" s="88">
        <v>5000</v>
      </c>
      <c r="G4518" s="46"/>
      <c r="H4518" s="46">
        <f>IFERROR(TRANSACTIONS!$F4518+TRANSACTIONS!$G4518,"")</f>
        <v>5000</v>
      </c>
      <c r="I4518" s="40" t="s">
        <v>41</v>
      </c>
    </row>
    <row r="4519" spans="1:9" x14ac:dyDescent="0.25">
      <c r="A4519" s="41">
        <v>45377.417999421297</v>
      </c>
      <c r="B4519" s="48">
        <f>IF(A4519&lt;&gt;"",DATE(YEAR(TRANSACTIONS!$A4519),MONTH(TRANSACTIONS!$A4519),DAY(TRANSACTIONS!$A4519)),"")</f>
        <v>45377</v>
      </c>
      <c r="C4519" s="49">
        <f>IF(A4519&lt;&gt;"",TIME(HOUR(TRANSACTIONS!$A4519),MINUTE(TRANSACTIONS!$A4519),SECOND(TRANSACTIONS!$A4519)),"")</f>
        <v>0.41799768518518521</v>
      </c>
      <c r="D4519" s="82" t="s">
        <v>62</v>
      </c>
      <c r="E4519" s="82" t="s">
        <v>6</v>
      </c>
      <c r="F4519" s="88">
        <v>26000</v>
      </c>
      <c r="G4519" s="46"/>
      <c r="H4519" s="46">
        <f>IFERROR(TRANSACTIONS!$F4519+TRANSACTIONS!$G4519,"")</f>
        <v>26000</v>
      </c>
      <c r="I4519" s="40" t="s">
        <v>41</v>
      </c>
    </row>
    <row r="4520" spans="1:9" x14ac:dyDescent="0.25">
      <c r="A4520" s="41">
        <v>45377.418009259258</v>
      </c>
      <c r="B4520" s="48">
        <f>IF(A4520&lt;&gt;"",DATE(YEAR(TRANSACTIONS!$A4520),MONTH(TRANSACTIONS!$A4520),DAY(TRANSACTIONS!$A4520)),"")</f>
        <v>45377</v>
      </c>
      <c r="C4520" s="49">
        <f>IF(A4520&lt;&gt;"",TIME(HOUR(TRANSACTIONS!$A4520),MINUTE(TRANSACTIONS!$A4520),SECOND(TRANSACTIONS!$A4520)),"")</f>
        <v>0.41800925925925925</v>
      </c>
      <c r="D4520" s="82" t="s">
        <v>62</v>
      </c>
      <c r="E4520" s="82" t="s">
        <v>7</v>
      </c>
      <c r="F4520" s="88">
        <v>15000</v>
      </c>
      <c r="G4520" s="46"/>
      <c r="H4520" s="46">
        <f>IFERROR(TRANSACTIONS!$F4520+TRANSACTIONS!$G4520,"")</f>
        <v>15000</v>
      </c>
      <c r="I4520" s="40" t="s">
        <v>41</v>
      </c>
    </row>
    <row r="4521" spans="1:9" x14ac:dyDescent="0.25">
      <c r="A4521" s="81">
        <v>45377.418027777778</v>
      </c>
      <c r="B4521" s="83">
        <f>IF(A4521&lt;&gt;"",DATE(YEAR(TRANSACTIONS!$A4521),MONTH(TRANSACTIONS!$A4521),DAY(TRANSACTIONS!$A4521)),"")</f>
        <v>45377</v>
      </c>
      <c r="C4521" s="84">
        <f>IF(A4521&lt;&gt;"",TIME(HOUR(TRANSACTIONS!$A4521),MINUTE(TRANSACTIONS!$A4521),SECOND(TRANSACTIONS!$A4521)),"")</f>
        <v>0.41803240740740738</v>
      </c>
      <c r="D4521" s="82" t="s">
        <v>62</v>
      </c>
      <c r="E4521" s="82" t="s">
        <v>6</v>
      </c>
      <c r="F4521" s="88">
        <v>10100</v>
      </c>
      <c r="G4521" s="86"/>
      <c r="H4521" s="86">
        <f>IFERROR(TRANSACTIONS!$F4521+TRANSACTIONS!$G4521,"")</f>
        <v>10100</v>
      </c>
      <c r="I4521" s="88" t="s">
        <v>41</v>
      </c>
    </row>
    <row r="4522" spans="1:9" x14ac:dyDescent="0.25">
      <c r="A4522" s="41">
        <v>45377.418036689814</v>
      </c>
      <c r="B4522" s="48">
        <f>IF(A4522&lt;&gt;"",DATE(YEAR(TRANSACTIONS!$A4522),MONTH(TRANSACTIONS!$A4522),DAY(TRANSACTIONS!$A4522)),"")</f>
        <v>45377</v>
      </c>
      <c r="C4522" s="49">
        <f>IF(A4522&lt;&gt;"",TIME(HOUR(TRANSACTIONS!$A4522),MINUTE(TRANSACTIONS!$A4522),SECOND(TRANSACTIONS!$A4522)),"")</f>
        <v>0.41803240740740738</v>
      </c>
      <c r="D4522" s="82" t="s">
        <v>62</v>
      </c>
      <c r="E4522" s="82" t="s">
        <v>7</v>
      </c>
      <c r="F4522" s="88">
        <v>38000</v>
      </c>
      <c r="G4522" s="46"/>
      <c r="H4522" s="46">
        <f>IFERROR(TRANSACTIONS!$F4522+TRANSACTIONS!$G4522,"")</f>
        <v>38000</v>
      </c>
      <c r="I4522" s="40" t="s">
        <v>41</v>
      </c>
    </row>
    <row r="4523" spans="1:9" x14ac:dyDescent="0.25">
      <c r="A4523" s="41">
        <v>45377.418058912037</v>
      </c>
      <c r="B4523" s="48">
        <f>IF(A4523&lt;&gt;"",DATE(YEAR(TRANSACTIONS!$A4523),MONTH(TRANSACTIONS!$A4523),DAY(TRANSACTIONS!$A4523)),"")</f>
        <v>45377</v>
      </c>
      <c r="C4523" s="49">
        <f>IF(A4523&lt;&gt;"",TIME(HOUR(TRANSACTIONS!$A4523),MINUTE(TRANSACTIONS!$A4523),SECOND(TRANSACTIONS!$A4523)),"")</f>
        <v>0.41805555555555557</v>
      </c>
      <c r="D4523" s="82" t="s">
        <v>62</v>
      </c>
      <c r="E4523" s="82" t="s">
        <v>6</v>
      </c>
      <c r="F4523" s="88">
        <v>11125</v>
      </c>
      <c r="G4523" s="46"/>
      <c r="H4523" s="46">
        <f>IFERROR(TRANSACTIONS!$F4523+TRANSACTIONS!$G4523,"")</f>
        <v>11125</v>
      </c>
      <c r="I4523" s="40" t="s">
        <v>41</v>
      </c>
    </row>
    <row r="4524" spans="1:9" x14ac:dyDescent="0.25">
      <c r="A4524" s="41">
        <v>45377.41806851852</v>
      </c>
      <c r="B4524" s="48">
        <f>IF(A4524&lt;&gt;"",DATE(YEAR(TRANSACTIONS!$A4524),MONTH(TRANSACTIONS!$A4524),DAY(TRANSACTIONS!$A4524)),"")</f>
        <v>45377</v>
      </c>
      <c r="C4524" s="49">
        <f>IF(A4524&lt;&gt;"",TIME(HOUR(TRANSACTIONS!$A4524),MINUTE(TRANSACTIONS!$A4524),SECOND(TRANSACTIONS!$A4524)),"")</f>
        <v>0.41806712962962966</v>
      </c>
      <c r="D4524" s="82" t="s">
        <v>62</v>
      </c>
      <c r="E4524" s="82" t="s">
        <v>7</v>
      </c>
      <c r="F4524" s="88">
        <v>11000</v>
      </c>
      <c r="G4524" s="46"/>
      <c r="H4524" s="46">
        <f>IFERROR(TRANSACTIONS!$F4524+TRANSACTIONS!$G4524,"")</f>
        <v>11000</v>
      </c>
      <c r="I4524" s="40" t="s">
        <v>41</v>
      </c>
    </row>
    <row r="4525" spans="1:9" x14ac:dyDescent="0.25">
      <c r="A4525" s="41">
        <v>45377.418079166666</v>
      </c>
      <c r="B4525" s="48">
        <f>IF(A4525&lt;&gt;"",DATE(YEAR(TRANSACTIONS!$A4525),MONTH(TRANSACTIONS!$A4525),DAY(TRANSACTIONS!$A4525)),"")</f>
        <v>45377</v>
      </c>
      <c r="C4525" s="49">
        <f>IF(A4525&lt;&gt;"",TIME(HOUR(TRANSACTIONS!$A4525),MINUTE(TRANSACTIONS!$A4525),SECOND(TRANSACTIONS!$A4525)),"")</f>
        <v>0.4180787037037037</v>
      </c>
      <c r="D4525" s="82" t="s">
        <v>62</v>
      </c>
      <c r="E4525" s="82" t="s">
        <v>7</v>
      </c>
      <c r="F4525" s="88">
        <v>1000</v>
      </c>
      <c r="G4525" s="46"/>
      <c r="H4525" s="46">
        <f>IFERROR(TRANSACTIONS!$F4525+TRANSACTIONS!$G4525,"")</f>
        <v>1000</v>
      </c>
      <c r="I4525" s="40" t="s">
        <v>41</v>
      </c>
    </row>
    <row r="4526" spans="1:9" x14ac:dyDescent="0.25">
      <c r="A4526" s="41">
        <v>45377.491191550929</v>
      </c>
      <c r="B4526" s="48">
        <f>IF(A4526&lt;&gt;"",DATE(YEAR(TRANSACTIONS!$A4526),MONTH(TRANSACTIONS!$A4526),DAY(TRANSACTIONS!$A4526)),"")</f>
        <v>45377</v>
      </c>
      <c r="C4526" s="49">
        <f>IF(A4526&lt;&gt;"",TIME(HOUR(TRANSACTIONS!$A4526),MINUTE(TRANSACTIONS!$A4526),SECOND(TRANSACTIONS!$A4526)),"")</f>
        <v>0.4911921296296296</v>
      </c>
      <c r="D4526" s="82" t="s">
        <v>62</v>
      </c>
      <c r="E4526" s="82" t="s">
        <v>7</v>
      </c>
      <c r="F4526" s="88">
        <v>1000</v>
      </c>
      <c r="G4526" s="46"/>
      <c r="H4526" s="46">
        <f>IFERROR(TRANSACTIONS!$F4526+TRANSACTIONS!$G4526,"")</f>
        <v>1000</v>
      </c>
      <c r="I4526" s="40" t="s">
        <v>41</v>
      </c>
    </row>
    <row r="4527" spans="1:9" x14ac:dyDescent="0.25">
      <c r="A4527" s="41">
        <v>45377.491295138891</v>
      </c>
      <c r="B4527" s="48">
        <f>IF(A4527&lt;&gt;"",DATE(YEAR(TRANSACTIONS!$A4527),MONTH(TRANSACTIONS!$A4527),DAY(TRANSACTIONS!$A4527)),"")</f>
        <v>45377</v>
      </c>
      <c r="C4527" s="49">
        <f>IF(A4527&lt;&gt;"",TIME(HOUR(TRANSACTIONS!$A4527),MINUTE(TRANSACTIONS!$A4527),SECOND(TRANSACTIONS!$A4527)),"")</f>
        <v>0.49129629629629629</v>
      </c>
      <c r="D4527" s="82" t="s">
        <v>62</v>
      </c>
      <c r="E4527" s="82" t="s">
        <v>6</v>
      </c>
      <c r="F4527" s="88">
        <v>7000</v>
      </c>
      <c r="G4527" s="46"/>
      <c r="H4527" s="46">
        <f>IFERROR(TRANSACTIONS!$F4527+TRANSACTIONS!$G4527,"")</f>
        <v>7000</v>
      </c>
      <c r="I4527" s="40" t="s">
        <v>41</v>
      </c>
    </row>
    <row r="4528" spans="1:9" x14ac:dyDescent="0.25">
      <c r="A4528" s="41">
        <v>45377.491303819443</v>
      </c>
      <c r="B4528" s="48">
        <f>IF(A4528&lt;&gt;"",DATE(YEAR(TRANSACTIONS!$A4528),MONTH(TRANSACTIONS!$A4528),DAY(TRANSACTIONS!$A4528)),"")</f>
        <v>45377</v>
      </c>
      <c r="C4528" s="49">
        <f>IF(A4528&lt;&gt;"",TIME(HOUR(TRANSACTIONS!$A4528),MINUTE(TRANSACTIONS!$A4528),SECOND(TRANSACTIONS!$A4528)),"")</f>
        <v>0.49130787037037038</v>
      </c>
      <c r="D4528" s="82" t="s">
        <v>62</v>
      </c>
      <c r="E4528" s="82" t="s">
        <v>6</v>
      </c>
      <c r="F4528" s="88">
        <v>2000</v>
      </c>
      <c r="G4528" s="46"/>
      <c r="H4528" s="46">
        <f>IFERROR(TRANSACTIONS!$F4528+TRANSACTIONS!$G4528,"")</f>
        <v>2000</v>
      </c>
      <c r="I4528" s="40" t="s">
        <v>41</v>
      </c>
    </row>
    <row r="4529" spans="1:9" x14ac:dyDescent="0.25">
      <c r="A4529" s="41">
        <v>45377.491311342594</v>
      </c>
      <c r="B4529" s="48">
        <f>IF(A4529&lt;&gt;"",DATE(YEAR(TRANSACTIONS!$A4529),MONTH(TRANSACTIONS!$A4529),DAY(TRANSACTIONS!$A4529)),"")</f>
        <v>45377</v>
      </c>
      <c r="C4529" s="49">
        <f>IF(A4529&lt;&gt;"",TIME(HOUR(TRANSACTIONS!$A4529),MINUTE(TRANSACTIONS!$A4529),SECOND(TRANSACTIONS!$A4529)),"")</f>
        <v>0.49130787037037038</v>
      </c>
      <c r="D4529" s="82" t="s">
        <v>62</v>
      </c>
      <c r="E4529" s="82" t="s">
        <v>6</v>
      </c>
      <c r="F4529" s="88">
        <v>5000</v>
      </c>
      <c r="G4529" s="46"/>
      <c r="H4529" s="46">
        <f>IFERROR(TRANSACTIONS!$F4529+TRANSACTIONS!$G4529,"")</f>
        <v>5000</v>
      </c>
      <c r="I4529" s="40" t="s">
        <v>41</v>
      </c>
    </row>
    <row r="4530" spans="1:9" x14ac:dyDescent="0.25">
      <c r="A4530" s="41">
        <v>45377.491321759262</v>
      </c>
      <c r="B4530" s="48">
        <f>IF(A4530&lt;&gt;"",DATE(YEAR(TRANSACTIONS!$A4530),MONTH(TRANSACTIONS!$A4530),DAY(TRANSACTIONS!$A4530)),"")</f>
        <v>45377</v>
      </c>
      <c r="C4530" s="49">
        <f>IF(A4530&lt;&gt;"",TIME(HOUR(TRANSACTIONS!$A4530),MINUTE(TRANSACTIONS!$A4530),SECOND(TRANSACTIONS!$A4530)),"")</f>
        <v>0.49131944444444442</v>
      </c>
      <c r="D4530" s="82" t="s">
        <v>62</v>
      </c>
      <c r="E4530" s="82" t="s">
        <v>7</v>
      </c>
      <c r="F4530" s="88">
        <v>2000</v>
      </c>
      <c r="G4530" s="46"/>
      <c r="H4530" s="46">
        <f>IFERROR(TRANSACTIONS!$F4530+TRANSACTIONS!$G4530,"")</f>
        <v>2000</v>
      </c>
      <c r="I4530" s="40" t="s">
        <v>41</v>
      </c>
    </row>
    <row r="4531" spans="1:9" x14ac:dyDescent="0.25">
      <c r="A4531" s="41">
        <v>45377.491331828707</v>
      </c>
      <c r="B4531" s="48">
        <f>IF(A4531&lt;&gt;"",DATE(YEAR(TRANSACTIONS!$A4531),MONTH(TRANSACTIONS!$A4531),DAY(TRANSACTIONS!$A4531)),"")</f>
        <v>45377</v>
      </c>
      <c r="C4531" s="49">
        <f>IF(A4531&lt;&gt;"",TIME(HOUR(TRANSACTIONS!$A4531),MINUTE(TRANSACTIONS!$A4531),SECOND(TRANSACTIONS!$A4531)),"")</f>
        <v>0.49133101851851851</v>
      </c>
      <c r="D4531" s="82" t="s">
        <v>62</v>
      </c>
      <c r="E4531" s="82" t="s">
        <v>7</v>
      </c>
      <c r="F4531" s="88">
        <v>150000</v>
      </c>
      <c r="G4531" s="46"/>
      <c r="H4531" s="46">
        <f>IFERROR(TRANSACTIONS!$F4531+TRANSACTIONS!$G4531,"")</f>
        <v>150000</v>
      </c>
      <c r="I4531" s="40" t="s">
        <v>41</v>
      </c>
    </row>
    <row r="4532" spans="1:9" x14ac:dyDescent="0.25">
      <c r="A4532" s="41">
        <v>45377.49267777778</v>
      </c>
      <c r="B4532" s="48">
        <f>IF(A4532&lt;&gt;"",DATE(YEAR(TRANSACTIONS!$A4532),MONTH(TRANSACTIONS!$A4532),DAY(TRANSACTIONS!$A4532)),"")</f>
        <v>45377</v>
      </c>
      <c r="C4532" s="49">
        <f>IF(A4532&lt;&gt;"",TIME(HOUR(TRANSACTIONS!$A4532),MINUTE(TRANSACTIONS!$A4532),SECOND(TRANSACTIONS!$A4532)),"")</f>
        <v>0.49267361111111113</v>
      </c>
      <c r="D4532" s="82" t="s">
        <v>62</v>
      </c>
      <c r="E4532" s="82" t="s">
        <v>7</v>
      </c>
      <c r="F4532" s="88">
        <v>1000</v>
      </c>
      <c r="G4532" s="46"/>
      <c r="H4532" s="46">
        <f>IFERROR(TRANSACTIONS!$F4532+TRANSACTIONS!$G4532,"")</f>
        <v>1000</v>
      </c>
      <c r="I4532" s="40" t="s">
        <v>41</v>
      </c>
    </row>
    <row r="4533" spans="1:9" x14ac:dyDescent="0.25">
      <c r="A4533" s="41">
        <v>45377.49268171296</v>
      </c>
      <c r="B4533" s="48">
        <f>IF(A4533&lt;&gt;"",DATE(YEAR(TRANSACTIONS!$A4533),MONTH(TRANSACTIONS!$A4533),DAY(TRANSACTIONS!$A4533)),"")</f>
        <v>45377</v>
      </c>
      <c r="C4533" s="49">
        <f>IF(A4533&lt;&gt;"",TIME(HOUR(TRANSACTIONS!$A4533),MINUTE(TRANSACTIONS!$A4533),SECOND(TRANSACTIONS!$A4533)),"")</f>
        <v>0.49268518518518517</v>
      </c>
      <c r="D4533" s="82" t="s">
        <v>62</v>
      </c>
      <c r="E4533" s="82" t="s">
        <v>7</v>
      </c>
      <c r="F4533" s="88">
        <v>15000</v>
      </c>
      <c r="G4533" s="46"/>
      <c r="H4533" s="46">
        <f>IFERROR(TRANSACTIONS!$F4533+TRANSACTIONS!$G4533,"")</f>
        <v>15000</v>
      </c>
      <c r="I4533" s="40" t="s">
        <v>41</v>
      </c>
    </row>
    <row r="4534" spans="1:9" x14ac:dyDescent="0.25">
      <c r="A4534" s="41">
        <v>45377.492714236112</v>
      </c>
      <c r="B4534" s="48">
        <f>IF(A4534&lt;&gt;"",DATE(YEAR(TRANSACTIONS!$A4534),MONTH(TRANSACTIONS!$A4534),DAY(TRANSACTIONS!$A4534)),"")</f>
        <v>45377</v>
      </c>
      <c r="C4534" s="49">
        <f>IF(A4534&lt;&gt;"",TIME(HOUR(TRANSACTIONS!$A4534),MINUTE(TRANSACTIONS!$A4534),SECOND(TRANSACTIONS!$A4534)),"")</f>
        <v>0.4927199074074074</v>
      </c>
      <c r="D4534" s="82" t="s">
        <v>25</v>
      </c>
      <c r="E4534" s="82" t="s">
        <v>6</v>
      </c>
      <c r="F4534" s="88">
        <v>16000</v>
      </c>
      <c r="G4534" s="46"/>
      <c r="H4534" s="46">
        <f>IFERROR(TRANSACTIONS!$F4534+TRANSACTIONS!$G4534,"")</f>
        <v>16000</v>
      </c>
      <c r="I4534" s="40" t="s">
        <v>41</v>
      </c>
    </row>
    <row r="4535" spans="1:9" x14ac:dyDescent="0.25">
      <c r="A4535" s="41">
        <v>45377.492722106479</v>
      </c>
      <c r="B4535" s="48">
        <f>IF(A4535&lt;&gt;"",DATE(YEAR(TRANSACTIONS!$A4535),MONTH(TRANSACTIONS!$A4535),DAY(TRANSACTIONS!$A4535)),"")</f>
        <v>45377</v>
      </c>
      <c r="C4535" s="49">
        <f>IF(A4535&lt;&gt;"",TIME(HOUR(TRANSACTIONS!$A4535),MINUTE(TRANSACTIONS!$A4535),SECOND(TRANSACTIONS!$A4535)),"")</f>
        <v>0.4927199074074074</v>
      </c>
      <c r="D4535" s="82" t="s">
        <v>25</v>
      </c>
      <c r="E4535" s="82" t="s">
        <v>6</v>
      </c>
      <c r="F4535" s="88">
        <v>5000</v>
      </c>
      <c r="G4535" s="46"/>
      <c r="H4535" s="46">
        <f>IFERROR(TRANSACTIONS!$F4535+TRANSACTIONS!$G4535,"")</f>
        <v>5000</v>
      </c>
      <c r="I4535" s="40" t="s">
        <v>41</v>
      </c>
    </row>
    <row r="4536" spans="1:9" x14ac:dyDescent="0.25">
      <c r="A4536" s="41">
        <v>45377.492729398145</v>
      </c>
      <c r="B4536" s="48">
        <f>IF(A4536&lt;&gt;"",DATE(YEAR(TRANSACTIONS!$A4536),MONTH(TRANSACTIONS!$A4536),DAY(TRANSACTIONS!$A4536)),"")</f>
        <v>45377</v>
      </c>
      <c r="C4536" s="49">
        <f>IF(A4536&lt;&gt;"",TIME(HOUR(TRANSACTIONS!$A4536),MINUTE(TRANSACTIONS!$A4536),SECOND(TRANSACTIONS!$A4536)),"")</f>
        <v>0.49273148148148144</v>
      </c>
      <c r="D4536" s="82" t="s">
        <v>25</v>
      </c>
      <c r="E4536" s="82" t="s">
        <v>6</v>
      </c>
      <c r="F4536" s="88">
        <v>3000</v>
      </c>
      <c r="G4536" s="46"/>
      <c r="H4536" s="46">
        <f>IFERROR(TRANSACTIONS!$F4536+TRANSACTIONS!$G4536,"")</f>
        <v>3000</v>
      </c>
      <c r="I4536" s="40" t="s">
        <v>41</v>
      </c>
    </row>
    <row r="4537" spans="1:9" x14ac:dyDescent="0.25">
      <c r="A4537" s="41">
        <v>45377.492738425928</v>
      </c>
      <c r="B4537" s="48">
        <f>IF(A4537&lt;&gt;"",DATE(YEAR(TRANSACTIONS!$A4537),MONTH(TRANSACTIONS!$A4537),DAY(TRANSACTIONS!$A4537)),"")</f>
        <v>45377</v>
      </c>
      <c r="C4537" s="49">
        <f>IF(A4537&lt;&gt;"",TIME(HOUR(TRANSACTIONS!$A4537),MINUTE(TRANSACTIONS!$A4537),SECOND(TRANSACTIONS!$A4537)),"")</f>
        <v>0.49274305555555559</v>
      </c>
      <c r="D4537" s="82" t="s">
        <v>62</v>
      </c>
      <c r="E4537" s="82" t="s">
        <v>6</v>
      </c>
      <c r="F4537" s="88">
        <v>25250</v>
      </c>
      <c r="G4537" s="46"/>
      <c r="H4537" s="46">
        <f>IFERROR(TRANSACTIONS!$F4537+TRANSACTIONS!$G4537,"")</f>
        <v>25250</v>
      </c>
      <c r="I4537" s="40" t="s">
        <v>41</v>
      </c>
    </row>
    <row r="4538" spans="1:9" x14ac:dyDescent="0.25">
      <c r="A4538" s="41">
        <v>45377.492745601849</v>
      </c>
      <c r="B4538" s="48">
        <f>IF(A4538&lt;&gt;"",DATE(YEAR(TRANSACTIONS!$A4538),MONTH(TRANSACTIONS!$A4538),DAY(TRANSACTIONS!$A4538)),"")</f>
        <v>45377</v>
      </c>
      <c r="C4538" s="49">
        <f>IF(A4538&lt;&gt;"",TIME(HOUR(TRANSACTIONS!$A4538),MINUTE(TRANSACTIONS!$A4538),SECOND(TRANSACTIONS!$A4538)),"")</f>
        <v>0.49274305555555559</v>
      </c>
      <c r="D4538" s="82" t="s">
        <v>62</v>
      </c>
      <c r="E4538" s="82" t="s">
        <v>7</v>
      </c>
      <c r="F4538" s="76">
        <v>2000</v>
      </c>
      <c r="G4538" s="46"/>
      <c r="H4538" s="46">
        <f>IFERROR(TRANSACTIONS!$F4538+TRANSACTIONS!$G4538,"")</f>
        <v>2000</v>
      </c>
      <c r="I4538" s="40" t="s">
        <v>41</v>
      </c>
    </row>
    <row r="4539" spans="1:9" x14ac:dyDescent="0.25">
      <c r="A4539" s="41">
        <v>45377.492753125</v>
      </c>
      <c r="B4539" s="48">
        <f>IF(A4539&lt;&gt;"",DATE(YEAR(TRANSACTIONS!$A4539),MONTH(TRANSACTIONS!$A4539),DAY(TRANSACTIONS!$A4539)),"")</f>
        <v>45377</v>
      </c>
      <c r="C4539" s="49">
        <f>IF(A4539&lt;&gt;"",TIME(HOUR(TRANSACTIONS!$A4539),MINUTE(TRANSACTIONS!$A4539),SECOND(TRANSACTIONS!$A4539)),"")</f>
        <v>0.49275462962962963</v>
      </c>
      <c r="D4539" s="82" t="s">
        <v>62</v>
      </c>
      <c r="E4539" s="82" t="s">
        <v>7</v>
      </c>
      <c r="F4539" s="88">
        <v>5000</v>
      </c>
      <c r="G4539" s="46"/>
      <c r="H4539" s="46">
        <f>IFERROR(TRANSACTIONS!$F4539+TRANSACTIONS!$G4539,"")</f>
        <v>5000</v>
      </c>
      <c r="I4539" s="40" t="s">
        <v>41</v>
      </c>
    </row>
    <row r="4540" spans="1:9" x14ac:dyDescent="0.25">
      <c r="A4540" s="41">
        <v>45377.492760879628</v>
      </c>
      <c r="B4540" s="48">
        <f>IF(A4540&lt;&gt;"",DATE(YEAR(TRANSACTIONS!$A4540),MONTH(TRANSACTIONS!$A4540),DAY(TRANSACTIONS!$A4540)),"")</f>
        <v>45377</v>
      </c>
      <c r="C4540" s="49">
        <f>IF(A4540&lt;&gt;"",TIME(HOUR(TRANSACTIONS!$A4540),MINUTE(TRANSACTIONS!$A4540),SECOND(TRANSACTIONS!$A4540)),"")</f>
        <v>0.49276620370370372</v>
      </c>
      <c r="D4540" s="82" t="s">
        <v>62</v>
      </c>
      <c r="E4540" s="82" t="s">
        <v>7</v>
      </c>
      <c r="F4540" s="88">
        <v>120000</v>
      </c>
      <c r="G4540" s="46"/>
      <c r="H4540" s="46">
        <f>IFERROR(TRANSACTIONS!$F4540+TRANSACTIONS!$G4540,"")</f>
        <v>120000</v>
      </c>
      <c r="I4540" s="40" t="s">
        <v>41</v>
      </c>
    </row>
    <row r="4541" spans="1:9" x14ac:dyDescent="0.25">
      <c r="A4541" s="41">
        <v>45377.492768981479</v>
      </c>
      <c r="B4541" s="48">
        <f>IF(A4541&lt;&gt;"",DATE(YEAR(TRANSACTIONS!$A4541),MONTH(TRANSACTIONS!$A4541),DAY(TRANSACTIONS!$A4541)),"")</f>
        <v>45377</v>
      </c>
      <c r="C4541" s="49">
        <f>IF(A4541&lt;&gt;"",TIME(HOUR(TRANSACTIONS!$A4541),MINUTE(TRANSACTIONS!$A4541),SECOND(TRANSACTIONS!$A4541)),"")</f>
        <v>0.49276620370370372</v>
      </c>
      <c r="D4541" s="82" t="s">
        <v>62</v>
      </c>
      <c r="E4541" s="82" t="s">
        <v>7</v>
      </c>
      <c r="F4541" s="88">
        <v>3500</v>
      </c>
      <c r="G4541" s="46"/>
      <c r="H4541" s="46">
        <f>IFERROR(TRANSACTIONS!$F4541+TRANSACTIONS!$G4541,"")</f>
        <v>3500</v>
      </c>
      <c r="I4541" s="40" t="s">
        <v>41</v>
      </c>
    </row>
    <row r="4542" spans="1:9" x14ac:dyDescent="0.25">
      <c r="A4542" s="41">
        <v>45377.551730208332</v>
      </c>
      <c r="B4542" s="48">
        <f>IF(A4542&lt;&gt;"",DATE(YEAR(TRANSACTIONS!$A4542),MONTH(TRANSACTIONS!$A4542),DAY(TRANSACTIONS!$A4542)),"")</f>
        <v>45377</v>
      </c>
      <c r="C4542" s="49">
        <f>IF(A4542&lt;&gt;"",TIME(HOUR(TRANSACTIONS!$A4542),MINUTE(TRANSACTIONS!$A4542),SECOND(TRANSACTIONS!$A4542)),"")</f>
        <v>0.55172453703703705</v>
      </c>
      <c r="D4542" s="82" t="s">
        <v>62</v>
      </c>
      <c r="E4542" s="82" t="s">
        <v>6</v>
      </c>
      <c r="F4542" s="88">
        <v>5000</v>
      </c>
      <c r="G4542" s="46"/>
      <c r="H4542" s="46">
        <f>IFERROR(TRANSACTIONS!$F4542+TRANSACTIONS!$G4542,"")</f>
        <v>5000</v>
      </c>
      <c r="I4542" s="40" t="s">
        <v>41</v>
      </c>
    </row>
    <row r="4543" spans="1:9" x14ac:dyDescent="0.25">
      <c r="A4543" s="41">
        <v>45377.551766435186</v>
      </c>
      <c r="B4543" s="48">
        <f>IF(A4543&lt;&gt;"",DATE(YEAR(TRANSACTIONS!$A4543),MONTH(TRANSACTIONS!$A4543),DAY(TRANSACTIONS!$A4543)),"")</f>
        <v>45377</v>
      </c>
      <c r="C4543" s="49">
        <f>IF(A4543&lt;&gt;"",TIME(HOUR(TRANSACTIONS!$A4543),MINUTE(TRANSACTIONS!$A4543),SECOND(TRANSACTIONS!$A4543)),"")</f>
        <v>0.55177083333333332</v>
      </c>
      <c r="D4543" s="82" t="s">
        <v>62</v>
      </c>
      <c r="E4543" s="82" t="s">
        <v>7</v>
      </c>
      <c r="F4543" s="88">
        <v>30000</v>
      </c>
      <c r="G4543" s="46"/>
      <c r="H4543" s="46">
        <f>IFERROR(TRANSACTIONS!$F4543+TRANSACTIONS!$G4543,"")</f>
        <v>30000</v>
      </c>
      <c r="I4543" s="40" t="s">
        <v>41</v>
      </c>
    </row>
    <row r="4544" spans="1:9" x14ac:dyDescent="0.25">
      <c r="A4544" s="71">
        <v>45377.551778587964</v>
      </c>
      <c r="B4544" s="73">
        <f>IF(A4544&lt;&gt;"",DATE(YEAR(TRANSACTIONS!$A4544),MONTH(TRANSACTIONS!$A4544),DAY(TRANSACTIONS!$A4544)),"")</f>
        <v>45377</v>
      </c>
      <c r="C4544" s="74">
        <f>IF(A4544&lt;&gt;"",TIME(HOUR(TRANSACTIONS!$A4544),MINUTE(TRANSACTIONS!$A4544),SECOND(TRANSACTIONS!$A4544)),"")</f>
        <v>0.55178240740740747</v>
      </c>
      <c r="D4544" s="72" t="s">
        <v>62</v>
      </c>
      <c r="E4544" s="72" t="s">
        <v>6</v>
      </c>
      <c r="F4544" s="76">
        <v>5000</v>
      </c>
      <c r="G4544" s="75"/>
      <c r="H4544" s="75">
        <f>IFERROR(TRANSACTIONS!$F4544+TRANSACTIONS!$G4544,"")</f>
        <v>5000</v>
      </c>
      <c r="I4544" s="76" t="s">
        <v>41</v>
      </c>
    </row>
    <row r="4545" spans="1:10" x14ac:dyDescent="0.25">
      <c r="A4545" s="41">
        <v>45377.55178587963</v>
      </c>
      <c r="B4545" s="48">
        <f>IF(A4545&lt;&gt;"",DATE(YEAR(TRANSACTIONS!$A4545),MONTH(TRANSACTIONS!$A4545),DAY(TRANSACTIONS!$A4545)),"")</f>
        <v>45377</v>
      </c>
      <c r="C4545" s="49">
        <f>IF(A4545&lt;&gt;"",TIME(HOUR(TRANSACTIONS!$A4545),MINUTE(TRANSACTIONS!$A4545),SECOND(TRANSACTIONS!$A4545)),"")</f>
        <v>0.55178240740740747</v>
      </c>
      <c r="D4545" s="82" t="s">
        <v>62</v>
      </c>
      <c r="E4545" s="82" t="s">
        <v>7</v>
      </c>
      <c r="F4545" s="88">
        <v>2000</v>
      </c>
      <c r="G4545" s="46"/>
      <c r="H4545" s="46">
        <f>IFERROR(TRANSACTIONS!$F4545+TRANSACTIONS!$G4545,"")</f>
        <v>2000</v>
      </c>
      <c r="I4545" s="40" t="s">
        <v>41</v>
      </c>
    </row>
    <row r="4546" spans="1:10" x14ac:dyDescent="0.25">
      <c r="A4546" s="41">
        <v>45377.55179409722</v>
      </c>
      <c r="B4546" s="48">
        <f>IF(A4546&lt;&gt;"",DATE(YEAR(TRANSACTIONS!$A4546),MONTH(TRANSACTIONS!$A4546),DAY(TRANSACTIONS!$A4546)),"")</f>
        <v>45377</v>
      </c>
      <c r="C4546" s="49">
        <f>IF(A4546&lt;&gt;"",TIME(HOUR(TRANSACTIONS!$A4546),MINUTE(TRANSACTIONS!$A4546),SECOND(TRANSACTIONS!$A4546)),"")</f>
        <v>0.55179398148148151</v>
      </c>
      <c r="D4546" s="82" t="s">
        <v>62</v>
      </c>
      <c r="E4546" s="82" t="s">
        <v>7</v>
      </c>
      <c r="F4546" s="88">
        <v>100000</v>
      </c>
      <c r="G4546" s="46"/>
      <c r="H4546" s="46">
        <f>IFERROR(TRANSACTIONS!$F4546+TRANSACTIONS!$G4546,"")</f>
        <v>100000</v>
      </c>
      <c r="I4546" s="40" t="s">
        <v>41</v>
      </c>
    </row>
    <row r="4547" spans="1:10" x14ac:dyDescent="0.25">
      <c r="A4547" s="113">
        <v>45377.551801504633</v>
      </c>
      <c r="B4547" s="114">
        <f>IF(A4547&lt;&gt;"",DATE(YEAR(TRANSACTIONS!$A4547),MONTH(TRANSACTIONS!$A4547),DAY(TRANSACTIONS!$A4547)),"")</f>
        <v>45377</v>
      </c>
      <c r="C4547" s="115">
        <f>IF(A4547&lt;&gt;"",TIME(HOUR(TRANSACTIONS!$A4547),MINUTE(TRANSACTIONS!$A4547),SECOND(TRANSACTIONS!$A4547)),"")</f>
        <v>0.55180555555555555</v>
      </c>
      <c r="D4547" s="116" t="s">
        <v>62</v>
      </c>
      <c r="E4547" s="116" t="s">
        <v>7</v>
      </c>
      <c r="F4547" s="118">
        <v>2000</v>
      </c>
      <c r="G4547" s="117"/>
      <c r="H4547" s="117">
        <f>IFERROR(TRANSACTIONS!$F4547+TRANSACTIONS!$G4547,"")</f>
        <v>2000</v>
      </c>
      <c r="I4547" s="118" t="s">
        <v>41</v>
      </c>
      <c r="J4547" s="118"/>
    </row>
    <row r="4548" spans="1:10" x14ac:dyDescent="0.25">
      <c r="A4548" s="41">
        <v>45377.551809027776</v>
      </c>
      <c r="B4548" s="48">
        <f>IF(A4548&lt;&gt;"",DATE(YEAR(TRANSACTIONS!$A4548),MONTH(TRANSACTIONS!$A4548),DAY(TRANSACTIONS!$A4548)),"")</f>
        <v>45377</v>
      </c>
      <c r="C4548" s="49">
        <f>IF(A4548&lt;&gt;"",TIME(HOUR(TRANSACTIONS!$A4548),MINUTE(TRANSACTIONS!$A4548),SECOND(TRANSACTIONS!$A4548)),"")</f>
        <v>0.55180555555555555</v>
      </c>
      <c r="D4548" s="82" t="s">
        <v>62</v>
      </c>
      <c r="E4548" s="82" t="s">
        <v>7</v>
      </c>
      <c r="F4548" s="88">
        <v>5000</v>
      </c>
      <c r="G4548" s="46"/>
      <c r="H4548" s="46">
        <f>IFERROR(TRANSACTIONS!$F4548+TRANSACTIONS!$G4548,"")</f>
        <v>5000</v>
      </c>
      <c r="I4548" s="40" t="s">
        <v>41</v>
      </c>
    </row>
    <row r="4549" spans="1:10" x14ac:dyDescent="0.25">
      <c r="A4549" s="41">
        <v>45377.551824421294</v>
      </c>
      <c r="B4549" s="48">
        <f>IF(A4549&lt;&gt;"",DATE(YEAR(TRANSACTIONS!$A4549),MONTH(TRANSACTIONS!$A4549),DAY(TRANSACTIONS!$A4549)),"")</f>
        <v>45377</v>
      </c>
      <c r="C4549" s="49">
        <f>IF(A4549&lt;&gt;"",TIME(HOUR(TRANSACTIONS!$A4549),MINUTE(TRANSACTIONS!$A4549),SECOND(TRANSACTIONS!$A4549)),"")</f>
        <v>0.55182870370370374</v>
      </c>
      <c r="D4549" s="82" t="s">
        <v>62</v>
      </c>
      <c r="E4549" s="82" t="s">
        <v>6</v>
      </c>
      <c r="F4549" s="88">
        <v>500</v>
      </c>
      <c r="G4549" s="46"/>
      <c r="H4549" s="46">
        <f>IFERROR(TRANSACTIONS!$F4549+TRANSACTIONS!$G4549,"")</f>
        <v>500</v>
      </c>
      <c r="I4549" s="40" t="s">
        <v>41</v>
      </c>
    </row>
    <row r="4550" spans="1:10" x14ac:dyDescent="0.25">
      <c r="A4550" s="81">
        <v>45377.551831828707</v>
      </c>
      <c r="B4550" s="83">
        <f>IF(A4550&lt;&gt;"",DATE(YEAR(TRANSACTIONS!$A4550),MONTH(TRANSACTIONS!$A4550),DAY(TRANSACTIONS!$A4550)),"")</f>
        <v>45377</v>
      </c>
      <c r="C4550" s="84">
        <f>IF(A4550&lt;&gt;"",TIME(HOUR(TRANSACTIONS!$A4550),MINUTE(TRANSACTIONS!$A4550),SECOND(TRANSACTIONS!$A4550)),"")</f>
        <v>0.55182870370370374</v>
      </c>
      <c r="D4550" s="82" t="s">
        <v>62</v>
      </c>
      <c r="E4550" s="82" t="s">
        <v>7</v>
      </c>
      <c r="F4550" s="88">
        <v>1500</v>
      </c>
      <c r="G4550" s="86"/>
      <c r="H4550" s="86">
        <f>IFERROR(TRANSACTIONS!$F4550+TRANSACTIONS!$G4550,"")</f>
        <v>1500</v>
      </c>
      <c r="I4550" s="88" t="s">
        <v>41</v>
      </c>
      <c r="J4550" s="88"/>
    </row>
    <row r="4551" spans="1:10" x14ac:dyDescent="0.25">
      <c r="A4551" s="41">
        <v>45377.55183877315</v>
      </c>
      <c r="B4551" s="48">
        <f>IF(A4551&lt;&gt;"",DATE(YEAR(TRANSACTIONS!$A4551),MONTH(TRANSACTIONS!$A4551),DAY(TRANSACTIONS!$A4551)),"")</f>
        <v>45377</v>
      </c>
      <c r="C4551" s="49">
        <f>IF(A4551&lt;&gt;"",TIME(HOUR(TRANSACTIONS!$A4551),MINUTE(TRANSACTIONS!$A4551),SECOND(TRANSACTIONS!$A4551)),"")</f>
        <v>0.55184027777777778</v>
      </c>
      <c r="D4551" s="82" t="s">
        <v>64</v>
      </c>
      <c r="E4551" s="82" t="s">
        <v>6</v>
      </c>
      <c r="F4551" s="88">
        <v>200000</v>
      </c>
      <c r="G4551" s="46"/>
      <c r="H4551" s="46">
        <f>IFERROR(TRANSACTIONS!$F4551+TRANSACTIONS!$G4551,"")</f>
        <v>200000</v>
      </c>
      <c r="I4551" s="40" t="s">
        <v>41</v>
      </c>
    </row>
    <row r="4552" spans="1:10" x14ac:dyDescent="0.25">
      <c r="A4552" s="41">
        <v>45377.559781944445</v>
      </c>
      <c r="B4552" s="48">
        <f>IF(A4552&lt;&gt;"",DATE(YEAR(TRANSACTIONS!$A4552),MONTH(TRANSACTIONS!$A4552),DAY(TRANSACTIONS!$A4552)),"")</f>
        <v>45377</v>
      </c>
      <c r="C4552" s="49">
        <f>IF(A4552&lt;&gt;"",TIME(HOUR(TRANSACTIONS!$A4552),MINUTE(TRANSACTIONS!$A4552),SECOND(TRANSACTIONS!$A4552)),"")</f>
        <v>0.55978009259259254</v>
      </c>
      <c r="D4552" s="82" t="s">
        <v>62</v>
      </c>
      <c r="E4552" s="82" t="s">
        <v>7</v>
      </c>
      <c r="F4552" s="88">
        <v>5000</v>
      </c>
      <c r="G4552" s="46"/>
      <c r="H4552" s="46">
        <f>IFERROR(TRANSACTIONS!$F4552+TRANSACTIONS!$G4552,"")</f>
        <v>5000</v>
      </c>
      <c r="I4552" s="40" t="s">
        <v>41</v>
      </c>
    </row>
    <row r="4553" spans="1:10" x14ac:dyDescent="0.25">
      <c r="A4553" s="41">
        <v>45377.559851041668</v>
      </c>
      <c r="B4553" s="48">
        <f>IF(A4553&lt;&gt;"",DATE(YEAR(TRANSACTIONS!$A4553),MONTH(TRANSACTIONS!$A4553),DAY(TRANSACTIONS!$A4553)),"")</f>
        <v>45377</v>
      </c>
      <c r="C4553" s="49">
        <f>IF(A4553&lt;&gt;"",TIME(HOUR(TRANSACTIONS!$A4553),MINUTE(TRANSACTIONS!$A4553),SECOND(TRANSACTIONS!$A4553)),"")</f>
        <v>0.55984953703703699</v>
      </c>
      <c r="D4553" s="82" t="s">
        <v>25</v>
      </c>
      <c r="E4553" s="82" t="s">
        <v>6</v>
      </c>
      <c r="F4553" s="88">
        <v>600</v>
      </c>
      <c r="G4553" s="46"/>
      <c r="H4553" s="46">
        <f>IFERROR(TRANSACTIONS!$F4553+TRANSACTIONS!$G4553,"")</f>
        <v>600</v>
      </c>
      <c r="I4553" s="40" t="s">
        <v>41</v>
      </c>
    </row>
    <row r="4554" spans="1:10" x14ac:dyDescent="0.25">
      <c r="A4554" s="41">
        <v>45377.578311805555</v>
      </c>
      <c r="B4554" s="48">
        <f>IF(A4554&lt;&gt;"",DATE(YEAR(TRANSACTIONS!$A4554),MONTH(TRANSACTIONS!$A4554),DAY(TRANSACTIONS!$A4554)),"")</f>
        <v>45377</v>
      </c>
      <c r="C4554" s="49">
        <f>IF(A4554&lt;&gt;"",TIME(HOUR(TRANSACTIONS!$A4554),MINUTE(TRANSACTIONS!$A4554),SECOND(TRANSACTIONS!$A4554)),"")</f>
        <v>0.57831018518518518</v>
      </c>
      <c r="D4554" s="82" t="s">
        <v>25</v>
      </c>
      <c r="E4554" s="82" t="s">
        <v>7</v>
      </c>
      <c r="F4554" s="88">
        <v>10000</v>
      </c>
      <c r="G4554" s="46"/>
      <c r="H4554" s="46">
        <f>IFERROR(TRANSACTIONS!$F4554+TRANSACTIONS!$G4554,"")</f>
        <v>10000</v>
      </c>
      <c r="I4554" s="40" t="s">
        <v>41</v>
      </c>
    </row>
    <row r="4555" spans="1:10" x14ac:dyDescent="0.25">
      <c r="A4555" s="41">
        <v>45377.578319907407</v>
      </c>
      <c r="B4555" s="48">
        <f>IF(A4555&lt;&gt;"",DATE(YEAR(TRANSACTIONS!$A4555),MONTH(TRANSACTIONS!$A4555),DAY(TRANSACTIONS!$A4555)),"")</f>
        <v>45377</v>
      </c>
      <c r="C4555" s="49">
        <f>IF(A4555&lt;&gt;"",TIME(HOUR(TRANSACTIONS!$A4555),MINUTE(TRANSACTIONS!$A4555),SECOND(TRANSACTIONS!$A4555)),"")</f>
        <v>0.57832175925925922</v>
      </c>
      <c r="D4555" s="82" t="s">
        <v>25</v>
      </c>
      <c r="E4555" s="82" t="s">
        <v>7</v>
      </c>
      <c r="F4555" s="88">
        <v>3500</v>
      </c>
      <c r="G4555" s="46"/>
      <c r="H4555" s="46">
        <f>IFERROR(TRANSACTIONS!$F4555+TRANSACTIONS!$G4555,"")</f>
        <v>3500</v>
      </c>
      <c r="I4555" s="40" t="s">
        <v>41</v>
      </c>
    </row>
    <row r="4556" spans="1:10" x14ac:dyDescent="0.25">
      <c r="A4556" s="41">
        <v>45377.578345949078</v>
      </c>
      <c r="B4556" s="48">
        <f>IF(A4556&lt;&gt;"",DATE(YEAR(TRANSACTIONS!$A4556),MONTH(TRANSACTIONS!$A4556),DAY(TRANSACTIONS!$A4556)),"")</f>
        <v>45377</v>
      </c>
      <c r="C4556" s="49">
        <f>IF(A4556&lt;&gt;"",TIME(HOUR(TRANSACTIONS!$A4556),MINUTE(TRANSACTIONS!$A4556),SECOND(TRANSACTIONS!$A4556)),"")</f>
        <v>0.5783449074074074</v>
      </c>
      <c r="D4556" s="82" t="s">
        <v>62</v>
      </c>
      <c r="E4556" s="82" t="s">
        <v>6</v>
      </c>
      <c r="F4556" s="88">
        <v>20000</v>
      </c>
      <c r="G4556" s="46"/>
      <c r="H4556" s="46">
        <f>IFERROR(TRANSACTIONS!$F4556+TRANSACTIONS!$G4556,"")</f>
        <v>20000</v>
      </c>
      <c r="I4556" s="40" t="s">
        <v>41</v>
      </c>
    </row>
    <row r="4557" spans="1:10" x14ac:dyDescent="0.25">
      <c r="A4557" s="41">
        <v>45377.578363078705</v>
      </c>
      <c r="B4557" s="48">
        <f>IF(A4557&lt;&gt;"",DATE(YEAR(TRANSACTIONS!$A4557),MONTH(TRANSACTIONS!$A4557),DAY(TRANSACTIONS!$A4557)),"")</f>
        <v>45377</v>
      </c>
      <c r="C4557" s="49">
        <f>IF(A4557&lt;&gt;"",TIME(HOUR(TRANSACTIONS!$A4557),MINUTE(TRANSACTIONS!$A4557),SECOND(TRANSACTIONS!$A4557)),"")</f>
        <v>0.57836805555555559</v>
      </c>
      <c r="D4557" s="82" t="s">
        <v>62</v>
      </c>
      <c r="E4557" s="82" t="s">
        <v>7</v>
      </c>
      <c r="F4557" s="88">
        <v>6000</v>
      </c>
      <c r="G4557" s="46"/>
      <c r="H4557" s="46">
        <f>IFERROR(TRANSACTIONS!$F4557+TRANSACTIONS!$G4557,"")</f>
        <v>6000</v>
      </c>
      <c r="I4557" s="40" t="s">
        <v>41</v>
      </c>
    </row>
    <row r="4558" spans="1:10" x14ac:dyDescent="0.25">
      <c r="A4558" s="41">
        <v>45377.578371180556</v>
      </c>
      <c r="B4558" s="48">
        <f>IF(A4558&lt;&gt;"",DATE(YEAR(TRANSACTIONS!$A4558),MONTH(TRANSACTIONS!$A4558),DAY(TRANSACTIONS!$A4558)),"")</f>
        <v>45377</v>
      </c>
      <c r="C4558" s="49">
        <f>IF(A4558&lt;&gt;"",TIME(HOUR(TRANSACTIONS!$A4558),MINUTE(TRANSACTIONS!$A4558),SECOND(TRANSACTIONS!$A4558)),"")</f>
        <v>0.57836805555555559</v>
      </c>
      <c r="D4558" s="82" t="s">
        <v>62</v>
      </c>
      <c r="E4558" s="82" t="s">
        <v>6</v>
      </c>
      <c r="F4558" s="88">
        <v>5000</v>
      </c>
      <c r="G4558" s="46"/>
      <c r="H4558" s="46">
        <f>IFERROR(TRANSACTIONS!$F4558+TRANSACTIONS!$G4558,"")</f>
        <v>5000</v>
      </c>
      <c r="I4558" s="40" t="s">
        <v>41</v>
      </c>
    </row>
    <row r="4559" spans="1:10" x14ac:dyDescent="0.25">
      <c r="A4559" s="41">
        <v>45377.601038425928</v>
      </c>
      <c r="B4559" s="48">
        <f>IF(A4559&lt;&gt;"",DATE(YEAR(TRANSACTIONS!$A4559),MONTH(TRANSACTIONS!$A4559),DAY(TRANSACTIONS!$A4559)),"")</f>
        <v>45377</v>
      </c>
      <c r="C4559" s="49">
        <f>IF(A4559&lt;&gt;"",TIME(HOUR(TRANSACTIONS!$A4559),MINUTE(TRANSACTIONS!$A4559),SECOND(TRANSACTIONS!$A4559)),"")</f>
        <v>0.6010416666666667</v>
      </c>
      <c r="D4559" s="82" t="s">
        <v>62</v>
      </c>
      <c r="E4559" s="82" t="s">
        <v>7</v>
      </c>
      <c r="F4559" s="88">
        <v>30000</v>
      </c>
      <c r="G4559" s="46"/>
      <c r="H4559" s="46">
        <f>IFERROR(TRANSACTIONS!$F4559+TRANSACTIONS!$G4559,"")</f>
        <v>30000</v>
      </c>
      <c r="I4559" s="40" t="s">
        <v>41</v>
      </c>
    </row>
    <row r="4560" spans="1:10" x14ac:dyDescent="0.25">
      <c r="A4560" s="41">
        <v>45377.601219212964</v>
      </c>
      <c r="B4560" s="48">
        <f>IF(A4560&lt;&gt;"",DATE(YEAR(TRANSACTIONS!$A4560),MONTH(TRANSACTIONS!$A4560),DAY(TRANSACTIONS!$A4560)),"")</f>
        <v>45377</v>
      </c>
      <c r="C4560" s="49">
        <f>IF(A4560&lt;&gt;"",TIME(HOUR(TRANSACTIONS!$A4560),MINUTE(TRANSACTIONS!$A4560),SECOND(TRANSACTIONS!$A4560)),"")</f>
        <v>0.60121527777777783</v>
      </c>
      <c r="D4560" s="82" t="s">
        <v>62</v>
      </c>
      <c r="E4560" s="82" t="s">
        <v>7</v>
      </c>
      <c r="F4560" s="88">
        <v>5000</v>
      </c>
      <c r="G4560" s="46"/>
      <c r="H4560" s="46">
        <f>IFERROR(TRANSACTIONS!$F4560+TRANSACTIONS!$G4560,"")</f>
        <v>5000</v>
      </c>
      <c r="I4560" s="40" t="s">
        <v>41</v>
      </c>
    </row>
    <row r="4561" spans="1:9" x14ac:dyDescent="0.25">
      <c r="A4561" s="41">
        <v>45377.601230902779</v>
      </c>
      <c r="B4561" s="48">
        <f>IF(A4561&lt;&gt;"",DATE(YEAR(TRANSACTIONS!$A4561),MONTH(TRANSACTIONS!$A4561),DAY(TRANSACTIONS!$A4561)),"")</f>
        <v>45377</v>
      </c>
      <c r="C4561" s="49">
        <f>IF(A4561&lt;&gt;"",TIME(HOUR(TRANSACTIONS!$A4561),MINUTE(TRANSACTIONS!$A4561),SECOND(TRANSACTIONS!$A4561)),"")</f>
        <v>0.60122685185185187</v>
      </c>
      <c r="D4561" s="82" t="s">
        <v>62</v>
      </c>
      <c r="E4561" s="82" t="s">
        <v>6</v>
      </c>
      <c r="F4561" s="88">
        <v>5000</v>
      </c>
      <c r="G4561" s="46"/>
      <c r="H4561" s="46">
        <f>IFERROR(TRANSACTIONS!$F4561+TRANSACTIONS!$G4561,"")</f>
        <v>5000</v>
      </c>
      <c r="I4561" s="40" t="s">
        <v>41</v>
      </c>
    </row>
    <row r="4562" spans="1:9" x14ac:dyDescent="0.25">
      <c r="A4562" s="41">
        <v>45377.601239004631</v>
      </c>
      <c r="B4562" s="48">
        <f>IF(A4562&lt;&gt;"",DATE(YEAR(TRANSACTIONS!$A4562),MONTH(TRANSACTIONS!$A4562),DAY(TRANSACTIONS!$A4562)),"")</f>
        <v>45377</v>
      </c>
      <c r="C4562" s="49">
        <f>IF(A4562&lt;&gt;"",TIME(HOUR(TRANSACTIONS!$A4562),MINUTE(TRANSACTIONS!$A4562),SECOND(TRANSACTIONS!$A4562)),"")</f>
        <v>0.60123842592592591</v>
      </c>
      <c r="D4562" s="82" t="s">
        <v>64</v>
      </c>
      <c r="E4562" s="82" t="s">
        <v>6</v>
      </c>
      <c r="F4562" s="88">
        <v>200000</v>
      </c>
      <c r="G4562" s="46"/>
      <c r="H4562" s="46">
        <f>IFERROR(TRANSACTIONS!$F4562+TRANSACTIONS!$G4562,"")</f>
        <v>200000</v>
      </c>
      <c r="I4562" s="40" t="s">
        <v>41</v>
      </c>
    </row>
    <row r="4563" spans="1:9" x14ac:dyDescent="0.25">
      <c r="A4563" s="41">
        <v>45377.601245949074</v>
      </c>
      <c r="B4563" s="48">
        <f>IF(A4563&lt;&gt;"",DATE(YEAR(TRANSACTIONS!$A4563),MONTH(TRANSACTIONS!$A4563),DAY(TRANSACTIONS!$A4563)),"")</f>
        <v>45377</v>
      </c>
      <c r="C4563" s="49">
        <f>IF(A4563&lt;&gt;"",TIME(HOUR(TRANSACTIONS!$A4563),MINUTE(TRANSACTIONS!$A4563),SECOND(TRANSACTIONS!$A4563)),"")</f>
        <v>0.60124999999999995</v>
      </c>
      <c r="D4563" s="82" t="s">
        <v>62</v>
      </c>
      <c r="E4563" s="82" t="s">
        <v>7</v>
      </c>
      <c r="F4563" s="88">
        <v>5000</v>
      </c>
      <c r="G4563" s="46"/>
      <c r="H4563" s="46">
        <f>IFERROR(TRANSACTIONS!$F4563+TRANSACTIONS!$G4563,"")</f>
        <v>5000</v>
      </c>
      <c r="I4563" s="40" t="s">
        <v>41</v>
      </c>
    </row>
    <row r="4564" spans="1:9" x14ac:dyDescent="0.25">
      <c r="A4564" s="41">
        <v>45377.613678703703</v>
      </c>
      <c r="B4564" s="48">
        <f>IF(A4564&lt;&gt;"",DATE(YEAR(TRANSACTIONS!$A4564),MONTH(TRANSACTIONS!$A4564),DAY(TRANSACTIONS!$A4564)),"")</f>
        <v>45377</v>
      </c>
      <c r="C4564" s="49">
        <f>IF(A4564&lt;&gt;"",TIME(HOUR(TRANSACTIONS!$A4564),MINUTE(TRANSACTIONS!$A4564),SECOND(TRANSACTIONS!$A4564)),"")</f>
        <v>0.61368055555555556</v>
      </c>
      <c r="D4564" s="82" t="s">
        <v>62</v>
      </c>
      <c r="E4564" s="82" t="s">
        <v>7</v>
      </c>
      <c r="F4564" s="88">
        <v>1500</v>
      </c>
      <c r="G4564" s="46"/>
      <c r="H4564" s="46">
        <f>IFERROR(TRANSACTIONS!$F4564+TRANSACTIONS!$G4564,"")</f>
        <v>1500</v>
      </c>
      <c r="I4564" s="40" t="s">
        <v>41</v>
      </c>
    </row>
    <row r="4565" spans="1:9" x14ac:dyDescent="0.25">
      <c r="A4565" s="41">
        <v>45377.613688078702</v>
      </c>
      <c r="B4565" s="48">
        <f>IF(A4565&lt;&gt;"",DATE(YEAR(TRANSACTIONS!$A4565),MONTH(TRANSACTIONS!$A4565),DAY(TRANSACTIONS!$A4565)),"")</f>
        <v>45377</v>
      </c>
      <c r="C4565" s="49">
        <f>IF(A4565&lt;&gt;"",TIME(HOUR(TRANSACTIONS!$A4565),MINUTE(TRANSACTIONS!$A4565),SECOND(TRANSACTIONS!$A4565)),"")</f>
        <v>0.6136921296296296</v>
      </c>
      <c r="D4565" s="82" t="s">
        <v>62</v>
      </c>
      <c r="E4565" s="82" t="s">
        <v>6</v>
      </c>
      <c r="F4565" s="88">
        <v>5000</v>
      </c>
      <c r="G4565" s="46"/>
      <c r="H4565" s="46">
        <f>IFERROR(TRANSACTIONS!$F4565+TRANSACTIONS!$G4565,"")</f>
        <v>5000</v>
      </c>
      <c r="I4565" s="40" t="s">
        <v>41</v>
      </c>
    </row>
    <row r="4566" spans="1:9" x14ac:dyDescent="0.25">
      <c r="A4566" s="105">
        <v>45377.613723495371</v>
      </c>
      <c r="B4566" s="106">
        <f>IF(A4566&lt;&gt;"",DATE(YEAR(TRANSACTIONS!$A4566),MONTH(TRANSACTIONS!$A4566),DAY(TRANSACTIONS!$A4566)),"")</f>
        <v>45377</v>
      </c>
      <c r="C4566" s="107">
        <f>IF(A4566&lt;&gt;"",TIME(HOUR(TRANSACTIONS!$A4566),MINUTE(TRANSACTIONS!$A4566),SECOND(TRANSACTIONS!$A4566)),"")</f>
        <v>0.61372685185185183</v>
      </c>
      <c r="D4566" s="93" t="s">
        <v>62</v>
      </c>
      <c r="E4566" s="93" t="s">
        <v>6</v>
      </c>
      <c r="F4566" s="112">
        <v>10000</v>
      </c>
      <c r="G4566" s="108"/>
      <c r="H4566" s="108">
        <f>IFERROR(TRANSACTIONS!$F4566+TRANSACTIONS!$G4566,"")</f>
        <v>10000</v>
      </c>
      <c r="I4566" s="109" t="s">
        <v>41</v>
      </c>
    </row>
    <row r="4567" spans="1:9" x14ac:dyDescent="0.25">
      <c r="A4567" s="41">
        <v>45377.614093865741</v>
      </c>
      <c r="B4567" s="48">
        <f>IF(A4567&lt;&gt;"",DATE(YEAR(TRANSACTIONS!$A4567),MONTH(TRANSACTIONS!$A4567),DAY(TRANSACTIONS!$A4567)),"")</f>
        <v>45377</v>
      </c>
      <c r="C4567" s="49">
        <f>IF(A4567&lt;&gt;"",TIME(HOUR(TRANSACTIONS!$A4567),MINUTE(TRANSACTIONS!$A4567),SECOND(TRANSACTIONS!$A4567)),"")</f>
        <v>0.61409722222222218</v>
      </c>
      <c r="D4567" s="82" t="s">
        <v>25</v>
      </c>
      <c r="E4567" s="82" t="s">
        <v>7</v>
      </c>
      <c r="F4567" s="88">
        <v>180000</v>
      </c>
      <c r="G4567" s="46"/>
      <c r="H4567" s="46">
        <f>IFERROR(TRANSACTIONS!$F4567+TRANSACTIONS!$G4567,"")</f>
        <v>180000</v>
      </c>
      <c r="I4567" s="40" t="s">
        <v>41</v>
      </c>
    </row>
    <row r="4568" spans="1:9" x14ac:dyDescent="0.25">
      <c r="A4568" s="41">
        <v>45377.614133101852</v>
      </c>
      <c r="B4568" s="48">
        <f>IF(A4568&lt;&gt;"",DATE(YEAR(TRANSACTIONS!$A4568),MONTH(TRANSACTIONS!$A4568),DAY(TRANSACTIONS!$A4568)),"")</f>
        <v>45377</v>
      </c>
      <c r="C4568" s="49">
        <f>IF(A4568&lt;&gt;"",TIME(HOUR(TRANSACTIONS!$A4568),MINUTE(TRANSACTIONS!$A4568),SECOND(TRANSACTIONS!$A4568)),"")</f>
        <v>0.61413194444444441</v>
      </c>
      <c r="D4568" s="82" t="s">
        <v>25</v>
      </c>
      <c r="E4568" s="82" t="s">
        <v>7</v>
      </c>
      <c r="F4568" s="88">
        <v>3000</v>
      </c>
      <c r="G4568" s="46"/>
      <c r="H4568" s="46">
        <f>IFERROR(TRANSACTIONS!$F4568+TRANSACTIONS!$G4568,"")</f>
        <v>3000</v>
      </c>
      <c r="I4568" s="40" t="s">
        <v>41</v>
      </c>
    </row>
    <row r="4569" spans="1:9" x14ac:dyDescent="0.25">
      <c r="A4569" s="41">
        <v>45377.614140625003</v>
      </c>
      <c r="B4569" s="48">
        <f>IF(A4569&lt;&gt;"",DATE(YEAR(TRANSACTIONS!$A4569),MONTH(TRANSACTIONS!$A4569),DAY(TRANSACTIONS!$A4569)),"")</f>
        <v>45377</v>
      </c>
      <c r="C4569" s="49">
        <f>IF(A4569&lt;&gt;"",TIME(HOUR(TRANSACTIONS!$A4569),MINUTE(TRANSACTIONS!$A4569),SECOND(TRANSACTIONS!$A4569)),"")</f>
        <v>0.61414351851851856</v>
      </c>
      <c r="D4569" s="82" t="s">
        <v>25</v>
      </c>
      <c r="E4569" s="82" t="s">
        <v>6</v>
      </c>
      <c r="F4569" s="88">
        <v>3500</v>
      </c>
      <c r="G4569" s="46"/>
      <c r="H4569" s="46">
        <f>IFERROR(TRANSACTIONS!$F4569+TRANSACTIONS!$G4569,"")</f>
        <v>3500</v>
      </c>
      <c r="I4569" s="40" t="s">
        <v>41</v>
      </c>
    </row>
    <row r="4570" spans="1:9" x14ac:dyDescent="0.25">
      <c r="A4570" s="41">
        <v>45377.614148958331</v>
      </c>
      <c r="B4570" s="48">
        <f>IF(A4570&lt;&gt;"",DATE(YEAR(TRANSACTIONS!$A4570),MONTH(TRANSACTIONS!$A4570),DAY(TRANSACTIONS!$A4570)),"")</f>
        <v>45377</v>
      </c>
      <c r="C4570" s="49">
        <f>IF(A4570&lt;&gt;"",TIME(HOUR(TRANSACTIONS!$A4570),MINUTE(TRANSACTIONS!$A4570),SECOND(TRANSACTIONS!$A4570)),"")</f>
        <v>0.61414351851851856</v>
      </c>
      <c r="D4570" s="82" t="s">
        <v>62</v>
      </c>
      <c r="E4570" s="82" t="s">
        <v>6</v>
      </c>
      <c r="F4570" s="88">
        <v>75000</v>
      </c>
      <c r="G4570" s="46"/>
      <c r="H4570" s="46">
        <f>IFERROR(TRANSACTIONS!$F4570+TRANSACTIONS!$G4570,"")</f>
        <v>75000</v>
      </c>
      <c r="I4570" s="40" t="s">
        <v>41</v>
      </c>
    </row>
    <row r="4571" spans="1:9" x14ac:dyDescent="0.25">
      <c r="A4571" s="41">
        <v>45377.614155439813</v>
      </c>
      <c r="B4571" s="48">
        <f>IF(A4571&lt;&gt;"",DATE(YEAR(TRANSACTIONS!$A4571),MONTH(TRANSACTIONS!$A4571),DAY(TRANSACTIONS!$A4571)),"")</f>
        <v>45377</v>
      </c>
      <c r="C4571" s="49">
        <f>IF(A4571&lt;&gt;"",TIME(HOUR(TRANSACTIONS!$A4571),MINUTE(TRANSACTIONS!$A4571),SECOND(TRANSACTIONS!$A4571)),"")</f>
        <v>0.6141550925925926</v>
      </c>
      <c r="D4571" s="82" t="s">
        <v>62</v>
      </c>
      <c r="E4571" s="82" t="s">
        <v>7</v>
      </c>
      <c r="F4571" s="88">
        <v>7000</v>
      </c>
      <c r="G4571" s="46"/>
      <c r="H4571" s="46">
        <f>IFERROR(TRANSACTIONS!$F4571+TRANSACTIONS!$G4571,"")</f>
        <v>7000</v>
      </c>
      <c r="I4571" s="40" t="s">
        <v>41</v>
      </c>
    </row>
    <row r="4572" spans="1:9" x14ac:dyDescent="0.25">
      <c r="A4572" s="41">
        <v>45377.615558680554</v>
      </c>
      <c r="B4572" s="48">
        <f>IF(A4572&lt;&gt;"",DATE(YEAR(TRANSACTIONS!$A4572),MONTH(TRANSACTIONS!$A4572),DAY(TRANSACTIONS!$A4572)),"")</f>
        <v>45377</v>
      </c>
      <c r="C4572" s="49">
        <f>IF(A4572&lt;&gt;"",TIME(HOUR(TRANSACTIONS!$A4572),MINUTE(TRANSACTIONS!$A4572),SECOND(TRANSACTIONS!$A4572)),"")</f>
        <v>0.61555555555555552</v>
      </c>
      <c r="D4572" s="82" t="s">
        <v>62</v>
      </c>
      <c r="E4572" s="82" t="s">
        <v>7</v>
      </c>
      <c r="F4572" s="88">
        <v>2000</v>
      </c>
      <c r="G4572" s="46"/>
      <c r="H4572" s="46">
        <f>IFERROR(TRANSACTIONS!$F4572+TRANSACTIONS!$G4572,"")</f>
        <v>2000</v>
      </c>
      <c r="I4572" s="40" t="s">
        <v>41</v>
      </c>
    </row>
    <row r="4573" spans="1:9" x14ac:dyDescent="0.25">
      <c r="A4573" s="41">
        <v>45377.628222106483</v>
      </c>
      <c r="B4573" s="48">
        <f>IF(A4573&lt;&gt;"",DATE(YEAR(TRANSACTIONS!$A4573),MONTH(TRANSACTIONS!$A4573),DAY(TRANSACTIONS!$A4573)),"")</f>
        <v>45377</v>
      </c>
      <c r="C4573" s="49">
        <f>IF(A4573&lt;&gt;"",TIME(HOUR(TRANSACTIONS!$A4573),MINUTE(TRANSACTIONS!$A4573),SECOND(TRANSACTIONS!$A4573)),"")</f>
        <v>0.62821759259259258</v>
      </c>
      <c r="D4573" s="82" t="s">
        <v>62</v>
      </c>
      <c r="E4573" s="82" t="s">
        <v>7</v>
      </c>
      <c r="F4573" s="88">
        <v>2000</v>
      </c>
      <c r="G4573" s="46"/>
      <c r="H4573" s="46">
        <f>IFERROR(TRANSACTIONS!$F4573+TRANSACTIONS!$G4573,"")</f>
        <v>2000</v>
      </c>
      <c r="I4573" s="40" t="s">
        <v>41</v>
      </c>
    </row>
    <row r="4574" spans="1:9" x14ac:dyDescent="0.25">
      <c r="A4574" s="41">
        <v>45377.628240162034</v>
      </c>
      <c r="B4574" s="48">
        <f>IF(A4574&lt;&gt;"",DATE(YEAR(TRANSACTIONS!$A4574),MONTH(TRANSACTIONS!$A4574),DAY(TRANSACTIONS!$A4574)),"")</f>
        <v>45377</v>
      </c>
      <c r="C4574" s="49">
        <f>IF(A4574&lt;&gt;"",TIME(HOUR(TRANSACTIONS!$A4574),MINUTE(TRANSACTIONS!$A4574),SECOND(TRANSACTIONS!$A4574)),"")</f>
        <v>0.62824074074074077</v>
      </c>
      <c r="D4574" s="82" t="s">
        <v>62</v>
      </c>
      <c r="E4574" s="82" t="s">
        <v>7</v>
      </c>
      <c r="F4574" s="88">
        <v>10000</v>
      </c>
      <c r="G4574" s="46"/>
      <c r="H4574" s="46">
        <f>IFERROR(TRANSACTIONS!$F4574+TRANSACTIONS!$G4574,"")</f>
        <v>10000</v>
      </c>
      <c r="I4574" s="40" t="s">
        <v>41</v>
      </c>
    </row>
    <row r="4575" spans="1:9" x14ac:dyDescent="0.25">
      <c r="A4575" s="41">
        <v>45377.658308101854</v>
      </c>
      <c r="B4575" s="48">
        <f>IF(A4575&lt;&gt;"",DATE(YEAR(TRANSACTIONS!$A4575),MONTH(TRANSACTIONS!$A4575),DAY(TRANSACTIONS!$A4575)),"")</f>
        <v>45377</v>
      </c>
      <c r="C4575" s="49">
        <f>IF(A4575&lt;&gt;"",TIME(HOUR(TRANSACTIONS!$A4575),MINUTE(TRANSACTIONS!$A4575),SECOND(TRANSACTIONS!$A4575)),"")</f>
        <v>0.65831018518518525</v>
      </c>
      <c r="D4575" s="82" t="s">
        <v>62</v>
      </c>
      <c r="E4575" s="82" t="s">
        <v>7</v>
      </c>
      <c r="F4575" s="88">
        <v>5000</v>
      </c>
      <c r="G4575" s="46"/>
      <c r="H4575" s="46">
        <f>IFERROR(TRANSACTIONS!$F4575+TRANSACTIONS!$G4575,"")</f>
        <v>5000</v>
      </c>
      <c r="I4575" s="40" t="s">
        <v>41</v>
      </c>
    </row>
    <row r="4576" spans="1:9" x14ac:dyDescent="0.25">
      <c r="A4576" s="41">
        <v>45377.658322685187</v>
      </c>
      <c r="B4576" s="48">
        <f>IF(A4576&lt;&gt;"",DATE(YEAR(TRANSACTIONS!$A4576),MONTH(TRANSACTIONS!$A4576),DAY(TRANSACTIONS!$A4576)),"")</f>
        <v>45377</v>
      </c>
      <c r="C4576" s="49">
        <f>IF(A4576&lt;&gt;"",TIME(HOUR(TRANSACTIONS!$A4576),MINUTE(TRANSACTIONS!$A4576),SECOND(TRANSACTIONS!$A4576)),"")</f>
        <v>0.65832175925925929</v>
      </c>
      <c r="D4576" s="82" t="s">
        <v>62</v>
      </c>
      <c r="E4576" s="82" t="s">
        <v>6</v>
      </c>
      <c r="F4576" s="88">
        <v>50000</v>
      </c>
      <c r="G4576" s="46"/>
      <c r="H4576" s="46">
        <f>IFERROR(TRANSACTIONS!$F4576+TRANSACTIONS!$G4576,"")</f>
        <v>50000</v>
      </c>
      <c r="I4576" s="40" t="s">
        <v>41</v>
      </c>
    </row>
    <row r="4577" spans="1:9" x14ac:dyDescent="0.25">
      <c r="A4577" s="41">
        <v>45377.658355671294</v>
      </c>
      <c r="B4577" s="48">
        <f>IF(A4577&lt;&gt;"",DATE(YEAR(TRANSACTIONS!$A4577),MONTH(TRANSACTIONS!$A4577),DAY(TRANSACTIONS!$A4577)),"")</f>
        <v>45377</v>
      </c>
      <c r="C4577" s="49">
        <f>IF(A4577&lt;&gt;"",TIME(HOUR(TRANSACTIONS!$A4577),MINUTE(TRANSACTIONS!$A4577),SECOND(TRANSACTIONS!$A4577)),"")</f>
        <v>0.65835648148148151</v>
      </c>
      <c r="D4577" s="82" t="s">
        <v>62</v>
      </c>
      <c r="E4577" s="82" t="s">
        <v>7</v>
      </c>
      <c r="F4577" s="88">
        <v>30000</v>
      </c>
      <c r="G4577" s="46"/>
      <c r="H4577" s="46">
        <f>IFERROR(TRANSACTIONS!$F4577+TRANSACTIONS!$G4577,"")</f>
        <v>30000</v>
      </c>
      <c r="I4577" s="40" t="s">
        <v>41</v>
      </c>
    </row>
    <row r="4578" spans="1:9" x14ac:dyDescent="0.25">
      <c r="A4578" s="41">
        <v>45377.658365856485</v>
      </c>
      <c r="B4578" s="48">
        <f>IF(A4578&lt;&gt;"",DATE(YEAR(TRANSACTIONS!$A4578),MONTH(TRANSACTIONS!$A4578),DAY(TRANSACTIONS!$A4578)),"")</f>
        <v>45377</v>
      </c>
      <c r="C4578" s="49">
        <f>IF(A4578&lt;&gt;"",TIME(HOUR(TRANSACTIONS!$A4578),MINUTE(TRANSACTIONS!$A4578),SECOND(TRANSACTIONS!$A4578)),"")</f>
        <v>0.65836805555555555</v>
      </c>
      <c r="D4578" s="82" t="s">
        <v>62</v>
      </c>
      <c r="E4578" s="82" t="s">
        <v>7</v>
      </c>
      <c r="F4578" s="88">
        <v>1000</v>
      </c>
      <c r="G4578" s="46"/>
      <c r="H4578" s="46">
        <f>IFERROR(TRANSACTIONS!$F4578+TRANSACTIONS!$G4578,"")</f>
        <v>1000</v>
      </c>
      <c r="I4578" s="40" t="s">
        <v>41</v>
      </c>
    </row>
    <row r="4579" spans="1:9" x14ac:dyDescent="0.25">
      <c r="A4579" s="41">
        <v>45377.659088078704</v>
      </c>
      <c r="B4579" s="48">
        <f>IF(A4579&lt;&gt;"",DATE(YEAR(TRANSACTIONS!$A4579),MONTH(TRANSACTIONS!$A4579),DAY(TRANSACTIONS!$A4579)),"")</f>
        <v>45377</v>
      </c>
      <c r="C4579" s="49">
        <f>IF(A4579&lt;&gt;"",TIME(HOUR(TRANSACTIONS!$A4579),MINUTE(TRANSACTIONS!$A4579),SECOND(TRANSACTIONS!$A4579)),"")</f>
        <v>0.65908564814814818</v>
      </c>
      <c r="D4579" s="82" t="s">
        <v>62</v>
      </c>
      <c r="E4579" s="82" t="s">
        <v>7</v>
      </c>
      <c r="F4579" s="88">
        <v>10000</v>
      </c>
      <c r="G4579" s="46"/>
      <c r="H4579" s="46">
        <f>IFERROR(TRANSACTIONS!$F4579+TRANSACTIONS!$G4579,"")</f>
        <v>10000</v>
      </c>
      <c r="I4579" s="40" t="s">
        <v>41</v>
      </c>
    </row>
    <row r="4580" spans="1:9" x14ac:dyDescent="0.25">
      <c r="A4580" s="81">
        <v>45377.675636574073</v>
      </c>
      <c r="B4580" s="83">
        <f>IF(A4580&lt;&gt;"",DATE(YEAR(TRANSACTIONS!$A4580),MONTH(TRANSACTIONS!$A4580),DAY(TRANSACTIONS!$A4580)),"")</f>
        <v>45377</v>
      </c>
      <c r="C4580" s="84">
        <f>IF(A4580&lt;&gt;"",TIME(HOUR(TRANSACTIONS!$A4580),MINUTE(TRANSACTIONS!$A4580),SECOND(TRANSACTIONS!$A4580)),"")</f>
        <v>0.67563657407407407</v>
      </c>
      <c r="D4580" s="82" t="s">
        <v>62</v>
      </c>
      <c r="E4580" s="82" t="s">
        <v>6</v>
      </c>
      <c r="F4580" s="88">
        <v>100000</v>
      </c>
      <c r="G4580" s="86"/>
      <c r="H4580" s="86">
        <f>IFERROR(TRANSACTIONS!$F4580+TRANSACTIONS!$G4580,"")</f>
        <v>100000</v>
      </c>
      <c r="I4580" s="88" t="s">
        <v>41</v>
      </c>
    </row>
    <row r="4581" spans="1:9" x14ac:dyDescent="0.25">
      <c r="A4581" s="41">
        <v>45377.67564710648</v>
      </c>
      <c r="B4581" s="48">
        <f>IF(A4581&lt;&gt;"",DATE(YEAR(TRANSACTIONS!$A4581),MONTH(TRANSACTIONS!$A4581),DAY(TRANSACTIONS!$A4581)),"")</f>
        <v>45377</v>
      </c>
      <c r="C4581" s="49">
        <f>IF(A4581&lt;&gt;"",TIME(HOUR(TRANSACTIONS!$A4581),MINUTE(TRANSACTIONS!$A4581),SECOND(TRANSACTIONS!$A4581)),"")</f>
        <v>0.67564814814814822</v>
      </c>
      <c r="D4581" s="82" t="s">
        <v>62</v>
      </c>
      <c r="E4581" s="82" t="s">
        <v>7</v>
      </c>
      <c r="F4581" s="88">
        <v>180000</v>
      </c>
      <c r="G4581" s="46"/>
      <c r="H4581" s="46">
        <f>IFERROR(TRANSACTIONS!$F4581+TRANSACTIONS!$G4581,"")</f>
        <v>180000</v>
      </c>
      <c r="I4581" s="40" t="s">
        <v>41</v>
      </c>
    </row>
    <row r="4582" spans="1:9" x14ac:dyDescent="0.25">
      <c r="A4582" s="41">
        <v>45377.675659375003</v>
      </c>
      <c r="B4582" s="48">
        <f>IF(A4582&lt;&gt;"",DATE(YEAR(TRANSACTIONS!$A4582),MONTH(TRANSACTIONS!$A4582),DAY(TRANSACTIONS!$A4582)),"")</f>
        <v>45377</v>
      </c>
      <c r="C4582" s="49">
        <f>IF(A4582&lt;&gt;"",TIME(HOUR(TRANSACTIONS!$A4582),MINUTE(TRANSACTIONS!$A4582),SECOND(TRANSACTIONS!$A4582)),"")</f>
        <v>0.67565972222222215</v>
      </c>
      <c r="D4582" s="82" t="s">
        <v>62</v>
      </c>
      <c r="E4582" s="82" t="s">
        <v>7</v>
      </c>
      <c r="F4582" s="88">
        <v>10000</v>
      </c>
      <c r="G4582" s="46"/>
      <c r="H4582" s="46">
        <f>IFERROR(TRANSACTIONS!$F4582+TRANSACTIONS!$G4582,"")</f>
        <v>10000</v>
      </c>
      <c r="I4582" s="40" t="s">
        <v>41</v>
      </c>
    </row>
    <row r="4583" spans="1:9" x14ac:dyDescent="0.25">
      <c r="A4583" s="41">
        <v>45377.677921064816</v>
      </c>
      <c r="B4583" s="48">
        <f>IF(A4583&lt;&gt;"",DATE(YEAR(TRANSACTIONS!$A4583),MONTH(TRANSACTIONS!$A4583),DAY(TRANSACTIONS!$A4583)),"")</f>
        <v>45377</v>
      </c>
      <c r="C4583" s="49">
        <f>IF(A4583&lt;&gt;"",TIME(HOUR(TRANSACTIONS!$A4583),MINUTE(TRANSACTIONS!$A4583),SECOND(TRANSACTIONS!$A4583)),"")</f>
        <v>0.67791666666666661</v>
      </c>
      <c r="D4583" s="82" t="s">
        <v>62</v>
      </c>
      <c r="E4583" s="82" t="s">
        <v>7</v>
      </c>
      <c r="F4583" s="88">
        <v>10000</v>
      </c>
      <c r="G4583" s="46"/>
      <c r="H4583" s="46">
        <f>IFERROR(TRANSACTIONS!$F4583+TRANSACTIONS!$G4583,"")</f>
        <v>10000</v>
      </c>
      <c r="I4583" s="40" t="s">
        <v>41</v>
      </c>
    </row>
    <row r="4584" spans="1:9" x14ac:dyDescent="0.25">
      <c r="A4584" s="41">
        <v>45377.677945601848</v>
      </c>
      <c r="B4584" s="48">
        <f>IF(A4584&lt;&gt;"",DATE(YEAR(TRANSACTIONS!$A4584),MONTH(TRANSACTIONS!$A4584),DAY(TRANSACTIONS!$A4584)),"")</f>
        <v>45377</v>
      </c>
      <c r="C4584" s="49">
        <f>IF(A4584&lt;&gt;"",TIME(HOUR(TRANSACTIONS!$A4584),MINUTE(TRANSACTIONS!$A4584),SECOND(TRANSACTIONS!$A4584)),"")</f>
        <v>0.67793981481481491</v>
      </c>
      <c r="D4584" s="82" t="s">
        <v>62</v>
      </c>
      <c r="E4584" s="82" t="s">
        <v>7</v>
      </c>
      <c r="F4584" s="88">
        <v>3500</v>
      </c>
      <c r="G4584" s="46"/>
      <c r="H4584" s="46">
        <f>IFERROR(TRANSACTIONS!$F4584+TRANSACTIONS!$G4584,"")</f>
        <v>3500</v>
      </c>
      <c r="I4584" s="40" t="s">
        <v>41</v>
      </c>
    </row>
    <row r="4585" spans="1:9" x14ac:dyDescent="0.25">
      <c r="A4585" s="41">
        <v>45377.677952893515</v>
      </c>
      <c r="B4585" s="48">
        <f>IF(A4585&lt;&gt;"",DATE(YEAR(TRANSACTIONS!$A4585),MONTH(TRANSACTIONS!$A4585),DAY(TRANSACTIONS!$A4585)),"")</f>
        <v>45377</v>
      </c>
      <c r="C4585" s="49">
        <f>IF(A4585&lt;&gt;"",TIME(HOUR(TRANSACTIONS!$A4585),MINUTE(TRANSACTIONS!$A4585),SECOND(TRANSACTIONS!$A4585)),"")</f>
        <v>0.67795138888888884</v>
      </c>
      <c r="D4585" s="82" t="s">
        <v>62</v>
      </c>
      <c r="E4585" s="82" t="s">
        <v>7</v>
      </c>
      <c r="F4585" s="88">
        <v>1000</v>
      </c>
      <c r="G4585" s="46"/>
      <c r="H4585" s="46">
        <f>IFERROR(TRANSACTIONS!$F4585+TRANSACTIONS!$G4585,"")</f>
        <v>1000</v>
      </c>
      <c r="I4585" s="40" t="s">
        <v>41</v>
      </c>
    </row>
    <row r="4586" spans="1:9" x14ac:dyDescent="0.25">
      <c r="A4586" s="41">
        <v>45377.677959722219</v>
      </c>
      <c r="B4586" s="48">
        <f>IF(A4586&lt;&gt;"",DATE(YEAR(TRANSACTIONS!$A4586),MONTH(TRANSACTIONS!$A4586),DAY(TRANSACTIONS!$A4586)),"")</f>
        <v>45377</v>
      </c>
      <c r="C4586" s="49">
        <f>IF(A4586&lt;&gt;"",TIME(HOUR(TRANSACTIONS!$A4586),MINUTE(TRANSACTIONS!$A4586),SECOND(TRANSACTIONS!$A4586)),"")</f>
        <v>0.67796296296296299</v>
      </c>
      <c r="D4586" s="82" t="s">
        <v>62</v>
      </c>
      <c r="E4586" s="82" t="s">
        <v>7</v>
      </c>
      <c r="F4586" s="88">
        <v>1000</v>
      </c>
      <c r="G4586" s="46"/>
      <c r="H4586" s="46">
        <f>IFERROR(TRANSACTIONS!$F4586+TRANSACTIONS!$G4586,"")</f>
        <v>1000</v>
      </c>
      <c r="I4586" s="40" t="s">
        <v>41</v>
      </c>
    </row>
    <row r="4587" spans="1:9" x14ac:dyDescent="0.25">
      <c r="A4587" s="41">
        <v>45377.677968055556</v>
      </c>
      <c r="B4587" s="48">
        <f>IF(A4587&lt;&gt;"",DATE(YEAR(TRANSACTIONS!$A4587),MONTH(TRANSACTIONS!$A4587),DAY(TRANSACTIONS!$A4587)),"")</f>
        <v>45377</v>
      </c>
      <c r="C4587" s="49">
        <f>IF(A4587&lt;&gt;"",TIME(HOUR(TRANSACTIONS!$A4587),MINUTE(TRANSACTIONS!$A4587),SECOND(TRANSACTIONS!$A4587)),"")</f>
        <v>0.67796296296296299</v>
      </c>
      <c r="D4587" s="82" t="s">
        <v>62</v>
      </c>
      <c r="E4587" s="82" t="s">
        <v>7</v>
      </c>
      <c r="F4587" s="88">
        <v>5000</v>
      </c>
      <c r="G4587" s="46"/>
      <c r="H4587" s="46">
        <f>IFERROR(TRANSACTIONS!$F4587+TRANSACTIONS!$G4587,"")</f>
        <v>5000</v>
      </c>
      <c r="I4587" s="40" t="s">
        <v>41</v>
      </c>
    </row>
    <row r="4588" spans="1:9" x14ac:dyDescent="0.25">
      <c r="A4588" s="41">
        <v>45377.677975347222</v>
      </c>
      <c r="B4588" s="48">
        <f>IF(A4588&lt;&gt;"",DATE(YEAR(TRANSACTIONS!$A4588),MONTH(TRANSACTIONS!$A4588),DAY(TRANSACTIONS!$A4588)),"")</f>
        <v>45377</v>
      </c>
      <c r="C4588" s="49">
        <f>IF(A4588&lt;&gt;"",TIME(HOUR(TRANSACTIONS!$A4588),MINUTE(TRANSACTIONS!$A4588),SECOND(TRANSACTIONS!$A4588)),"")</f>
        <v>0.67797453703703703</v>
      </c>
      <c r="D4588" s="82" t="s">
        <v>25</v>
      </c>
      <c r="E4588" s="82" t="s">
        <v>6</v>
      </c>
      <c r="F4588" s="88">
        <v>20000</v>
      </c>
      <c r="G4588" s="46"/>
      <c r="H4588" s="46">
        <f>IFERROR(TRANSACTIONS!$F4588+TRANSACTIONS!$G4588,"")</f>
        <v>20000</v>
      </c>
      <c r="I4588" s="40" t="s">
        <v>41</v>
      </c>
    </row>
    <row r="4589" spans="1:9" x14ac:dyDescent="0.25">
      <c r="A4589" s="41">
        <v>45377.678004745372</v>
      </c>
      <c r="B4589" s="48">
        <f>IF(A4589&lt;&gt;"",DATE(YEAR(TRANSACTIONS!$A4589),MONTH(TRANSACTIONS!$A4589),DAY(TRANSACTIONS!$A4589)),"")</f>
        <v>45377</v>
      </c>
      <c r="C4589" s="49">
        <f>IF(A4589&lt;&gt;"",TIME(HOUR(TRANSACTIONS!$A4589),MINUTE(TRANSACTIONS!$A4589),SECOND(TRANSACTIONS!$A4589)),"")</f>
        <v>0.67800925925925926</v>
      </c>
      <c r="D4589" s="82" t="s">
        <v>62</v>
      </c>
      <c r="E4589" s="82" t="s">
        <v>7</v>
      </c>
      <c r="F4589" s="88">
        <v>12000</v>
      </c>
      <c r="G4589" s="46"/>
      <c r="H4589" s="46">
        <f>IFERROR(TRANSACTIONS!$F4589+TRANSACTIONS!$G4589,"")</f>
        <v>12000</v>
      </c>
      <c r="I4589" s="40" t="s">
        <v>41</v>
      </c>
    </row>
    <row r="4590" spans="1:9" x14ac:dyDescent="0.25">
      <c r="A4590" s="41">
        <v>45377.678027083333</v>
      </c>
      <c r="B4590" s="48">
        <f>IF(A4590&lt;&gt;"",DATE(YEAR(TRANSACTIONS!$A4590),MONTH(TRANSACTIONS!$A4590),DAY(TRANSACTIONS!$A4590)),"")</f>
        <v>45377</v>
      </c>
      <c r="C4590" s="49">
        <f>IF(A4590&lt;&gt;"",TIME(HOUR(TRANSACTIONS!$A4590),MINUTE(TRANSACTIONS!$A4590),SECOND(TRANSACTIONS!$A4590)),"")</f>
        <v>0.67803240740740733</v>
      </c>
      <c r="D4590" s="82" t="s">
        <v>62</v>
      </c>
      <c r="E4590" s="82" t="s">
        <v>6</v>
      </c>
      <c r="F4590" s="88">
        <v>1500</v>
      </c>
      <c r="G4590" s="46"/>
      <c r="H4590" s="46">
        <f>IFERROR(TRANSACTIONS!$F4590+TRANSACTIONS!$G4590,"")</f>
        <v>1500</v>
      </c>
      <c r="I4590" s="40" t="s">
        <v>41</v>
      </c>
    </row>
    <row r="4591" spans="1:9" x14ac:dyDescent="0.25">
      <c r="A4591" s="41">
        <v>45377.693768750003</v>
      </c>
      <c r="B4591" s="48">
        <f>IF(A4591&lt;&gt;"",DATE(YEAR(TRANSACTIONS!$A4591),MONTH(TRANSACTIONS!$A4591),DAY(TRANSACTIONS!$A4591)),"")</f>
        <v>45377</v>
      </c>
      <c r="C4591" s="49">
        <f>IF(A4591&lt;&gt;"",TIME(HOUR(TRANSACTIONS!$A4591),MINUTE(TRANSACTIONS!$A4591),SECOND(TRANSACTIONS!$A4591)),"")</f>
        <v>0.69377314814814817</v>
      </c>
      <c r="D4591" s="82" t="s">
        <v>62</v>
      </c>
      <c r="E4591" s="82" t="s">
        <v>6</v>
      </c>
      <c r="F4591" s="88">
        <v>3000</v>
      </c>
      <c r="G4591" s="46"/>
      <c r="H4591" s="46">
        <f>IFERROR(TRANSACTIONS!$F4591+TRANSACTIONS!$G4591,"")</f>
        <v>3000</v>
      </c>
      <c r="I4591" s="40" t="s">
        <v>41</v>
      </c>
    </row>
    <row r="4592" spans="1:9" x14ac:dyDescent="0.25">
      <c r="A4592" s="41">
        <v>45377.718620254629</v>
      </c>
      <c r="B4592" s="48">
        <f>IF(A4592&lt;&gt;"",DATE(YEAR(TRANSACTIONS!$A4592),MONTH(TRANSACTIONS!$A4592),DAY(TRANSACTIONS!$A4592)),"")</f>
        <v>45377</v>
      </c>
      <c r="C4592" s="49">
        <f>IF(A4592&lt;&gt;"",TIME(HOUR(TRANSACTIONS!$A4592),MINUTE(TRANSACTIONS!$A4592),SECOND(TRANSACTIONS!$A4592)),"")</f>
        <v>0.71862268518518524</v>
      </c>
      <c r="D4592" s="82" t="s">
        <v>62</v>
      </c>
      <c r="E4592" s="82" t="s">
        <v>7</v>
      </c>
      <c r="F4592" s="88">
        <v>5000</v>
      </c>
      <c r="G4592" s="46"/>
      <c r="H4592" s="46">
        <f>IFERROR(TRANSACTIONS!$F4592+TRANSACTIONS!$G4592,"")</f>
        <v>5000</v>
      </c>
      <c r="I4592" s="40" t="s">
        <v>41</v>
      </c>
    </row>
    <row r="4593" spans="1:17" x14ac:dyDescent="0.25">
      <c r="A4593" s="113">
        <v>45377.719037037037</v>
      </c>
      <c r="B4593" s="114">
        <f>IF(A4593&lt;&gt;"",DATE(YEAR(TRANSACTIONS!$A4593),MONTH(TRANSACTIONS!$A4593),DAY(TRANSACTIONS!$A4593)),"")</f>
        <v>45377</v>
      </c>
      <c r="C4593" s="115">
        <f>IF(A4593&lt;&gt;"",TIME(HOUR(TRANSACTIONS!$A4593),MINUTE(TRANSACTIONS!$A4593),SECOND(TRANSACTIONS!$A4593)),"")</f>
        <v>0.71903935185185175</v>
      </c>
      <c r="D4593" s="82" t="s">
        <v>62</v>
      </c>
      <c r="E4593" s="82" t="s">
        <v>7</v>
      </c>
      <c r="F4593" s="88">
        <v>2000</v>
      </c>
      <c r="G4593" s="117"/>
      <c r="H4593" s="117">
        <f>IFERROR(TRANSACTIONS!$F4593+TRANSACTIONS!$G4593,"")</f>
        <v>2000</v>
      </c>
      <c r="I4593" s="118" t="s">
        <v>41</v>
      </c>
      <c r="J4593" s="118"/>
      <c r="K4593" s="118"/>
      <c r="L4593" s="118"/>
      <c r="M4593" s="118"/>
      <c r="N4593" s="118"/>
      <c r="O4593" s="118"/>
      <c r="P4593" s="118"/>
      <c r="Q4593" s="118"/>
    </row>
    <row r="4594" spans="1:17" x14ac:dyDescent="0.25">
      <c r="A4594" s="113">
        <v>45377.72201539352</v>
      </c>
      <c r="B4594" s="114">
        <f>IF(A4594&lt;&gt;"",DATE(YEAR(TRANSACTIONS!$A4594),MONTH(TRANSACTIONS!$A4594),DAY(TRANSACTIONS!$A4594)),"")</f>
        <v>45377</v>
      </c>
      <c r="C4594" s="115">
        <f>IF(A4594&lt;&gt;"",TIME(HOUR(TRANSACTIONS!$A4594),MINUTE(TRANSACTIONS!$A4594),SECOND(TRANSACTIONS!$A4594)),"")</f>
        <v>0.72201388888888884</v>
      </c>
      <c r="D4594" s="82" t="s">
        <v>62</v>
      </c>
      <c r="E4594" s="82" t="s">
        <v>7</v>
      </c>
      <c r="F4594" s="88">
        <v>5000</v>
      </c>
      <c r="G4594" s="117"/>
      <c r="H4594" s="117">
        <f>IFERROR(TRANSACTIONS!$F4594+TRANSACTIONS!$G4594,"")</f>
        <v>5000</v>
      </c>
      <c r="I4594" s="118" t="s">
        <v>41</v>
      </c>
      <c r="J4594" s="118"/>
      <c r="K4594" s="118"/>
      <c r="L4594" s="118"/>
      <c r="M4594" s="118"/>
      <c r="N4594" s="118"/>
      <c r="O4594" s="118"/>
      <c r="P4594" s="118"/>
      <c r="Q4594" s="118"/>
    </row>
    <row r="4595" spans="1:17" x14ac:dyDescent="0.25">
      <c r="A4595" s="113">
        <v>45377.722056134262</v>
      </c>
      <c r="B4595" s="114">
        <f>IF(A4595&lt;&gt;"",DATE(YEAR(TRANSACTIONS!$A4595),MONTH(TRANSACTIONS!$A4595),DAY(TRANSACTIONS!$A4595)),"")</f>
        <v>45377</v>
      </c>
      <c r="C4595" s="115">
        <f>IF(A4595&lt;&gt;"",TIME(HOUR(TRANSACTIONS!$A4595),MINUTE(TRANSACTIONS!$A4595),SECOND(TRANSACTIONS!$A4595)),"")</f>
        <v>0.72206018518518522</v>
      </c>
      <c r="D4595" s="82" t="s">
        <v>62</v>
      </c>
      <c r="E4595" s="82" t="s">
        <v>6</v>
      </c>
      <c r="F4595" s="88">
        <v>3000</v>
      </c>
      <c r="G4595" s="117"/>
      <c r="H4595" s="117">
        <f>IFERROR(TRANSACTIONS!$F4602+TRANSACTIONS!$G4595,"")</f>
        <v>0</v>
      </c>
      <c r="I4595" s="118" t="s">
        <v>41</v>
      </c>
      <c r="J4595" s="118"/>
      <c r="K4595" s="118"/>
      <c r="L4595" s="118"/>
      <c r="M4595" s="118"/>
      <c r="N4595" s="118"/>
      <c r="O4595" s="118"/>
      <c r="P4595" s="118"/>
      <c r="Q4595" s="118"/>
    </row>
    <row r="4596" spans="1:17" x14ac:dyDescent="0.25">
      <c r="A4596" s="113">
        <v>45377.722065972222</v>
      </c>
      <c r="B4596" s="114">
        <f>IF(A4596&lt;&gt;"",DATE(YEAR(TRANSACTIONS!$A4596),MONTH(TRANSACTIONS!$A4596),DAY(TRANSACTIONS!$A4596)),"")</f>
        <v>45377</v>
      </c>
      <c r="C4596" s="115">
        <f>IF(A4596&lt;&gt;"",TIME(HOUR(TRANSACTIONS!$A4596),MINUTE(TRANSACTIONS!$A4596),SECOND(TRANSACTIONS!$A4596)),"")</f>
        <v>0.72206018518518522</v>
      </c>
      <c r="D4596" s="82" t="s">
        <v>62</v>
      </c>
      <c r="E4596" s="82" t="s">
        <v>6</v>
      </c>
      <c r="F4596" s="88">
        <v>3000</v>
      </c>
      <c r="G4596" s="117"/>
      <c r="H4596" s="117">
        <f>IFERROR(TRANSACTIONS!$F4596+TRANSACTIONS!$G4596,"")</f>
        <v>3000</v>
      </c>
      <c r="I4596" s="118" t="s">
        <v>41</v>
      </c>
      <c r="J4596" s="118"/>
      <c r="K4596" s="118"/>
      <c r="L4596" s="118"/>
      <c r="M4596" s="118"/>
      <c r="N4596" s="118"/>
      <c r="O4596" s="118"/>
      <c r="P4596" s="118"/>
      <c r="Q4596" s="118"/>
    </row>
    <row r="4597" spans="1:17" x14ac:dyDescent="0.25">
      <c r="A4597" s="41">
        <v>45377.72221388889</v>
      </c>
      <c r="B4597" s="48">
        <f>IF(A4597&lt;&gt;"",DATE(YEAR(TRANSACTIONS!$A4597),MONTH(TRANSACTIONS!$A4597),DAY(TRANSACTIONS!$A4597)),"")</f>
        <v>45377</v>
      </c>
      <c r="C4597" s="49">
        <f>IF(A4597&lt;&gt;"",TIME(HOUR(TRANSACTIONS!$A4597),MINUTE(TRANSACTIONS!$A4597),SECOND(TRANSACTIONS!$A4597)),"")</f>
        <v>0.72221064814814817</v>
      </c>
      <c r="D4597" s="82" t="s">
        <v>62</v>
      </c>
      <c r="E4597" s="82" t="s">
        <v>6</v>
      </c>
      <c r="F4597" s="88">
        <v>2000</v>
      </c>
      <c r="G4597" s="46"/>
      <c r="H4597" s="46">
        <f>IFERROR(TRANSACTIONS!$F4597+TRANSACTIONS!$G4597,"")</f>
        <v>2000</v>
      </c>
      <c r="I4597" s="40" t="s">
        <v>41</v>
      </c>
    </row>
    <row r="4598" spans="1:17" x14ac:dyDescent="0.25">
      <c r="A4598" s="113"/>
      <c r="B4598" s="114" t="str">
        <f>IF(A4598&lt;&gt;"",DATE(YEAR(TRANSACTIONS!$A4598),MONTH(TRANSACTIONS!$A4598),DAY(TRANSACTIONS!$A4598)),"")</f>
        <v/>
      </c>
      <c r="C4598" s="115" t="str">
        <f>IF(A4598&lt;&gt;"",TIME(HOUR(TRANSACTIONS!$A4598),MINUTE(TRANSACTIONS!$A4598),SECOND(TRANSACTIONS!$A4598)),"")</f>
        <v/>
      </c>
      <c r="D4598" s="82"/>
      <c r="E4598" s="82"/>
      <c r="F4598" s="88"/>
      <c r="G4598" s="117"/>
      <c r="H4598" s="117">
        <f>IFERROR(TRANSACTIONS!$F4598+TRANSACTIONS!$G4598,"")</f>
        <v>0</v>
      </c>
      <c r="I4598" s="118" t="s">
        <v>41</v>
      </c>
      <c r="J4598" s="118"/>
    </row>
    <row r="4599" spans="1:17" x14ac:dyDescent="0.25">
      <c r="A4599" s="41">
        <v>45378.384493981481</v>
      </c>
      <c r="B4599" s="48">
        <f>IF(A4599&lt;&gt;"",DATE(YEAR(TRANSACTIONS!$A4599),MONTH(TRANSACTIONS!$A4599),DAY(TRANSACTIONS!$A4599)),"")</f>
        <v>45378</v>
      </c>
      <c r="C4599" s="49">
        <f>IF(A4599&lt;&gt;"",TIME(HOUR(TRANSACTIONS!$A4599),MINUTE(TRANSACTIONS!$A4599),SECOND(TRANSACTIONS!$A4599)),"")</f>
        <v>0.38449074074074074</v>
      </c>
      <c r="D4599" s="82" t="s">
        <v>62</v>
      </c>
      <c r="E4599" s="82" t="s">
        <v>6</v>
      </c>
      <c r="F4599" s="88">
        <v>250000</v>
      </c>
      <c r="G4599" s="46"/>
      <c r="H4599" s="46">
        <f>IFERROR(TRANSACTIONS!$F4599+TRANSACTIONS!$G4599,"")</f>
        <v>250000</v>
      </c>
      <c r="I4599" s="40" t="s">
        <v>41</v>
      </c>
    </row>
    <row r="4600" spans="1:17" x14ac:dyDescent="0.25">
      <c r="A4600" s="41">
        <v>45378.384503587964</v>
      </c>
      <c r="B4600" s="48">
        <f>IF(A4600&lt;&gt;"",DATE(YEAR(TRANSACTIONS!$A4600),MONTH(TRANSACTIONS!$A4600),DAY(TRANSACTIONS!$A4600)),"")</f>
        <v>45378</v>
      </c>
      <c r="C4600" s="49">
        <f>IF(A4600&lt;&gt;"",TIME(HOUR(TRANSACTIONS!$A4600),MINUTE(TRANSACTIONS!$A4600),SECOND(TRANSACTIONS!$A4600)),"")</f>
        <v>0.38450231481481478</v>
      </c>
      <c r="D4600" s="82" t="s">
        <v>25</v>
      </c>
      <c r="E4600" s="82" t="s">
        <v>7</v>
      </c>
      <c r="F4600" s="88">
        <v>10000</v>
      </c>
      <c r="G4600" s="46"/>
      <c r="H4600" s="46">
        <f>IFERROR(TRANSACTIONS!$F4600+TRANSACTIONS!$G4600,"")</f>
        <v>10000</v>
      </c>
      <c r="I4600" s="40" t="s">
        <v>41</v>
      </c>
    </row>
    <row r="4601" spans="1:17" x14ac:dyDescent="0.25">
      <c r="A4601" s="41">
        <v>45378.384894097224</v>
      </c>
      <c r="B4601" s="48">
        <f>IF(A4601&lt;&gt;"",DATE(YEAR(TRANSACTIONS!$A4601),MONTH(TRANSACTIONS!$A4601),DAY(TRANSACTIONS!$A4601)),"")</f>
        <v>45378</v>
      </c>
      <c r="C4601" s="49">
        <f>IF(A4601&lt;&gt;"",TIME(HOUR(TRANSACTIONS!$A4601),MINUTE(TRANSACTIONS!$A4601),SECOND(TRANSACTIONS!$A4601)),"")</f>
        <v>0.38489583333333338</v>
      </c>
      <c r="D4601" s="82" t="s">
        <v>25</v>
      </c>
      <c r="E4601" s="82" t="s">
        <v>6</v>
      </c>
      <c r="F4601" s="88">
        <v>1300</v>
      </c>
      <c r="G4601" s="46"/>
      <c r="H4601" s="46">
        <f>IFERROR(TRANSACTIONS!$F4601+TRANSACTIONS!$G4601,"")</f>
        <v>1300</v>
      </c>
      <c r="I4601" s="40" t="s">
        <v>41</v>
      </c>
    </row>
    <row r="4602" spans="1:17" x14ac:dyDescent="0.25">
      <c r="A4602" s="41">
        <v>45378.384908796295</v>
      </c>
      <c r="B4602" s="48">
        <f>IF(A4602&lt;&gt;"",DATE(YEAR(TRANSACTIONS!$A4602),MONTH(TRANSACTIONS!$A4602),DAY(TRANSACTIONS!$A4602)),"")</f>
        <v>45378</v>
      </c>
      <c r="C4602" s="49">
        <f>IF(A4602&lt;&gt;"",TIME(HOUR(TRANSACTIONS!$A4602),MINUTE(TRANSACTIONS!$A4602),SECOND(TRANSACTIONS!$A4602)),"")</f>
        <v>0.38490740740740742</v>
      </c>
      <c r="D4602" s="82"/>
      <c r="E4602" s="82"/>
      <c r="F4602" s="88"/>
      <c r="G4602" s="46"/>
      <c r="H4602" s="46" t="str">
        <f>IFERROR(TRANSACTIONS!#REF!+TRANSACTIONS!$G4602,"")</f>
        <v/>
      </c>
      <c r="I4602" s="40" t="s">
        <v>41</v>
      </c>
    </row>
    <row r="4603" spans="1:17" x14ac:dyDescent="0.25">
      <c r="A4603" s="81">
        <v>45378.384948148145</v>
      </c>
      <c r="B4603" s="83">
        <f>IF(A4603&lt;&gt;"",DATE(YEAR(TRANSACTIONS!$A4603),MONTH(TRANSACTIONS!$A4603),DAY(TRANSACTIONS!$A4603)),"")</f>
        <v>45378</v>
      </c>
      <c r="C4603" s="84">
        <f>IF(A4603&lt;&gt;"",TIME(HOUR(TRANSACTIONS!$A4603),MINUTE(TRANSACTIONS!$A4603),SECOND(TRANSACTIONS!$A4603)),"")</f>
        <v>0.38495370370370369</v>
      </c>
      <c r="D4603" s="82" t="s">
        <v>25</v>
      </c>
      <c r="E4603" s="82" t="s">
        <v>7</v>
      </c>
      <c r="F4603" s="88">
        <v>3000</v>
      </c>
      <c r="G4603" s="86"/>
      <c r="H4603" s="86">
        <f>IFERROR(TRANSACTIONS!$F4603+TRANSACTIONS!$G4603,"")</f>
        <v>3000</v>
      </c>
      <c r="I4603" s="88" t="s">
        <v>41</v>
      </c>
      <c r="J4603" s="88"/>
    </row>
    <row r="4604" spans="1:17" x14ac:dyDescent="0.25">
      <c r="A4604" s="41">
        <v>45378.38495659722</v>
      </c>
      <c r="B4604" s="48">
        <f>IF(A4604&lt;&gt;"",DATE(YEAR(TRANSACTIONS!$A4604),MONTH(TRANSACTIONS!$A4604),DAY(TRANSACTIONS!$A4604)),"")</f>
        <v>45378</v>
      </c>
      <c r="C4604" s="49">
        <f>IF(A4604&lt;&gt;"",TIME(HOUR(TRANSACTIONS!$A4604),MINUTE(TRANSACTIONS!$A4604),SECOND(TRANSACTIONS!$A4604)),"")</f>
        <v>0.38495370370370369</v>
      </c>
      <c r="D4604" s="82" t="s">
        <v>62</v>
      </c>
      <c r="E4604" s="82" t="s">
        <v>6</v>
      </c>
      <c r="F4604" s="88">
        <v>52500</v>
      </c>
      <c r="G4604" s="46"/>
      <c r="H4604" s="46">
        <f>IFERROR(TRANSACTIONS!$F4604+TRANSACTIONS!$G4604,"")</f>
        <v>52500</v>
      </c>
      <c r="I4604" s="40" t="s">
        <v>41</v>
      </c>
    </row>
    <row r="4605" spans="1:17" x14ac:dyDescent="0.25">
      <c r="A4605" s="41">
        <v>45378.414375462962</v>
      </c>
      <c r="B4605" s="48">
        <f>IF(A4605&lt;&gt;"",DATE(YEAR(TRANSACTIONS!$A4605),MONTH(TRANSACTIONS!$A4605),DAY(TRANSACTIONS!$A4605)),"")</f>
        <v>45378</v>
      </c>
      <c r="C4605" s="49">
        <f>IF(A4605&lt;&gt;"",TIME(HOUR(TRANSACTIONS!$A4605),MINUTE(TRANSACTIONS!$A4605),SECOND(TRANSACTIONS!$A4605)),"")</f>
        <v>0.41437499999999999</v>
      </c>
      <c r="D4605" s="82" t="s">
        <v>62</v>
      </c>
      <c r="E4605" s="82" t="s">
        <v>7</v>
      </c>
      <c r="F4605" s="76">
        <v>1000</v>
      </c>
      <c r="G4605" s="46"/>
      <c r="H4605" s="46">
        <f>IFERROR(TRANSACTIONS!$F4605+TRANSACTIONS!$G4605,"")</f>
        <v>1000</v>
      </c>
      <c r="I4605" s="40" t="s">
        <v>41</v>
      </c>
    </row>
    <row r="4606" spans="1:17" x14ac:dyDescent="0.25">
      <c r="A4606" s="41">
        <v>45378.414378935187</v>
      </c>
      <c r="B4606" s="48">
        <f>IF(A4606&lt;&gt;"",DATE(YEAR(TRANSACTIONS!$A4606),MONTH(TRANSACTIONS!$A4606),DAY(TRANSACTIONS!$A4606)),"")</f>
        <v>45378</v>
      </c>
      <c r="C4606" s="49">
        <f>IF(A4606&lt;&gt;"",TIME(HOUR(TRANSACTIONS!$A4606),MINUTE(TRANSACTIONS!$A4606),SECOND(TRANSACTIONS!$A4606)),"")</f>
        <v>0.41437499999999999</v>
      </c>
      <c r="D4606" s="82" t="s">
        <v>62</v>
      </c>
      <c r="E4606" s="82" t="s">
        <v>7</v>
      </c>
      <c r="F4606" s="88">
        <v>12000</v>
      </c>
      <c r="G4606" s="46"/>
      <c r="H4606" s="46">
        <f>IFERROR(TRANSACTIONS!$F4606+TRANSACTIONS!$G4606,"")</f>
        <v>12000</v>
      </c>
      <c r="I4606" s="40" t="s">
        <v>41</v>
      </c>
    </row>
    <row r="4607" spans="1:17" x14ac:dyDescent="0.25">
      <c r="A4607" s="41">
        <v>45378.414413773149</v>
      </c>
      <c r="B4607" s="48">
        <f>IF(A4607&lt;&gt;"",DATE(YEAR(TRANSACTIONS!$A4607),MONTH(TRANSACTIONS!$A4607),DAY(TRANSACTIONS!$A4607)),"")</f>
        <v>45378</v>
      </c>
      <c r="C4607" s="49">
        <f>IF(A4607&lt;&gt;"",TIME(HOUR(TRANSACTIONS!$A4607),MINUTE(TRANSACTIONS!$A4607),SECOND(TRANSACTIONS!$A4607)),"")</f>
        <v>0.41440972222222222</v>
      </c>
      <c r="D4607" s="82" t="s">
        <v>62</v>
      </c>
      <c r="E4607" s="82" t="s">
        <v>7</v>
      </c>
      <c r="F4607" s="88">
        <v>2000</v>
      </c>
      <c r="G4607" s="46"/>
      <c r="H4607" s="46">
        <f>IFERROR(TRANSACTIONS!$F4607+TRANSACTIONS!$G4607,"")</f>
        <v>2000</v>
      </c>
      <c r="I4607" s="40" t="s">
        <v>41</v>
      </c>
    </row>
    <row r="4608" spans="1:17" x14ac:dyDescent="0.25">
      <c r="A4608" s="41">
        <v>45378.414421990739</v>
      </c>
      <c r="B4608" s="48">
        <f>IF(A4608&lt;&gt;"",DATE(YEAR(TRANSACTIONS!$A4608),MONTH(TRANSACTIONS!$A4608),DAY(TRANSACTIONS!$A4608)),"")</f>
        <v>45378</v>
      </c>
      <c r="C4608" s="49">
        <f>IF(A4608&lt;&gt;"",TIME(HOUR(TRANSACTIONS!$A4608),MINUTE(TRANSACTIONS!$A4608),SECOND(TRANSACTIONS!$A4608)),"")</f>
        <v>0.41442129629629632</v>
      </c>
      <c r="D4608" s="82" t="s">
        <v>62</v>
      </c>
      <c r="E4608" s="82" t="s">
        <v>6</v>
      </c>
      <c r="F4608" s="88">
        <v>5000</v>
      </c>
      <c r="G4608" s="46"/>
      <c r="H4608" s="46">
        <f>IFERROR(TRANSACTIONS!$F4608+TRANSACTIONS!$G4608,"")</f>
        <v>5000</v>
      </c>
      <c r="I4608" s="40" t="s">
        <v>41</v>
      </c>
    </row>
    <row r="4609" spans="1:9" x14ac:dyDescent="0.25">
      <c r="A4609" s="41">
        <v>45378.414429282406</v>
      </c>
      <c r="B4609" s="48">
        <f>IF(A4609&lt;&gt;"",DATE(YEAR(TRANSACTIONS!$A4609),MONTH(TRANSACTIONS!$A4609),DAY(TRANSACTIONS!$A4609)),"")</f>
        <v>45378</v>
      </c>
      <c r="C4609" s="49">
        <f>IF(A4609&lt;&gt;"",TIME(HOUR(TRANSACTIONS!$A4609),MINUTE(TRANSACTIONS!$A4609),SECOND(TRANSACTIONS!$A4609)),"")</f>
        <v>0.41443287037037035</v>
      </c>
      <c r="D4609" s="82" t="s">
        <v>62</v>
      </c>
      <c r="E4609" s="82" t="s">
        <v>7</v>
      </c>
      <c r="F4609" s="88">
        <v>60000</v>
      </c>
      <c r="G4609" s="46"/>
      <c r="H4609" s="46">
        <f>IFERROR(TRANSACTIONS!$F4609+TRANSACTIONS!$G4609,"")</f>
        <v>60000</v>
      </c>
      <c r="I4609" s="40" t="s">
        <v>41</v>
      </c>
    </row>
    <row r="4610" spans="1:9" x14ac:dyDescent="0.25">
      <c r="A4610" s="41">
        <v>45378.414437500003</v>
      </c>
      <c r="B4610" s="48">
        <f>IF(A4610&lt;&gt;"",DATE(YEAR(TRANSACTIONS!$A4610),MONTH(TRANSACTIONS!$A4610),DAY(TRANSACTIONS!$A4610)),"")</f>
        <v>45378</v>
      </c>
      <c r="C4610" s="49">
        <f>IF(A4610&lt;&gt;"",TIME(HOUR(TRANSACTIONS!$A4610),MINUTE(TRANSACTIONS!$A4610),SECOND(TRANSACTIONS!$A4610)),"")</f>
        <v>0.41443287037037035</v>
      </c>
      <c r="D4610" s="82" t="s">
        <v>62</v>
      </c>
      <c r="E4610" s="82" t="s">
        <v>7</v>
      </c>
      <c r="F4610" s="88">
        <v>30000</v>
      </c>
      <c r="G4610" s="46"/>
      <c r="H4610" s="46">
        <f>IFERROR(TRANSACTIONS!$F4610+TRANSACTIONS!$G4610,"")</f>
        <v>30000</v>
      </c>
      <c r="I4610" s="40" t="s">
        <v>41</v>
      </c>
    </row>
    <row r="4611" spans="1:9" x14ac:dyDescent="0.25">
      <c r="A4611" s="41">
        <v>45378.414448379626</v>
      </c>
      <c r="B4611" s="48">
        <f>IF(A4611&lt;&gt;"",DATE(YEAR(TRANSACTIONS!$A4611),MONTH(TRANSACTIONS!$A4611),DAY(TRANSACTIONS!$A4611)),"")</f>
        <v>45378</v>
      </c>
      <c r="C4611" s="49">
        <f>IF(A4611&lt;&gt;"",TIME(HOUR(TRANSACTIONS!$A4611),MINUTE(TRANSACTIONS!$A4611),SECOND(TRANSACTIONS!$A4611)),"")</f>
        <v>0.41444444444444445</v>
      </c>
      <c r="D4611" s="82" t="s">
        <v>62</v>
      </c>
      <c r="E4611" s="82" t="s">
        <v>6</v>
      </c>
      <c r="F4611" s="88">
        <v>3000</v>
      </c>
      <c r="G4611" s="46"/>
      <c r="H4611" s="46">
        <f>IFERROR(TRANSACTIONS!$F4611+TRANSACTIONS!$G4611,"")</f>
        <v>3000</v>
      </c>
      <c r="I4611" s="40" t="s">
        <v>41</v>
      </c>
    </row>
    <row r="4612" spans="1:9" x14ac:dyDescent="0.25">
      <c r="A4612" s="41">
        <v>45378.462309259259</v>
      </c>
      <c r="B4612" s="48">
        <f>IF(A4612&lt;&gt;"",DATE(YEAR(TRANSACTIONS!$A4612),MONTH(TRANSACTIONS!$A4612),DAY(TRANSACTIONS!$A4612)),"")</f>
        <v>45378</v>
      </c>
      <c r="C4612" s="49">
        <f>IF(A4612&lt;&gt;"",TIME(HOUR(TRANSACTIONS!$A4612),MINUTE(TRANSACTIONS!$A4612),SECOND(TRANSACTIONS!$A4612)),"")</f>
        <v>0.46231481481481485</v>
      </c>
      <c r="D4612" s="82" t="s">
        <v>62</v>
      </c>
      <c r="E4612" s="82" t="s">
        <v>6</v>
      </c>
      <c r="F4612" s="88">
        <v>10000</v>
      </c>
      <c r="G4612" s="46"/>
      <c r="H4612" s="46">
        <f>IFERROR(TRANSACTIONS!$F4612+TRANSACTIONS!$G4612,"")</f>
        <v>10000</v>
      </c>
      <c r="I4612" s="40" t="s">
        <v>41</v>
      </c>
    </row>
    <row r="4613" spans="1:9" x14ac:dyDescent="0.25">
      <c r="A4613" s="41">
        <v>45378.462312037038</v>
      </c>
      <c r="B4613" s="48">
        <f>IF(A4613&lt;&gt;"",DATE(YEAR(TRANSACTIONS!$A4613),MONTH(TRANSACTIONS!$A4613),DAY(TRANSACTIONS!$A4613)),"")</f>
        <v>45378</v>
      </c>
      <c r="C4613" s="49">
        <f>IF(A4613&lt;&gt;"",TIME(HOUR(TRANSACTIONS!$A4613),MINUTE(TRANSACTIONS!$A4613),SECOND(TRANSACTIONS!$A4613)),"")</f>
        <v>0.46231481481481485</v>
      </c>
      <c r="D4613" s="82" t="s">
        <v>62</v>
      </c>
      <c r="E4613" s="82" t="s">
        <v>6</v>
      </c>
      <c r="F4613" s="88">
        <v>23000</v>
      </c>
      <c r="G4613" s="46"/>
      <c r="H4613" s="46">
        <f>IFERROR(TRANSACTIONS!$F4613+TRANSACTIONS!$G4613,"")</f>
        <v>23000</v>
      </c>
      <c r="I4613" s="40" t="s">
        <v>41</v>
      </c>
    </row>
    <row r="4614" spans="1:9" x14ac:dyDescent="0.25">
      <c r="A4614" s="41">
        <v>45378.462319328704</v>
      </c>
      <c r="B4614" s="48">
        <f>IF(A4614&lt;&gt;"",DATE(YEAR(TRANSACTIONS!$A4614),MONTH(TRANSACTIONS!$A4614),DAY(TRANSACTIONS!$A4614)),"")</f>
        <v>45378</v>
      </c>
      <c r="C4614" s="49">
        <f>IF(A4614&lt;&gt;"",TIME(HOUR(TRANSACTIONS!$A4614),MINUTE(TRANSACTIONS!$A4614),SECOND(TRANSACTIONS!$A4614)),"")</f>
        <v>0.46231481481481485</v>
      </c>
      <c r="D4614" s="82" t="s">
        <v>62</v>
      </c>
      <c r="E4614" s="82" t="s">
        <v>7</v>
      </c>
      <c r="F4614" s="88">
        <v>8000</v>
      </c>
      <c r="G4614" s="46"/>
      <c r="H4614" s="46">
        <f>IFERROR(TRANSACTIONS!$F4614+TRANSACTIONS!$G4614,"")</f>
        <v>8000</v>
      </c>
      <c r="I4614" s="40" t="s">
        <v>41</v>
      </c>
    </row>
    <row r="4615" spans="1:9" x14ac:dyDescent="0.25">
      <c r="A4615" s="41">
        <v>45378.469244444444</v>
      </c>
      <c r="B4615" s="48">
        <f>IF(A4615&lt;&gt;"",DATE(YEAR(TRANSACTIONS!$A4615),MONTH(TRANSACTIONS!$A4615),DAY(TRANSACTIONS!$A4615)),"")</f>
        <v>45378</v>
      </c>
      <c r="C4615" s="49">
        <f>IF(A4615&lt;&gt;"",TIME(HOUR(TRANSACTIONS!$A4615),MINUTE(TRANSACTIONS!$A4615),SECOND(TRANSACTIONS!$A4615)),"")</f>
        <v>0.46924768518518517</v>
      </c>
      <c r="D4615" s="82" t="s">
        <v>62</v>
      </c>
      <c r="E4615" s="82" t="s">
        <v>6</v>
      </c>
      <c r="F4615" s="88">
        <v>1000</v>
      </c>
      <c r="G4615" s="46"/>
      <c r="H4615" s="46">
        <f>IFERROR(TRANSACTIONS!$F4615+TRANSACTIONS!$G4615,"")</f>
        <v>1000</v>
      </c>
      <c r="I4615" s="40" t="s">
        <v>41</v>
      </c>
    </row>
    <row r="4616" spans="1:9" x14ac:dyDescent="0.25">
      <c r="A4616" s="41">
        <v>45378.469271180555</v>
      </c>
      <c r="B4616" s="48">
        <f>IF(A4616&lt;&gt;"",DATE(YEAR(TRANSACTIONS!$A4616),MONTH(TRANSACTIONS!$A4616),DAY(TRANSACTIONS!$A4616)),"")</f>
        <v>45378</v>
      </c>
      <c r="C4616" s="49">
        <f>IF(A4616&lt;&gt;"",TIME(HOUR(TRANSACTIONS!$A4616),MINUTE(TRANSACTIONS!$A4616),SECOND(TRANSACTIONS!$A4616)),"")</f>
        <v>0.4692708333333333</v>
      </c>
      <c r="D4616" s="82" t="s">
        <v>62</v>
      </c>
      <c r="E4616" s="82" t="s">
        <v>7</v>
      </c>
      <c r="F4616" s="88">
        <v>10000</v>
      </c>
      <c r="G4616" s="46"/>
      <c r="H4616" s="46">
        <f>IFERROR(TRANSACTIONS!$F4616+TRANSACTIONS!$G4616,"")</f>
        <v>10000</v>
      </c>
      <c r="I4616" s="40" t="s">
        <v>41</v>
      </c>
    </row>
    <row r="4617" spans="1:9" x14ac:dyDescent="0.25">
      <c r="A4617" s="41">
        <v>45378.469280787038</v>
      </c>
      <c r="B4617" s="48">
        <f>IF(A4617&lt;&gt;"",DATE(YEAR(TRANSACTIONS!$A4617),MONTH(TRANSACTIONS!$A4617),DAY(TRANSACTIONS!$A4617)),"")</f>
        <v>45378</v>
      </c>
      <c r="C4617" s="49">
        <f>IF(A4617&lt;&gt;"",TIME(HOUR(TRANSACTIONS!$A4617),MINUTE(TRANSACTIONS!$A4617),SECOND(TRANSACTIONS!$A4617)),"")</f>
        <v>0.4692824074074074</v>
      </c>
      <c r="D4617" s="82" t="s">
        <v>62</v>
      </c>
      <c r="E4617" s="82" t="s">
        <v>6</v>
      </c>
      <c r="F4617" s="88">
        <v>6500</v>
      </c>
      <c r="G4617" s="46"/>
      <c r="H4617" s="46">
        <f>IFERROR(TRANSACTIONS!$F4617+TRANSACTIONS!$G4617,"")</f>
        <v>6500</v>
      </c>
      <c r="I4617" s="40" t="s">
        <v>41</v>
      </c>
    </row>
    <row r="4618" spans="1:9" x14ac:dyDescent="0.25">
      <c r="A4618" s="41">
        <v>45378.469306828702</v>
      </c>
      <c r="B4618" s="48">
        <f>IF(A4618&lt;&gt;"",DATE(YEAR(TRANSACTIONS!$A4618),MONTH(TRANSACTIONS!$A4618),DAY(TRANSACTIONS!$A4618)),"")</f>
        <v>45378</v>
      </c>
      <c r="C4618" s="49">
        <f>IF(A4618&lt;&gt;"",TIME(HOUR(TRANSACTIONS!$A4618),MINUTE(TRANSACTIONS!$A4618),SECOND(TRANSACTIONS!$A4618)),"")</f>
        <v>0.46930555555555559</v>
      </c>
      <c r="D4618" s="82" t="s">
        <v>62</v>
      </c>
      <c r="E4618" s="82" t="s">
        <v>7</v>
      </c>
      <c r="F4618" s="88">
        <v>5000</v>
      </c>
      <c r="G4618" s="46"/>
      <c r="H4618" s="46">
        <f>IFERROR(TRANSACTIONS!$F4618+TRANSACTIONS!$G4618,"")</f>
        <v>5000</v>
      </c>
      <c r="I4618" s="40" t="s">
        <v>41</v>
      </c>
    </row>
    <row r="4619" spans="1:9" x14ac:dyDescent="0.25">
      <c r="A4619" s="41">
        <v>45378.4693162037</v>
      </c>
      <c r="B4619" s="48">
        <f>IF(A4619&lt;&gt;"",DATE(YEAR(TRANSACTIONS!$A4619),MONTH(TRANSACTIONS!$A4619),DAY(TRANSACTIONS!$A4619)),"")</f>
        <v>45378</v>
      </c>
      <c r="C4619" s="49">
        <f>IF(A4619&lt;&gt;"",TIME(HOUR(TRANSACTIONS!$A4619),MINUTE(TRANSACTIONS!$A4619),SECOND(TRANSACTIONS!$A4619)),"")</f>
        <v>0.46931712962962963</v>
      </c>
      <c r="D4619" s="82" t="s">
        <v>62</v>
      </c>
      <c r="E4619" s="82" t="s">
        <v>6</v>
      </c>
      <c r="F4619" s="88">
        <v>5000</v>
      </c>
      <c r="G4619" s="46"/>
      <c r="H4619" s="46">
        <f>IFERROR(TRANSACTIONS!$F4619+TRANSACTIONS!$G4619,"")</f>
        <v>5000</v>
      </c>
      <c r="I4619" s="40" t="s">
        <v>41</v>
      </c>
    </row>
    <row r="4620" spans="1:9" x14ac:dyDescent="0.25">
      <c r="A4620" s="41">
        <v>45378.469383449075</v>
      </c>
      <c r="B4620" s="48">
        <f>IF(A4620&lt;&gt;"",DATE(YEAR(TRANSACTIONS!$A4620),MONTH(TRANSACTIONS!$A4620),DAY(TRANSACTIONS!$A4620)),"")</f>
        <v>45378</v>
      </c>
      <c r="C4620" s="49">
        <f>IF(A4620&lt;&gt;"",TIME(HOUR(TRANSACTIONS!$A4620),MINUTE(TRANSACTIONS!$A4620),SECOND(TRANSACTIONS!$A4620)),"")</f>
        <v>0.46938657407407408</v>
      </c>
      <c r="D4620" s="82" t="s">
        <v>62</v>
      </c>
      <c r="E4620" s="82" t="s">
        <v>7</v>
      </c>
      <c r="F4620" s="88">
        <v>5000</v>
      </c>
      <c r="G4620" s="46"/>
      <c r="H4620" s="46">
        <f>IFERROR(TRANSACTIONS!$F4620+TRANSACTIONS!$G4620,"")</f>
        <v>5000</v>
      </c>
      <c r="I4620" s="40" t="s">
        <v>41</v>
      </c>
    </row>
    <row r="4621" spans="1:9" x14ac:dyDescent="0.25">
      <c r="A4621" s="41">
        <v>45378.590523726853</v>
      </c>
      <c r="B4621" s="48">
        <f>IF(A4621&lt;&gt;"",DATE(YEAR(TRANSACTIONS!$A4621),MONTH(TRANSACTIONS!$A4621),DAY(TRANSACTIONS!$A4621)),"")</f>
        <v>45378</v>
      </c>
      <c r="C4621" s="49">
        <f>IF(A4621&lt;&gt;"",TIME(HOUR(TRANSACTIONS!$A4621),MINUTE(TRANSACTIONS!$A4621),SECOND(TRANSACTIONS!$A4621)),"")</f>
        <v>0.59052083333333327</v>
      </c>
      <c r="D4621" s="82" t="s">
        <v>62</v>
      </c>
      <c r="E4621" s="82" t="s">
        <v>7</v>
      </c>
      <c r="F4621" s="112">
        <v>2000</v>
      </c>
      <c r="G4621" s="46"/>
      <c r="H4621" s="46">
        <f>IFERROR(TRANSACTIONS!$F4621+TRANSACTIONS!$G4621,"")</f>
        <v>2000</v>
      </c>
      <c r="I4621" s="40" t="s">
        <v>41</v>
      </c>
    </row>
    <row r="4622" spans="1:9" x14ac:dyDescent="0.25">
      <c r="A4622" s="41">
        <v>45378.590575115741</v>
      </c>
      <c r="B4622" s="48">
        <f>IF(A4622&lt;&gt;"",DATE(YEAR(TRANSACTIONS!$A4622),MONTH(TRANSACTIONS!$A4622),DAY(TRANSACTIONS!$A4622)),"")</f>
        <v>45378</v>
      </c>
      <c r="C4622" s="49">
        <f>IF(A4622&lt;&gt;"",TIME(HOUR(TRANSACTIONS!$A4622),MINUTE(TRANSACTIONS!$A4622),SECOND(TRANSACTIONS!$A4622)),"")</f>
        <v>0.59057870370370369</v>
      </c>
      <c r="D4622" s="82" t="s">
        <v>62</v>
      </c>
      <c r="E4622" s="82" t="s">
        <v>7</v>
      </c>
      <c r="F4622" s="88">
        <v>500</v>
      </c>
      <c r="G4622" s="46"/>
      <c r="H4622" s="46">
        <f>IFERROR(TRANSACTIONS!$F4622+TRANSACTIONS!$G4622,"")</f>
        <v>500</v>
      </c>
      <c r="I4622" s="40" t="s">
        <v>41</v>
      </c>
    </row>
    <row r="4623" spans="1:9" x14ac:dyDescent="0.25">
      <c r="A4623" s="41">
        <v>45378.590583449077</v>
      </c>
      <c r="B4623" s="48">
        <f>IF(A4623&lt;&gt;"",DATE(YEAR(TRANSACTIONS!$A4623),MONTH(TRANSACTIONS!$A4623),DAY(TRANSACTIONS!$A4623)),"")</f>
        <v>45378</v>
      </c>
      <c r="C4623" s="49">
        <f>IF(A4623&lt;&gt;"",TIME(HOUR(TRANSACTIONS!$A4623),MINUTE(TRANSACTIONS!$A4623),SECOND(TRANSACTIONS!$A4623)),"")</f>
        <v>0.59057870370370369</v>
      </c>
      <c r="D4623" s="179" t="s">
        <v>62</v>
      </c>
      <c r="E4623" s="82" t="s">
        <v>7</v>
      </c>
      <c r="F4623" s="112">
        <v>5000</v>
      </c>
      <c r="G4623" s="46"/>
      <c r="H4623" s="46">
        <f>IFERROR(TRANSACTIONS!$F4623+TRANSACTIONS!$G4623,"")</f>
        <v>5000</v>
      </c>
      <c r="I4623" s="40" t="s">
        <v>41</v>
      </c>
    </row>
    <row r="4624" spans="1:9" x14ac:dyDescent="0.25">
      <c r="A4624" s="41">
        <v>45378.590592592591</v>
      </c>
      <c r="B4624" s="48">
        <f>IF(A4624&lt;&gt;"",DATE(YEAR(TRANSACTIONS!$A4624),MONTH(TRANSACTIONS!$A4624),DAY(TRANSACTIONS!$A4624)),"")</f>
        <v>45378</v>
      </c>
      <c r="C4624" s="49">
        <f>IF(A4624&lt;&gt;"",TIME(HOUR(TRANSACTIONS!$A4624),MINUTE(TRANSACTIONS!$A4624),SECOND(TRANSACTIONS!$A4624)),"")</f>
        <v>0.59059027777777773</v>
      </c>
      <c r="D4624" s="82" t="s">
        <v>62</v>
      </c>
      <c r="E4624" s="82" t="s">
        <v>7</v>
      </c>
      <c r="F4624" s="88">
        <v>1000</v>
      </c>
      <c r="G4624" s="46"/>
      <c r="H4624" s="46">
        <f>IFERROR(TRANSACTIONS!$F4624+TRANSACTIONS!$G4624,"")</f>
        <v>1000</v>
      </c>
      <c r="I4624" s="40" t="s">
        <v>41</v>
      </c>
    </row>
    <row r="4625" spans="1:10" x14ac:dyDescent="0.25">
      <c r="A4625" s="41">
        <v>45378.590603819444</v>
      </c>
      <c r="B4625" s="48">
        <f>IF(A4625&lt;&gt;"",DATE(YEAR(TRANSACTIONS!$A4625),MONTH(TRANSACTIONS!$A4625),DAY(TRANSACTIONS!$A4625)),"")</f>
        <v>45378</v>
      </c>
      <c r="C4625" s="49">
        <f>IF(A4625&lt;&gt;"",TIME(HOUR(TRANSACTIONS!$A4625),MINUTE(TRANSACTIONS!$A4625),SECOND(TRANSACTIONS!$A4625)),"")</f>
        <v>0.59060185185185188</v>
      </c>
      <c r="D4625" s="82" t="s">
        <v>62</v>
      </c>
      <c r="E4625" s="82" t="s">
        <v>7</v>
      </c>
      <c r="F4625" s="88">
        <v>12000</v>
      </c>
      <c r="G4625" s="46"/>
      <c r="H4625" s="46">
        <f>IFERROR(TRANSACTIONS!$F4625+TRANSACTIONS!$G4625,"")</f>
        <v>12000</v>
      </c>
      <c r="I4625" s="40" t="s">
        <v>41</v>
      </c>
    </row>
    <row r="4626" spans="1:10" x14ac:dyDescent="0.25">
      <c r="A4626" s="41">
        <v>45378.590610879626</v>
      </c>
      <c r="B4626" s="48">
        <f>IF(A4626&lt;&gt;"",DATE(YEAR(TRANSACTIONS!$A4626),MONTH(TRANSACTIONS!$A4626),DAY(TRANSACTIONS!$A4626)),"")</f>
        <v>45378</v>
      </c>
      <c r="C4626" s="49">
        <f>IF(A4626&lt;&gt;"",TIME(HOUR(TRANSACTIONS!$A4626),MINUTE(TRANSACTIONS!$A4626),SECOND(TRANSACTIONS!$A4626)),"")</f>
        <v>0.59061342592592592</v>
      </c>
      <c r="D4626" s="82" t="s">
        <v>62</v>
      </c>
      <c r="E4626" s="82" t="s">
        <v>6</v>
      </c>
      <c r="F4626" s="88">
        <v>3200</v>
      </c>
      <c r="G4626" s="46"/>
      <c r="H4626" s="46">
        <f>IFERROR(TRANSACTIONS!$F4626+TRANSACTIONS!$G4626,"")</f>
        <v>3200</v>
      </c>
      <c r="I4626" s="40" t="s">
        <v>41</v>
      </c>
    </row>
    <row r="4627" spans="1:10" x14ac:dyDescent="0.25">
      <c r="A4627" s="41">
        <v>45378.590620486109</v>
      </c>
      <c r="B4627" s="48">
        <f>IF(A4627&lt;&gt;"",DATE(YEAR(TRANSACTIONS!$A4627),MONTH(TRANSACTIONS!$A4627),DAY(TRANSACTIONS!$A4627)),"")</f>
        <v>45378</v>
      </c>
      <c r="C4627" s="49">
        <f>IF(A4627&lt;&gt;"",TIME(HOUR(TRANSACTIONS!$A4627),MINUTE(TRANSACTIONS!$A4627),SECOND(TRANSACTIONS!$A4627)),"")</f>
        <v>0.59062500000000007</v>
      </c>
      <c r="D4627" s="82" t="s">
        <v>62</v>
      </c>
      <c r="E4627" s="82" t="s">
        <v>6</v>
      </c>
      <c r="F4627" s="88">
        <v>7000</v>
      </c>
      <c r="G4627" s="46"/>
      <c r="H4627" s="46">
        <f>IFERROR(TRANSACTIONS!$F4627+TRANSACTIONS!$G4627,"")</f>
        <v>7000</v>
      </c>
      <c r="I4627" s="40" t="s">
        <v>41</v>
      </c>
    </row>
    <row r="4628" spans="1:10" x14ac:dyDescent="0.25">
      <c r="A4628" s="41">
        <v>45378.590628240738</v>
      </c>
      <c r="B4628" s="48">
        <f>IF(A4628&lt;&gt;"",DATE(YEAR(TRANSACTIONS!$A4628),MONTH(TRANSACTIONS!$A4628),DAY(TRANSACTIONS!$A4628)),"")</f>
        <v>45378</v>
      </c>
      <c r="C4628" s="49">
        <f>IF(A4628&lt;&gt;"",TIME(HOUR(TRANSACTIONS!$A4628),MINUTE(TRANSACTIONS!$A4628),SECOND(TRANSACTIONS!$A4628)),"")</f>
        <v>0.59062500000000007</v>
      </c>
      <c r="D4628" s="82" t="s">
        <v>62</v>
      </c>
      <c r="E4628" s="82" t="s">
        <v>6</v>
      </c>
      <c r="F4628" s="88">
        <v>2000</v>
      </c>
      <c r="G4628" s="46"/>
      <c r="H4628" s="46">
        <f>IFERROR(TRANSACTIONS!$F4628+TRANSACTIONS!$G4628,"")</f>
        <v>2000</v>
      </c>
      <c r="I4628" s="40" t="s">
        <v>41</v>
      </c>
    </row>
    <row r="4629" spans="1:10" x14ac:dyDescent="0.25">
      <c r="A4629" s="41">
        <v>45378.59063564815</v>
      </c>
      <c r="B4629" s="48">
        <f>IF(A4629&lt;&gt;"",DATE(YEAR(TRANSACTIONS!$A4629),MONTH(TRANSACTIONS!$A4629),DAY(TRANSACTIONS!$A4629)),"")</f>
        <v>45378</v>
      </c>
      <c r="C4629" s="49">
        <f>IF(A4629&lt;&gt;"",TIME(HOUR(TRANSACTIONS!$A4629),MINUTE(TRANSACTIONS!$A4629),SECOND(TRANSACTIONS!$A4629)),"")</f>
        <v>0.59063657407407411</v>
      </c>
      <c r="D4629" s="82" t="s">
        <v>62</v>
      </c>
      <c r="E4629" s="82" t="s">
        <v>7</v>
      </c>
      <c r="F4629" s="88">
        <v>500</v>
      </c>
      <c r="G4629" s="46"/>
      <c r="H4629" s="46">
        <f>IFERROR(TRANSACTIONS!$F4629+TRANSACTIONS!$G4629,"")</f>
        <v>500</v>
      </c>
      <c r="I4629" s="40" t="s">
        <v>41</v>
      </c>
    </row>
    <row r="4630" spans="1:10" x14ac:dyDescent="0.25">
      <c r="A4630" s="41">
        <v>45378.590642939816</v>
      </c>
      <c r="B4630" s="48">
        <f>IF(A4630&lt;&gt;"",DATE(YEAR(TRANSACTIONS!$A4630),MONTH(TRANSACTIONS!$A4630),DAY(TRANSACTIONS!$A4630)),"")</f>
        <v>45378</v>
      </c>
      <c r="C4630" s="49">
        <f>IF(A4630&lt;&gt;"",TIME(HOUR(TRANSACTIONS!$A4630),MINUTE(TRANSACTIONS!$A4630),SECOND(TRANSACTIONS!$A4630)),"")</f>
        <v>0.59064814814814814</v>
      </c>
      <c r="D4630" s="82" t="s">
        <v>62</v>
      </c>
      <c r="E4630" s="82" t="s">
        <v>7</v>
      </c>
      <c r="F4630" s="88">
        <v>200000</v>
      </c>
      <c r="G4630" s="46"/>
      <c r="H4630" s="46">
        <f>IFERROR(TRANSACTIONS!$F4630+TRANSACTIONS!$G4630,"")</f>
        <v>200000</v>
      </c>
      <c r="I4630" s="40" t="s">
        <v>41</v>
      </c>
    </row>
    <row r="4631" spans="1:10" x14ac:dyDescent="0.25">
      <c r="A4631" s="41">
        <v>45378.590650115744</v>
      </c>
      <c r="B4631" s="48">
        <f>IF(A4631&lt;&gt;"",DATE(YEAR(TRANSACTIONS!$A4631),MONTH(TRANSACTIONS!$A4631),DAY(TRANSACTIONS!$A4631)),"")</f>
        <v>45378</v>
      </c>
      <c r="C4631" s="49">
        <f>IF(A4631&lt;&gt;"",TIME(HOUR(TRANSACTIONS!$A4631),MINUTE(TRANSACTIONS!$A4631),SECOND(TRANSACTIONS!$A4631)),"")</f>
        <v>0.59064814814814814</v>
      </c>
      <c r="D4631" s="82" t="s">
        <v>62</v>
      </c>
      <c r="E4631" s="82" t="s">
        <v>7</v>
      </c>
      <c r="F4631" s="88">
        <v>1600</v>
      </c>
      <c r="G4631" s="46"/>
      <c r="H4631" s="46">
        <f>IFERROR(TRANSACTIONS!$F4631+TRANSACTIONS!$G4631,"")</f>
        <v>1600</v>
      </c>
      <c r="I4631" s="40" t="s">
        <v>41</v>
      </c>
      <c r="J4631" s="110"/>
    </row>
    <row r="4632" spans="1:10" x14ac:dyDescent="0.25">
      <c r="A4632" s="41">
        <v>45378.590658217596</v>
      </c>
      <c r="B4632" s="48">
        <f>IF(A4632&lt;&gt;"",DATE(YEAR(TRANSACTIONS!$A4632),MONTH(TRANSACTIONS!$A4632),DAY(TRANSACTIONS!$A4632)),"")</f>
        <v>45378</v>
      </c>
      <c r="C4632" s="49">
        <f>IF(A4632&lt;&gt;"",TIME(HOUR(TRANSACTIONS!$A4632),MINUTE(TRANSACTIONS!$A4632),SECOND(TRANSACTIONS!$A4632)),"")</f>
        <v>0.59065972222222218</v>
      </c>
      <c r="D4632" s="82" t="s">
        <v>62</v>
      </c>
      <c r="E4632" s="82" t="s">
        <v>7</v>
      </c>
      <c r="F4632" s="88">
        <v>7600</v>
      </c>
      <c r="G4632" s="46"/>
      <c r="H4632" s="46">
        <f>IFERROR(TRANSACTIONS!$F4632+TRANSACTIONS!$G4632,"")</f>
        <v>7600</v>
      </c>
      <c r="I4632" s="40" t="s">
        <v>41</v>
      </c>
    </row>
    <row r="4633" spans="1:10" x14ac:dyDescent="0.25">
      <c r="A4633" s="41">
        <v>45378.590665277778</v>
      </c>
      <c r="B4633" s="48">
        <f>IF(A4633&lt;&gt;"",DATE(YEAR(TRANSACTIONS!$A4633),MONTH(TRANSACTIONS!$A4633),DAY(TRANSACTIONS!$A4633)),"")</f>
        <v>45378</v>
      </c>
      <c r="C4633" s="49">
        <f>IF(A4633&lt;&gt;"",TIME(HOUR(TRANSACTIONS!$A4633),MINUTE(TRANSACTIONS!$A4633),SECOND(TRANSACTIONS!$A4633)),"")</f>
        <v>0.59065972222222218</v>
      </c>
      <c r="D4633" s="82" t="s">
        <v>62</v>
      </c>
      <c r="E4633" s="82" t="s">
        <v>7</v>
      </c>
      <c r="F4633" s="88">
        <v>20000</v>
      </c>
      <c r="G4633" s="46"/>
      <c r="H4633" s="46">
        <f>IFERROR(TRANSACTIONS!$F4633+TRANSACTIONS!$G4633,"")</f>
        <v>20000</v>
      </c>
      <c r="I4633" s="40" t="s">
        <v>41</v>
      </c>
    </row>
    <row r="4634" spans="1:10" x14ac:dyDescent="0.25">
      <c r="A4634" s="41">
        <v>45378.59069837963</v>
      </c>
      <c r="B4634" s="48">
        <f>IF(A4634&lt;&gt;"",DATE(YEAR(TRANSACTIONS!$A4634),MONTH(TRANSACTIONS!$A4634),DAY(TRANSACTIONS!$A4634)),"")</f>
        <v>45378</v>
      </c>
      <c r="C4634" s="49">
        <f>IF(A4634&lt;&gt;"",TIME(HOUR(TRANSACTIONS!$A4634),MINUTE(TRANSACTIONS!$A4634),SECOND(TRANSACTIONS!$A4634)),"")</f>
        <v>0.59069444444444441</v>
      </c>
      <c r="D4634" s="82" t="s">
        <v>62</v>
      </c>
      <c r="E4634" s="82" t="s">
        <v>6</v>
      </c>
      <c r="F4634" s="88">
        <v>2000</v>
      </c>
      <c r="G4634" s="46"/>
      <c r="H4634" s="46">
        <f>IFERROR(TRANSACTIONS!$F4634+TRANSACTIONS!$G4634,"")</f>
        <v>2000</v>
      </c>
      <c r="I4634" s="40" t="s">
        <v>41</v>
      </c>
    </row>
    <row r="4635" spans="1:10" x14ac:dyDescent="0.25">
      <c r="A4635" s="41">
        <v>45378.590673842591</v>
      </c>
      <c r="B4635" s="48">
        <f>IF(A4635&lt;&gt;"",DATE(YEAR(TRANSACTIONS!$A4635),MONTH(TRANSACTIONS!$A4635),DAY(TRANSACTIONS!$A4635)),"")</f>
        <v>45378</v>
      </c>
      <c r="C4635" s="49">
        <f>IF(A4635&lt;&gt;"",TIME(HOUR(TRANSACTIONS!$A4635),MINUTE(TRANSACTIONS!$A4635),SECOND(TRANSACTIONS!$A4635)),"")</f>
        <v>0.59067129629629633</v>
      </c>
      <c r="D4635" s="82" t="s">
        <v>62</v>
      </c>
      <c r="E4635" s="82" t="s">
        <v>6</v>
      </c>
      <c r="F4635" s="88">
        <v>15000</v>
      </c>
      <c r="G4635" s="46"/>
      <c r="H4635" s="46">
        <f>IFERROR(TRANSACTIONS!$F4635+TRANSACTIONS!$G4635,"")</f>
        <v>15000</v>
      </c>
      <c r="I4635" s="40" t="s">
        <v>41</v>
      </c>
    </row>
    <row r="4636" spans="1:10" x14ac:dyDescent="0.25">
      <c r="A4636" s="41">
        <v>45378.590724768517</v>
      </c>
      <c r="B4636" s="48">
        <f>IF(A4636&lt;&gt;"",DATE(YEAR(TRANSACTIONS!$A4636),MONTH(TRANSACTIONS!$A4636),DAY(TRANSACTIONS!$A4636)),"")</f>
        <v>45378</v>
      </c>
      <c r="C4636" s="49">
        <f>IF(A4636&lt;&gt;"",TIME(HOUR(TRANSACTIONS!$A4636),MINUTE(TRANSACTIONS!$A4636),SECOND(TRANSACTIONS!$A4636)),"")</f>
        <v>0.59072916666666664</v>
      </c>
      <c r="D4636" s="82" t="s">
        <v>62</v>
      </c>
      <c r="E4636" s="82" t="s">
        <v>6</v>
      </c>
      <c r="F4636" s="88">
        <v>1000</v>
      </c>
      <c r="G4636" s="46"/>
      <c r="H4636" s="46">
        <f>IFERROR(TRANSACTIONS!$F4636+TRANSACTIONS!$G4636,"")</f>
        <v>1000</v>
      </c>
      <c r="I4636" s="40" t="s">
        <v>41</v>
      </c>
    </row>
    <row r="4637" spans="1:10" x14ac:dyDescent="0.25">
      <c r="A4637" s="41">
        <v>45378.590753356482</v>
      </c>
      <c r="B4637" s="48">
        <f>IF(A4637&lt;&gt;"",DATE(YEAR(TRANSACTIONS!$A4637),MONTH(TRANSACTIONS!$A4637),DAY(TRANSACTIONS!$A4637)),"")</f>
        <v>45378</v>
      </c>
      <c r="C4637" s="49">
        <f>IF(A4637&lt;&gt;"",TIME(HOUR(TRANSACTIONS!$A4637),MINUTE(TRANSACTIONS!$A4637),SECOND(TRANSACTIONS!$A4637)),"")</f>
        <v>0.59075231481481483</v>
      </c>
      <c r="D4637" s="82" t="s">
        <v>62</v>
      </c>
      <c r="E4637" s="82" t="s">
        <v>6</v>
      </c>
      <c r="F4637" s="88">
        <v>500</v>
      </c>
      <c r="G4637" s="46"/>
      <c r="H4637" s="46">
        <f>IFERROR(TRANSACTIONS!$F4637+TRANSACTIONS!$G4637,"")</f>
        <v>500</v>
      </c>
      <c r="I4637" s="40" t="s">
        <v>41</v>
      </c>
    </row>
    <row r="4638" spans="1:10" x14ac:dyDescent="0.25">
      <c r="A4638" s="41">
        <v>45378.590736689817</v>
      </c>
      <c r="B4638" s="48">
        <f>IF(A4638&lt;&gt;"",DATE(YEAR(TRANSACTIONS!$A4638),MONTH(TRANSACTIONS!$A4638),DAY(TRANSACTIONS!$A4638)),"")</f>
        <v>45378</v>
      </c>
      <c r="C4638" s="49">
        <f>IF(A4638&lt;&gt;"",TIME(HOUR(TRANSACTIONS!$A4638),MINUTE(TRANSACTIONS!$A4638),SECOND(TRANSACTIONS!$A4638)),"")</f>
        <v>0.59074074074074068</v>
      </c>
      <c r="D4638" s="82" t="s">
        <v>62</v>
      </c>
      <c r="E4638" s="82" t="s">
        <v>6</v>
      </c>
      <c r="F4638" s="88">
        <v>8000</v>
      </c>
      <c r="G4638" s="46"/>
      <c r="H4638" s="46">
        <f>IFERROR(TRANSACTIONS!$F4638+TRANSACTIONS!$G4638,"")</f>
        <v>8000</v>
      </c>
      <c r="I4638" s="40" t="s">
        <v>41</v>
      </c>
    </row>
    <row r="4639" spans="1:10" x14ac:dyDescent="0.25">
      <c r="A4639" s="41">
        <v>45378.590764004628</v>
      </c>
      <c r="B4639" s="48">
        <f>IF(A4639&lt;&gt;"",DATE(YEAR(TRANSACTIONS!$A4639),MONTH(TRANSACTIONS!$A4639),DAY(TRANSACTIONS!$A4639)),"")</f>
        <v>45378</v>
      </c>
      <c r="C4639" s="49">
        <f>IF(A4639&lt;&gt;"",TIME(HOUR(TRANSACTIONS!$A4639),MINUTE(TRANSACTIONS!$A4639),SECOND(TRANSACTIONS!$A4639)),"")</f>
        <v>0.59076388888888887</v>
      </c>
      <c r="D4639" s="82" t="s">
        <v>62</v>
      </c>
      <c r="E4639" s="82" t="s">
        <v>7</v>
      </c>
      <c r="F4639" s="88">
        <v>5000</v>
      </c>
      <c r="G4639" s="46"/>
      <c r="H4639" s="46">
        <f>IFERROR(TRANSACTIONS!$F4639+TRANSACTIONS!$G4639,"")</f>
        <v>5000</v>
      </c>
      <c r="I4639" s="40" t="s">
        <v>41</v>
      </c>
    </row>
    <row r="4640" spans="1:10" x14ac:dyDescent="0.25">
      <c r="A4640" s="41">
        <v>45378.590787152774</v>
      </c>
      <c r="B4640" s="48">
        <f>IF(A4640&lt;&gt;"",DATE(YEAR(TRANSACTIONS!$A4640),MONTH(TRANSACTIONS!$A4640),DAY(TRANSACTIONS!$A4640)),"")</f>
        <v>45378</v>
      </c>
      <c r="C4640" s="49">
        <f>IF(A4640&lt;&gt;"",TIME(HOUR(TRANSACTIONS!$A4640),MINUTE(TRANSACTIONS!$A4640),SECOND(TRANSACTIONS!$A4640)),"")</f>
        <v>0.59078703703703705</v>
      </c>
      <c r="D4640" s="82" t="s">
        <v>62</v>
      </c>
      <c r="E4640" s="82" t="s">
        <v>6</v>
      </c>
      <c r="F4640" s="88">
        <v>4000</v>
      </c>
      <c r="G4640" s="46"/>
      <c r="H4640" s="46">
        <f>IFERROR(TRANSACTIONS!$F4640+TRANSACTIONS!$G4640,"")</f>
        <v>4000</v>
      </c>
      <c r="I4640" s="40" t="s">
        <v>41</v>
      </c>
    </row>
    <row r="4641" spans="1:9" x14ac:dyDescent="0.25">
      <c r="A4641" s="41">
        <v>45378.590811921298</v>
      </c>
      <c r="B4641" s="48">
        <f>IF(A4641&lt;&gt;"",DATE(YEAR(TRANSACTIONS!$A4641),MONTH(TRANSACTIONS!$A4641),DAY(TRANSACTIONS!$A4641)),"")</f>
        <v>45378</v>
      </c>
      <c r="C4641" s="49">
        <f>IF(A4641&lt;&gt;"",TIME(HOUR(TRANSACTIONS!$A4641),MINUTE(TRANSACTIONS!$A4641),SECOND(TRANSACTIONS!$A4641)),"")</f>
        <v>0.59081018518518513</v>
      </c>
      <c r="D4641" s="82" t="s">
        <v>62</v>
      </c>
      <c r="E4641" s="82" t="s">
        <v>6</v>
      </c>
      <c r="F4641" s="88">
        <v>30000</v>
      </c>
      <c r="G4641" s="46"/>
      <c r="H4641" s="46">
        <f>IFERROR(TRANSACTIONS!$F4641+TRANSACTIONS!$G4641,"")</f>
        <v>30000</v>
      </c>
      <c r="I4641" s="40" t="s">
        <v>41</v>
      </c>
    </row>
    <row r="4642" spans="1:9" x14ac:dyDescent="0.25">
      <c r="A4642" s="41">
        <v>45378.59079490741</v>
      </c>
      <c r="B4642" s="48">
        <f>IF(A4642&lt;&gt;"",DATE(YEAR(TRANSACTIONS!$A4642),MONTH(TRANSACTIONS!$A4642),DAY(TRANSACTIONS!$A4642)),"")</f>
        <v>45378</v>
      </c>
      <c r="C4642" s="49">
        <f>IF(A4642&lt;&gt;"",TIME(HOUR(TRANSACTIONS!$A4642),MINUTE(TRANSACTIONS!$A4642),SECOND(TRANSACTIONS!$A4642)),"")</f>
        <v>0.59079861111111109</v>
      </c>
      <c r="D4642" s="82" t="s">
        <v>62</v>
      </c>
      <c r="E4642" s="82" t="s">
        <v>7</v>
      </c>
      <c r="F4642" s="88">
        <v>15000</v>
      </c>
      <c r="G4642" s="46"/>
      <c r="H4642" s="46">
        <f>IFERROR(TRANSACTIONS!$F4642+TRANSACTIONS!$G4642,"")</f>
        <v>15000</v>
      </c>
      <c r="I4642" s="40" t="s">
        <v>41</v>
      </c>
    </row>
    <row r="4643" spans="1:9" x14ac:dyDescent="0.25">
      <c r="A4643" s="81">
        <v>45378.590829513887</v>
      </c>
      <c r="B4643" s="83">
        <f>IF(A4643&lt;&gt;"",DATE(YEAR(TRANSACTIONS!$A4643),MONTH(TRANSACTIONS!$A4643),DAY(TRANSACTIONS!$A4643)),"")</f>
        <v>45378</v>
      </c>
      <c r="C4643" s="84">
        <f>IF(A4643&lt;&gt;"",TIME(HOUR(TRANSACTIONS!$A4643),MINUTE(TRANSACTIONS!$A4643),SECOND(TRANSACTIONS!$A4643)),"")</f>
        <v>0.59083333333333332</v>
      </c>
      <c r="D4643" s="82" t="s">
        <v>62</v>
      </c>
      <c r="E4643" s="82" t="s">
        <v>6</v>
      </c>
      <c r="F4643" s="88">
        <v>10000</v>
      </c>
      <c r="G4643" s="86"/>
      <c r="H4643" s="86">
        <f>IFERROR(TRANSACTIONS!$F4643+TRANSACTIONS!$G4643,"")</f>
        <v>10000</v>
      </c>
      <c r="I4643" s="88" t="s">
        <v>41</v>
      </c>
    </row>
    <row r="4644" spans="1:9" x14ac:dyDescent="0.25">
      <c r="A4644" s="71">
        <v>45378.590843402781</v>
      </c>
      <c r="B4644" s="73">
        <f>IF(A4644&lt;&gt;"",DATE(YEAR(TRANSACTIONS!$A4644),MONTH(TRANSACTIONS!$A4644),DAY(TRANSACTIONS!$A4644)),"")</f>
        <v>45378</v>
      </c>
      <c r="C4644" s="74">
        <f>IF(A4644&lt;&gt;"",TIME(HOUR(TRANSACTIONS!$A4644),MINUTE(TRANSACTIONS!$A4644),SECOND(TRANSACTIONS!$A4644)),"")</f>
        <v>0.59084490740740747</v>
      </c>
      <c r="D4644" s="72" t="s">
        <v>62</v>
      </c>
      <c r="E4644" s="72" t="s">
        <v>6</v>
      </c>
      <c r="F4644" s="76">
        <v>20000</v>
      </c>
      <c r="G4644" s="75"/>
      <c r="H4644" s="75">
        <f>IFERROR(TRANSACTIONS!$F4644+TRANSACTIONS!$G4644,"")</f>
        <v>20000</v>
      </c>
      <c r="I4644" s="88" t="s">
        <v>41</v>
      </c>
    </row>
    <row r="4645" spans="1:9" x14ac:dyDescent="0.25">
      <c r="A4645" s="41">
        <v>45378.590873032408</v>
      </c>
      <c r="B4645" s="48">
        <f>IF(A4645&lt;&gt;"",DATE(YEAR(TRANSACTIONS!$A4645),MONTH(TRANSACTIONS!$A4645),DAY(TRANSACTIONS!$A4645)),"")</f>
        <v>45378</v>
      </c>
      <c r="C4645" s="49">
        <f>IF(A4645&lt;&gt;"",TIME(HOUR(TRANSACTIONS!$A4645),MINUTE(TRANSACTIONS!$A4645),SECOND(TRANSACTIONS!$A4645)),"")</f>
        <v>0.59086805555555555</v>
      </c>
      <c r="D4645" s="82" t="s">
        <v>62</v>
      </c>
      <c r="E4645" s="82" t="s">
        <v>6</v>
      </c>
      <c r="F4645" s="88">
        <v>145000</v>
      </c>
      <c r="G4645" s="46"/>
      <c r="H4645" s="46">
        <f>IFERROR(TRANSACTIONS!$F4645+TRANSACTIONS!$G4645,"")</f>
        <v>145000</v>
      </c>
      <c r="I4645" s="40" t="s">
        <v>41</v>
      </c>
    </row>
    <row r="4646" spans="1:9" x14ac:dyDescent="0.25">
      <c r="A4646" s="41">
        <v>45378.590881597222</v>
      </c>
      <c r="B4646" s="48">
        <f>IF(A4646&lt;&gt;"",DATE(YEAR(TRANSACTIONS!$A4646),MONTH(TRANSACTIONS!$A4646),DAY(TRANSACTIONS!$A4646)),"")</f>
        <v>45378</v>
      </c>
      <c r="C4646" s="49">
        <f>IF(A4646&lt;&gt;"",TIME(HOUR(TRANSACTIONS!$A4646),MINUTE(TRANSACTIONS!$A4646),SECOND(TRANSACTIONS!$A4646)),"")</f>
        <v>0.59087962962962959</v>
      </c>
      <c r="D4646" s="82" t="s">
        <v>62</v>
      </c>
      <c r="E4646" s="82" t="s">
        <v>7</v>
      </c>
      <c r="F4646" s="88">
        <v>16000</v>
      </c>
      <c r="G4646" s="46"/>
      <c r="H4646" s="46">
        <f>IFERROR(TRANSACTIONS!$F4646+TRANSACTIONS!$G4646,"")</f>
        <v>16000</v>
      </c>
      <c r="I4646" s="40" t="s">
        <v>41</v>
      </c>
    </row>
    <row r="4647" spans="1:9" x14ac:dyDescent="0.25">
      <c r="A4647" s="41">
        <v>45378.590889120373</v>
      </c>
      <c r="B4647" s="48">
        <f>IF(A4647&lt;&gt;"",DATE(YEAR(TRANSACTIONS!$A4647),MONTH(TRANSACTIONS!$A4647),DAY(TRANSACTIONS!$A4647)),"")</f>
        <v>45378</v>
      </c>
      <c r="C4647" s="49">
        <f>IF(A4647&lt;&gt;"",TIME(HOUR(TRANSACTIONS!$A4647),MINUTE(TRANSACTIONS!$A4647),SECOND(TRANSACTIONS!$A4647)),"")</f>
        <v>0.59089120370370374</v>
      </c>
      <c r="D4647" s="82" t="s">
        <v>62</v>
      </c>
      <c r="E4647" s="82" t="s">
        <v>7</v>
      </c>
      <c r="F4647" s="88">
        <v>2000</v>
      </c>
      <c r="G4647" s="46"/>
      <c r="H4647" s="46">
        <f>IFERROR(TRANSACTIONS!$F4647+TRANSACTIONS!$G4647,"")</f>
        <v>2000</v>
      </c>
      <c r="I4647" s="40" t="s">
        <v>41</v>
      </c>
    </row>
    <row r="4648" spans="1:9" x14ac:dyDescent="0.25">
      <c r="A4648" s="41">
        <v>45378.590896759262</v>
      </c>
      <c r="B4648" s="48">
        <f>IF(A4648&lt;&gt;"",DATE(YEAR(TRANSACTIONS!$A4648),MONTH(TRANSACTIONS!$A4648),DAY(TRANSACTIONS!$A4648)),"")</f>
        <v>45378</v>
      </c>
      <c r="C4648" s="49">
        <f>IF(A4648&lt;&gt;"",TIME(HOUR(TRANSACTIONS!$A4648),MINUTE(TRANSACTIONS!$A4648),SECOND(TRANSACTIONS!$A4648)),"")</f>
        <v>0.59089120370370374</v>
      </c>
      <c r="D4648" s="82" t="s">
        <v>64</v>
      </c>
      <c r="E4648" s="82" t="s">
        <v>6</v>
      </c>
      <c r="F4648" s="88">
        <v>500000</v>
      </c>
      <c r="G4648" s="46"/>
      <c r="H4648" s="46">
        <f>IFERROR(TRANSACTIONS!$F4648+TRANSACTIONS!$G4648,"")</f>
        <v>500000</v>
      </c>
      <c r="I4648" s="40" t="s">
        <v>41</v>
      </c>
    </row>
    <row r="4649" spans="1:9" x14ac:dyDescent="0.25">
      <c r="A4649" s="41">
        <v>45378.590903819444</v>
      </c>
      <c r="B4649" s="48">
        <f>IF(A4649&lt;&gt;"",DATE(YEAR(TRANSACTIONS!$A4649),MONTH(TRANSACTIONS!$A4649),DAY(TRANSACTIONS!$A4649)),"")</f>
        <v>45378</v>
      </c>
      <c r="C4649" s="49">
        <f>IF(A4649&lt;&gt;"",TIME(HOUR(TRANSACTIONS!$A4649),MINUTE(TRANSACTIONS!$A4649),SECOND(TRANSACTIONS!$A4649)),"")</f>
        <v>0.59090277777777778</v>
      </c>
      <c r="D4649" s="82" t="s">
        <v>25</v>
      </c>
      <c r="E4649" s="82" t="s">
        <v>6</v>
      </c>
      <c r="F4649" s="88">
        <v>500</v>
      </c>
      <c r="G4649" s="46"/>
      <c r="H4649" s="46">
        <f>IFERROR(TRANSACTIONS!$F4649+TRANSACTIONS!$G4649,"")</f>
        <v>500</v>
      </c>
      <c r="I4649" s="40" t="s">
        <v>41</v>
      </c>
    </row>
    <row r="4650" spans="1:9" x14ac:dyDescent="0.25">
      <c r="A4650" s="41">
        <v>45378.59091215278</v>
      </c>
      <c r="B4650" s="48">
        <f>IF(A4650&lt;&gt;"",DATE(YEAR(TRANSACTIONS!$A4650),MONTH(TRANSACTIONS!$A4650),DAY(TRANSACTIONS!$A4650)),"")</f>
        <v>45378</v>
      </c>
      <c r="C4650" s="49">
        <f>IF(A4650&lt;&gt;"",TIME(HOUR(TRANSACTIONS!$A4650),MINUTE(TRANSACTIONS!$A4650),SECOND(TRANSACTIONS!$A4650)),"")</f>
        <v>0.59091435185185182</v>
      </c>
      <c r="D4650" s="82" t="s">
        <v>25</v>
      </c>
      <c r="E4650" s="82" t="s">
        <v>6</v>
      </c>
      <c r="F4650" s="88">
        <v>3000</v>
      </c>
      <c r="G4650" s="46"/>
      <c r="H4650" s="46">
        <f>IFERROR(TRANSACTIONS!$F4650+TRANSACTIONS!$G4650,"")</f>
        <v>3000</v>
      </c>
      <c r="I4650" s="40" t="s">
        <v>41</v>
      </c>
    </row>
    <row r="4651" spans="1:9" x14ac:dyDescent="0.25">
      <c r="A4651" s="41">
        <v>45378.590920833332</v>
      </c>
      <c r="B4651" s="48">
        <f>IF(A4651&lt;&gt;"",DATE(YEAR(TRANSACTIONS!$A4651),MONTH(TRANSACTIONS!$A4651),DAY(TRANSACTIONS!$A4651)),"")</f>
        <v>45378</v>
      </c>
      <c r="C4651" s="49">
        <f>IF(A4651&lt;&gt;"",TIME(HOUR(TRANSACTIONS!$A4651),MINUTE(TRANSACTIONS!$A4651),SECOND(TRANSACTIONS!$A4651)),"")</f>
        <v>0.59092592592592597</v>
      </c>
      <c r="D4651" s="82" t="s">
        <v>25</v>
      </c>
      <c r="E4651" s="82" t="s">
        <v>6</v>
      </c>
      <c r="F4651" s="88">
        <v>300</v>
      </c>
      <c r="G4651" s="46"/>
      <c r="H4651" s="46">
        <f>IFERROR(TRANSACTIONS!$F4651+TRANSACTIONS!$G4651,"")</f>
        <v>300</v>
      </c>
      <c r="I4651" s="40" t="s">
        <v>41</v>
      </c>
    </row>
    <row r="4652" spans="1:9" x14ac:dyDescent="0.25">
      <c r="A4652" s="41">
        <v>45378.590931134262</v>
      </c>
      <c r="B4652" s="48">
        <f>IF(A4652&lt;&gt;"",DATE(YEAR(TRANSACTIONS!$A4652),MONTH(TRANSACTIONS!$A4652),DAY(TRANSACTIONS!$A4652)),"")</f>
        <v>45378</v>
      </c>
      <c r="C4652" s="49">
        <f>IF(A4652&lt;&gt;"",TIME(HOUR(TRANSACTIONS!$A4652),MINUTE(TRANSACTIONS!$A4652),SECOND(TRANSACTIONS!$A4652)),"")</f>
        <v>0.59092592592592597</v>
      </c>
      <c r="D4652" s="82" t="s">
        <v>25</v>
      </c>
      <c r="E4652" s="82" t="s">
        <v>7</v>
      </c>
      <c r="F4652" s="88">
        <v>480000</v>
      </c>
      <c r="G4652" s="46"/>
      <c r="H4652" s="46">
        <f>IFERROR(TRANSACTIONS!$F4652+TRANSACTIONS!$G4652,"")</f>
        <v>480000</v>
      </c>
      <c r="I4652" s="40" t="s">
        <v>41</v>
      </c>
    </row>
    <row r="4653" spans="1:9" x14ac:dyDescent="0.25">
      <c r="A4653" s="41">
        <v>45378.590939467591</v>
      </c>
      <c r="B4653" s="48">
        <f>IF(A4653&lt;&gt;"",DATE(YEAR(TRANSACTIONS!$A4653),MONTH(TRANSACTIONS!$A4653),DAY(TRANSACTIONS!$A4653)),"")</f>
        <v>45378</v>
      </c>
      <c r="C4653" s="49">
        <f>IF(A4653&lt;&gt;"",TIME(HOUR(TRANSACTIONS!$A4653),MINUTE(TRANSACTIONS!$A4653),SECOND(TRANSACTIONS!$A4653)),"")</f>
        <v>0.5909375</v>
      </c>
      <c r="D4653" s="82" t="s">
        <v>25</v>
      </c>
      <c r="E4653" s="82" t="s">
        <v>6</v>
      </c>
      <c r="F4653" s="88">
        <v>6000</v>
      </c>
      <c r="G4653" s="46"/>
      <c r="H4653" s="46">
        <f>IFERROR(TRANSACTIONS!$F4653+TRANSACTIONS!$G4653,"")</f>
        <v>6000</v>
      </c>
      <c r="I4653" s="40" t="s">
        <v>41</v>
      </c>
    </row>
    <row r="4654" spans="1:9" x14ac:dyDescent="0.25">
      <c r="A4654" s="113">
        <v>45378.590946643519</v>
      </c>
      <c r="B4654" s="114">
        <f>IF(A4654&lt;&gt;"",DATE(YEAR(TRANSACTIONS!$A4654),MONTH(TRANSACTIONS!$A4654),DAY(TRANSACTIONS!$A4654)),"")</f>
        <v>45378</v>
      </c>
      <c r="C4654" s="115">
        <f>IF(A4654&lt;&gt;"",TIME(HOUR(TRANSACTIONS!$A4654),MINUTE(TRANSACTIONS!$A4654),SECOND(TRANSACTIONS!$A4654)),"")</f>
        <v>0.59094907407407404</v>
      </c>
      <c r="D4654" s="82" t="s">
        <v>25</v>
      </c>
      <c r="E4654" s="82" t="s">
        <v>6</v>
      </c>
      <c r="F4654" s="88">
        <v>5000</v>
      </c>
      <c r="G4654" s="117"/>
      <c r="H4654" s="117">
        <f>IFERROR(TRANSACTIONS!$F4654+TRANSACTIONS!$G4654,"")</f>
        <v>5000</v>
      </c>
      <c r="I4654" s="118" t="s">
        <v>41</v>
      </c>
    </row>
    <row r="4655" spans="1:9" x14ac:dyDescent="0.25">
      <c r="A4655" s="41">
        <v>45378.590954282408</v>
      </c>
      <c r="B4655" s="48">
        <f>IF(A4655&lt;&gt;"",DATE(YEAR(TRANSACTIONS!$A4655),MONTH(TRANSACTIONS!$A4655),DAY(TRANSACTIONS!$A4655)),"")</f>
        <v>45378</v>
      </c>
      <c r="C4655" s="49">
        <f>IF(A4655&lt;&gt;"",TIME(HOUR(TRANSACTIONS!$A4655),MINUTE(TRANSACTIONS!$A4655),SECOND(TRANSACTIONS!$A4655)),"")</f>
        <v>0.59094907407407404</v>
      </c>
      <c r="D4655" s="82" t="s">
        <v>25</v>
      </c>
      <c r="E4655" s="82" t="s">
        <v>6</v>
      </c>
      <c r="F4655" s="88">
        <v>2500</v>
      </c>
      <c r="G4655" s="46"/>
      <c r="H4655" s="46">
        <f>IFERROR(TRANSACTIONS!$F4655+TRANSACTIONS!$G4655,"")</f>
        <v>2500</v>
      </c>
      <c r="I4655" s="40" t="s">
        <v>41</v>
      </c>
    </row>
    <row r="4656" spans="1:9" x14ac:dyDescent="0.25">
      <c r="A4656" s="41">
        <v>45378.590961805552</v>
      </c>
      <c r="B4656" s="48">
        <f>IF(A4656&lt;&gt;"",DATE(YEAR(TRANSACTIONS!$A4656),MONTH(TRANSACTIONS!$A4656),DAY(TRANSACTIONS!$A4656)),"")</f>
        <v>45378</v>
      </c>
      <c r="C4656" s="49">
        <f>IF(A4656&lt;&gt;"",TIME(HOUR(TRANSACTIONS!$A4656),MINUTE(TRANSACTIONS!$A4656),SECOND(TRANSACTIONS!$A4656)),"")</f>
        <v>0.59096064814814808</v>
      </c>
      <c r="D4656" s="82" t="s">
        <v>62</v>
      </c>
      <c r="E4656" s="82" t="s">
        <v>6</v>
      </c>
      <c r="F4656" s="88">
        <v>3500</v>
      </c>
      <c r="G4656" s="46"/>
      <c r="H4656" s="46">
        <f>IFERROR(TRANSACTIONS!$F4656+TRANSACTIONS!$G4656,"")</f>
        <v>3500</v>
      </c>
      <c r="I4656" s="40" t="s">
        <v>41</v>
      </c>
    </row>
    <row r="4657" spans="1:9" x14ac:dyDescent="0.25">
      <c r="A4657" s="41">
        <v>45378.590975347222</v>
      </c>
      <c r="B4657" s="48">
        <f>IF(A4657&lt;&gt;"",DATE(YEAR(TRANSACTIONS!$A4657),MONTH(TRANSACTIONS!$A4657),DAY(TRANSACTIONS!$A4657)),"")</f>
        <v>45378</v>
      </c>
      <c r="C4657" s="49">
        <f>IF(A4657&lt;&gt;"",TIME(HOUR(TRANSACTIONS!$A4657),MINUTE(TRANSACTIONS!$A4657),SECOND(TRANSACTIONS!$A4657)),"")</f>
        <v>0.59097222222222223</v>
      </c>
      <c r="D4657" s="82" t="s">
        <v>62</v>
      </c>
      <c r="E4657" s="82" t="s">
        <v>7</v>
      </c>
      <c r="F4657" s="88">
        <v>30000</v>
      </c>
      <c r="G4657" s="46"/>
      <c r="H4657" s="46">
        <f>IFERROR(TRANSACTIONS!$F4657+TRANSACTIONS!$G4657,"")</f>
        <v>30000</v>
      </c>
      <c r="I4657" s="40" t="s">
        <v>41</v>
      </c>
    </row>
    <row r="4658" spans="1:9" x14ac:dyDescent="0.25">
      <c r="A4658" s="41">
        <v>45378.595068055554</v>
      </c>
      <c r="B4658" s="48">
        <f>IF(A4658&lt;&gt;"",DATE(YEAR(TRANSACTIONS!$A4658),MONTH(TRANSACTIONS!$A4658),DAY(TRANSACTIONS!$A4658)),"")</f>
        <v>45378</v>
      </c>
      <c r="C4658" s="49">
        <f>IF(A4658&lt;&gt;"",TIME(HOUR(TRANSACTIONS!$A4658),MINUTE(TRANSACTIONS!$A4658),SECOND(TRANSACTIONS!$A4658)),"")</f>
        <v>0.59506944444444443</v>
      </c>
      <c r="D4658" s="82" t="s">
        <v>62</v>
      </c>
      <c r="E4658" s="82" t="s">
        <v>7</v>
      </c>
      <c r="F4658" s="88">
        <v>5000</v>
      </c>
      <c r="G4658" s="46"/>
      <c r="H4658" s="46">
        <f>IFERROR(TRANSACTIONS!$F4658+TRANSACTIONS!$G4658,"")</f>
        <v>5000</v>
      </c>
      <c r="I4658" s="40" t="s">
        <v>41</v>
      </c>
    </row>
    <row r="4659" spans="1:9" x14ac:dyDescent="0.25">
      <c r="A4659" s="41">
        <v>45378.595191898145</v>
      </c>
      <c r="B4659" s="48">
        <f>IF(A4659&lt;&gt;"",DATE(YEAR(TRANSACTIONS!$A4659),MONTH(TRANSACTIONS!$A4659),DAY(TRANSACTIONS!$A4659)),"")</f>
        <v>45378</v>
      </c>
      <c r="C4659" s="49">
        <f>IF(A4659&lt;&gt;"",TIME(HOUR(TRANSACTIONS!$A4659),MINUTE(TRANSACTIONS!$A4659),SECOND(TRANSACTIONS!$A4659)),"")</f>
        <v>0.59519675925925919</v>
      </c>
      <c r="D4659" s="82" t="s">
        <v>62</v>
      </c>
      <c r="E4659" s="82" t="s">
        <v>7</v>
      </c>
      <c r="F4659" s="88">
        <v>60000</v>
      </c>
      <c r="G4659" s="46"/>
      <c r="H4659" s="46">
        <f>IFERROR(TRANSACTIONS!$F4659+TRANSACTIONS!$G4659,"")</f>
        <v>60000</v>
      </c>
      <c r="I4659" s="40" t="s">
        <v>41</v>
      </c>
    </row>
    <row r="4660" spans="1:9" x14ac:dyDescent="0.25">
      <c r="A4660" s="41">
        <v>45378.595199305557</v>
      </c>
      <c r="B4660" s="48">
        <f>IF(A4660&lt;&gt;"",DATE(YEAR(TRANSACTIONS!$A4660),MONTH(TRANSACTIONS!$A4660),DAY(TRANSACTIONS!$A4660)),"")</f>
        <v>45378</v>
      </c>
      <c r="C4660" s="49">
        <f>IF(A4660&lt;&gt;"",TIME(HOUR(TRANSACTIONS!$A4660),MINUTE(TRANSACTIONS!$A4660),SECOND(TRANSACTIONS!$A4660)),"")</f>
        <v>0.59519675925925919</v>
      </c>
      <c r="D4660" s="82" t="s">
        <v>62</v>
      </c>
      <c r="E4660" s="82" t="s">
        <v>7</v>
      </c>
      <c r="F4660" s="88">
        <v>2000</v>
      </c>
      <c r="G4660" s="46"/>
      <c r="H4660" s="46">
        <f>IFERROR(TRANSACTIONS!$F4660+TRANSACTIONS!$G4660,"")</f>
        <v>2000</v>
      </c>
      <c r="I4660" s="40" t="s">
        <v>41</v>
      </c>
    </row>
    <row r="4661" spans="1:9" x14ac:dyDescent="0.25">
      <c r="A4661" s="41">
        <v>45378.59522638889</v>
      </c>
      <c r="B4661" s="48">
        <f>IF(A4661&lt;&gt;"",DATE(YEAR(TRANSACTIONS!$A4661),MONTH(TRANSACTIONS!$A4661),DAY(TRANSACTIONS!$A4661)),"")</f>
        <v>45378</v>
      </c>
      <c r="C4661" s="49">
        <f>IF(A4661&lt;&gt;"",TIME(HOUR(TRANSACTIONS!$A4661),MINUTE(TRANSACTIONS!$A4661),SECOND(TRANSACTIONS!$A4661)),"")</f>
        <v>0.59523148148148153</v>
      </c>
      <c r="D4661" s="82" t="s">
        <v>62</v>
      </c>
      <c r="E4661" s="82" t="s">
        <v>7</v>
      </c>
      <c r="F4661" s="88">
        <v>105000</v>
      </c>
      <c r="G4661" s="46"/>
      <c r="H4661" s="46">
        <f>IFERROR(TRANSACTIONS!$F4661+TRANSACTIONS!$G4661,"")</f>
        <v>105000</v>
      </c>
      <c r="I4661" s="40" t="s">
        <v>41</v>
      </c>
    </row>
    <row r="4662" spans="1:9" x14ac:dyDescent="0.25">
      <c r="A4662" s="41">
        <v>45378.595235416666</v>
      </c>
      <c r="B4662" s="48">
        <f>IF(A4662&lt;&gt;"",DATE(YEAR(TRANSACTIONS!$A4662),MONTH(TRANSACTIONS!$A4662),DAY(TRANSACTIONS!$A4662)),"")</f>
        <v>45378</v>
      </c>
      <c r="C4662" s="49">
        <f>IF(A4662&lt;&gt;"",TIME(HOUR(TRANSACTIONS!$A4662),MINUTE(TRANSACTIONS!$A4662),SECOND(TRANSACTIONS!$A4662)),"")</f>
        <v>0.59523148148148153</v>
      </c>
      <c r="D4662" s="82" t="s">
        <v>62</v>
      </c>
      <c r="E4662" s="82" t="s">
        <v>6</v>
      </c>
      <c r="F4662" s="88">
        <v>5500</v>
      </c>
      <c r="G4662" s="46"/>
      <c r="H4662" s="46">
        <f>IFERROR(TRANSACTIONS!$F4662+TRANSACTIONS!$G4662,"")</f>
        <v>5500</v>
      </c>
      <c r="I4662" s="40" t="s">
        <v>41</v>
      </c>
    </row>
    <row r="4663" spans="1:9" x14ac:dyDescent="0.25">
      <c r="A4663" s="41">
        <v>45378.595242708332</v>
      </c>
      <c r="B4663" s="48">
        <f>IF(A4663&lt;&gt;"",DATE(YEAR(TRANSACTIONS!$A4663),MONTH(TRANSACTIONS!$A4663),DAY(TRANSACTIONS!$A4663)),"")</f>
        <v>45378</v>
      </c>
      <c r="C4663" s="49">
        <f>IF(A4663&lt;&gt;"",TIME(HOUR(TRANSACTIONS!$A4663),MINUTE(TRANSACTIONS!$A4663),SECOND(TRANSACTIONS!$A4663)),"")</f>
        <v>0.59524305555555557</v>
      </c>
      <c r="D4663" s="82" t="s">
        <v>62</v>
      </c>
      <c r="E4663" s="82" t="s">
        <v>7</v>
      </c>
      <c r="F4663" s="88">
        <v>5000</v>
      </c>
      <c r="G4663" s="46"/>
      <c r="H4663" s="46">
        <f>IFERROR(TRANSACTIONS!$F4663+TRANSACTIONS!$G4663,"")</f>
        <v>5000</v>
      </c>
      <c r="I4663" s="40" t="s">
        <v>41</v>
      </c>
    </row>
    <row r="4664" spans="1:9" x14ac:dyDescent="0.25">
      <c r="A4664" s="41">
        <v>45378.595250231483</v>
      </c>
      <c r="B4664" s="48">
        <f>IF(A4664&lt;&gt;"",DATE(YEAR(TRANSACTIONS!$A4664),MONTH(TRANSACTIONS!$A4664),DAY(TRANSACTIONS!$A4664)),"")</f>
        <v>45378</v>
      </c>
      <c r="C4664" s="49">
        <f>IF(A4664&lt;&gt;"",TIME(HOUR(TRANSACTIONS!$A4664),MINUTE(TRANSACTIONS!$A4664),SECOND(TRANSACTIONS!$A4664)),"")</f>
        <v>0.59525462962962961</v>
      </c>
      <c r="D4664" s="82" t="s">
        <v>62</v>
      </c>
      <c r="E4664" s="82" t="s">
        <v>6</v>
      </c>
      <c r="F4664" s="88">
        <v>10100</v>
      </c>
      <c r="G4664" s="46"/>
      <c r="H4664" s="46">
        <f>IFERROR(TRANSACTIONS!$F4664+TRANSACTIONS!$G4664,"")</f>
        <v>10100</v>
      </c>
      <c r="I4664" s="40" t="s">
        <v>41</v>
      </c>
    </row>
    <row r="4665" spans="1:9" x14ac:dyDescent="0.25">
      <c r="A4665" s="41">
        <v>45378.706617245371</v>
      </c>
      <c r="B4665" s="48">
        <f>IF(A4665&lt;&gt;"",DATE(YEAR(TRANSACTIONS!$A4665),MONTH(TRANSACTIONS!$A4665),DAY(TRANSACTIONS!$A4665)),"")</f>
        <v>45378</v>
      </c>
      <c r="C4665" s="49">
        <f>IF(A4665&lt;&gt;"",TIME(HOUR(TRANSACTIONS!$A4665),MINUTE(TRANSACTIONS!$A4665),SECOND(TRANSACTIONS!$A4665)),"")</f>
        <v>0.7066203703703704</v>
      </c>
      <c r="D4665" s="82" t="s">
        <v>62</v>
      </c>
      <c r="E4665" s="82" t="s">
        <v>7</v>
      </c>
      <c r="F4665" s="88">
        <v>6500</v>
      </c>
      <c r="G4665" s="46"/>
      <c r="H4665" s="46">
        <f>IFERROR(TRANSACTIONS!$F4665+TRANSACTIONS!$G4665,"")</f>
        <v>6500</v>
      </c>
      <c r="I4665" s="40" t="s">
        <v>41</v>
      </c>
    </row>
    <row r="4666" spans="1:9" x14ac:dyDescent="0.25">
      <c r="A4666" s="41">
        <v>45378.706685763886</v>
      </c>
      <c r="B4666" s="48">
        <f>IF(A4666&lt;&gt;"",DATE(YEAR(TRANSACTIONS!$A4666),MONTH(TRANSACTIONS!$A4666),DAY(TRANSACTIONS!$A4666)),"")</f>
        <v>45378</v>
      </c>
      <c r="C4666" s="49">
        <f>IF(A4666&lt;&gt;"",TIME(HOUR(TRANSACTIONS!$A4666),MINUTE(TRANSACTIONS!$A4666),SECOND(TRANSACTIONS!$A4666)),"")</f>
        <v>0.70668981481481474</v>
      </c>
      <c r="D4666" s="82" t="s">
        <v>62</v>
      </c>
      <c r="E4666" s="82" t="s">
        <v>7</v>
      </c>
      <c r="F4666" s="88">
        <v>120000</v>
      </c>
      <c r="G4666" s="46"/>
      <c r="H4666" s="46">
        <f>IFERROR(TRANSACTIONS!$F4666+TRANSACTIONS!$G4666,"")</f>
        <v>120000</v>
      </c>
      <c r="I4666" s="40" t="s">
        <v>41</v>
      </c>
    </row>
    <row r="4667" spans="1:9" x14ac:dyDescent="0.25">
      <c r="A4667" s="41">
        <v>45378.708648611107</v>
      </c>
      <c r="B4667" s="48">
        <f>IF(A4667&lt;&gt;"",DATE(YEAR(TRANSACTIONS!$A4667),MONTH(TRANSACTIONS!$A4667),DAY(TRANSACTIONS!$A4667)),"")</f>
        <v>45378</v>
      </c>
      <c r="C4667" s="49">
        <f>IF(A4667&lt;&gt;"",TIME(HOUR(TRANSACTIONS!$A4667),MINUTE(TRANSACTIONS!$A4667),SECOND(TRANSACTIONS!$A4667)),"")</f>
        <v>0.70864583333333331</v>
      </c>
      <c r="D4667" s="82" t="s">
        <v>62</v>
      </c>
      <c r="E4667" s="82" t="s">
        <v>6</v>
      </c>
      <c r="F4667" s="88">
        <v>50000</v>
      </c>
      <c r="G4667" s="46"/>
      <c r="H4667" s="46">
        <f>IFERROR(TRANSACTIONS!$F4667+TRANSACTIONS!$G4667,"")</f>
        <v>50000</v>
      </c>
      <c r="I4667" s="40" t="s">
        <v>41</v>
      </c>
    </row>
    <row r="4668" spans="1:9" x14ac:dyDescent="0.25">
      <c r="A4668" s="41">
        <v>45378.708651851855</v>
      </c>
      <c r="B4668" s="48">
        <f>IF(A4668&lt;&gt;"",DATE(YEAR(TRANSACTIONS!$A4668),MONTH(TRANSACTIONS!$A4668),DAY(TRANSACTIONS!$A4668)),"")</f>
        <v>45378</v>
      </c>
      <c r="C4668" s="49">
        <f>IF(A4668&lt;&gt;"",TIME(HOUR(TRANSACTIONS!$A4668),MINUTE(TRANSACTIONS!$A4668),SECOND(TRANSACTIONS!$A4668)),"")</f>
        <v>0.70865740740740746</v>
      </c>
      <c r="D4668" s="82" t="s">
        <v>62</v>
      </c>
      <c r="E4668" s="82" t="s">
        <v>6</v>
      </c>
      <c r="F4668" s="88">
        <v>5000</v>
      </c>
      <c r="G4668" s="46"/>
      <c r="H4668" s="46">
        <f>IFERROR(TRANSACTIONS!$F4668+TRANSACTIONS!$G4668,"")</f>
        <v>5000</v>
      </c>
      <c r="I4668" s="40" t="s">
        <v>41</v>
      </c>
    </row>
    <row r="4669" spans="1:9" x14ac:dyDescent="0.25">
      <c r="A4669" s="41">
        <v>45378.70870787037</v>
      </c>
      <c r="B4669" s="48">
        <f>IF(A4669&lt;&gt;"",DATE(YEAR(TRANSACTIONS!$A4669),MONTH(TRANSACTIONS!$A4669),DAY(TRANSACTIONS!$A4669)),"")</f>
        <v>45378</v>
      </c>
      <c r="C4669" s="49">
        <f>IF(A4669&lt;&gt;"",TIME(HOUR(TRANSACTIONS!$A4669),MINUTE(TRANSACTIONS!$A4669),SECOND(TRANSACTIONS!$A4669)),"")</f>
        <v>0.70870370370370372</v>
      </c>
      <c r="D4669" s="82" t="s">
        <v>62</v>
      </c>
      <c r="E4669" s="82" t="s">
        <v>6</v>
      </c>
      <c r="F4669" s="88">
        <v>1500</v>
      </c>
      <c r="G4669" s="46"/>
      <c r="H4669" s="46">
        <f>IFERROR(TRANSACTIONS!$F4669+TRANSACTIONS!$G4669,"")</f>
        <v>1500</v>
      </c>
      <c r="I4669" s="40" t="s">
        <v>41</v>
      </c>
    </row>
    <row r="4670" spans="1:9" x14ac:dyDescent="0.25">
      <c r="A4670" s="41">
        <v>45378.70871712963</v>
      </c>
      <c r="B4670" s="48">
        <f>IF(A4670&lt;&gt;"",DATE(YEAR(TRANSACTIONS!$A4670),MONTH(TRANSACTIONS!$A4670),DAY(TRANSACTIONS!$A4670)),"")</f>
        <v>45378</v>
      </c>
      <c r="C4670" s="49">
        <f>IF(A4670&lt;&gt;"",TIME(HOUR(TRANSACTIONS!$A4670),MINUTE(TRANSACTIONS!$A4670),SECOND(TRANSACTIONS!$A4670)),"")</f>
        <v>0.70871527777777776</v>
      </c>
      <c r="D4670" s="82" t="s">
        <v>62</v>
      </c>
      <c r="E4670" s="82" t="s">
        <v>7</v>
      </c>
      <c r="F4670" s="88">
        <v>2000</v>
      </c>
      <c r="G4670" s="46"/>
      <c r="H4670" s="46">
        <f>IFERROR(TRANSACTIONS!$F4670+TRANSACTIONS!$G4670,"")</f>
        <v>2000</v>
      </c>
      <c r="I4670" s="40" t="s">
        <v>41</v>
      </c>
    </row>
    <row r="4671" spans="1:9" x14ac:dyDescent="0.25">
      <c r="A4671" s="41">
        <v>45378.708726041667</v>
      </c>
      <c r="B4671" s="48">
        <f>IF(A4671&lt;&gt;"",DATE(YEAR(TRANSACTIONS!$A4671),MONTH(TRANSACTIONS!$A4671),DAY(TRANSACTIONS!$A4671)),"")</f>
        <v>45378</v>
      </c>
      <c r="C4671" s="49">
        <f>IF(A4671&lt;&gt;"",TIME(HOUR(TRANSACTIONS!$A4671),MINUTE(TRANSACTIONS!$A4671),SECOND(TRANSACTIONS!$A4671)),"")</f>
        <v>0.7087268518518518</v>
      </c>
      <c r="D4671" s="82" t="s">
        <v>64</v>
      </c>
      <c r="E4671" s="82" t="s">
        <v>6</v>
      </c>
      <c r="F4671" s="88">
        <v>100000</v>
      </c>
      <c r="G4671" s="46"/>
      <c r="H4671" s="46">
        <f>IFERROR(TRANSACTIONS!$F4671+TRANSACTIONS!$G4671,"")</f>
        <v>100000</v>
      </c>
      <c r="I4671" s="40" t="s">
        <v>41</v>
      </c>
    </row>
    <row r="4672" spans="1:9" x14ac:dyDescent="0.25">
      <c r="A4672" s="41">
        <v>45378.708734490741</v>
      </c>
      <c r="B4672" s="48">
        <f>IF(A4672&lt;&gt;"",DATE(YEAR(TRANSACTIONS!$A4672),MONTH(TRANSACTIONS!$A4672),DAY(TRANSACTIONS!$A4672)),"")</f>
        <v>45378</v>
      </c>
      <c r="C4672" s="49">
        <f>IF(A4672&lt;&gt;"",TIME(HOUR(TRANSACTIONS!$A4672),MINUTE(TRANSACTIONS!$A4672),SECOND(TRANSACTIONS!$A4672)),"")</f>
        <v>0.70873842592592595</v>
      </c>
      <c r="D4672" s="82" t="s">
        <v>62</v>
      </c>
      <c r="E4672" s="82" t="s">
        <v>6</v>
      </c>
      <c r="F4672" s="88">
        <v>3000</v>
      </c>
      <c r="G4672" s="46"/>
      <c r="H4672" s="46">
        <f>IFERROR(TRANSACTIONS!$F4672+TRANSACTIONS!$G4672,"")</f>
        <v>3000</v>
      </c>
      <c r="I4672" s="40" t="s">
        <v>41</v>
      </c>
    </row>
    <row r="4673" spans="1:9" x14ac:dyDescent="0.25">
      <c r="A4673" s="41">
        <v>45378.708741898146</v>
      </c>
      <c r="B4673" s="48">
        <f>IF(A4673&lt;&gt;"",DATE(YEAR(TRANSACTIONS!$A4673),MONTH(TRANSACTIONS!$A4673),DAY(TRANSACTIONS!$A4673)),"")</f>
        <v>45378</v>
      </c>
      <c r="C4673" s="49">
        <f>IF(A4673&lt;&gt;"",TIME(HOUR(TRANSACTIONS!$A4673),MINUTE(TRANSACTIONS!$A4673),SECOND(TRANSACTIONS!$A4673)),"")</f>
        <v>0.70873842592592595</v>
      </c>
      <c r="D4673" s="82" t="s">
        <v>62</v>
      </c>
      <c r="E4673" s="82" t="s">
        <v>6</v>
      </c>
      <c r="F4673" s="88">
        <v>10000</v>
      </c>
      <c r="G4673" s="46"/>
      <c r="H4673" s="46">
        <f>IFERROR(TRANSACTIONS!$F4673+TRANSACTIONS!$G4673,"")</f>
        <v>10000</v>
      </c>
      <c r="I4673" s="40" t="s">
        <v>41</v>
      </c>
    </row>
    <row r="4674" spans="1:9" x14ac:dyDescent="0.25">
      <c r="A4674" s="41">
        <v>45378.709179976853</v>
      </c>
      <c r="B4674" s="48">
        <f>IF(A4674&lt;&gt;"",DATE(YEAR(TRANSACTIONS!$A4674),MONTH(TRANSACTIONS!$A4674),DAY(TRANSACTIONS!$A4674)),"")</f>
        <v>45378</v>
      </c>
      <c r="C4674" s="49">
        <f>IF(A4674&lt;&gt;"",TIME(HOUR(TRANSACTIONS!$A4674),MINUTE(TRANSACTIONS!$A4674),SECOND(TRANSACTIONS!$A4674)),"")</f>
        <v>0.70917824074074076</v>
      </c>
      <c r="D4674" s="82" t="s">
        <v>25</v>
      </c>
      <c r="E4674" s="82" t="s">
        <v>7</v>
      </c>
      <c r="F4674" s="88">
        <v>6000</v>
      </c>
      <c r="G4674" s="46"/>
      <c r="H4674" s="46">
        <f>IFERROR(TRANSACTIONS!$F4674+TRANSACTIONS!$G4674,"")</f>
        <v>6000</v>
      </c>
      <c r="I4674" s="40" t="s">
        <v>41</v>
      </c>
    </row>
    <row r="4675" spans="1:9" x14ac:dyDescent="0.25">
      <c r="A4675" s="41">
        <v>45378.709201736114</v>
      </c>
      <c r="B4675" s="48">
        <f>IF(A4675&lt;&gt;"",DATE(YEAR(TRANSACTIONS!$A4675),MONTH(TRANSACTIONS!$A4675),DAY(TRANSACTIONS!$A4675)),"")</f>
        <v>45378</v>
      </c>
      <c r="C4675" s="49">
        <f>IF(A4675&lt;&gt;"",TIME(HOUR(TRANSACTIONS!$A4675),MINUTE(TRANSACTIONS!$A4675),SECOND(TRANSACTIONS!$A4675)),"")</f>
        <v>0.70920138888888884</v>
      </c>
      <c r="D4675" s="82" t="s">
        <v>25</v>
      </c>
      <c r="E4675" s="82" t="s">
        <v>6</v>
      </c>
      <c r="F4675" s="88">
        <v>35000</v>
      </c>
      <c r="G4675" s="46"/>
      <c r="H4675" s="46">
        <f>IFERROR(TRANSACTIONS!$F4675+TRANSACTIONS!$G4675,"")</f>
        <v>35000</v>
      </c>
      <c r="I4675" s="40" t="s">
        <v>41</v>
      </c>
    </row>
    <row r="4676" spans="1:9" x14ac:dyDescent="0.25">
      <c r="A4676" s="41">
        <v>45378.709209837965</v>
      </c>
      <c r="B4676" s="48">
        <f>IF(A4676&lt;&gt;"",DATE(YEAR(TRANSACTIONS!$A4676),MONTH(TRANSACTIONS!$A4676),DAY(TRANSACTIONS!$A4676)),"")</f>
        <v>45378</v>
      </c>
      <c r="C4676" s="49">
        <f>IF(A4676&lt;&gt;"",TIME(HOUR(TRANSACTIONS!$A4676),MINUTE(TRANSACTIONS!$A4676),SECOND(TRANSACTIONS!$A4676)),"")</f>
        <v>0.70921296296296299</v>
      </c>
      <c r="D4676" s="82" t="s">
        <v>25</v>
      </c>
      <c r="E4676" s="82" t="s">
        <v>6</v>
      </c>
      <c r="F4676" s="88">
        <v>50000</v>
      </c>
      <c r="G4676" s="46"/>
      <c r="H4676" s="46">
        <f>IFERROR(TRANSACTIONS!$F4676+TRANSACTIONS!$G4676,"")</f>
        <v>50000</v>
      </c>
      <c r="I4676" s="40" t="s">
        <v>41</v>
      </c>
    </row>
    <row r="4677" spans="1:9" x14ac:dyDescent="0.25">
      <c r="A4677" s="41">
        <v>45378.709724074077</v>
      </c>
      <c r="B4677" s="48">
        <f>IF(A4677&lt;&gt;"",DATE(YEAR(TRANSACTIONS!$A4677),MONTH(TRANSACTIONS!$A4677),DAY(TRANSACTIONS!$A4677)),"")</f>
        <v>45378</v>
      </c>
      <c r="C4677" s="49">
        <f>IF(A4677&lt;&gt;"",TIME(HOUR(TRANSACTIONS!$A4677),MINUTE(TRANSACTIONS!$A4677),SECOND(TRANSACTIONS!$A4677)),"")</f>
        <v>0.70972222222222225</v>
      </c>
      <c r="D4677" s="82" t="s">
        <v>62</v>
      </c>
      <c r="E4677" s="82" t="s">
        <v>6</v>
      </c>
      <c r="F4677" s="88">
        <v>50000</v>
      </c>
      <c r="G4677" s="46"/>
      <c r="H4677" s="46">
        <f>IFERROR(TRANSACTIONS!$F4677+TRANSACTIONS!$G4677,"")</f>
        <v>50000</v>
      </c>
      <c r="I4677" s="40" t="s">
        <v>41</v>
      </c>
    </row>
    <row r="4678" spans="1:9" x14ac:dyDescent="0.25">
      <c r="A4678" s="41"/>
      <c r="B4678" s="48" t="str">
        <f>IF(A4678&lt;&gt;"",DATE(YEAR(TRANSACTIONS!$A4678),MONTH(TRANSACTIONS!$A4678),DAY(TRANSACTIONS!$A4678)),"")</f>
        <v/>
      </c>
      <c r="C4678" s="49" t="str">
        <f>IF(A4678&lt;&gt;"",TIME(HOUR(TRANSACTIONS!$A4678),MINUTE(TRANSACTIONS!$A4678),SECOND(TRANSACTIONS!$A4678)),"")</f>
        <v/>
      </c>
      <c r="D4678" s="82"/>
      <c r="E4678" s="82"/>
      <c r="F4678" s="88"/>
      <c r="G4678" s="46"/>
      <c r="H4678" s="46">
        <f>IFERROR(TRANSACTIONS!$F4678+TRANSACTIONS!$G4678,"")</f>
        <v>0</v>
      </c>
      <c r="I4678" s="40" t="s">
        <v>41</v>
      </c>
    </row>
    <row r="4679" spans="1:9" x14ac:dyDescent="0.25">
      <c r="A4679" s="41">
        <v>45379.43795324074</v>
      </c>
      <c r="B4679" s="48">
        <f>IF(A4679&lt;&gt;"",DATE(YEAR(TRANSACTIONS!$A4679),MONTH(TRANSACTIONS!$A4679),DAY(TRANSACTIONS!$A4679)),"")</f>
        <v>45379</v>
      </c>
      <c r="C4679" s="49">
        <f>IF(A4679&lt;&gt;"",TIME(HOUR(TRANSACTIONS!$A4679),MINUTE(TRANSACTIONS!$A4679),SECOND(TRANSACTIONS!$A4679)),"")</f>
        <v>0.4379513888888889</v>
      </c>
      <c r="D4679" s="82" t="s">
        <v>62</v>
      </c>
      <c r="E4679" s="82" t="s">
        <v>6</v>
      </c>
      <c r="F4679" s="88">
        <v>10000</v>
      </c>
      <c r="G4679" s="46"/>
      <c r="H4679" s="46">
        <f>IFERROR(TRANSACTIONS!$F4679+TRANSACTIONS!$G4679,"")</f>
        <v>10000</v>
      </c>
      <c r="I4679" s="40" t="s">
        <v>41</v>
      </c>
    </row>
    <row r="4680" spans="1:9" x14ac:dyDescent="0.25">
      <c r="A4680" s="41">
        <v>45379.437957986112</v>
      </c>
      <c r="B4680" s="48">
        <f>IF(A4680&lt;&gt;"",DATE(YEAR(TRANSACTIONS!$A4680),MONTH(TRANSACTIONS!$A4680),DAY(TRANSACTIONS!$A4680)),"")</f>
        <v>45379</v>
      </c>
      <c r="C4680" s="49">
        <f>IF(A4680&lt;&gt;"",TIME(HOUR(TRANSACTIONS!$A4680),MINUTE(TRANSACTIONS!$A4680),SECOND(TRANSACTIONS!$A4680)),"")</f>
        <v>0.43796296296296294</v>
      </c>
      <c r="D4680" s="82" t="s">
        <v>62</v>
      </c>
      <c r="E4680" s="82" t="s">
        <v>7</v>
      </c>
      <c r="F4680" s="88">
        <v>5000</v>
      </c>
      <c r="G4680" s="46"/>
      <c r="H4680" s="46">
        <f>IFERROR(TRANSACTIONS!$F4680+TRANSACTIONS!$G4680,"")</f>
        <v>5000</v>
      </c>
      <c r="I4680" s="40" t="s">
        <v>41</v>
      </c>
    </row>
    <row r="4681" spans="1:9" x14ac:dyDescent="0.25">
      <c r="A4681" s="41">
        <v>45379.438004166666</v>
      </c>
      <c r="B4681" s="48">
        <f>IF(A4681&lt;&gt;"",DATE(YEAR(TRANSACTIONS!$A4681),MONTH(TRANSACTIONS!$A4681),DAY(TRANSACTIONS!$A4681)),"")</f>
        <v>45379</v>
      </c>
      <c r="C4681" s="49">
        <f>IF(A4681&lt;&gt;"",TIME(HOUR(TRANSACTIONS!$A4681),MINUTE(TRANSACTIONS!$A4681),SECOND(TRANSACTIONS!$A4681)),"")</f>
        <v>0.43800925925925926</v>
      </c>
      <c r="D4681" s="82" t="s">
        <v>62</v>
      </c>
      <c r="E4681" s="82" t="s">
        <v>6</v>
      </c>
      <c r="F4681" s="88">
        <v>10000</v>
      </c>
      <c r="G4681" s="46"/>
      <c r="H4681" s="46">
        <f>IFERROR(TRANSACTIONS!$F4681+TRANSACTIONS!$G4681,"")</f>
        <v>10000</v>
      </c>
      <c r="I4681" s="40" t="s">
        <v>41</v>
      </c>
    </row>
    <row r="4682" spans="1:9" x14ac:dyDescent="0.25">
      <c r="A4682" s="41">
        <v>45379.437993518521</v>
      </c>
      <c r="B4682" s="48">
        <f>IF(A4682&lt;&gt;"",DATE(YEAR(TRANSACTIONS!$A4682),MONTH(TRANSACTIONS!$A4682),DAY(TRANSACTIONS!$A4682)),"")</f>
        <v>45379</v>
      </c>
      <c r="C4682" s="49">
        <f>IF(A4682&lt;&gt;"",TIME(HOUR(TRANSACTIONS!$A4682),MINUTE(TRANSACTIONS!$A4682),SECOND(TRANSACTIONS!$A4682)),"")</f>
        <v>0.43799768518518517</v>
      </c>
      <c r="D4682" s="82" t="s">
        <v>62</v>
      </c>
      <c r="E4682" s="82" t="s">
        <v>6</v>
      </c>
      <c r="F4682" s="88">
        <v>35350</v>
      </c>
      <c r="G4682" s="46"/>
      <c r="H4682" s="46">
        <f>IFERROR(TRANSACTIONS!$F4682+TRANSACTIONS!$G4682,"")</f>
        <v>35350</v>
      </c>
      <c r="I4682" s="40" t="s">
        <v>41</v>
      </c>
    </row>
    <row r="4683" spans="1:9" x14ac:dyDescent="0.25">
      <c r="A4683" s="41">
        <v>45379.438019791669</v>
      </c>
      <c r="B4683" s="48">
        <f>IF(A4683&lt;&gt;"",DATE(YEAR(TRANSACTIONS!$A4683),MONTH(TRANSACTIONS!$A4683),DAY(TRANSACTIONS!$A4683)),"")</f>
        <v>45379</v>
      </c>
      <c r="C4683" s="49">
        <f>IF(A4683&lt;&gt;"",TIME(HOUR(TRANSACTIONS!$A4683),MINUTE(TRANSACTIONS!$A4683),SECOND(TRANSACTIONS!$A4683)),"")</f>
        <v>0.4380208333333333</v>
      </c>
      <c r="D4683" s="82" t="s">
        <v>62</v>
      </c>
      <c r="E4683" s="82" t="s">
        <v>6</v>
      </c>
      <c r="F4683" s="88">
        <v>2000</v>
      </c>
      <c r="G4683" s="46"/>
      <c r="H4683" s="46">
        <f>IFERROR(TRANSACTIONS!$F4683+TRANSACTIONS!$G4683,"")</f>
        <v>2000</v>
      </c>
      <c r="I4683" s="40" t="s">
        <v>41</v>
      </c>
    </row>
    <row r="4684" spans="1:9" x14ac:dyDescent="0.25">
      <c r="A4684" s="113">
        <v>45379.438030787038</v>
      </c>
      <c r="B4684" s="114">
        <f>IF(A4684&lt;&gt;"",DATE(YEAR(TRANSACTIONS!$A4684),MONTH(TRANSACTIONS!$A4684),DAY(TRANSACTIONS!$A4684)),"")</f>
        <v>45379</v>
      </c>
      <c r="C4684" s="115">
        <f>IF(A4684&lt;&gt;"",TIME(HOUR(TRANSACTIONS!$A4684),MINUTE(TRANSACTIONS!$A4684),SECOND(TRANSACTIONS!$A4684)),"")</f>
        <v>0.4380324074074074</v>
      </c>
      <c r="D4684" s="82" t="s">
        <v>25</v>
      </c>
      <c r="E4684" s="82" t="s">
        <v>6</v>
      </c>
      <c r="F4684" s="88">
        <v>2200</v>
      </c>
      <c r="G4684" s="117"/>
      <c r="H4684" s="117">
        <f>IFERROR(TRANSACTIONS!$F4684+TRANSACTIONS!$G4684,"")</f>
        <v>2200</v>
      </c>
      <c r="I4684" s="118" t="s">
        <v>41</v>
      </c>
    </row>
    <row r="4685" spans="1:9" x14ac:dyDescent="0.25">
      <c r="A4685" s="41">
        <v>45379.438054282407</v>
      </c>
      <c r="B4685" s="48">
        <f>IF(A4685&lt;&gt;"",DATE(YEAR(TRANSACTIONS!$A4685),MONTH(TRANSACTIONS!$A4685),DAY(TRANSACTIONS!$A4685)),"")</f>
        <v>45379</v>
      </c>
      <c r="C4685" s="49">
        <f>IF(A4685&lt;&gt;"",TIME(HOUR(TRANSACTIONS!$A4685),MINUTE(TRANSACTIONS!$A4685),SECOND(TRANSACTIONS!$A4685)),"")</f>
        <v>0.43805555555555559</v>
      </c>
      <c r="D4685" s="82" t="s">
        <v>25</v>
      </c>
      <c r="E4685" s="82" t="s">
        <v>6</v>
      </c>
      <c r="F4685" s="88">
        <v>500</v>
      </c>
      <c r="G4685" s="46"/>
      <c r="H4685" s="46">
        <f>IFERROR(TRANSACTIONS!$F4685+TRANSACTIONS!$G4685,"")</f>
        <v>500</v>
      </c>
      <c r="I4685" s="40" t="s">
        <v>41</v>
      </c>
    </row>
    <row r="4686" spans="1:9" x14ac:dyDescent="0.25">
      <c r="A4686" s="41">
        <v>45379.438076388891</v>
      </c>
      <c r="B4686" s="48">
        <f>IF(A4686&lt;&gt;"",DATE(YEAR(TRANSACTIONS!$A4686),MONTH(TRANSACTIONS!$A4686),DAY(TRANSACTIONS!$A4686)),"")</f>
        <v>45379</v>
      </c>
      <c r="C4686" s="49">
        <f>IF(A4686&lt;&gt;"",TIME(HOUR(TRANSACTIONS!$A4686),MINUTE(TRANSACTIONS!$A4686),SECOND(TRANSACTIONS!$A4686)),"")</f>
        <v>0.43807870370370372</v>
      </c>
      <c r="D4686" s="82" t="s">
        <v>25</v>
      </c>
      <c r="E4686" s="82" t="s">
        <v>7</v>
      </c>
      <c r="F4686" s="88">
        <v>15000</v>
      </c>
      <c r="G4686" s="46"/>
      <c r="H4686" s="46">
        <f>IFERROR(TRANSACTIONS!$F4686+TRANSACTIONS!$G4686,"")</f>
        <v>15000</v>
      </c>
      <c r="I4686" s="40" t="s">
        <v>41</v>
      </c>
    </row>
    <row r="4687" spans="1:9" x14ac:dyDescent="0.25">
      <c r="A4687" s="41">
        <v>45379.438063888891</v>
      </c>
      <c r="B4687" s="48">
        <f>IF(A4687&lt;&gt;"",DATE(YEAR(TRANSACTIONS!$A4687),MONTH(TRANSACTIONS!$A4687),DAY(TRANSACTIONS!$A4687)),"")</f>
        <v>45379</v>
      </c>
      <c r="C4687" s="49">
        <f>IF(A4687&lt;&gt;"",TIME(HOUR(TRANSACTIONS!$A4687),MINUTE(TRANSACTIONS!$A4687),SECOND(TRANSACTIONS!$A4687)),"")</f>
        <v>0.43806712962962963</v>
      </c>
      <c r="D4687" s="82" t="s">
        <v>25</v>
      </c>
      <c r="E4687" s="82" t="s">
        <v>7</v>
      </c>
      <c r="F4687" s="88">
        <v>3500</v>
      </c>
      <c r="G4687" s="46"/>
      <c r="H4687" s="46">
        <f>IFERROR(TRANSACTIONS!$F4687+TRANSACTIONS!$G4687,"")</f>
        <v>3500</v>
      </c>
      <c r="I4687" s="40" t="s">
        <v>41</v>
      </c>
    </row>
    <row r="4688" spans="1:9" x14ac:dyDescent="0.25">
      <c r="A4688" s="41">
        <v>45379.438084490743</v>
      </c>
      <c r="B4688" s="48">
        <f>IF(A4688&lt;&gt;"",DATE(YEAR(TRANSACTIONS!$A4688),MONTH(TRANSACTIONS!$A4688),DAY(TRANSACTIONS!$A4688)),"")</f>
        <v>45379</v>
      </c>
      <c r="C4688" s="49">
        <f>IF(A4688&lt;&gt;"",TIME(HOUR(TRANSACTIONS!$A4688),MINUTE(TRANSACTIONS!$A4688),SECOND(TRANSACTIONS!$A4688)),"")</f>
        <v>0.43807870370370372</v>
      </c>
      <c r="D4688" s="82" t="s">
        <v>25</v>
      </c>
      <c r="E4688" s="82" t="s">
        <v>6</v>
      </c>
      <c r="F4688" s="88">
        <v>6050</v>
      </c>
      <c r="G4688" s="46"/>
      <c r="H4688" s="46">
        <f>IFERROR(TRANSACTIONS!$F4688+TRANSACTIONS!$G4688,"")</f>
        <v>6050</v>
      </c>
      <c r="I4688" s="40" t="s">
        <v>41</v>
      </c>
    </row>
    <row r="4689" spans="1:9" x14ac:dyDescent="0.25">
      <c r="A4689" s="113">
        <v>45379.445781018519</v>
      </c>
      <c r="B4689" s="114">
        <f>IF(A4689&lt;&gt;"",DATE(YEAR(TRANSACTIONS!$A4689),MONTH(TRANSACTIONS!$A4689),DAY(TRANSACTIONS!$A4689)),"")</f>
        <v>45379</v>
      </c>
      <c r="C4689" s="115">
        <f>IF(A4689&lt;&gt;"",TIME(HOUR(TRANSACTIONS!$A4689),MINUTE(TRANSACTIONS!$A4689),SECOND(TRANSACTIONS!$A4689)),"")</f>
        <v>0.44577546296296294</v>
      </c>
      <c r="D4689" s="82" t="s">
        <v>25</v>
      </c>
      <c r="E4689" s="82" t="s">
        <v>6</v>
      </c>
      <c r="F4689" s="88">
        <v>500</v>
      </c>
      <c r="G4689" s="117"/>
      <c r="H4689" s="117">
        <f>IFERROR(TRANSACTIONS!$F4689+TRANSACTIONS!$G4689,"")</f>
        <v>500</v>
      </c>
      <c r="I4689" s="118" t="s">
        <v>41</v>
      </c>
    </row>
    <row r="4690" spans="1:9" x14ac:dyDescent="0.25">
      <c r="A4690" s="41">
        <v>45379.511113310182</v>
      </c>
      <c r="B4690" s="48">
        <f>IF(A4690&lt;&gt;"",DATE(YEAR(TRANSACTIONS!$A4690),MONTH(TRANSACTIONS!$A4690),DAY(TRANSACTIONS!$A4690)),"")</f>
        <v>45379</v>
      </c>
      <c r="C4690" s="49">
        <f>IF(A4690&lt;&gt;"",TIME(HOUR(TRANSACTIONS!$A4690),MINUTE(TRANSACTIONS!$A4690),SECOND(TRANSACTIONS!$A4690)),"")</f>
        <v>0.51111111111111118</v>
      </c>
      <c r="D4690" s="82" t="s">
        <v>25</v>
      </c>
      <c r="E4690" s="82" t="s">
        <v>7</v>
      </c>
      <c r="F4690" s="88">
        <v>11100</v>
      </c>
      <c r="G4690" s="46"/>
      <c r="H4690" s="46">
        <f>IFERROR(TRANSACTIONS!$F4690+TRANSACTIONS!$G4690,"")</f>
        <v>11100</v>
      </c>
      <c r="I4690" s="40" t="s">
        <v>41</v>
      </c>
    </row>
    <row r="4691" spans="1:9" x14ac:dyDescent="0.25">
      <c r="A4691" s="41">
        <v>45379.511122453703</v>
      </c>
      <c r="B4691" s="48">
        <f>IF(A4691&lt;&gt;"",DATE(YEAR(TRANSACTIONS!$A4691),MONTH(TRANSACTIONS!$A4691),DAY(TRANSACTIONS!$A4691)),"")</f>
        <v>45379</v>
      </c>
      <c r="C4691" s="49">
        <f>IF(A4691&lt;&gt;"",TIME(HOUR(TRANSACTIONS!$A4691),MINUTE(TRANSACTIONS!$A4691),SECOND(TRANSACTIONS!$A4691)),"")</f>
        <v>0.51112268518518522</v>
      </c>
      <c r="D4691" s="82" t="s">
        <v>25</v>
      </c>
      <c r="E4691" s="82" t="s">
        <v>7</v>
      </c>
      <c r="F4691" s="88">
        <v>200000</v>
      </c>
      <c r="G4691" s="46"/>
      <c r="H4691" s="46">
        <f>IFERROR(TRANSACTIONS!$F4691+TRANSACTIONS!$G4691,"")</f>
        <v>200000</v>
      </c>
      <c r="I4691" s="40" t="s">
        <v>41</v>
      </c>
    </row>
    <row r="4692" spans="1:9" x14ac:dyDescent="0.25">
      <c r="A4692" s="41">
        <v>45379.51113136574</v>
      </c>
      <c r="B4692" s="48">
        <f>IF(A4692&lt;&gt;"",DATE(YEAR(TRANSACTIONS!$A4692),MONTH(TRANSACTIONS!$A4692),DAY(TRANSACTIONS!$A4692)),"")</f>
        <v>45379</v>
      </c>
      <c r="C4692" s="49">
        <f>IF(A4692&lt;&gt;"",TIME(HOUR(TRANSACTIONS!$A4692),MINUTE(TRANSACTIONS!$A4692),SECOND(TRANSACTIONS!$A4692)),"")</f>
        <v>0.51113425925925926</v>
      </c>
      <c r="D4692" s="82" t="s">
        <v>25</v>
      </c>
      <c r="E4692" s="82" t="s">
        <v>6</v>
      </c>
      <c r="F4692" s="88">
        <v>1000</v>
      </c>
      <c r="G4692" s="46"/>
      <c r="H4692" s="46">
        <f>IFERROR(TRANSACTIONS!$F4692+TRANSACTIONS!$G4692,"")</f>
        <v>1000</v>
      </c>
      <c r="I4692" s="40" t="s">
        <v>41</v>
      </c>
    </row>
    <row r="4693" spans="1:9" x14ac:dyDescent="0.25">
      <c r="A4693" s="41">
        <v>45379.512046875003</v>
      </c>
      <c r="B4693" s="48">
        <f>IF(A4693&lt;&gt;"",DATE(YEAR(TRANSACTIONS!$A4693),MONTH(TRANSACTIONS!$A4693),DAY(TRANSACTIONS!$A4693)),"")</f>
        <v>45379</v>
      </c>
      <c r="C4693" s="49">
        <f>IF(A4693&lt;&gt;"",TIME(HOUR(TRANSACTIONS!$A4693),MINUTE(TRANSACTIONS!$A4693),SECOND(TRANSACTIONS!$A4693)),"")</f>
        <v>0.51204861111111111</v>
      </c>
      <c r="D4693" s="82" t="s">
        <v>62</v>
      </c>
      <c r="E4693" s="82" t="s">
        <v>6</v>
      </c>
      <c r="F4693" s="88">
        <v>7050</v>
      </c>
      <c r="G4693" s="46"/>
      <c r="H4693" s="46">
        <f>IFERROR(TRANSACTIONS!$F4693+TRANSACTIONS!$G4693,"")</f>
        <v>7050</v>
      </c>
      <c r="I4693" s="40" t="s">
        <v>41</v>
      </c>
    </row>
    <row r="4694" spans="1:9" x14ac:dyDescent="0.25">
      <c r="A4694" s="41">
        <v>45379.512072800928</v>
      </c>
      <c r="B4694" s="48">
        <f>IF(A4694&lt;&gt;"",DATE(YEAR(TRANSACTIONS!$A4694),MONTH(TRANSACTIONS!$A4694),DAY(TRANSACTIONS!$A4694)),"")</f>
        <v>45379</v>
      </c>
      <c r="C4694" s="49">
        <f>IF(A4694&lt;&gt;"",TIME(HOUR(TRANSACTIONS!$A4694),MINUTE(TRANSACTIONS!$A4694),SECOND(TRANSACTIONS!$A4694)),"")</f>
        <v>0.5120717592592593</v>
      </c>
      <c r="D4694" s="82" t="s">
        <v>62</v>
      </c>
      <c r="E4694" s="82" t="s">
        <v>6</v>
      </c>
      <c r="F4694" s="88">
        <v>20200</v>
      </c>
      <c r="G4694" s="46"/>
      <c r="H4694" s="46">
        <f>IFERROR(TRANSACTIONS!$F4694+TRANSACTIONS!$G4694,"")</f>
        <v>20200</v>
      </c>
      <c r="I4694" s="40" t="s">
        <v>41</v>
      </c>
    </row>
    <row r="4695" spans="1:9" x14ac:dyDescent="0.25">
      <c r="A4695" s="41">
        <v>45379.512170717593</v>
      </c>
      <c r="B4695" s="48">
        <f>IF(A4695&lt;&gt;"",DATE(YEAR(TRANSACTIONS!$A4695),MONTH(TRANSACTIONS!$A4695),DAY(TRANSACTIONS!$A4695)),"")</f>
        <v>45379</v>
      </c>
      <c r="C4695" s="49">
        <f>IF(A4695&lt;&gt;"",TIME(HOUR(TRANSACTIONS!$A4695),MINUTE(TRANSACTIONS!$A4695),SECOND(TRANSACTIONS!$A4695)),"")</f>
        <v>0.51217592592592587</v>
      </c>
      <c r="D4695" s="82" t="s">
        <v>62</v>
      </c>
      <c r="E4695" s="82" t="s">
        <v>7</v>
      </c>
      <c r="F4695" s="88">
        <v>5000</v>
      </c>
      <c r="G4695" s="46"/>
      <c r="H4695" s="46">
        <f>IFERROR(TRANSACTIONS!$F4695+TRANSACTIONS!$G4695,"")</f>
        <v>5000</v>
      </c>
      <c r="I4695" s="40" t="s">
        <v>41</v>
      </c>
    </row>
    <row r="4696" spans="1:9" x14ac:dyDescent="0.25">
      <c r="A4696" s="41">
        <v>45379.512184259256</v>
      </c>
      <c r="B4696" s="48">
        <f>IF(A4696&lt;&gt;"",DATE(YEAR(TRANSACTIONS!$A4696),MONTH(TRANSACTIONS!$A4696),DAY(TRANSACTIONS!$A4696)),"")</f>
        <v>45379</v>
      </c>
      <c r="C4696" s="49">
        <f>IF(A4696&lt;&gt;"",TIME(HOUR(TRANSACTIONS!$A4696),MINUTE(TRANSACTIONS!$A4696),SECOND(TRANSACTIONS!$A4696)),"")</f>
        <v>0.51218750000000002</v>
      </c>
      <c r="D4696" s="82" t="s">
        <v>62</v>
      </c>
      <c r="E4696" s="82" t="s">
        <v>7</v>
      </c>
      <c r="F4696" s="88">
        <v>5000</v>
      </c>
      <c r="G4696" s="46"/>
      <c r="H4696" s="46">
        <f>IFERROR(TRANSACTIONS!$F4696+TRANSACTIONS!$G4696,"")</f>
        <v>5000</v>
      </c>
      <c r="I4696" s="40" t="s">
        <v>41</v>
      </c>
    </row>
    <row r="4697" spans="1:9" x14ac:dyDescent="0.25">
      <c r="A4697" s="41">
        <v>45379.512193287039</v>
      </c>
      <c r="B4697" s="48">
        <f>IF(A4697&lt;&gt;"",DATE(YEAR(TRANSACTIONS!$A4697),MONTH(TRANSACTIONS!$A4697),DAY(TRANSACTIONS!$A4697)),"")</f>
        <v>45379</v>
      </c>
      <c r="C4697" s="49">
        <f>IF(A4697&lt;&gt;"",TIME(HOUR(TRANSACTIONS!$A4697),MINUTE(TRANSACTIONS!$A4697),SECOND(TRANSACTIONS!$A4697)),"")</f>
        <v>0.51218750000000002</v>
      </c>
      <c r="D4697" s="82" t="s">
        <v>62</v>
      </c>
      <c r="E4697" s="82" t="s">
        <v>7</v>
      </c>
      <c r="F4697" s="88">
        <v>1000</v>
      </c>
      <c r="G4697" s="46"/>
      <c r="H4697" s="46">
        <f>IFERROR(TRANSACTIONS!$F4697+TRANSACTIONS!$G4697,"")</f>
        <v>1000</v>
      </c>
      <c r="I4697" s="40" t="s">
        <v>41</v>
      </c>
    </row>
    <row r="4698" spans="1:9" x14ac:dyDescent="0.25">
      <c r="A4698" s="41">
        <v>45379.512202199076</v>
      </c>
      <c r="B4698" s="48">
        <f>IF(A4698&lt;&gt;"",DATE(YEAR(TRANSACTIONS!$A4698),MONTH(TRANSACTIONS!$A4698),DAY(TRANSACTIONS!$A4698)),"")</f>
        <v>45379</v>
      </c>
      <c r="C4698" s="49">
        <f>IF(A4698&lt;&gt;"",TIME(HOUR(TRANSACTIONS!$A4698),MINUTE(TRANSACTIONS!$A4698),SECOND(TRANSACTIONS!$A4698)),"")</f>
        <v>0.51219907407407406</v>
      </c>
      <c r="D4698" s="82" t="s">
        <v>62</v>
      </c>
      <c r="E4698" s="82" t="s">
        <v>7</v>
      </c>
      <c r="F4698" s="88">
        <v>11000</v>
      </c>
      <c r="G4698" s="46"/>
      <c r="H4698" s="46">
        <f>IFERROR(TRANSACTIONS!$F4698+TRANSACTIONS!$G4698,"")</f>
        <v>11000</v>
      </c>
      <c r="I4698" s="40" t="s">
        <v>41</v>
      </c>
    </row>
    <row r="4699" spans="1:9" x14ac:dyDescent="0.25">
      <c r="A4699" s="41">
        <v>45379.512227083331</v>
      </c>
      <c r="B4699" s="48">
        <f>IF(A4699&lt;&gt;"",DATE(YEAR(TRANSACTIONS!$A4699),MONTH(TRANSACTIONS!$A4699),DAY(TRANSACTIONS!$A4699)),"")</f>
        <v>45379</v>
      </c>
      <c r="C4699" s="49">
        <f>IF(A4699&lt;&gt;"",TIME(HOUR(TRANSACTIONS!$A4699),MINUTE(TRANSACTIONS!$A4699),SECOND(TRANSACTIONS!$A4699)),"")</f>
        <v>0.51222222222222225</v>
      </c>
      <c r="D4699" s="82" t="s">
        <v>62</v>
      </c>
      <c r="E4699" s="82" t="s">
        <v>6</v>
      </c>
      <c r="F4699" s="88">
        <v>3000</v>
      </c>
      <c r="G4699" s="46"/>
      <c r="H4699" s="46">
        <f>IFERROR(TRANSACTIONS!$F4699+TRANSACTIONS!$G4699,"")</f>
        <v>3000</v>
      </c>
      <c r="I4699" s="40" t="s">
        <v>41</v>
      </c>
    </row>
    <row r="4700" spans="1:9" x14ac:dyDescent="0.25">
      <c r="A4700" s="81">
        <v>45379.51221134259</v>
      </c>
      <c r="B4700" s="83">
        <f>IF(A4700&lt;&gt;"",DATE(YEAR(TRANSACTIONS!$A4700),MONTH(TRANSACTIONS!$A4700),DAY(TRANSACTIONS!$A4700)),"")</f>
        <v>45379</v>
      </c>
      <c r="C4700" s="84">
        <f>IF(A4700&lt;&gt;"",TIME(HOUR(TRANSACTIONS!$A4700),MINUTE(TRANSACTIONS!$A4700),SECOND(TRANSACTIONS!$A4700)),"")</f>
        <v>0.51221064814814821</v>
      </c>
      <c r="D4700" s="82" t="s">
        <v>62</v>
      </c>
      <c r="E4700" s="82" t="s">
        <v>7</v>
      </c>
      <c r="F4700" s="88">
        <v>3000</v>
      </c>
      <c r="G4700" s="86"/>
      <c r="H4700" s="86">
        <f>IFERROR(TRANSACTIONS!$F4700+TRANSACTIONS!$G4700,"")</f>
        <v>3000</v>
      </c>
      <c r="I4700" s="88" t="s">
        <v>41</v>
      </c>
    </row>
    <row r="4701" spans="1:9" x14ac:dyDescent="0.25">
      <c r="A4701" s="41">
        <v>45379.512262731485</v>
      </c>
      <c r="B4701" s="48">
        <f>IF(A4701&lt;&gt;"",DATE(YEAR(TRANSACTIONS!$A4701),MONTH(TRANSACTIONS!$A4701),DAY(TRANSACTIONS!$A4701)),"")</f>
        <v>45379</v>
      </c>
      <c r="C4701" s="49">
        <f>IF(A4701&lt;&gt;"",TIME(HOUR(TRANSACTIONS!$A4701),MINUTE(TRANSACTIONS!$A4701),SECOND(TRANSACTIONS!$A4701)),"")</f>
        <v>0.51226851851851851</v>
      </c>
      <c r="D4701" s="82" t="s">
        <v>62</v>
      </c>
      <c r="E4701" s="82" t="s">
        <v>7</v>
      </c>
      <c r="F4701" s="88">
        <v>344900</v>
      </c>
      <c r="G4701" s="46"/>
      <c r="H4701" s="46">
        <f>IFERROR(TRANSACTIONS!$F4701+TRANSACTIONS!$G4701,"")</f>
        <v>344900</v>
      </c>
      <c r="I4701" s="40" t="s">
        <v>41</v>
      </c>
    </row>
    <row r="4702" spans="1:9" x14ac:dyDescent="0.25">
      <c r="A4702" s="41">
        <v>45379.512277314818</v>
      </c>
      <c r="B4702" s="48">
        <f>IF(A4702&lt;&gt;"",DATE(YEAR(TRANSACTIONS!$A4702),MONTH(TRANSACTIONS!$A4702),DAY(TRANSACTIONS!$A4702)),"")</f>
        <v>45379</v>
      </c>
      <c r="C4702" s="49">
        <f>IF(A4702&lt;&gt;"",TIME(HOUR(TRANSACTIONS!$A4702),MINUTE(TRANSACTIONS!$A4702),SECOND(TRANSACTIONS!$A4702)),"")</f>
        <v>0.51228009259259266</v>
      </c>
      <c r="D4702" s="82" t="s">
        <v>62</v>
      </c>
      <c r="E4702" s="82" t="s">
        <v>7</v>
      </c>
      <c r="F4702" s="88">
        <v>5000</v>
      </c>
      <c r="G4702" s="46"/>
      <c r="H4702" s="46">
        <f>IFERROR(TRANSACTIONS!$F4702+TRANSACTIONS!$G4702,"")</f>
        <v>5000</v>
      </c>
      <c r="I4702" s="40" t="s">
        <v>41</v>
      </c>
    </row>
    <row r="4703" spans="1:9" x14ac:dyDescent="0.25">
      <c r="A4703" s="41">
        <v>45379.512286111109</v>
      </c>
      <c r="B4703" s="48">
        <f>IF(A4703&lt;&gt;"",DATE(YEAR(TRANSACTIONS!$A4703),MONTH(TRANSACTIONS!$A4703),DAY(TRANSACTIONS!$A4703)),"")</f>
        <v>45379</v>
      </c>
      <c r="C4703" s="49">
        <f>IF(A4703&lt;&gt;"",TIME(HOUR(TRANSACTIONS!$A4703),MINUTE(TRANSACTIONS!$A4703),SECOND(TRANSACTIONS!$A4703)),"")</f>
        <v>0.5122916666666667</v>
      </c>
      <c r="D4703" s="82" t="s">
        <v>62</v>
      </c>
      <c r="E4703" s="82" t="s">
        <v>7</v>
      </c>
      <c r="F4703" s="88">
        <v>11000</v>
      </c>
      <c r="G4703" s="46"/>
      <c r="H4703" s="46">
        <f>IFERROR(TRANSACTIONS!$F4703+TRANSACTIONS!$G4703,"")</f>
        <v>11000</v>
      </c>
      <c r="I4703" s="40" t="s">
        <v>41</v>
      </c>
    </row>
    <row r="4704" spans="1:9" x14ac:dyDescent="0.25">
      <c r="A4704" s="41">
        <v>45379.512293981483</v>
      </c>
      <c r="B4704" s="48">
        <f>IF(A4704&lt;&gt;"",DATE(YEAR(TRANSACTIONS!$A4704),MONTH(TRANSACTIONS!$A4704),DAY(TRANSACTIONS!$A4704)),"")</f>
        <v>45379</v>
      </c>
      <c r="C4704" s="49">
        <f>IF(A4704&lt;&gt;"",TIME(HOUR(TRANSACTIONS!$A4704),MINUTE(TRANSACTIONS!$A4704),SECOND(TRANSACTIONS!$A4704)),"")</f>
        <v>0.5122916666666667</v>
      </c>
      <c r="D4704" s="82" t="s">
        <v>62</v>
      </c>
      <c r="E4704" s="82" t="s">
        <v>6</v>
      </c>
      <c r="F4704" s="88">
        <v>15200</v>
      </c>
      <c r="G4704" s="46"/>
      <c r="H4704" s="46">
        <f>IFERROR(TRANSACTIONS!$F4704+TRANSACTIONS!$G4704,"")</f>
        <v>15200</v>
      </c>
      <c r="I4704" s="40" t="s">
        <v>41</v>
      </c>
    </row>
    <row r="4705" spans="1:11" x14ac:dyDescent="0.25">
      <c r="A4705" s="41">
        <v>45379.512722916668</v>
      </c>
      <c r="B4705" s="48">
        <f>IF(A4705&lt;&gt;"",DATE(YEAR(TRANSACTIONS!$A4705),MONTH(TRANSACTIONS!$A4705),DAY(TRANSACTIONS!$A4705)),"")</f>
        <v>45379</v>
      </c>
      <c r="C4705" s="49">
        <f>IF(A4705&lt;&gt;"",TIME(HOUR(TRANSACTIONS!$A4705),MINUTE(TRANSACTIONS!$A4705),SECOND(TRANSACTIONS!$A4705)),"")</f>
        <v>0.51271990740740747</v>
      </c>
      <c r="D4705" s="82" t="s">
        <v>62</v>
      </c>
      <c r="E4705" s="82" t="s">
        <v>6</v>
      </c>
      <c r="F4705" s="88">
        <v>200000</v>
      </c>
      <c r="G4705" s="46"/>
      <c r="H4705" s="46">
        <f>IFERROR(TRANSACTIONS!$F4705+TRANSACTIONS!$G4705,"")</f>
        <v>200000</v>
      </c>
      <c r="I4705" s="40" t="s">
        <v>41</v>
      </c>
    </row>
    <row r="4706" spans="1:11" x14ac:dyDescent="0.25">
      <c r="A4706" s="41">
        <v>45379.512798032411</v>
      </c>
      <c r="B4706" s="48">
        <f>IF(A4706&lt;&gt;"",DATE(YEAR(TRANSACTIONS!$A4706),MONTH(TRANSACTIONS!$A4706),DAY(TRANSACTIONS!$A4706)),"")</f>
        <v>45379</v>
      </c>
      <c r="C4706" s="49">
        <f>IF(A4706&lt;&gt;"",TIME(HOUR(TRANSACTIONS!$A4706),MINUTE(TRANSACTIONS!$A4706),SECOND(TRANSACTIONS!$A4706)),"")</f>
        <v>0.51280092592592597</v>
      </c>
      <c r="D4706" s="82" t="s">
        <v>62</v>
      </c>
      <c r="E4706" s="82" t="s">
        <v>7</v>
      </c>
      <c r="F4706" s="212">
        <v>3000</v>
      </c>
      <c r="G4706" s="46"/>
      <c r="H4706" s="46">
        <f>IFERROR(TRANSACTIONS!$F4706+TRANSACTIONS!$G4706,"")</f>
        <v>3000</v>
      </c>
      <c r="I4706" s="40" t="s">
        <v>41</v>
      </c>
    </row>
    <row r="4707" spans="1:11" x14ac:dyDescent="0.25">
      <c r="A4707" s="41">
        <v>45379.512806597224</v>
      </c>
      <c r="B4707" s="48">
        <f>IF(A4707&lt;&gt;"",DATE(YEAR(TRANSACTIONS!$A4707),MONTH(TRANSACTIONS!$A4707),DAY(TRANSACTIONS!$A4707)),"")</f>
        <v>45379</v>
      </c>
      <c r="C4707" s="49">
        <f>IF(A4707&lt;&gt;"",TIME(HOUR(TRANSACTIONS!$A4707),MINUTE(TRANSACTIONS!$A4707),SECOND(TRANSACTIONS!$A4707)),"")</f>
        <v>0.51280092592592597</v>
      </c>
      <c r="D4707" s="82" t="s">
        <v>62</v>
      </c>
      <c r="E4707" s="82" t="s">
        <v>7</v>
      </c>
      <c r="F4707" s="88">
        <v>3000</v>
      </c>
      <c r="G4707" s="46"/>
      <c r="H4707" s="46">
        <f>IFERROR(TRANSACTIONS!$F4707+TRANSACTIONS!$G4707,"")</f>
        <v>3000</v>
      </c>
      <c r="I4707" s="40" t="s">
        <v>41</v>
      </c>
    </row>
    <row r="4708" spans="1:11" x14ac:dyDescent="0.25">
      <c r="A4708" s="41">
        <v>45379.512814930553</v>
      </c>
      <c r="B4708" s="48">
        <f>IF(A4708&lt;&gt;"",DATE(YEAR(TRANSACTIONS!$A4708),MONTH(TRANSACTIONS!$A4708),DAY(TRANSACTIONS!$A4708)),"")</f>
        <v>45379</v>
      </c>
      <c r="C4708" s="49">
        <f>IF(A4708&lt;&gt;"",TIME(HOUR(TRANSACTIONS!$A4708),MINUTE(TRANSACTIONS!$A4708),SECOND(TRANSACTIONS!$A4708)),"")</f>
        <v>0.5128125</v>
      </c>
      <c r="D4708" s="82" t="s">
        <v>62</v>
      </c>
      <c r="E4708" s="82" t="s">
        <v>6</v>
      </c>
      <c r="F4708" s="88">
        <v>1500</v>
      </c>
      <c r="G4708" s="46"/>
      <c r="H4708" s="46">
        <f>IFERROR(TRANSACTIONS!$F4708+TRANSACTIONS!$G4708,"")</f>
        <v>1500</v>
      </c>
      <c r="I4708" s="40" t="s">
        <v>41</v>
      </c>
    </row>
    <row r="4709" spans="1:11" x14ac:dyDescent="0.25">
      <c r="B4709" s="48">
        <f>IF(A4710&lt;&gt;"",DATE(YEAR(TRANSACTIONS!$A4710),MONTH(TRANSACTIONS!$A4710),DAY(TRANSACTIONS!$A4710)),"")</f>
        <v>45379</v>
      </c>
      <c r="C4709" s="49">
        <f>IF(A4710&lt;&gt;"",TIME(HOUR(TRANSACTIONS!$A4710),MINUTE(TRANSACTIONS!$A4710),SECOND(TRANSACTIONS!$A4710)),"")</f>
        <v>0.51296296296296295</v>
      </c>
      <c r="D4709" s="82" t="s">
        <v>62</v>
      </c>
      <c r="E4709" s="82" t="s">
        <v>7</v>
      </c>
      <c r="F4709" s="88">
        <v>500</v>
      </c>
      <c r="G4709" s="86"/>
      <c r="H4709" s="86">
        <f>IFERROR(TRANSACTIONS!$F4709+TRANSACTIONS!$G4709,"")</f>
        <v>500</v>
      </c>
      <c r="I4709" s="88" t="s">
        <v>41</v>
      </c>
      <c r="J4709" s="88"/>
      <c r="K4709" s="88"/>
    </row>
    <row r="4710" spans="1:11" x14ac:dyDescent="0.25">
      <c r="A4710" s="41">
        <v>45379.51296122685</v>
      </c>
      <c r="B4710" s="83">
        <f>IF(A4711&lt;&gt;"",DATE(YEAR(TRANSACTIONS!$A4711),MONTH(TRANSACTIONS!$A4711),DAY(TRANSACTIONS!$A4711)),"")</f>
        <v>45379</v>
      </c>
      <c r="C4710" s="84">
        <f>IF(A4711&lt;&gt;"",TIME(HOUR(TRANSACTIONS!$A4711),MINUTE(TRANSACTIONS!$A4711),SECOND(TRANSACTIONS!$A4711)),"")</f>
        <v>0.51295138888888892</v>
      </c>
      <c r="D4710" s="82" t="s">
        <v>62</v>
      </c>
      <c r="E4710" s="82" t="s">
        <v>7</v>
      </c>
      <c r="F4710" s="88">
        <v>11000</v>
      </c>
      <c r="G4710" s="86"/>
      <c r="H4710" s="86">
        <f>IFERROR(TRANSACTIONS!$F4710+TRANSACTIONS!$G4710,"")</f>
        <v>11000</v>
      </c>
      <c r="I4710" s="88" t="s">
        <v>41</v>
      </c>
      <c r="J4710" s="88"/>
      <c r="K4710" s="88"/>
    </row>
    <row r="4711" spans="1:11" x14ac:dyDescent="0.25">
      <c r="A4711" s="81">
        <v>45379.512953124999</v>
      </c>
      <c r="B4711" s="83" t="e">
        <f>IF(#REF!&lt;&gt;"",DATE(YEAR(TRANSACTIONS!#REF!),MONTH(TRANSACTIONS!#REF!),DAY(TRANSACTIONS!#REF!)),"")</f>
        <v>#REF!</v>
      </c>
      <c r="C4711" s="84" t="e">
        <f>IF(#REF!&lt;&gt;"",TIME(HOUR(TRANSACTIONS!#REF!),MINUTE(TRANSACTIONS!#REF!),SECOND(TRANSACTIONS!#REF!)),"")</f>
        <v>#REF!</v>
      </c>
      <c r="D4711" s="82"/>
      <c r="E4711" s="82"/>
      <c r="F4711" s="88"/>
      <c r="G4711" s="86"/>
      <c r="H4711" s="86">
        <f>IFERROR(TRANSACTIONS!$F4711+TRANSACTIONS!$G4711,"")</f>
        <v>0</v>
      </c>
      <c r="I4711" s="88" t="s">
        <v>41</v>
      </c>
      <c r="J4711" s="88"/>
      <c r="K4711" s="88"/>
    </row>
    <row r="4712" spans="1:11" x14ac:dyDescent="0.25">
      <c r="A4712" s="81">
        <v>45379.513024305554</v>
      </c>
      <c r="B4712" s="83">
        <f>IF(A4712&lt;&gt;"",DATE(YEAR(TRANSACTIONS!$A4712),MONTH(TRANSACTIONS!$A4712),DAY(TRANSACTIONS!$A4712)),"")</f>
        <v>45379</v>
      </c>
      <c r="C4712" s="84">
        <f>IF(A4712&lt;&gt;"",TIME(HOUR(TRANSACTIONS!$A4712),MINUTE(TRANSACTIONS!$A4712),SECOND(TRANSACTIONS!$A4712)),"")</f>
        <v>0.51302083333333337</v>
      </c>
      <c r="D4712" s="82" t="s">
        <v>62</v>
      </c>
      <c r="E4712" s="82" t="s">
        <v>6</v>
      </c>
      <c r="F4712" s="88">
        <v>7000</v>
      </c>
      <c r="G4712" s="46"/>
      <c r="H4712" s="46">
        <f>IFERROR(TRANSACTIONS!$F4712+TRANSACTIONS!$G4712,"")</f>
        <v>7000</v>
      </c>
      <c r="I4712" s="40" t="s">
        <v>41</v>
      </c>
    </row>
    <row r="4713" spans="1:11" x14ac:dyDescent="0.25">
      <c r="A4713" s="41">
        <v>45379.513048263892</v>
      </c>
      <c r="B4713" s="48">
        <f>IF(A4713&lt;&gt;"",DATE(YEAR(TRANSACTIONS!$A4713),MONTH(TRANSACTIONS!$A4713),DAY(TRANSACTIONS!$A4713)),"")</f>
        <v>45379</v>
      </c>
      <c r="C4713" s="49">
        <f>IF(A4713&lt;&gt;"",TIME(HOUR(TRANSACTIONS!$A4713),MINUTE(TRANSACTIONS!$A4713),SECOND(TRANSACTIONS!$A4713)),"")</f>
        <v>0.51304398148148145</v>
      </c>
      <c r="D4713" s="82" t="s">
        <v>62</v>
      </c>
      <c r="E4713" s="82" t="s">
        <v>7</v>
      </c>
      <c r="F4713" s="88">
        <v>1000</v>
      </c>
      <c r="G4713" s="46"/>
      <c r="H4713" s="46">
        <f>IFERROR(TRANSACTIONS!$F4713+TRANSACTIONS!$G4713,"")</f>
        <v>1000</v>
      </c>
      <c r="I4713" s="40" t="s">
        <v>41</v>
      </c>
    </row>
    <row r="4714" spans="1:11" x14ac:dyDescent="0.25">
      <c r="A4714" s="41">
        <v>45379.513058101853</v>
      </c>
      <c r="B4714" s="48">
        <f>IF(A4714&lt;&gt;"",DATE(YEAR(TRANSACTIONS!$A4714),MONTH(TRANSACTIONS!$A4714),DAY(TRANSACTIONS!$A4714)),"")</f>
        <v>45379</v>
      </c>
      <c r="C4714" s="49">
        <f>IF(A4714&lt;&gt;"",TIME(HOUR(TRANSACTIONS!$A4714),MINUTE(TRANSACTIONS!$A4714),SECOND(TRANSACTIONS!$A4714)),"")</f>
        <v>0.51305555555555549</v>
      </c>
      <c r="D4714" s="82" t="s">
        <v>62</v>
      </c>
      <c r="E4714" s="82" t="s">
        <v>7</v>
      </c>
      <c r="F4714" s="88">
        <v>5000</v>
      </c>
      <c r="G4714" s="46"/>
      <c r="H4714" s="46">
        <f>IFERROR(TRANSACTIONS!$F4714+TRANSACTIONS!$G4714,"")</f>
        <v>5000</v>
      </c>
      <c r="I4714" s="40" t="s">
        <v>41</v>
      </c>
    </row>
    <row r="4715" spans="1:11" x14ac:dyDescent="0.25">
      <c r="A4715" s="41">
        <v>45379.513107638886</v>
      </c>
      <c r="B4715" s="48">
        <f>IF(A4715&lt;&gt;"",DATE(YEAR(TRANSACTIONS!$A4715),MONTH(TRANSACTIONS!$A4715),DAY(TRANSACTIONS!$A4715)),"")</f>
        <v>45379</v>
      </c>
      <c r="C4715" s="49">
        <f>IF(A4715&lt;&gt;"",TIME(HOUR(TRANSACTIONS!$A4715),MINUTE(TRANSACTIONS!$A4715),SECOND(TRANSACTIONS!$A4715)),"")</f>
        <v>0.51310185185185186</v>
      </c>
      <c r="D4715" s="82" t="s">
        <v>62</v>
      </c>
      <c r="E4715" s="82" t="s">
        <v>7</v>
      </c>
      <c r="F4715" s="88">
        <v>2000</v>
      </c>
      <c r="G4715" s="46"/>
      <c r="H4715" s="46">
        <f>IFERROR(TRANSACTIONS!$F4715+TRANSACTIONS!$G4715,"")</f>
        <v>2000</v>
      </c>
      <c r="I4715" s="40" t="s">
        <v>41</v>
      </c>
    </row>
    <row r="4716" spans="1:11" x14ac:dyDescent="0.25">
      <c r="A4716" s="41">
        <v>45379.550434259261</v>
      </c>
      <c r="B4716" s="48">
        <f>IF(A4716&lt;&gt;"",DATE(YEAR(TRANSACTIONS!$A4716),MONTH(TRANSACTIONS!$A4716),DAY(TRANSACTIONS!$A4716)),"")</f>
        <v>45379</v>
      </c>
      <c r="C4716" s="49">
        <f>IF(A4716&lt;&gt;"",TIME(HOUR(TRANSACTIONS!$A4716),MINUTE(TRANSACTIONS!$A4716),SECOND(TRANSACTIONS!$A4716)),"")</f>
        <v>0.55043981481481474</v>
      </c>
      <c r="D4716" s="82" t="s">
        <v>62</v>
      </c>
      <c r="E4716" s="82" t="s">
        <v>7</v>
      </c>
      <c r="F4716" s="88">
        <v>20000</v>
      </c>
      <c r="G4716" s="46"/>
      <c r="H4716" s="46">
        <f>IFERROR(TRANSACTIONS!$F4716+TRANSACTIONS!$G4716,"")</f>
        <v>20000</v>
      </c>
      <c r="I4716" s="40" t="s">
        <v>41</v>
      </c>
    </row>
    <row r="4717" spans="1:11" x14ac:dyDescent="0.25">
      <c r="A4717" s="41">
        <v>45379.554571064815</v>
      </c>
      <c r="B4717" s="48">
        <f>IF(A4717&lt;&gt;"",DATE(YEAR(TRANSACTIONS!$A4717),MONTH(TRANSACTIONS!$A4717),DAY(TRANSACTIONS!$A4717)),"")</f>
        <v>45379</v>
      </c>
      <c r="C4717" s="49">
        <f>IF(A4717&lt;&gt;"",TIME(HOUR(TRANSACTIONS!$A4717),MINUTE(TRANSACTIONS!$A4717),SECOND(TRANSACTIONS!$A4717)),"")</f>
        <v>0.55457175925925928</v>
      </c>
      <c r="D4717" s="82" t="s">
        <v>62</v>
      </c>
      <c r="E4717" s="82" t="s">
        <v>7</v>
      </c>
      <c r="F4717" s="76">
        <v>6900</v>
      </c>
      <c r="G4717" s="46"/>
      <c r="H4717" s="46">
        <f>IFERROR(TRANSACTIONS!$F4717+TRANSACTIONS!$G4717,"")</f>
        <v>6900</v>
      </c>
      <c r="I4717" s="40" t="s">
        <v>41</v>
      </c>
    </row>
    <row r="4718" spans="1:11" x14ac:dyDescent="0.25">
      <c r="A4718" s="41">
        <v>45379.554581018521</v>
      </c>
      <c r="B4718" s="48">
        <f>IF(A4718&lt;&gt;"",DATE(YEAR(TRANSACTIONS!$A4718),MONTH(TRANSACTIONS!$A4718),DAY(TRANSACTIONS!$A4718)),"")</f>
        <v>45379</v>
      </c>
      <c r="C4718" s="49">
        <f>IF(A4718&lt;&gt;"",TIME(HOUR(TRANSACTIONS!$A4718),MINUTE(TRANSACTIONS!$A4718),SECOND(TRANSACTIONS!$A4718)),"")</f>
        <v>0.55458333333333332</v>
      </c>
      <c r="D4718" s="82" t="s">
        <v>62</v>
      </c>
      <c r="E4718" s="82" t="s">
        <v>7</v>
      </c>
      <c r="F4718" s="88">
        <v>7000</v>
      </c>
      <c r="G4718" s="46"/>
      <c r="H4718" s="46">
        <f>IFERROR(TRANSACTIONS!$F4718+TRANSACTIONS!$G4718,"")</f>
        <v>7000</v>
      </c>
      <c r="I4718" s="40" t="s">
        <v>41</v>
      </c>
    </row>
    <row r="4719" spans="1:11" x14ac:dyDescent="0.25">
      <c r="A4719" s="41">
        <v>45379.554598379633</v>
      </c>
      <c r="B4719" s="48">
        <f>IF(A4719&lt;&gt;"",DATE(YEAR(TRANSACTIONS!$A4719),MONTH(TRANSACTIONS!$A4719),DAY(TRANSACTIONS!$A4719)),"")</f>
        <v>45379</v>
      </c>
      <c r="C4719" s="49">
        <f>IF(A4719&lt;&gt;"",TIME(HOUR(TRANSACTIONS!$A4719),MINUTE(TRANSACTIONS!$A4719),SECOND(TRANSACTIONS!$A4719)),"")</f>
        <v>0.55459490740740736</v>
      </c>
      <c r="D4719" s="82" t="s">
        <v>62</v>
      </c>
      <c r="E4719" s="82" t="s">
        <v>7</v>
      </c>
      <c r="F4719" s="88">
        <v>4000</v>
      </c>
      <c r="G4719" s="46"/>
      <c r="H4719" s="46">
        <f>IFERROR(TRANSACTIONS!$F4719+TRANSACTIONS!$G4719,"")</f>
        <v>4000</v>
      </c>
      <c r="I4719" s="40" t="s">
        <v>41</v>
      </c>
    </row>
    <row r="4720" spans="1:11" x14ac:dyDescent="0.25">
      <c r="A4720" s="41">
        <v>45379.554589120373</v>
      </c>
      <c r="B4720" s="48">
        <f>IF(A4720&lt;&gt;"",DATE(YEAR(TRANSACTIONS!$A4720),MONTH(TRANSACTIONS!$A4720),DAY(TRANSACTIONS!$A4720)),"")</f>
        <v>45379</v>
      </c>
      <c r="C4720" s="49">
        <f>IF(A4720&lt;&gt;"",TIME(HOUR(TRANSACTIONS!$A4720),MINUTE(TRANSACTIONS!$A4720),SECOND(TRANSACTIONS!$A4720)),"")</f>
        <v>0.55459490740740736</v>
      </c>
      <c r="D4720" s="82" t="s">
        <v>62</v>
      </c>
      <c r="E4720" s="82" t="s">
        <v>6</v>
      </c>
      <c r="F4720" s="88">
        <v>31100</v>
      </c>
      <c r="G4720" s="46"/>
      <c r="H4720" s="46">
        <f>IFERROR(TRANSACTIONS!$F4720+TRANSACTIONS!$G4720,"")</f>
        <v>31100</v>
      </c>
      <c r="I4720" s="40" t="s">
        <v>41</v>
      </c>
    </row>
    <row r="4721" spans="1:9" x14ac:dyDescent="0.25">
      <c r="A4721" s="41">
        <v>45379.554616435184</v>
      </c>
      <c r="B4721" s="48">
        <f>IF(A4721&lt;&gt;"",DATE(YEAR(TRANSACTIONS!$A4721),MONTH(TRANSACTIONS!$A4721),DAY(TRANSACTIONS!$A4721)),"")</f>
        <v>45379</v>
      </c>
      <c r="C4721" s="49">
        <f>IF(A4721&lt;&gt;"",TIME(HOUR(TRANSACTIONS!$A4721),MINUTE(TRANSACTIONS!$A4721),SECOND(TRANSACTIONS!$A4721)),"")</f>
        <v>0.55461805555555554</v>
      </c>
      <c r="D4721" s="82" t="s">
        <v>62</v>
      </c>
      <c r="E4721" s="82" t="s">
        <v>7</v>
      </c>
      <c r="F4721" s="88">
        <v>31100</v>
      </c>
      <c r="G4721" s="46"/>
      <c r="H4721" s="46">
        <f>IFERROR(TRANSACTIONS!$F4721+TRANSACTIONS!$G4721,"")</f>
        <v>31100</v>
      </c>
      <c r="I4721" s="40" t="s">
        <v>41</v>
      </c>
    </row>
    <row r="4722" spans="1:9" x14ac:dyDescent="0.25">
      <c r="A4722" s="41">
        <v>45379.615039583332</v>
      </c>
      <c r="B4722" s="48">
        <f>IF(A4722&lt;&gt;"",DATE(YEAR(TRANSACTIONS!$A4722),MONTH(TRANSACTIONS!$A4722),DAY(TRANSACTIONS!$A4722)),"")</f>
        <v>45379</v>
      </c>
      <c r="C4722" s="49">
        <f>IF(A4722&lt;&gt;"",TIME(HOUR(TRANSACTIONS!$A4722),MINUTE(TRANSACTIONS!$A4722),SECOND(TRANSACTIONS!$A4722)),"")</f>
        <v>0.61503472222222222</v>
      </c>
      <c r="D4722" s="82" t="s">
        <v>62</v>
      </c>
      <c r="E4722" s="82" t="s">
        <v>6</v>
      </c>
      <c r="F4722" s="88">
        <v>2500</v>
      </c>
      <c r="G4722" s="46"/>
      <c r="H4722" s="46">
        <f>IFERROR(TRANSACTIONS!$F4722+TRANSACTIONS!$G4722,"")</f>
        <v>2500</v>
      </c>
      <c r="I4722" s="40" t="s">
        <v>41</v>
      </c>
    </row>
    <row r="4723" spans="1:9" x14ac:dyDescent="0.25">
      <c r="A4723" s="41">
        <v>45379.615043287034</v>
      </c>
      <c r="B4723" s="48">
        <f>IF(A4723&lt;&gt;"",DATE(YEAR(TRANSACTIONS!$A4723),MONTH(TRANSACTIONS!$A4723),DAY(TRANSACTIONS!$A4723)),"")</f>
        <v>45379</v>
      </c>
      <c r="C4723" s="49">
        <f>IF(A4723&lt;&gt;"",TIME(HOUR(TRANSACTIONS!$A4723),MINUTE(TRANSACTIONS!$A4723),SECOND(TRANSACTIONS!$A4723)),"")</f>
        <v>0.61504629629629626</v>
      </c>
      <c r="D4723" s="82" t="s">
        <v>62</v>
      </c>
      <c r="E4723" s="82" t="s">
        <v>6</v>
      </c>
      <c r="F4723" s="88">
        <v>5000</v>
      </c>
      <c r="G4723" s="46"/>
      <c r="H4723" s="46">
        <f>IFERROR(TRANSACTIONS!$F4723+TRANSACTIONS!$G4723,"")</f>
        <v>5000</v>
      </c>
      <c r="I4723" s="40" t="s">
        <v>41</v>
      </c>
    </row>
    <row r="4724" spans="1:9" x14ac:dyDescent="0.25">
      <c r="A4724" s="41">
        <v>45379.615072337961</v>
      </c>
      <c r="B4724" s="48">
        <f>IF(A4724&lt;&gt;"",DATE(YEAR(TRANSACTIONS!$A4724),MONTH(TRANSACTIONS!$A4724),DAY(TRANSACTIONS!$A4724)),"")</f>
        <v>45379</v>
      </c>
      <c r="C4724" s="49">
        <f>IF(A4724&lt;&gt;"",TIME(HOUR(TRANSACTIONS!$A4724),MINUTE(TRANSACTIONS!$A4724),SECOND(TRANSACTIONS!$A4724)),"")</f>
        <v>0.61506944444444445</v>
      </c>
      <c r="D4724" s="82" t="s">
        <v>62</v>
      </c>
      <c r="E4724" s="82" t="s">
        <v>7</v>
      </c>
      <c r="F4724" s="88">
        <v>50000</v>
      </c>
      <c r="G4724" s="46"/>
      <c r="H4724" s="46">
        <f>IFERROR(TRANSACTIONS!$F4724+TRANSACTIONS!$G4724,"")</f>
        <v>50000</v>
      </c>
      <c r="I4724" s="40" t="s">
        <v>41</v>
      </c>
    </row>
    <row r="4725" spans="1:9" x14ac:dyDescent="0.25">
      <c r="A4725" s="41">
        <v>45379.615079398151</v>
      </c>
      <c r="B4725" s="48">
        <f>IF(A4725&lt;&gt;"",DATE(YEAR(TRANSACTIONS!$A4725),MONTH(TRANSACTIONS!$A4725),DAY(TRANSACTIONS!$A4725)),"")</f>
        <v>45379</v>
      </c>
      <c r="C4725" s="49">
        <f>IF(A4725&lt;&gt;"",TIME(HOUR(TRANSACTIONS!$A4725),MINUTE(TRANSACTIONS!$A4725),SECOND(TRANSACTIONS!$A4725)),"")</f>
        <v>0.61508101851851849</v>
      </c>
      <c r="D4725" s="82" t="s">
        <v>62</v>
      </c>
      <c r="E4725" s="82" t="s">
        <v>7</v>
      </c>
      <c r="F4725" s="88">
        <v>5000</v>
      </c>
      <c r="G4725" s="46"/>
      <c r="H4725" s="46">
        <f>IFERROR(TRANSACTIONS!$F4725+TRANSACTIONS!$G4725,"")</f>
        <v>5000</v>
      </c>
      <c r="I4725" s="40" t="s">
        <v>41</v>
      </c>
    </row>
    <row r="4726" spans="1:9" x14ac:dyDescent="0.25">
      <c r="A4726" s="41">
        <v>45379.615086226855</v>
      </c>
      <c r="B4726" s="48">
        <f>IF(A4726&lt;&gt;"",DATE(YEAR(TRANSACTIONS!$A4726),MONTH(TRANSACTIONS!$A4726),DAY(TRANSACTIONS!$A4726)),"")</f>
        <v>45379</v>
      </c>
      <c r="C4726" s="49">
        <f>IF(A4726&lt;&gt;"",TIME(HOUR(TRANSACTIONS!$A4726),MINUTE(TRANSACTIONS!$A4726),SECOND(TRANSACTIONS!$A4726)),"")</f>
        <v>0.61508101851851849</v>
      </c>
      <c r="D4726" s="82" t="s">
        <v>62</v>
      </c>
      <c r="E4726" s="82" t="s">
        <v>7</v>
      </c>
      <c r="F4726" s="88">
        <v>60000</v>
      </c>
      <c r="G4726" s="46"/>
      <c r="H4726" s="46">
        <f>IFERROR(TRANSACTIONS!$F4726+TRANSACTIONS!$G4726,"")</f>
        <v>60000</v>
      </c>
      <c r="I4726" s="40" t="s">
        <v>41</v>
      </c>
    </row>
    <row r="4727" spans="1:9" x14ac:dyDescent="0.25">
      <c r="A4727" s="41">
        <v>45379.615093402776</v>
      </c>
      <c r="B4727" s="48">
        <f>IF(A4727&lt;&gt;"",DATE(YEAR(TRANSACTIONS!$A4727),MONTH(TRANSACTIONS!$A4727),DAY(TRANSACTIONS!$A4727)),"")</f>
        <v>45379</v>
      </c>
      <c r="C4727" s="49">
        <f>IF(A4727&lt;&gt;"",TIME(HOUR(TRANSACTIONS!$A4727),MINUTE(TRANSACTIONS!$A4727),SECOND(TRANSACTIONS!$A4727)),"")</f>
        <v>0.61509259259259264</v>
      </c>
      <c r="D4727" s="82" t="s">
        <v>62</v>
      </c>
      <c r="E4727" s="82" t="s">
        <v>7</v>
      </c>
      <c r="F4727" s="88">
        <v>400000</v>
      </c>
      <c r="G4727" s="46"/>
      <c r="H4727" s="46">
        <f>IFERROR(TRANSACTIONS!$F4727+TRANSACTIONS!$G4727,"")</f>
        <v>400000</v>
      </c>
      <c r="I4727" s="40" t="s">
        <v>41</v>
      </c>
    </row>
    <row r="4728" spans="1:9" x14ac:dyDescent="0.25">
      <c r="A4728" s="41">
        <v>45379.615100000003</v>
      </c>
      <c r="B4728" s="48">
        <f>IF(A4728&lt;&gt;"",DATE(YEAR(TRANSACTIONS!$A4728),MONTH(TRANSACTIONS!$A4728),DAY(TRANSACTIONS!$A4728)),"")</f>
        <v>45379</v>
      </c>
      <c r="C4728" s="49">
        <f>IF(A4728&lt;&gt;"",TIME(HOUR(TRANSACTIONS!$A4728),MINUTE(TRANSACTIONS!$A4728),SECOND(TRANSACTIONS!$A4728)),"")</f>
        <v>0.61510416666666667</v>
      </c>
      <c r="D4728" s="82" t="s">
        <v>62</v>
      </c>
      <c r="E4728" s="82" t="s">
        <v>6</v>
      </c>
      <c r="F4728" s="88">
        <v>16000</v>
      </c>
      <c r="G4728" s="46"/>
      <c r="H4728" s="46">
        <f>IFERROR(TRANSACTIONS!$F4728+TRANSACTIONS!$G4728,"")</f>
        <v>16000</v>
      </c>
      <c r="I4728" s="40" t="s">
        <v>41</v>
      </c>
    </row>
    <row r="4729" spans="1:9" x14ac:dyDescent="0.25">
      <c r="A4729" s="41">
        <v>45379.615107060185</v>
      </c>
      <c r="B4729" s="48">
        <f>IF(A4729&lt;&gt;"",DATE(YEAR(TRANSACTIONS!$A4729),MONTH(TRANSACTIONS!$A4729),DAY(TRANSACTIONS!$A4729)),"")</f>
        <v>45379</v>
      </c>
      <c r="C4729" s="49">
        <f>IF(A4729&lt;&gt;"",TIME(HOUR(TRANSACTIONS!$A4729),MINUTE(TRANSACTIONS!$A4729),SECOND(TRANSACTIONS!$A4729)),"")</f>
        <v>0.61510416666666667</v>
      </c>
      <c r="D4729" s="82" t="s">
        <v>62</v>
      </c>
      <c r="E4729" s="82" t="s">
        <v>7</v>
      </c>
      <c r="F4729" s="88">
        <v>5000</v>
      </c>
      <c r="G4729" s="46"/>
      <c r="H4729" s="46">
        <f>IFERROR(TRANSACTIONS!$F4729+TRANSACTIONS!$G4729,"")</f>
        <v>5000</v>
      </c>
      <c r="I4729" s="40" t="s">
        <v>41</v>
      </c>
    </row>
    <row r="4730" spans="1:9" x14ac:dyDescent="0.25">
      <c r="A4730" s="41">
        <v>45379.615125925928</v>
      </c>
      <c r="B4730" s="48">
        <f>IF(A4730&lt;&gt;"",DATE(YEAR(TRANSACTIONS!$A4730),MONTH(TRANSACTIONS!$A4730),DAY(TRANSACTIONS!$A4730)),"")</f>
        <v>45379</v>
      </c>
      <c r="C4730" s="49">
        <f>IF(A4730&lt;&gt;"",TIME(HOUR(TRANSACTIONS!$A4730),MINUTE(TRANSACTIONS!$A4730),SECOND(TRANSACTIONS!$A4730)),"")</f>
        <v>0.61512731481481475</v>
      </c>
      <c r="D4730" s="82" t="s">
        <v>62</v>
      </c>
      <c r="E4730" s="82" t="s">
        <v>6</v>
      </c>
      <c r="F4730" s="88">
        <v>400000</v>
      </c>
      <c r="G4730" s="46"/>
      <c r="H4730" s="46">
        <f>IFERROR(TRANSACTIONS!$F4730+TRANSACTIONS!$G4730,"")</f>
        <v>400000</v>
      </c>
      <c r="I4730" s="40" t="s">
        <v>41</v>
      </c>
    </row>
    <row r="4731" spans="1:9" x14ac:dyDescent="0.25">
      <c r="A4731" s="41">
        <v>45379.615135300926</v>
      </c>
      <c r="B4731" s="48">
        <f>IF(A4731&lt;&gt;"",DATE(YEAR(TRANSACTIONS!$A4731),MONTH(TRANSACTIONS!$A4731),DAY(TRANSACTIONS!$A4731)),"")</f>
        <v>45379</v>
      </c>
      <c r="C4731" s="49">
        <f>IF(A4731&lt;&gt;"",TIME(HOUR(TRANSACTIONS!$A4731),MINUTE(TRANSACTIONS!$A4731),SECOND(TRANSACTIONS!$A4731)),"")</f>
        <v>0.6151388888888889</v>
      </c>
      <c r="D4731" s="82" t="s">
        <v>62</v>
      </c>
      <c r="E4731" s="82" t="s">
        <v>7</v>
      </c>
      <c r="F4731" s="88">
        <v>5000</v>
      </c>
      <c r="G4731" s="46"/>
      <c r="H4731" s="46">
        <f>IFERROR(TRANSACTIONS!$F4731+TRANSACTIONS!$G4731,"")</f>
        <v>5000</v>
      </c>
      <c r="I4731" s="40" t="s">
        <v>41</v>
      </c>
    </row>
    <row r="4732" spans="1:9" x14ac:dyDescent="0.25">
      <c r="A4732" s="41">
        <v>45379.615145254633</v>
      </c>
      <c r="B4732" s="48">
        <f>IF(A4732&lt;&gt;"",DATE(YEAR(TRANSACTIONS!$A4732),MONTH(TRANSACTIONS!$A4732),DAY(TRANSACTIONS!$A4732)),"")</f>
        <v>45379</v>
      </c>
      <c r="C4732" s="49">
        <f>IF(A4732&lt;&gt;"",TIME(HOUR(TRANSACTIONS!$A4732),MINUTE(TRANSACTIONS!$A4732),SECOND(TRANSACTIONS!$A4732)),"")</f>
        <v>0.61515046296296294</v>
      </c>
      <c r="D4732" s="82" t="s">
        <v>62</v>
      </c>
      <c r="E4732" s="82" t="s">
        <v>6</v>
      </c>
      <c r="F4732" s="88">
        <v>16000</v>
      </c>
      <c r="G4732" s="46"/>
      <c r="H4732" s="46">
        <f>IFERROR(TRANSACTIONS!$F4732+TRANSACTIONS!$G4732,"")</f>
        <v>16000</v>
      </c>
      <c r="I4732" s="40" t="s">
        <v>41</v>
      </c>
    </row>
    <row r="4733" spans="1:9" x14ac:dyDescent="0.25">
      <c r="A4733" s="41">
        <v>45379.615151967591</v>
      </c>
      <c r="B4733" s="48">
        <f>IF(A4733&lt;&gt;"",DATE(YEAR(TRANSACTIONS!$A4733),MONTH(TRANSACTIONS!$A4733),DAY(TRANSACTIONS!$A4733)),"")</f>
        <v>45379</v>
      </c>
      <c r="C4733" s="49">
        <f>IF(A4733&lt;&gt;"",TIME(HOUR(TRANSACTIONS!$A4733),MINUTE(TRANSACTIONS!$A4733),SECOND(TRANSACTIONS!$A4733)),"")</f>
        <v>0.61515046296296294</v>
      </c>
      <c r="D4733" s="82" t="s">
        <v>62</v>
      </c>
      <c r="E4733" s="82" t="s">
        <v>7</v>
      </c>
      <c r="F4733" s="88">
        <v>2450</v>
      </c>
      <c r="G4733" s="46"/>
      <c r="H4733" s="46">
        <f>IFERROR(TRANSACTIONS!$F4733+TRANSACTIONS!$G4733,"")</f>
        <v>2450</v>
      </c>
      <c r="I4733" s="40" t="s">
        <v>41</v>
      </c>
    </row>
    <row r="4734" spans="1:9" x14ac:dyDescent="0.25">
      <c r="A4734" s="41">
        <v>45379.615158680557</v>
      </c>
      <c r="B4734" s="48">
        <f>IF(A4734&lt;&gt;"",DATE(YEAR(TRANSACTIONS!$A4734),MONTH(TRANSACTIONS!$A4734),DAY(TRANSACTIONS!$A4734)),"")</f>
        <v>45379</v>
      </c>
      <c r="C4734" s="49">
        <f>IF(A4734&lt;&gt;"",TIME(HOUR(TRANSACTIONS!$A4734),MINUTE(TRANSACTIONS!$A4734),SECOND(TRANSACTIONS!$A4734)),"")</f>
        <v>0.61516203703703709</v>
      </c>
      <c r="D4734" s="82" t="s">
        <v>25</v>
      </c>
      <c r="E4734" s="82" t="s">
        <v>6</v>
      </c>
      <c r="F4734" s="88">
        <v>1000</v>
      </c>
      <c r="G4734" s="46"/>
      <c r="H4734" s="46">
        <f>IFERROR(TRANSACTIONS!$F4734+TRANSACTIONS!$G4734,"")</f>
        <v>1000</v>
      </c>
      <c r="I4734" s="40" t="s">
        <v>41</v>
      </c>
    </row>
    <row r="4735" spans="1:9" x14ac:dyDescent="0.25">
      <c r="A4735" s="41">
        <v>45379.615166898147</v>
      </c>
      <c r="B4735" s="48">
        <f>IF(A4735&lt;&gt;"",DATE(YEAR(TRANSACTIONS!$A4735),MONTH(TRANSACTIONS!$A4735),DAY(TRANSACTIONS!$A4735)),"")</f>
        <v>45379</v>
      </c>
      <c r="C4735" s="49">
        <f>IF(A4735&lt;&gt;"",TIME(HOUR(TRANSACTIONS!$A4735),MINUTE(TRANSACTIONS!$A4735),SECOND(TRANSACTIONS!$A4735)),"")</f>
        <v>0.61516203703703709</v>
      </c>
      <c r="D4735" s="82" t="s">
        <v>25</v>
      </c>
      <c r="E4735" s="82" t="s">
        <v>6</v>
      </c>
      <c r="F4735" s="88">
        <v>20000</v>
      </c>
      <c r="G4735" s="46"/>
      <c r="H4735" s="46">
        <f>IFERROR(TRANSACTIONS!$F4735+TRANSACTIONS!$G4735,"")</f>
        <v>20000</v>
      </c>
      <c r="I4735" s="40" t="s">
        <v>41</v>
      </c>
    </row>
    <row r="4736" spans="1:9" x14ac:dyDescent="0.25">
      <c r="A4736" s="81">
        <v>45379.61519571759</v>
      </c>
      <c r="B4736" s="83">
        <f>IF(A4736&lt;&gt;"",DATE(YEAR(TRANSACTIONS!$A4736),MONTH(TRANSACTIONS!$A4736),DAY(TRANSACTIONS!$A4736)),"")</f>
        <v>45379</v>
      </c>
      <c r="C4736" s="84">
        <f>IF(A4736&lt;&gt;"",TIME(HOUR(TRANSACTIONS!$A4736),MINUTE(TRANSACTIONS!$A4736),SECOND(TRANSACTIONS!$A4736)),"")</f>
        <v>0.61519675925925921</v>
      </c>
      <c r="D4736" s="82" t="s">
        <v>25</v>
      </c>
      <c r="E4736" s="82" t="s">
        <v>7</v>
      </c>
      <c r="F4736" s="88">
        <v>5000</v>
      </c>
      <c r="G4736" s="86"/>
      <c r="H4736" s="86">
        <f>IFERROR(TRANSACTIONS!$F4736+TRANSACTIONS!$G4736,"")</f>
        <v>5000</v>
      </c>
      <c r="I4736" s="88" t="s">
        <v>41</v>
      </c>
    </row>
    <row r="4737" spans="1:9" x14ac:dyDescent="0.25">
      <c r="A4737" s="41">
        <v>45379.615202430556</v>
      </c>
      <c r="B4737" s="48">
        <f>IF(A4737&lt;&gt;"",DATE(YEAR(TRANSACTIONS!$A4737),MONTH(TRANSACTIONS!$A4737),DAY(TRANSACTIONS!$A4737)),"")</f>
        <v>45379</v>
      </c>
      <c r="C4737" s="49">
        <f>IF(A4737&lt;&gt;"",TIME(HOUR(TRANSACTIONS!$A4737),MINUTE(TRANSACTIONS!$A4737),SECOND(TRANSACTIONS!$A4737)),"")</f>
        <v>0.61519675925925921</v>
      </c>
      <c r="D4737" s="82" t="s">
        <v>25</v>
      </c>
      <c r="E4737" s="82" t="s">
        <v>6</v>
      </c>
      <c r="F4737" s="88">
        <v>1300</v>
      </c>
      <c r="G4737" s="46"/>
      <c r="H4737" s="46">
        <f>IFERROR(TRANSACTIONS!$F4737+TRANSACTIONS!$G4737,"")</f>
        <v>1300</v>
      </c>
      <c r="I4737" s="40" t="s">
        <v>41</v>
      </c>
    </row>
    <row r="4738" spans="1:9" x14ac:dyDescent="0.25">
      <c r="A4738" s="41">
        <v>45379.615209837961</v>
      </c>
      <c r="B4738" s="48">
        <f>IF(A4738&lt;&gt;"",DATE(YEAR(TRANSACTIONS!$A4738),MONTH(TRANSACTIONS!$A4738),DAY(TRANSACTIONS!$A4738)),"")</f>
        <v>45379</v>
      </c>
      <c r="C4738" s="49">
        <f>IF(A4738&lt;&gt;"",TIME(HOUR(TRANSACTIONS!$A4738),MINUTE(TRANSACTIONS!$A4738),SECOND(TRANSACTIONS!$A4738)),"")</f>
        <v>0.61520833333333336</v>
      </c>
      <c r="D4738" s="82" t="s">
        <v>25</v>
      </c>
      <c r="E4738" s="82" t="s">
        <v>6</v>
      </c>
      <c r="F4738" s="88">
        <v>500</v>
      </c>
      <c r="G4738" s="46"/>
      <c r="H4738" s="46">
        <f>IFERROR(TRANSACTIONS!$F4738+TRANSACTIONS!$G4738,"")</f>
        <v>500</v>
      </c>
      <c r="I4738" s="40" t="s">
        <v>41</v>
      </c>
    </row>
    <row r="4739" spans="1:9" x14ac:dyDescent="0.25">
      <c r="A4739" s="41">
        <v>45379.615220254629</v>
      </c>
      <c r="B4739" s="48">
        <f>IF(A4739&lt;&gt;"",DATE(YEAR(TRANSACTIONS!$A4739),MONTH(TRANSACTIONS!$A4739),DAY(TRANSACTIONS!$A4739)),"")</f>
        <v>45379</v>
      </c>
      <c r="C4739" s="49">
        <f>IF(A4739&lt;&gt;"",TIME(HOUR(TRANSACTIONS!$A4739),MINUTE(TRANSACTIONS!$A4739),SECOND(TRANSACTIONS!$A4739)),"")</f>
        <v>0.6152199074074074</v>
      </c>
      <c r="D4739" s="82" t="s">
        <v>25</v>
      </c>
      <c r="E4739" s="82" t="s">
        <v>6</v>
      </c>
      <c r="F4739" s="88">
        <v>1000</v>
      </c>
      <c r="G4739" s="46"/>
      <c r="H4739" s="46">
        <f>IFERROR(TRANSACTIONS!$F4739+TRANSACTIONS!$G4739,"")</f>
        <v>1000</v>
      </c>
      <c r="I4739" s="40" t="s">
        <v>41</v>
      </c>
    </row>
    <row r="4740" spans="1:9" x14ac:dyDescent="0.25">
      <c r="A4740" s="41">
        <v>45379.615230324074</v>
      </c>
      <c r="B4740" s="48">
        <f>IF(A4740&lt;&gt;"",DATE(YEAR(TRANSACTIONS!$A4740),MONTH(TRANSACTIONS!$A4740),DAY(TRANSACTIONS!$A4740)),"")</f>
        <v>45379</v>
      </c>
      <c r="C4740" s="49">
        <f>IF(A4740&lt;&gt;"",TIME(HOUR(TRANSACTIONS!$A4740),MINUTE(TRANSACTIONS!$A4740),SECOND(TRANSACTIONS!$A4740)),"")</f>
        <v>0.61523148148148155</v>
      </c>
      <c r="D4740" s="82" t="s">
        <v>25</v>
      </c>
      <c r="E4740" s="82" t="s">
        <v>7</v>
      </c>
      <c r="F4740" s="88">
        <v>1000</v>
      </c>
      <c r="G4740" s="46"/>
      <c r="H4740" s="46">
        <f>IFERROR(TRANSACTIONS!$F4740+TRANSACTIONS!$G4740,"")</f>
        <v>1000</v>
      </c>
      <c r="I4740" s="40" t="s">
        <v>41</v>
      </c>
    </row>
    <row r="4741" spans="1:9" x14ac:dyDescent="0.25">
      <c r="A4741" s="41">
        <v>45379.617281712963</v>
      </c>
      <c r="B4741" s="48">
        <f>IF(A4741&lt;&gt;"",DATE(YEAR(TRANSACTIONS!$A4741),MONTH(TRANSACTIONS!$A4741),DAY(TRANSACTIONS!$A4741)),"")</f>
        <v>45379</v>
      </c>
      <c r="C4741" s="49">
        <f>IF(A4741&lt;&gt;"",TIME(HOUR(TRANSACTIONS!$A4741),MINUTE(TRANSACTIONS!$A4741),SECOND(TRANSACTIONS!$A4741)),"")</f>
        <v>0.61728009259259264</v>
      </c>
      <c r="D4741" s="82" t="s">
        <v>62</v>
      </c>
      <c r="E4741" s="82" t="s">
        <v>7</v>
      </c>
      <c r="F4741" s="88">
        <v>1000</v>
      </c>
      <c r="G4741" s="46"/>
      <c r="H4741" s="46">
        <f>IFERROR(TRANSACTIONS!$F4741+TRANSACTIONS!$G4741,"")</f>
        <v>1000</v>
      </c>
      <c r="I4741" s="40" t="s">
        <v>41</v>
      </c>
    </row>
    <row r="4742" spans="1:9" x14ac:dyDescent="0.25">
      <c r="A4742" s="41">
        <v>45379.617284722219</v>
      </c>
      <c r="B4742" s="48">
        <f>IF(A4742&lt;&gt;"",DATE(YEAR(TRANSACTIONS!$A4742),MONTH(TRANSACTIONS!$A4742),DAY(TRANSACTIONS!$A4742)),"")</f>
        <v>45379</v>
      </c>
      <c r="C4742" s="49">
        <f>IF(A4742&lt;&gt;"",TIME(HOUR(TRANSACTIONS!$A4742),MINUTE(TRANSACTIONS!$A4742),SECOND(TRANSACTIONS!$A4742)),"")</f>
        <v>0.61728009259259264</v>
      </c>
      <c r="D4742" s="82" t="s">
        <v>62</v>
      </c>
      <c r="E4742" s="82" t="s">
        <v>6</v>
      </c>
      <c r="F4742" s="88">
        <v>100000</v>
      </c>
      <c r="G4742" s="46"/>
      <c r="H4742" s="46">
        <f>IFERROR(TRANSACTIONS!$F4742+TRANSACTIONS!$G4742,"")</f>
        <v>100000</v>
      </c>
      <c r="I4742" s="40" t="s">
        <v>41</v>
      </c>
    </row>
    <row r="4743" spans="1:9" x14ac:dyDescent="0.25">
      <c r="A4743" s="41"/>
      <c r="B4743" s="48" t="str">
        <f>IF(A4743&lt;&gt;"",DATE(YEAR(TRANSACTIONS!$A4743),MONTH(TRANSACTIONS!$A4743),DAY(TRANSACTIONS!$A4743)),"")</f>
        <v/>
      </c>
      <c r="C4743" s="49" t="str">
        <f>IF(A4743&lt;&gt;"",TIME(HOUR(TRANSACTIONS!$A4743),MINUTE(TRANSACTIONS!$A4743),SECOND(TRANSACTIONS!$A4743)),"")</f>
        <v/>
      </c>
      <c r="D4743" s="82"/>
      <c r="E4743" s="82"/>
      <c r="F4743" s="88"/>
      <c r="G4743" s="46"/>
      <c r="H4743" s="46">
        <f>IFERROR(TRANSACTIONS!$F4743+TRANSACTIONS!$G4743,"")</f>
        <v>0</v>
      </c>
      <c r="I4743" s="40" t="s">
        <v>41</v>
      </c>
    </row>
    <row r="4744" spans="1:9" x14ac:dyDescent="0.25">
      <c r="A4744" s="41">
        <v>45380.454263888889</v>
      </c>
      <c r="B4744" s="48">
        <f>IF(A4744&lt;&gt;"",DATE(YEAR(TRANSACTIONS!$A4744),MONTH(TRANSACTIONS!$A4744),DAY(TRANSACTIONS!$A4744)),"")</f>
        <v>45380</v>
      </c>
      <c r="C4744" s="49">
        <f>IF(A4744&lt;&gt;"",TIME(HOUR(TRANSACTIONS!$A4744),MINUTE(TRANSACTIONS!$A4744),SECOND(TRANSACTIONS!$A4744)),"")</f>
        <v>0.45425925925925931</v>
      </c>
      <c r="D4744" s="82" t="s">
        <v>62</v>
      </c>
      <c r="E4744" s="82" t="s">
        <v>6</v>
      </c>
      <c r="F4744" s="88">
        <v>15150</v>
      </c>
      <c r="G4744" s="46"/>
      <c r="H4744" s="46">
        <f>IFERROR(TRANSACTIONS!$F4744+TRANSACTIONS!$G4744,"")</f>
        <v>15150</v>
      </c>
      <c r="I4744" s="40" t="s">
        <v>41</v>
      </c>
    </row>
    <row r="4745" spans="1:9" x14ac:dyDescent="0.25">
      <c r="A4745" s="41">
        <v>45380.455656828701</v>
      </c>
      <c r="B4745" s="48">
        <f>IF(A4745&lt;&gt;"",DATE(YEAR(TRANSACTIONS!$A4745),MONTH(TRANSACTIONS!$A4745),DAY(TRANSACTIONS!$A4745)),"")</f>
        <v>45380</v>
      </c>
      <c r="C4745" s="49">
        <f>IF(A4745&lt;&gt;"",TIME(HOUR(TRANSACTIONS!$A4745),MINUTE(TRANSACTIONS!$A4745),SECOND(TRANSACTIONS!$A4745)),"")</f>
        <v>0.45565972222222223</v>
      </c>
      <c r="D4745" s="82" t="s">
        <v>62</v>
      </c>
      <c r="E4745" s="82" t="s">
        <v>6</v>
      </c>
      <c r="F4745" s="88">
        <v>3500</v>
      </c>
      <c r="G4745" s="46"/>
      <c r="H4745" s="46">
        <f>IFERROR(TRANSACTIONS!$F4745+TRANSACTIONS!$G4745,"")</f>
        <v>3500</v>
      </c>
      <c r="I4745" s="40" t="s">
        <v>41</v>
      </c>
    </row>
    <row r="4746" spans="1:9" x14ac:dyDescent="0.25">
      <c r="A4746" s="41">
        <v>45380.455685879628</v>
      </c>
      <c r="B4746" s="48">
        <f>IF(A4746&lt;&gt;"",DATE(YEAR(TRANSACTIONS!$A4746),MONTH(TRANSACTIONS!$A4746),DAY(TRANSACTIONS!$A4746)),"")</f>
        <v>45380</v>
      </c>
      <c r="C4746" s="49">
        <f>IF(A4746&lt;&gt;"",TIME(HOUR(TRANSACTIONS!$A4746),MINUTE(TRANSACTIONS!$A4746),SECOND(TRANSACTIONS!$A4746)),"")</f>
        <v>0.45568287037037036</v>
      </c>
      <c r="D4746" s="82" t="s">
        <v>62</v>
      </c>
      <c r="E4746" s="82" t="s">
        <v>7</v>
      </c>
      <c r="F4746" s="88">
        <v>5000</v>
      </c>
      <c r="G4746" s="46"/>
      <c r="H4746" s="46">
        <f>IFERROR(TRANSACTIONS!$F4746+TRANSACTIONS!$G4746,"")</f>
        <v>5000</v>
      </c>
      <c r="I4746" s="40" t="s">
        <v>41</v>
      </c>
    </row>
    <row r="4747" spans="1:9" x14ac:dyDescent="0.25">
      <c r="A4747" s="41">
        <v>45380.45569490741</v>
      </c>
      <c r="B4747" s="48">
        <f>IF(A4747&lt;&gt;"",DATE(YEAR(TRANSACTIONS!$A4747),MONTH(TRANSACTIONS!$A4747),DAY(TRANSACTIONS!$A4747)),"")</f>
        <v>45380</v>
      </c>
      <c r="C4747" s="49">
        <f>IF(A4747&lt;&gt;"",TIME(HOUR(TRANSACTIONS!$A4747),MINUTE(TRANSACTIONS!$A4747),SECOND(TRANSACTIONS!$A4747)),"")</f>
        <v>0.45569444444444446</v>
      </c>
      <c r="D4747" s="82" t="s">
        <v>62</v>
      </c>
      <c r="E4747" s="82" t="s">
        <v>7</v>
      </c>
      <c r="F4747" s="88">
        <v>2000</v>
      </c>
      <c r="G4747" s="46"/>
      <c r="H4747" s="46">
        <f>IFERROR(TRANSACTIONS!$F4747+TRANSACTIONS!$G4747,"")</f>
        <v>2000</v>
      </c>
      <c r="I4747" s="40" t="s">
        <v>41</v>
      </c>
    </row>
    <row r="4748" spans="1:9" x14ac:dyDescent="0.25">
      <c r="A4748" s="41">
        <v>45380.455702546293</v>
      </c>
      <c r="B4748" s="48">
        <f>IF(A4748&lt;&gt;"",DATE(YEAR(TRANSACTIONS!$A4748),MONTH(TRANSACTIONS!$A4748),DAY(TRANSACTIONS!$A4748)),"")</f>
        <v>45380</v>
      </c>
      <c r="C4748" s="49">
        <f>IF(A4748&lt;&gt;"",TIME(HOUR(TRANSACTIONS!$A4748),MINUTE(TRANSACTIONS!$A4748),SECOND(TRANSACTIONS!$A4748)),"")</f>
        <v>0.4557060185185185</v>
      </c>
      <c r="D4748" s="82" t="s">
        <v>62</v>
      </c>
      <c r="E4748" s="82" t="s">
        <v>7</v>
      </c>
      <c r="F4748" s="88">
        <v>10000</v>
      </c>
      <c r="G4748" s="46"/>
      <c r="H4748" s="46">
        <f>IFERROR(TRANSACTIONS!$F4748+TRANSACTIONS!$G4748,"")</f>
        <v>10000</v>
      </c>
      <c r="I4748" s="40" t="s">
        <v>41</v>
      </c>
    </row>
    <row r="4749" spans="1:9" x14ac:dyDescent="0.25">
      <c r="A4749" s="41">
        <v>45380.455710995368</v>
      </c>
      <c r="B4749" s="48">
        <f>IF(A4749&lt;&gt;"",DATE(YEAR(TRANSACTIONS!$A4749),MONTH(TRANSACTIONS!$A4749),DAY(TRANSACTIONS!$A4749)),"")</f>
        <v>45380</v>
      </c>
      <c r="C4749" s="49">
        <f>IF(A4749&lt;&gt;"",TIME(HOUR(TRANSACTIONS!$A4749),MINUTE(TRANSACTIONS!$A4749),SECOND(TRANSACTIONS!$A4749)),"")</f>
        <v>0.4557060185185185</v>
      </c>
      <c r="D4749" s="82" t="s">
        <v>62</v>
      </c>
      <c r="E4749" s="82" t="s">
        <v>6</v>
      </c>
      <c r="F4749" s="88">
        <v>43000</v>
      </c>
      <c r="G4749" s="46"/>
      <c r="H4749" s="46">
        <f>IFERROR(TRANSACTIONS!$F4749+TRANSACTIONS!$G4749,"")</f>
        <v>43000</v>
      </c>
      <c r="I4749" s="40" t="s">
        <v>41</v>
      </c>
    </row>
    <row r="4750" spans="1:9" x14ac:dyDescent="0.25">
      <c r="A4750" s="41">
        <v>45380.455719212965</v>
      </c>
      <c r="B4750" s="48">
        <f>IF(A4750&lt;&gt;"",DATE(YEAR(TRANSACTIONS!$A4750),MONTH(TRANSACTIONS!$A4750),DAY(TRANSACTIONS!$A4750)),"")</f>
        <v>45380</v>
      </c>
      <c r="C4750" s="49">
        <f>IF(A4750&lt;&gt;"",TIME(HOUR(TRANSACTIONS!$A4750),MINUTE(TRANSACTIONS!$A4750),SECOND(TRANSACTIONS!$A4750)),"")</f>
        <v>0.45571759259259265</v>
      </c>
      <c r="D4750" s="82" t="s">
        <v>62</v>
      </c>
      <c r="E4750" s="82" t="s">
        <v>7</v>
      </c>
      <c r="F4750" s="88">
        <v>500</v>
      </c>
      <c r="G4750" s="46"/>
      <c r="H4750" s="46">
        <f>IFERROR(TRANSACTIONS!$F4750+TRANSACTIONS!$G4750,"")</f>
        <v>500</v>
      </c>
      <c r="I4750" s="40" t="s">
        <v>41</v>
      </c>
    </row>
    <row r="4751" spans="1:9" x14ac:dyDescent="0.25">
      <c r="A4751" s="41">
        <v>45380.455726388886</v>
      </c>
      <c r="B4751" s="48">
        <f>IF(A4751&lt;&gt;"",DATE(YEAR(TRANSACTIONS!$A4751),MONTH(TRANSACTIONS!$A4751),DAY(TRANSACTIONS!$A4751)),"")</f>
        <v>45380</v>
      </c>
      <c r="C4751" s="49">
        <f>IF(A4751&lt;&gt;"",TIME(HOUR(TRANSACTIONS!$A4751),MINUTE(TRANSACTIONS!$A4751),SECOND(TRANSACTIONS!$A4751)),"")</f>
        <v>0.45572916666666669</v>
      </c>
      <c r="D4751" s="82" t="s">
        <v>62</v>
      </c>
      <c r="E4751" s="82" t="s">
        <v>7</v>
      </c>
      <c r="F4751" s="88">
        <v>179850</v>
      </c>
      <c r="G4751" s="46"/>
      <c r="H4751" s="46">
        <f>IFERROR(TRANSACTIONS!$F4751+TRANSACTIONS!$G4751,"")</f>
        <v>179850</v>
      </c>
      <c r="I4751" s="40" t="s">
        <v>41</v>
      </c>
    </row>
    <row r="4752" spans="1:9" x14ac:dyDescent="0.25">
      <c r="A4752" s="41">
        <v>45380.455733680552</v>
      </c>
      <c r="B4752" s="48">
        <f>IF(A4752&lt;&gt;"",DATE(YEAR(TRANSACTIONS!$A4752),MONTH(TRANSACTIONS!$A4752),DAY(TRANSACTIONS!$A4752)),"")</f>
        <v>45380</v>
      </c>
      <c r="C4752" s="49">
        <f>IF(A4752&lt;&gt;"",TIME(HOUR(TRANSACTIONS!$A4752),MINUTE(TRANSACTIONS!$A4752),SECOND(TRANSACTIONS!$A4752)),"")</f>
        <v>0.45572916666666669</v>
      </c>
      <c r="D4752" s="82" t="s">
        <v>62</v>
      </c>
      <c r="E4752" s="82" t="s">
        <v>6</v>
      </c>
      <c r="F4752" s="88">
        <v>196950</v>
      </c>
      <c r="G4752" s="46"/>
      <c r="H4752" s="46">
        <f>IFERROR(TRANSACTIONS!$F4752+TRANSACTIONS!$G4752,"")</f>
        <v>196950</v>
      </c>
      <c r="I4752" s="40" t="s">
        <v>41</v>
      </c>
    </row>
    <row r="4753" spans="1:9" x14ac:dyDescent="0.25">
      <c r="A4753" s="41">
        <v>45380.455741782411</v>
      </c>
      <c r="B4753" s="48">
        <f>IF(A4753&lt;&gt;"",DATE(YEAR(TRANSACTIONS!$A4753),MONTH(TRANSACTIONS!$A4753),DAY(TRANSACTIONS!$A4753)),"")</f>
        <v>45380</v>
      </c>
      <c r="C4753" s="49">
        <f>IF(A4753&lt;&gt;"",TIME(HOUR(TRANSACTIONS!$A4753),MINUTE(TRANSACTIONS!$A4753),SECOND(TRANSACTIONS!$A4753)),"")</f>
        <v>0.45574074074074072</v>
      </c>
      <c r="D4753" s="82" t="s">
        <v>62</v>
      </c>
      <c r="E4753" s="82" t="s">
        <v>7</v>
      </c>
      <c r="F4753" s="88">
        <v>500</v>
      </c>
      <c r="G4753" s="46"/>
      <c r="H4753" s="46">
        <f>IFERROR(TRANSACTIONS!$F4753+TRANSACTIONS!$G4753,"")</f>
        <v>500</v>
      </c>
      <c r="I4753" s="40" t="s">
        <v>41</v>
      </c>
    </row>
    <row r="4754" spans="1:9" x14ac:dyDescent="0.25">
      <c r="A4754" s="41">
        <v>45380.455749189816</v>
      </c>
      <c r="B4754" s="48">
        <f>IF(A4754&lt;&gt;"",DATE(YEAR(TRANSACTIONS!$A4754),MONTH(TRANSACTIONS!$A4754),DAY(TRANSACTIONS!$A4754)),"")</f>
        <v>45380</v>
      </c>
      <c r="C4754" s="49">
        <f>IF(A4754&lt;&gt;"",TIME(HOUR(TRANSACTIONS!$A4754),MINUTE(TRANSACTIONS!$A4754),SECOND(TRANSACTIONS!$A4754)),"")</f>
        <v>0.45575231481481482</v>
      </c>
      <c r="D4754" s="82" t="s">
        <v>62</v>
      </c>
      <c r="E4754" s="82" t="s">
        <v>7</v>
      </c>
      <c r="F4754" s="88">
        <v>10000</v>
      </c>
      <c r="G4754" s="46"/>
      <c r="H4754" s="46">
        <f>IFERROR(TRANSACTIONS!$F4754+TRANSACTIONS!$G4754,"")</f>
        <v>10000</v>
      </c>
      <c r="I4754" s="40" t="s">
        <v>41</v>
      </c>
    </row>
    <row r="4755" spans="1:9" x14ac:dyDescent="0.25">
      <c r="A4755" s="41">
        <v>45380.455756481482</v>
      </c>
      <c r="B4755" s="48">
        <f>IF(A4755&lt;&gt;"",DATE(YEAR(TRANSACTIONS!$A4755),MONTH(TRANSACTIONS!$A4755),DAY(TRANSACTIONS!$A4755)),"")</f>
        <v>45380</v>
      </c>
      <c r="C4755" s="49">
        <f>IF(A4755&lt;&gt;"",TIME(HOUR(TRANSACTIONS!$A4755),MINUTE(TRANSACTIONS!$A4755),SECOND(TRANSACTIONS!$A4755)),"")</f>
        <v>0.45575231481481482</v>
      </c>
      <c r="D4755" s="82" t="s">
        <v>62</v>
      </c>
      <c r="E4755" s="82" t="s">
        <v>7</v>
      </c>
      <c r="F4755" s="88">
        <v>43000</v>
      </c>
      <c r="G4755" s="46"/>
      <c r="H4755" s="46">
        <f>IFERROR(TRANSACTIONS!$F4755+TRANSACTIONS!$G4755,"")</f>
        <v>43000</v>
      </c>
      <c r="I4755" s="40" t="s">
        <v>41</v>
      </c>
    </row>
    <row r="4756" spans="1:9" x14ac:dyDescent="0.25">
      <c r="A4756" s="41">
        <v>45380.45576365741</v>
      </c>
      <c r="B4756" s="48">
        <f>IF(A4756&lt;&gt;"",DATE(YEAR(TRANSACTIONS!$A4756),MONTH(TRANSACTIONS!$A4756),DAY(TRANSACTIONS!$A4756)),"")</f>
        <v>45380</v>
      </c>
      <c r="C4756" s="49">
        <f>IF(A4756&lt;&gt;"",TIME(HOUR(TRANSACTIONS!$A4756),MINUTE(TRANSACTIONS!$A4756),SECOND(TRANSACTIONS!$A4756)),"")</f>
        <v>0.45576388888888886</v>
      </c>
      <c r="D4756" s="82" t="s">
        <v>62</v>
      </c>
      <c r="E4756" s="82" t="s">
        <v>6</v>
      </c>
      <c r="F4756" s="88">
        <v>100000</v>
      </c>
      <c r="G4756" s="46"/>
      <c r="H4756" s="46">
        <f>IFERROR(TRANSACTIONS!$F4756+TRANSACTIONS!$G4756,"")</f>
        <v>100000</v>
      </c>
      <c r="I4756" s="40" t="s">
        <v>41</v>
      </c>
    </row>
    <row r="4757" spans="1:9" x14ac:dyDescent="0.25">
      <c r="A4757" s="41">
        <v>45380.45578009259</v>
      </c>
      <c r="B4757" s="48">
        <f>IF(A4757&lt;&gt;"",DATE(YEAR(TRANSACTIONS!$A4757),MONTH(TRANSACTIONS!$A4757),DAY(TRANSACTIONS!$A4757)),"")</f>
        <v>45380</v>
      </c>
      <c r="C4757" s="49">
        <f>IF(A4757&lt;&gt;"",TIME(HOUR(TRANSACTIONS!$A4757),MINUTE(TRANSACTIONS!$A4757),SECOND(TRANSACTIONS!$A4757)),"")</f>
        <v>0.45577546296296295</v>
      </c>
      <c r="D4757" s="82" t="s">
        <v>62</v>
      </c>
      <c r="E4757" s="82" t="s">
        <v>6</v>
      </c>
      <c r="F4757" s="88">
        <v>5000</v>
      </c>
      <c r="G4757" s="46"/>
      <c r="H4757" s="46">
        <f>IFERROR(TRANSACTIONS!$F4757+TRANSACTIONS!$G4757,"")</f>
        <v>5000</v>
      </c>
      <c r="I4757" s="40" t="s">
        <v>41</v>
      </c>
    </row>
    <row r="4758" spans="1:9" x14ac:dyDescent="0.25">
      <c r="A4758" s="41">
        <v>45380.455795486108</v>
      </c>
      <c r="B4758" s="48">
        <f>IF(A4758&lt;&gt;"",DATE(YEAR(TRANSACTIONS!$A4758),MONTH(TRANSACTIONS!$A4758),DAY(TRANSACTIONS!$A4758)),"")</f>
        <v>45380</v>
      </c>
      <c r="C4758" s="49">
        <f>IF(A4758&lt;&gt;"",TIME(HOUR(TRANSACTIONS!$A4758),MINUTE(TRANSACTIONS!$A4758),SECOND(TRANSACTIONS!$A4758)),"")</f>
        <v>0.45579861111111114</v>
      </c>
      <c r="D4758" s="82" t="s">
        <v>25</v>
      </c>
      <c r="E4758" s="82" t="s">
        <v>6</v>
      </c>
      <c r="F4758" s="88">
        <v>2000</v>
      </c>
      <c r="G4758" s="46"/>
      <c r="H4758" s="46">
        <f>IFERROR(TRANSACTIONS!$F4758+TRANSACTIONS!$G4758,"")</f>
        <v>2000</v>
      </c>
      <c r="I4758" s="40" t="s">
        <v>41</v>
      </c>
    </row>
    <row r="4759" spans="1:9" x14ac:dyDescent="0.25">
      <c r="A4759" s="41">
        <v>45380.45580358796</v>
      </c>
      <c r="B4759" s="48">
        <f>IF(A4759&lt;&gt;"",DATE(YEAR(TRANSACTIONS!$A4759),MONTH(TRANSACTIONS!$A4759),DAY(TRANSACTIONS!$A4759)),"")</f>
        <v>45380</v>
      </c>
      <c r="C4759" s="49">
        <f>IF(A4759&lt;&gt;"",TIME(HOUR(TRANSACTIONS!$A4759),MINUTE(TRANSACTIONS!$A4759),SECOND(TRANSACTIONS!$A4759)),"")</f>
        <v>0.45579861111111114</v>
      </c>
      <c r="D4759" s="82" t="s">
        <v>25</v>
      </c>
      <c r="E4759" s="82" t="s">
        <v>6</v>
      </c>
      <c r="F4759" s="88">
        <v>1000</v>
      </c>
      <c r="G4759" s="46"/>
      <c r="H4759" s="46">
        <f>IFERROR(TRANSACTIONS!$F4759+TRANSACTIONS!$G4759,"")</f>
        <v>1000</v>
      </c>
      <c r="I4759" s="40" t="s">
        <v>41</v>
      </c>
    </row>
    <row r="4760" spans="1:9" x14ac:dyDescent="0.25">
      <c r="A4760" s="41">
        <v>45380.455829513892</v>
      </c>
      <c r="B4760" s="48">
        <f>IF(A4760&lt;&gt;"",DATE(YEAR(TRANSACTIONS!$A4760),MONTH(TRANSACTIONS!$A4760),DAY(TRANSACTIONS!$A4760)),"")</f>
        <v>45380</v>
      </c>
      <c r="C4760" s="49">
        <f>IF(A4760&lt;&gt;"",TIME(HOUR(TRANSACTIONS!$A4760),MINUTE(TRANSACTIONS!$A4760),SECOND(TRANSACTIONS!$A4760)),"")</f>
        <v>0.45583333333333331</v>
      </c>
      <c r="D4760" s="82" t="s">
        <v>25</v>
      </c>
      <c r="E4760" s="82" t="s">
        <v>7</v>
      </c>
      <c r="F4760" s="88">
        <v>600000</v>
      </c>
      <c r="G4760" s="46"/>
      <c r="H4760" s="46">
        <f>IFERROR(TRANSACTIONS!$F4760+TRANSACTIONS!$G4760,"")</f>
        <v>600000</v>
      </c>
      <c r="I4760" s="40" t="s">
        <v>41</v>
      </c>
    </row>
    <row r="4761" spans="1:9" x14ac:dyDescent="0.25">
      <c r="A4761" s="41">
        <v>45380.457679629631</v>
      </c>
      <c r="B4761" s="48">
        <f>IF(A4761&lt;&gt;"",DATE(YEAR(TRANSACTIONS!$A4761),MONTH(TRANSACTIONS!$A4761),DAY(TRANSACTIONS!$A4761)),"")</f>
        <v>45380</v>
      </c>
      <c r="C4761" s="49">
        <f>IF(A4761&lt;&gt;"",TIME(HOUR(TRANSACTIONS!$A4761),MINUTE(TRANSACTIONS!$A4761),SECOND(TRANSACTIONS!$A4761)),"")</f>
        <v>0.45768518518518514</v>
      </c>
      <c r="D4761" s="82" t="s">
        <v>25</v>
      </c>
      <c r="E4761" s="82" t="s">
        <v>6</v>
      </c>
      <c r="F4761" s="88">
        <v>700000</v>
      </c>
      <c r="G4761" s="46"/>
      <c r="H4761" s="46">
        <f>IFERROR(TRANSACTIONS!$F4761+TRANSACTIONS!$G4761,"")</f>
        <v>700000</v>
      </c>
      <c r="I4761" s="40" t="s">
        <v>41</v>
      </c>
    </row>
    <row r="4762" spans="1:9" x14ac:dyDescent="0.25">
      <c r="A4762" s="102">
        <v>45380.520402546295</v>
      </c>
      <c r="B4762" s="103">
        <f>IF(A4762&lt;&gt;"",DATE(YEAR(TRANSACTIONS!$A4762),MONTH(TRANSACTIONS!$A4762),DAY(TRANSACTIONS!$A4762)),"")</f>
        <v>45380</v>
      </c>
      <c r="C4762" s="104">
        <f>IF(A4762&lt;&gt;"",TIME(HOUR(TRANSACTIONS!$A4762),MINUTE(TRANSACTIONS!$A4762),SECOND(TRANSACTIONS!$A4762)),"")</f>
        <v>0.5204050925925926</v>
      </c>
      <c r="D4762" s="93" t="s">
        <v>25</v>
      </c>
      <c r="E4762" s="93" t="s">
        <v>7</v>
      </c>
      <c r="F4762" s="112">
        <v>40000</v>
      </c>
      <c r="G4762" s="46"/>
      <c r="H4762" s="46">
        <f>IFERROR(TRANSACTIONS!$F4762+TRANSACTIONS!$G4762,"")</f>
        <v>40000</v>
      </c>
      <c r="I4762" s="40" t="s">
        <v>41</v>
      </c>
    </row>
    <row r="4763" spans="1:9" x14ac:dyDescent="0.25">
      <c r="A4763" s="81">
        <v>45380.520410879632</v>
      </c>
      <c r="B4763" s="83">
        <f>IF(A4763&lt;&gt;"",DATE(YEAR(TRANSACTIONS!$A4763),MONTH(TRANSACTIONS!$A4763),DAY(TRANSACTIONS!$A4763)),"")</f>
        <v>45380</v>
      </c>
      <c r="C4763" s="84">
        <f>IF(A4763&lt;&gt;"",TIME(HOUR(TRANSACTIONS!$A4763),MINUTE(TRANSACTIONS!$A4763),SECOND(TRANSACTIONS!$A4763)),"")</f>
        <v>0.5204050925925926</v>
      </c>
      <c r="D4763" s="82" t="s">
        <v>25</v>
      </c>
      <c r="E4763" s="82" t="s">
        <v>6</v>
      </c>
      <c r="F4763" s="88">
        <v>5000</v>
      </c>
      <c r="G4763" s="86"/>
      <c r="H4763" s="86">
        <f>IFERROR(TRANSACTIONS!$F4763+TRANSACTIONS!$G4763,"")</f>
        <v>5000</v>
      </c>
      <c r="I4763" s="88" t="s">
        <v>41</v>
      </c>
    </row>
    <row r="4764" spans="1:9" x14ac:dyDescent="0.25">
      <c r="A4764" s="41">
        <v>45380.520418055552</v>
      </c>
      <c r="B4764" s="48">
        <f>IF(A4764&lt;&gt;"",DATE(YEAR(TRANSACTIONS!$A4764),MONTH(TRANSACTIONS!$A4764),DAY(TRANSACTIONS!$A4764)),"")</f>
        <v>45380</v>
      </c>
      <c r="C4764" s="49">
        <f>IF(A4764&lt;&gt;"",TIME(HOUR(TRANSACTIONS!$A4764),MINUTE(TRANSACTIONS!$A4764),SECOND(TRANSACTIONS!$A4764)),"")</f>
        <v>0.52041666666666664</v>
      </c>
      <c r="D4764" s="82" t="s">
        <v>62</v>
      </c>
      <c r="E4764" s="82" t="s">
        <v>7</v>
      </c>
      <c r="F4764" s="88">
        <v>3000</v>
      </c>
      <c r="G4764" s="46"/>
      <c r="H4764" s="46">
        <f>IFERROR(TRANSACTIONS!$F4764+TRANSACTIONS!$G4764,"")</f>
        <v>3000</v>
      </c>
      <c r="I4764" s="40" t="s">
        <v>41</v>
      </c>
    </row>
    <row r="4765" spans="1:9" x14ac:dyDescent="0.25">
      <c r="A4765" s="41">
        <v>45380.520425694442</v>
      </c>
      <c r="B4765" s="48">
        <f>IF(A4765&lt;&gt;"",DATE(YEAR(TRANSACTIONS!$A4765),MONTH(TRANSACTIONS!$A4765),DAY(TRANSACTIONS!$A4765)),"")</f>
        <v>45380</v>
      </c>
      <c r="C4765" s="49">
        <f>IF(A4765&lt;&gt;"",TIME(HOUR(TRANSACTIONS!$A4765),MINUTE(TRANSACTIONS!$A4765),SECOND(TRANSACTIONS!$A4765)),"")</f>
        <v>0.52042824074074068</v>
      </c>
      <c r="D4765" s="82" t="s">
        <v>62</v>
      </c>
      <c r="E4765" s="82" t="s">
        <v>7</v>
      </c>
      <c r="F4765" s="88">
        <v>10000</v>
      </c>
      <c r="G4765" s="46"/>
      <c r="H4765" s="46">
        <f>IFERROR(TRANSACTIONS!$F4765+TRANSACTIONS!$G4765,"")</f>
        <v>10000</v>
      </c>
      <c r="I4765" s="40" t="s">
        <v>41</v>
      </c>
    </row>
    <row r="4766" spans="1:9" x14ac:dyDescent="0.25">
      <c r="A4766" s="41">
        <v>45380.520443981484</v>
      </c>
      <c r="B4766" s="48">
        <f>IF(A4766&lt;&gt;"",DATE(YEAR(TRANSACTIONS!$A4766),MONTH(TRANSACTIONS!$A4766),DAY(TRANSACTIONS!$A4766)),"")</f>
        <v>45380</v>
      </c>
      <c r="C4766" s="49">
        <f>IF(A4766&lt;&gt;"",TIME(HOUR(TRANSACTIONS!$A4766),MINUTE(TRANSACTIONS!$A4766),SECOND(TRANSACTIONS!$A4766)),"")</f>
        <v>0.52043981481481483</v>
      </c>
      <c r="D4766" s="82" t="s">
        <v>62</v>
      </c>
      <c r="E4766" s="82" t="s">
        <v>7</v>
      </c>
      <c r="F4766" s="88">
        <v>40000</v>
      </c>
      <c r="G4766" s="46"/>
      <c r="H4766" s="46">
        <f>IFERROR(TRANSACTIONS!$F4766+TRANSACTIONS!$G4766,"")</f>
        <v>40000</v>
      </c>
      <c r="I4766" s="40" t="s">
        <v>41</v>
      </c>
    </row>
    <row r="4767" spans="1:9" x14ac:dyDescent="0.25">
      <c r="A4767" s="41">
        <v>45380.52045196759</v>
      </c>
      <c r="B4767" s="48">
        <f>IF(A4767&lt;&gt;"",DATE(YEAR(TRANSACTIONS!$A4767),MONTH(TRANSACTIONS!$A4767),DAY(TRANSACTIONS!$A4767)),"")</f>
        <v>45380</v>
      </c>
      <c r="C4767" s="49">
        <f>IF(A4767&lt;&gt;"",TIME(HOUR(TRANSACTIONS!$A4767),MINUTE(TRANSACTIONS!$A4767),SECOND(TRANSACTIONS!$A4767)),"")</f>
        <v>0.52045138888888887</v>
      </c>
      <c r="D4767" s="82" t="s">
        <v>62</v>
      </c>
      <c r="E4767" s="82" t="s">
        <v>6</v>
      </c>
      <c r="F4767" s="88">
        <v>10000</v>
      </c>
      <c r="G4767" s="46"/>
      <c r="H4767" s="46">
        <f>IFERROR(TRANSACTIONS!$F4767+TRANSACTIONS!$G4767,"")</f>
        <v>10000</v>
      </c>
      <c r="I4767" s="40" t="s">
        <v>41</v>
      </c>
    </row>
    <row r="4768" spans="1:9" x14ac:dyDescent="0.25">
      <c r="A4768" s="41">
        <v>45380.520458564817</v>
      </c>
      <c r="B4768" s="48">
        <f>IF(A4768&lt;&gt;"",DATE(YEAR(TRANSACTIONS!$A4768),MONTH(TRANSACTIONS!$A4768),DAY(TRANSACTIONS!$A4768)),"")</f>
        <v>45380</v>
      </c>
      <c r="C4768" s="49">
        <f>IF(A4768&lt;&gt;"",TIME(HOUR(TRANSACTIONS!$A4768),MINUTE(TRANSACTIONS!$A4768),SECOND(TRANSACTIONS!$A4768)),"")</f>
        <v>0.52046296296296302</v>
      </c>
      <c r="D4768" s="82" t="s">
        <v>62</v>
      </c>
      <c r="E4768" s="82" t="s">
        <v>6</v>
      </c>
      <c r="F4768" s="88">
        <v>8000</v>
      </c>
      <c r="G4768" s="46"/>
      <c r="H4768" s="46">
        <f>IFERROR(TRANSACTIONS!$F4768+TRANSACTIONS!$G4768,"")</f>
        <v>8000</v>
      </c>
      <c r="I4768" s="40" t="s">
        <v>41</v>
      </c>
    </row>
    <row r="4769" spans="1:10" x14ac:dyDescent="0.25">
      <c r="A4769" s="41">
        <v>45380.520468171293</v>
      </c>
      <c r="B4769" s="48">
        <f>IF(A4769&lt;&gt;"",DATE(YEAR(TRANSACTIONS!$A4769),MONTH(TRANSACTIONS!$A4769),DAY(TRANSACTIONS!$A4769)),"")</f>
        <v>45380</v>
      </c>
      <c r="C4769" s="49">
        <f>IF(A4769&lt;&gt;"",TIME(HOUR(TRANSACTIONS!$A4769),MINUTE(TRANSACTIONS!$A4769),SECOND(TRANSACTIONS!$A4769)),"")</f>
        <v>0.52046296296296302</v>
      </c>
      <c r="D4769" s="82" t="s">
        <v>62</v>
      </c>
      <c r="E4769" s="82" t="s">
        <v>6</v>
      </c>
      <c r="F4769" s="88">
        <v>1000</v>
      </c>
      <c r="G4769" s="46"/>
      <c r="H4769" s="46">
        <f>IFERROR(TRANSACTIONS!$F4769+TRANSACTIONS!$G4769,"")</f>
        <v>1000</v>
      </c>
      <c r="I4769" s="40" t="s">
        <v>41</v>
      </c>
    </row>
    <row r="4770" spans="1:10" x14ac:dyDescent="0.25">
      <c r="A4770" s="41">
        <v>45380.520483217595</v>
      </c>
      <c r="B4770" s="48">
        <f>IF(A4770&lt;&gt;"",DATE(YEAR(TRANSACTIONS!$A4770),MONTH(TRANSACTIONS!$A4770),DAY(TRANSACTIONS!$A4770)),"")</f>
        <v>45380</v>
      </c>
      <c r="C4770" s="49">
        <f>IF(A4770&lt;&gt;"",TIME(HOUR(TRANSACTIONS!$A4770),MINUTE(TRANSACTIONS!$A4770),SECOND(TRANSACTIONS!$A4770)),"")</f>
        <v>0.52048611111111109</v>
      </c>
      <c r="D4770" s="82" t="s">
        <v>62</v>
      </c>
      <c r="E4770" s="82" t="s">
        <v>6</v>
      </c>
      <c r="F4770" s="88">
        <v>2000</v>
      </c>
      <c r="G4770" s="46"/>
      <c r="H4770" s="46">
        <f>IFERROR(TRANSACTIONS!$F4770+TRANSACTIONS!$G4770,"")</f>
        <v>2000</v>
      </c>
      <c r="I4770" s="40" t="s">
        <v>41</v>
      </c>
    </row>
    <row r="4771" spans="1:10" x14ac:dyDescent="0.25">
      <c r="A4771" s="41">
        <v>45380.520491203701</v>
      </c>
      <c r="B4771" s="48">
        <f>IF(A4771&lt;&gt;"",DATE(YEAR(TRANSACTIONS!$A4771),MONTH(TRANSACTIONS!$A4771),DAY(TRANSACTIONS!$A4771)),"")</f>
        <v>45380</v>
      </c>
      <c r="C4771" s="49">
        <f>IF(A4771&lt;&gt;"",TIME(HOUR(TRANSACTIONS!$A4771),MINUTE(TRANSACTIONS!$A4771),SECOND(TRANSACTIONS!$A4771)),"")</f>
        <v>0.52048611111111109</v>
      </c>
      <c r="D4771" s="82" t="s">
        <v>62</v>
      </c>
      <c r="E4771" s="82" t="s">
        <v>7</v>
      </c>
      <c r="F4771" s="88">
        <v>30000</v>
      </c>
      <c r="G4771" s="46"/>
      <c r="H4771" s="46">
        <f>IFERROR(TRANSACTIONS!$F4771+TRANSACTIONS!$G4771,"")</f>
        <v>30000</v>
      </c>
      <c r="I4771" s="40" t="s">
        <v>41</v>
      </c>
    </row>
    <row r="4772" spans="1:10" x14ac:dyDescent="0.25">
      <c r="A4772" s="41">
        <v>45380.520506828703</v>
      </c>
      <c r="B4772" s="48">
        <f>IF(A4772&lt;&gt;"",DATE(YEAR(TRANSACTIONS!$A4772),MONTH(TRANSACTIONS!$A4772),DAY(TRANSACTIONS!$A4772)),"")</f>
        <v>45380</v>
      </c>
      <c r="C4772" s="49">
        <f>IF(A4772&lt;&gt;"",TIME(HOUR(TRANSACTIONS!$A4772),MINUTE(TRANSACTIONS!$A4772),SECOND(TRANSACTIONS!$A4772)),"")</f>
        <v>0.52050925925925928</v>
      </c>
      <c r="D4772" s="82" t="s">
        <v>62</v>
      </c>
      <c r="E4772" s="82" t="s">
        <v>7</v>
      </c>
      <c r="F4772" s="88">
        <v>20000</v>
      </c>
      <c r="G4772" s="46"/>
      <c r="H4772" s="46">
        <f>IFERROR(TRANSACTIONS!$F4772+TRANSACTIONS!$G4772,"")</f>
        <v>20000</v>
      </c>
      <c r="I4772" s="40" t="s">
        <v>41</v>
      </c>
    </row>
    <row r="4773" spans="1:10" x14ac:dyDescent="0.25">
      <c r="A4773" s="113">
        <v>45380.527445717591</v>
      </c>
      <c r="B4773" s="114">
        <f>IF(A4773&lt;&gt;"",DATE(YEAR(TRANSACTIONS!$A4773),MONTH(TRANSACTIONS!$A4773),DAY(TRANSACTIONS!$A4773)),"")</f>
        <v>45380</v>
      </c>
      <c r="C4773" s="115">
        <f>IF(A4773&lt;&gt;"",TIME(HOUR(TRANSACTIONS!$A4773),MINUTE(TRANSACTIONS!$A4773),SECOND(TRANSACTIONS!$A4773)),"")</f>
        <v>0.52744212962962966</v>
      </c>
      <c r="D4773" s="82" t="s">
        <v>62</v>
      </c>
      <c r="E4773" s="82" t="s">
        <v>7</v>
      </c>
      <c r="F4773" s="88">
        <v>1000</v>
      </c>
      <c r="G4773" s="117"/>
      <c r="H4773" s="117">
        <f>IFERROR(TRANSACTIONS!$F4773+TRANSACTIONS!$G4773,"")</f>
        <v>1000</v>
      </c>
      <c r="I4773" s="118" t="s">
        <v>41</v>
      </c>
    </row>
    <row r="4774" spans="1:10" x14ac:dyDescent="0.25">
      <c r="A4774" s="41">
        <v>45380.527488194442</v>
      </c>
      <c r="B4774" s="48">
        <f>IF(A4774&lt;&gt;"",DATE(YEAR(TRANSACTIONS!$A4774),MONTH(TRANSACTIONS!$A4774),DAY(TRANSACTIONS!$A4774)),"")</f>
        <v>45380</v>
      </c>
      <c r="C4774" s="49">
        <f>IF(A4774&lt;&gt;"",TIME(HOUR(TRANSACTIONS!$A4774),MINUTE(TRANSACTIONS!$A4774),SECOND(TRANSACTIONS!$A4774)),"")</f>
        <v>0.52748842592592593</v>
      </c>
      <c r="D4774" s="82" t="s">
        <v>62</v>
      </c>
      <c r="E4774" s="82" t="s">
        <v>6</v>
      </c>
      <c r="F4774" s="88">
        <v>27000</v>
      </c>
      <c r="G4774" s="46"/>
      <c r="H4774" s="46">
        <f>IFERROR(TRANSACTIONS!$F4774+TRANSACTIONS!$G4774,"")</f>
        <v>27000</v>
      </c>
      <c r="I4774" s="40" t="s">
        <v>41</v>
      </c>
    </row>
    <row r="4775" spans="1:10" x14ac:dyDescent="0.25">
      <c r="A4775" s="41">
        <v>45380.527505208331</v>
      </c>
      <c r="B4775" s="48">
        <f>IF(A4775&lt;&gt;"",DATE(YEAR(TRANSACTIONS!$A4775),MONTH(TRANSACTIONS!$A4775),DAY(TRANSACTIONS!$A4775)),"")</f>
        <v>45380</v>
      </c>
      <c r="C4775" s="49">
        <f>IF(A4775&lt;&gt;"",TIME(HOUR(TRANSACTIONS!$A4775),MINUTE(TRANSACTIONS!$A4775),SECOND(TRANSACTIONS!$A4775)),"")</f>
        <v>0.52749999999999997</v>
      </c>
      <c r="D4775" s="82" t="s">
        <v>62</v>
      </c>
      <c r="E4775" s="82" t="s">
        <v>6</v>
      </c>
      <c r="F4775" s="88">
        <v>3000</v>
      </c>
      <c r="G4775" s="46"/>
      <c r="H4775" s="46">
        <f>IFERROR(TRANSACTIONS!$F4775+TRANSACTIONS!$G4775,"")</f>
        <v>3000</v>
      </c>
      <c r="I4775" s="40" t="s">
        <v>41</v>
      </c>
    </row>
    <row r="4776" spans="1:10" x14ac:dyDescent="0.25">
      <c r="A4776" s="41">
        <v>45380.527592129627</v>
      </c>
      <c r="B4776" s="48">
        <f>IF(A4776&lt;&gt;"",DATE(YEAR(TRANSACTIONS!$A4776),MONTH(TRANSACTIONS!$A4776),DAY(TRANSACTIONS!$A4776)),"")</f>
        <v>45380</v>
      </c>
      <c r="C4776" s="49">
        <f>IF(A4776&lt;&gt;"",TIME(HOUR(TRANSACTIONS!$A4776),MINUTE(TRANSACTIONS!$A4776),SECOND(TRANSACTIONS!$A4776)),"")</f>
        <v>0.52759259259259261</v>
      </c>
      <c r="D4776" s="82" t="s">
        <v>62</v>
      </c>
      <c r="E4776" s="82" t="s">
        <v>6</v>
      </c>
      <c r="F4776" s="88">
        <v>20200</v>
      </c>
      <c r="G4776" s="46"/>
      <c r="H4776" s="46">
        <f>IFERROR(TRANSACTIONS!$F4776+TRANSACTIONS!$G4776,"")</f>
        <v>20200</v>
      </c>
      <c r="I4776" s="40" t="s">
        <v>41</v>
      </c>
    </row>
    <row r="4777" spans="1:10" x14ac:dyDescent="0.25">
      <c r="A4777" s="41">
        <v>45380.533469560185</v>
      </c>
      <c r="B4777" s="48">
        <f>IF(A4777&lt;&gt;"",DATE(YEAR(TRANSACTIONS!$A4777),MONTH(TRANSACTIONS!$A4777),DAY(TRANSACTIONS!$A4777)),"")</f>
        <v>45380</v>
      </c>
      <c r="C4777" s="49">
        <f>IF(A4777&lt;&gt;"",TIME(HOUR(TRANSACTIONS!$A4777),MINUTE(TRANSACTIONS!$A4777),SECOND(TRANSACTIONS!$A4777)),"")</f>
        <v>0.53347222222222224</v>
      </c>
      <c r="D4777" s="82" t="s">
        <v>62</v>
      </c>
      <c r="E4777" s="82" t="s">
        <v>6</v>
      </c>
      <c r="F4777" s="88">
        <v>8000</v>
      </c>
      <c r="G4777" s="46"/>
      <c r="H4777" s="46">
        <f>IFERROR(TRANSACTIONS!$F4777+TRANSACTIONS!$G4777,"")</f>
        <v>8000</v>
      </c>
      <c r="I4777" s="40" t="s">
        <v>41</v>
      </c>
    </row>
    <row r="4778" spans="1:10" x14ac:dyDescent="0.25">
      <c r="A4778" s="41">
        <v>45380.545820023151</v>
      </c>
      <c r="B4778" s="48">
        <f>IF(A4778&lt;&gt;"",DATE(YEAR(TRANSACTIONS!$A4778),MONTH(TRANSACTIONS!$A4778),DAY(TRANSACTIONS!$A4778)),"")</f>
        <v>45380</v>
      </c>
      <c r="C4778" s="49">
        <f>IF(A4778&lt;&gt;"",TIME(HOUR(TRANSACTIONS!$A4778),MINUTE(TRANSACTIONS!$A4778),SECOND(TRANSACTIONS!$A4778)),"")</f>
        <v>0.54582175925925924</v>
      </c>
      <c r="D4778" s="82" t="s">
        <v>62</v>
      </c>
      <c r="E4778" s="82" t="s">
        <v>6</v>
      </c>
      <c r="F4778" s="88">
        <v>40500</v>
      </c>
      <c r="G4778" s="46"/>
      <c r="H4778" s="46">
        <f>IFERROR(TRANSACTIONS!$F4778+TRANSACTIONS!$G4778,"")</f>
        <v>40500</v>
      </c>
      <c r="I4778" s="40" t="s">
        <v>41</v>
      </c>
    </row>
    <row r="4779" spans="1:10" x14ac:dyDescent="0.25">
      <c r="A4779" s="81">
        <v>45380.545832291667</v>
      </c>
      <c r="B4779" s="83">
        <f>IF(A4779&lt;&gt;"",DATE(YEAR(TRANSACTIONS!$A4779),MONTH(TRANSACTIONS!$A4779),DAY(TRANSACTIONS!$A4779)),"")</f>
        <v>45380</v>
      </c>
      <c r="C4779" s="84">
        <f>IF(A4779&lt;&gt;"",TIME(HOUR(TRANSACTIONS!$A4779),MINUTE(TRANSACTIONS!$A4779),SECOND(TRANSACTIONS!$A4779)),"")</f>
        <v>0.54583333333333328</v>
      </c>
      <c r="D4779" s="82" t="s">
        <v>62</v>
      </c>
      <c r="E4779" s="82" t="s">
        <v>7</v>
      </c>
      <c r="F4779" s="88">
        <v>4500</v>
      </c>
      <c r="G4779" s="86"/>
      <c r="H4779" s="86">
        <f>IFERROR(TRANSACTIONS!$F4779+TRANSACTIONS!$G4779,"")</f>
        <v>4500</v>
      </c>
      <c r="I4779" s="88" t="s">
        <v>41</v>
      </c>
      <c r="J4779" s="88"/>
    </row>
    <row r="4780" spans="1:10" x14ac:dyDescent="0.25">
      <c r="A4780" s="41">
        <v>45380.54587303241</v>
      </c>
      <c r="B4780" s="48">
        <f>IF(A4780&lt;&gt;"",DATE(YEAR(TRANSACTIONS!$A4780),MONTH(TRANSACTIONS!$A4780),DAY(TRANSACTIONS!$A4780)),"")</f>
        <v>45380</v>
      </c>
      <c r="C4780" s="49">
        <f>IF(A4780&lt;&gt;"",TIME(HOUR(TRANSACTIONS!$A4780),MINUTE(TRANSACTIONS!$A4780),SECOND(TRANSACTIONS!$A4780)),"")</f>
        <v>0.54586805555555562</v>
      </c>
      <c r="D4780" s="82" t="s">
        <v>25</v>
      </c>
      <c r="E4780" s="82" t="s">
        <v>6</v>
      </c>
      <c r="F4780" s="88">
        <v>2500</v>
      </c>
      <c r="G4780" s="46"/>
      <c r="H4780" s="46">
        <f>IFERROR(TRANSACTIONS!$F4780+TRANSACTIONS!$G4780,"")</f>
        <v>2500</v>
      </c>
      <c r="I4780" s="40" t="s">
        <v>41</v>
      </c>
    </row>
    <row r="4781" spans="1:10" x14ac:dyDescent="0.25">
      <c r="A4781" s="41">
        <v>45380.546686226851</v>
      </c>
      <c r="B4781" s="48">
        <f>IF(A4781&lt;&gt;"",DATE(YEAR(TRANSACTIONS!$A4781),MONTH(TRANSACTIONS!$A4781),DAY(TRANSACTIONS!$A4781)),"")</f>
        <v>45380</v>
      </c>
      <c r="C4781" s="49">
        <f>IF(A4781&lt;&gt;"",TIME(HOUR(TRANSACTIONS!$A4781),MINUTE(TRANSACTIONS!$A4781),SECOND(TRANSACTIONS!$A4781)),"")</f>
        <v>0.54668981481481482</v>
      </c>
      <c r="D4781" s="82" t="s">
        <v>25</v>
      </c>
      <c r="E4781" s="82" t="s">
        <v>6</v>
      </c>
      <c r="F4781" s="88">
        <v>100000</v>
      </c>
      <c r="G4781" s="46"/>
      <c r="H4781" s="46">
        <f>IFERROR(TRANSACTIONS!$F4781+TRANSACTIONS!$G4781,"")</f>
        <v>100000</v>
      </c>
      <c r="I4781" s="40" t="s">
        <v>41</v>
      </c>
    </row>
    <row r="4782" spans="1:10" x14ac:dyDescent="0.25">
      <c r="A4782" s="41">
        <v>45380.54675115741</v>
      </c>
      <c r="B4782" s="48">
        <f>IF(A4782&lt;&gt;"",DATE(YEAR(TRANSACTIONS!$A4782),MONTH(TRANSACTIONS!$A4782),DAY(TRANSACTIONS!$A4782)),"")</f>
        <v>45380</v>
      </c>
      <c r="C4782" s="49">
        <f>IF(A4782&lt;&gt;"",TIME(HOUR(TRANSACTIONS!$A4782),MINUTE(TRANSACTIONS!$A4782),SECOND(TRANSACTIONS!$A4782)),"")</f>
        <v>0.54674768518518524</v>
      </c>
      <c r="D4782" s="82" t="s">
        <v>62</v>
      </c>
      <c r="E4782" s="82" t="s">
        <v>6</v>
      </c>
      <c r="F4782" s="88">
        <v>20200</v>
      </c>
      <c r="G4782" s="46"/>
      <c r="H4782" s="46">
        <f>IFERROR(TRANSACTIONS!$F4782+TRANSACTIONS!$G4782,"")</f>
        <v>20200</v>
      </c>
      <c r="I4782" s="40" t="s">
        <v>41</v>
      </c>
    </row>
    <row r="4783" spans="1:10" x14ac:dyDescent="0.25">
      <c r="A4783" s="41">
        <v>45380.546759837962</v>
      </c>
      <c r="B4783" s="48">
        <f>IF(A4783&lt;&gt;"",DATE(YEAR(TRANSACTIONS!$A4783),MONTH(TRANSACTIONS!$A4783),DAY(TRANSACTIONS!$A4783)),"")</f>
        <v>45380</v>
      </c>
      <c r="C4783" s="49">
        <f>IF(A4783&lt;&gt;"",TIME(HOUR(TRANSACTIONS!$A4783),MINUTE(TRANSACTIONS!$A4783),SECOND(TRANSACTIONS!$A4783)),"")</f>
        <v>0.54675925925925928</v>
      </c>
      <c r="D4783" s="82" t="s">
        <v>62</v>
      </c>
      <c r="E4783" s="82" t="s">
        <v>7</v>
      </c>
      <c r="F4783" s="88">
        <v>5000</v>
      </c>
      <c r="G4783" s="46"/>
      <c r="H4783" s="46">
        <f>IFERROR(TRANSACTIONS!$F4783+TRANSACTIONS!$G4783,"")</f>
        <v>5000</v>
      </c>
      <c r="I4783" s="40" t="s">
        <v>41</v>
      </c>
    </row>
    <row r="4784" spans="1:10" x14ac:dyDescent="0.25">
      <c r="A4784" s="41">
        <v>45380.546767939813</v>
      </c>
      <c r="B4784" s="48">
        <f>IF(A4784&lt;&gt;"",DATE(YEAR(TRANSACTIONS!$A4784),MONTH(TRANSACTIONS!$A4784),DAY(TRANSACTIONS!$A4784)),"")</f>
        <v>45380</v>
      </c>
      <c r="C4784" s="49">
        <f>IF(A4784&lt;&gt;"",TIME(HOUR(TRANSACTIONS!$A4784),MINUTE(TRANSACTIONS!$A4784),SECOND(TRANSACTIONS!$A4784)),"")</f>
        <v>0.54677083333333332</v>
      </c>
      <c r="D4784" s="82" t="s">
        <v>62</v>
      </c>
      <c r="E4784" s="82" t="s">
        <v>7</v>
      </c>
      <c r="F4784" s="88">
        <v>10000</v>
      </c>
      <c r="G4784" s="46"/>
      <c r="H4784" s="46">
        <f>IFERROR(TRANSACTIONS!$F4784+TRANSACTIONS!$G4784,"")</f>
        <v>10000</v>
      </c>
      <c r="I4784" s="40" t="s">
        <v>41</v>
      </c>
    </row>
    <row r="4785" spans="1:9" x14ac:dyDescent="0.25">
      <c r="A4785" s="41">
        <v>45380.546781944446</v>
      </c>
      <c r="B4785" s="48">
        <f>IF(A4785&lt;&gt;"",DATE(YEAR(TRANSACTIONS!$A4785),MONTH(TRANSACTIONS!$A4785),DAY(TRANSACTIONS!$A4785)),"")</f>
        <v>45380</v>
      </c>
      <c r="C4785" s="49">
        <f>IF(A4785&lt;&gt;"",TIME(HOUR(TRANSACTIONS!$A4785),MINUTE(TRANSACTIONS!$A4785),SECOND(TRANSACTIONS!$A4785)),"")</f>
        <v>0.54678240740740736</v>
      </c>
      <c r="D4785" s="82" t="s">
        <v>62</v>
      </c>
      <c r="E4785" s="82" t="s">
        <v>6</v>
      </c>
      <c r="F4785" s="88">
        <v>10000</v>
      </c>
      <c r="G4785" s="46"/>
      <c r="H4785" s="46">
        <f>IFERROR(TRANSACTIONS!$F4785+TRANSACTIONS!$G4785,"")</f>
        <v>10000</v>
      </c>
      <c r="I4785" s="40" t="s">
        <v>41</v>
      </c>
    </row>
    <row r="4786" spans="1:9" x14ac:dyDescent="0.25">
      <c r="A4786" s="41">
        <v>45380.612551620368</v>
      </c>
      <c r="B4786" s="48">
        <f>IF(A4786&lt;&gt;"",DATE(YEAR(TRANSACTIONS!$A4786),MONTH(TRANSACTIONS!$A4786),DAY(TRANSACTIONS!$A4786)),"")</f>
        <v>45380</v>
      </c>
      <c r="C4786" s="49">
        <f>IF(A4786&lt;&gt;"",TIME(HOUR(TRANSACTIONS!$A4786),MINUTE(TRANSACTIONS!$A4786),SECOND(TRANSACTIONS!$A4786)),"")</f>
        <v>0.61254629629629631</v>
      </c>
      <c r="D4786" s="82" t="s">
        <v>62</v>
      </c>
      <c r="E4786" s="82" t="s">
        <v>6</v>
      </c>
      <c r="F4786" s="88">
        <v>5000</v>
      </c>
      <c r="G4786" s="46"/>
      <c r="H4786" s="46">
        <f>IFERROR(TRANSACTIONS!$F4786+TRANSACTIONS!$G4786,"")</f>
        <v>5000</v>
      </c>
      <c r="I4786" s="40" t="s">
        <v>41</v>
      </c>
    </row>
    <row r="4787" spans="1:9" x14ac:dyDescent="0.25">
      <c r="A4787" s="41">
        <v>45380.623260069442</v>
      </c>
      <c r="B4787" s="48">
        <f>IF(A4787&lt;&gt;"",DATE(YEAR(TRANSACTIONS!$A4787),MONTH(TRANSACTIONS!$A4787),DAY(TRANSACTIONS!$A4787)),"")</f>
        <v>45380</v>
      </c>
      <c r="C4787" s="49">
        <f>IF(A4787&lt;&gt;"",TIME(HOUR(TRANSACTIONS!$A4787),MINUTE(TRANSACTIONS!$A4787),SECOND(TRANSACTIONS!$A4787)),"")</f>
        <v>0.62326388888888895</v>
      </c>
      <c r="D4787" s="82" t="s">
        <v>62</v>
      </c>
      <c r="E4787" s="82" t="s">
        <v>6</v>
      </c>
      <c r="F4787" s="88">
        <v>1500</v>
      </c>
      <c r="G4787" s="46"/>
      <c r="H4787" s="46">
        <f>IFERROR(TRANSACTIONS!$F4787+TRANSACTIONS!$G4787,"")</f>
        <v>1500</v>
      </c>
      <c r="I4787" s="40" t="s">
        <v>41</v>
      </c>
    </row>
    <row r="4788" spans="1:9" x14ac:dyDescent="0.25">
      <c r="A4788" s="41">
        <v>45380.623263657406</v>
      </c>
      <c r="B4788" s="48">
        <f>IF(A4788&lt;&gt;"",DATE(YEAR(TRANSACTIONS!$A4788),MONTH(TRANSACTIONS!$A4788),DAY(TRANSACTIONS!$A4788)),"")</f>
        <v>45380</v>
      </c>
      <c r="C4788" s="49">
        <f>IF(A4788&lt;&gt;"",TIME(HOUR(TRANSACTIONS!$A4788),MINUTE(TRANSACTIONS!$A4788),SECOND(TRANSACTIONS!$A4788)),"")</f>
        <v>0.62326388888888895</v>
      </c>
      <c r="D4788" s="82" t="s">
        <v>62</v>
      </c>
      <c r="E4788" s="82" t="s">
        <v>7</v>
      </c>
      <c r="F4788" s="88">
        <v>20000</v>
      </c>
      <c r="G4788" s="46"/>
      <c r="H4788" s="46">
        <f>IFERROR(TRANSACTIONS!$F4788+TRANSACTIONS!$G4788,"")</f>
        <v>20000</v>
      </c>
      <c r="I4788" s="40" t="s">
        <v>41</v>
      </c>
    </row>
    <row r="4789" spans="1:9" x14ac:dyDescent="0.25">
      <c r="A4789" s="41">
        <v>45380.623300810184</v>
      </c>
      <c r="B4789" s="48">
        <f>IF(A4789&lt;&gt;"",DATE(YEAR(TRANSACTIONS!$A4789),MONTH(TRANSACTIONS!$A4789),DAY(TRANSACTIONS!$A4789)),"")</f>
        <v>45380</v>
      </c>
      <c r="C4789" s="49">
        <f>IF(A4789&lt;&gt;"",TIME(HOUR(TRANSACTIONS!$A4789),MINUTE(TRANSACTIONS!$A4789),SECOND(TRANSACTIONS!$A4789)),"")</f>
        <v>0.62329861111111107</v>
      </c>
      <c r="D4789" s="82" t="s">
        <v>62</v>
      </c>
      <c r="E4789" s="82" t="s">
        <v>6</v>
      </c>
      <c r="F4789" s="88">
        <v>3000</v>
      </c>
      <c r="G4789" s="46"/>
      <c r="H4789" s="46">
        <f>IFERROR(TRANSACTIONS!$F4789+TRANSACTIONS!$G4789,"")</f>
        <v>3000</v>
      </c>
      <c r="I4789" s="40" t="s">
        <v>41</v>
      </c>
    </row>
    <row r="4790" spans="1:9" x14ac:dyDescent="0.25">
      <c r="A4790" s="41">
        <v>45380.623316435187</v>
      </c>
      <c r="B4790" s="48">
        <f>IF(A4790&lt;&gt;"",DATE(YEAR(TRANSACTIONS!$A4790),MONTH(TRANSACTIONS!$A4790),DAY(TRANSACTIONS!$A4790)),"")</f>
        <v>45380</v>
      </c>
      <c r="C4790" s="49">
        <f>IF(A4790&lt;&gt;"",TIME(HOUR(TRANSACTIONS!$A4790),MINUTE(TRANSACTIONS!$A4790),SECOND(TRANSACTIONS!$A4790)),"")</f>
        <v>0.62332175925925926</v>
      </c>
      <c r="D4790" s="82" t="s">
        <v>62</v>
      </c>
      <c r="E4790" s="82" t="s">
        <v>6</v>
      </c>
      <c r="F4790" s="88">
        <v>5100</v>
      </c>
      <c r="G4790" s="46"/>
      <c r="H4790" s="46">
        <f>IFERROR(TRANSACTIONS!$F4790+TRANSACTIONS!$G4790,"")</f>
        <v>5100</v>
      </c>
      <c r="I4790" s="40" t="s">
        <v>41</v>
      </c>
    </row>
    <row r="4791" spans="1:9" x14ac:dyDescent="0.25">
      <c r="A4791" s="41">
        <v>45380.623308680559</v>
      </c>
      <c r="B4791" s="48">
        <f>IF(A4791&lt;&gt;"",DATE(YEAR(TRANSACTIONS!$A4791),MONTH(TRANSACTIONS!$A4791),DAY(TRANSACTIONS!$A4791)),"")</f>
        <v>45380</v>
      </c>
      <c r="C4791" s="49">
        <f>IF(A4791&lt;&gt;"",TIME(HOUR(TRANSACTIONS!$A4791),MINUTE(TRANSACTIONS!$A4791),SECOND(TRANSACTIONS!$A4791)),"")</f>
        <v>0.62331018518518522</v>
      </c>
      <c r="D4791" s="82" t="s">
        <v>62</v>
      </c>
      <c r="E4791" s="82" t="s">
        <v>7</v>
      </c>
      <c r="F4791" s="88">
        <v>35000</v>
      </c>
      <c r="G4791" s="46"/>
      <c r="H4791" s="46">
        <f>IFERROR(TRANSACTIONS!$F4791+TRANSACTIONS!$G4791,"")</f>
        <v>35000</v>
      </c>
      <c r="I4791" s="40" t="s">
        <v>41</v>
      </c>
    </row>
    <row r="4792" spans="1:9" x14ac:dyDescent="0.25">
      <c r="A4792" s="41">
        <v>45380.624789699075</v>
      </c>
      <c r="B4792" s="48">
        <f>IF(A4792&lt;&gt;"",DATE(YEAR(TRANSACTIONS!$A4792),MONTH(TRANSACTIONS!$A4792),DAY(TRANSACTIONS!$A4792)),"")</f>
        <v>45380</v>
      </c>
      <c r="C4792" s="49">
        <f>IF(A4792&lt;&gt;"",TIME(HOUR(TRANSACTIONS!$A4792),MINUTE(TRANSACTIONS!$A4792),SECOND(TRANSACTIONS!$A4792)),"")</f>
        <v>0.62479166666666663</v>
      </c>
      <c r="D4792" s="82" t="s">
        <v>62</v>
      </c>
      <c r="E4792" s="82" t="s">
        <v>6</v>
      </c>
      <c r="F4792" s="88">
        <v>13150</v>
      </c>
      <c r="G4792" s="46"/>
      <c r="H4792" s="46">
        <f>IFERROR(TRANSACTIONS!$F4792+TRANSACTIONS!$G4792,"")</f>
        <v>13150</v>
      </c>
      <c r="I4792" s="40" t="s">
        <v>41</v>
      </c>
    </row>
    <row r="4793" spans="1:9" x14ac:dyDescent="0.25">
      <c r="A4793" s="81">
        <v>45380.634767129632</v>
      </c>
      <c r="B4793" s="83">
        <f>IF(A4793&lt;&gt;"",DATE(YEAR(TRANSACTIONS!$A4793),MONTH(TRANSACTIONS!$A4793),DAY(TRANSACTIONS!$A4793)),"")</f>
        <v>45380</v>
      </c>
      <c r="C4793" s="84">
        <f>IF(A4793&lt;&gt;"",TIME(HOUR(TRANSACTIONS!$A4793),MINUTE(TRANSACTIONS!$A4793),SECOND(TRANSACTIONS!$A4793)),"")</f>
        <v>0.63476851851851845</v>
      </c>
      <c r="D4793" s="82" t="s">
        <v>62</v>
      </c>
      <c r="E4793" s="82" t="s">
        <v>7</v>
      </c>
      <c r="F4793" s="88">
        <v>20000</v>
      </c>
      <c r="G4793" s="86"/>
      <c r="H4793" s="86">
        <f>IFERROR(TRANSACTIONS!$F4793+TRANSACTIONS!$G4793,"")</f>
        <v>20000</v>
      </c>
      <c r="I4793" s="88" t="s">
        <v>41</v>
      </c>
    </row>
    <row r="4794" spans="1:9" x14ac:dyDescent="0.25">
      <c r="A4794" s="41">
        <v>45380.650877430555</v>
      </c>
      <c r="B4794" s="48">
        <f>IF(A4794&lt;&gt;"",DATE(YEAR(TRANSACTIONS!$A4794),MONTH(TRANSACTIONS!$A4794),DAY(TRANSACTIONS!$A4794)),"")</f>
        <v>45380</v>
      </c>
      <c r="C4794" s="49">
        <f>IF(A4794&lt;&gt;"",TIME(HOUR(TRANSACTIONS!$A4794),MINUTE(TRANSACTIONS!$A4794),SECOND(TRANSACTIONS!$A4794)),"")</f>
        <v>0.65087962962962964</v>
      </c>
      <c r="D4794" s="82" t="s">
        <v>62</v>
      </c>
      <c r="E4794" s="82" t="s">
        <v>7</v>
      </c>
      <c r="F4794" s="88">
        <v>50000</v>
      </c>
      <c r="G4794" s="46"/>
      <c r="H4794" s="46">
        <f>IFERROR(TRANSACTIONS!$F4794+TRANSACTIONS!$G4794,"")</f>
        <v>50000</v>
      </c>
      <c r="I4794" s="40" t="s">
        <v>41</v>
      </c>
    </row>
    <row r="4795" spans="1:9" x14ac:dyDescent="0.25">
      <c r="A4795" s="41">
        <v>45380.65089016204</v>
      </c>
      <c r="B4795" s="48">
        <f>IF(A4795&lt;&gt;"",DATE(YEAR(TRANSACTIONS!$A4795),MONTH(TRANSACTIONS!$A4795),DAY(TRANSACTIONS!$A4795)),"")</f>
        <v>45380</v>
      </c>
      <c r="C4795" s="49">
        <f>IF(A4795&lt;&gt;"",TIME(HOUR(TRANSACTIONS!$A4795),MINUTE(TRANSACTIONS!$A4795),SECOND(TRANSACTIONS!$A4795)),"")</f>
        <v>0.65089120370370368</v>
      </c>
      <c r="D4795" s="82" t="s">
        <v>25</v>
      </c>
      <c r="E4795" s="82" t="s">
        <v>6</v>
      </c>
      <c r="F4795" s="88">
        <v>600</v>
      </c>
      <c r="G4795" s="46"/>
      <c r="H4795" s="46">
        <f>IFERROR(TRANSACTIONS!$F4795+TRANSACTIONS!$G4795,"")</f>
        <v>600</v>
      </c>
      <c r="I4795" s="40" t="s">
        <v>41</v>
      </c>
    </row>
    <row r="4796" spans="1:9" x14ac:dyDescent="0.25">
      <c r="A4796" s="41">
        <v>45380.650898032407</v>
      </c>
      <c r="B4796" s="48">
        <f>IF(A4796&lt;&gt;"",DATE(YEAR(TRANSACTIONS!$A4796),MONTH(TRANSACTIONS!$A4796),DAY(TRANSACTIONS!$A4796)),"")</f>
        <v>45380</v>
      </c>
      <c r="C4796" s="49">
        <f>IF(A4796&lt;&gt;"",TIME(HOUR(TRANSACTIONS!$A4796),MINUTE(TRANSACTIONS!$A4796),SECOND(TRANSACTIONS!$A4796)),"")</f>
        <v>0.65090277777777772</v>
      </c>
      <c r="D4796" s="82" t="s">
        <v>25</v>
      </c>
      <c r="E4796" s="82" t="s">
        <v>6</v>
      </c>
      <c r="F4796" s="88">
        <v>40000</v>
      </c>
      <c r="G4796" s="46"/>
      <c r="H4796" s="46">
        <f>IFERROR(TRANSACTIONS!$F4796+TRANSACTIONS!$G4796,"")</f>
        <v>40000</v>
      </c>
      <c r="I4796" s="40" t="s">
        <v>41</v>
      </c>
    </row>
    <row r="4797" spans="1:9" x14ac:dyDescent="0.25">
      <c r="A4797" s="41">
        <v>45380.65165104167</v>
      </c>
      <c r="B4797" s="48">
        <f>IF(A4797&lt;&gt;"",DATE(YEAR(TRANSACTIONS!$A4797),MONTH(TRANSACTIONS!$A4797),DAY(TRANSACTIONS!$A4797)),"")</f>
        <v>45380</v>
      </c>
      <c r="C4797" s="49">
        <f>IF(A4797&lt;&gt;"",TIME(HOUR(TRANSACTIONS!$A4797),MINUTE(TRANSACTIONS!$A4797),SECOND(TRANSACTIONS!$A4797)),"")</f>
        <v>0.65165509259259258</v>
      </c>
      <c r="D4797" s="82" t="s">
        <v>25</v>
      </c>
      <c r="E4797" s="82" t="s">
        <v>6</v>
      </c>
      <c r="F4797" s="88">
        <v>2000</v>
      </c>
      <c r="G4797" s="46"/>
      <c r="H4797" s="46">
        <f>IFERROR(TRANSACTIONS!$F4797+TRANSACTIONS!$G4797,"")</f>
        <v>2000</v>
      </c>
      <c r="I4797" s="40" t="s">
        <v>41</v>
      </c>
    </row>
    <row r="4798" spans="1:9" x14ac:dyDescent="0.25">
      <c r="A4798" s="41">
        <v>45380.651664004632</v>
      </c>
      <c r="B4798" s="48">
        <f>IF(A4798&lt;&gt;"",DATE(YEAR(TRANSACTIONS!$A4798),MONTH(TRANSACTIONS!$A4798),DAY(TRANSACTIONS!$A4798)),"")</f>
        <v>45380</v>
      </c>
      <c r="C4798" s="49">
        <f>IF(A4798&lt;&gt;"",TIME(HOUR(TRANSACTIONS!$A4798),MINUTE(TRANSACTIONS!$A4798),SECOND(TRANSACTIONS!$A4798)),"")</f>
        <v>0.65166666666666673</v>
      </c>
      <c r="D4798" s="82" t="s">
        <v>62</v>
      </c>
      <c r="E4798" s="82" t="s">
        <v>6</v>
      </c>
      <c r="F4798" s="88">
        <v>4000</v>
      </c>
      <c r="G4798" s="46"/>
      <c r="H4798" s="46">
        <f>IFERROR(TRANSACTIONS!$F4798+TRANSACTIONS!$G4798,"")</f>
        <v>4000</v>
      </c>
      <c r="I4798" s="40" t="s">
        <v>41</v>
      </c>
    </row>
    <row r="4799" spans="1:9" x14ac:dyDescent="0.25">
      <c r="A4799" s="41">
        <v>45380.651695138891</v>
      </c>
      <c r="B4799" s="48">
        <f>IF(A4799&lt;&gt;"",DATE(YEAR(TRANSACTIONS!$A4799),MONTH(TRANSACTIONS!$A4799),DAY(TRANSACTIONS!$A4799)),"")</f>
        <v>45380</v>
      </c>
      <c r="C4799" s="49">
        <f>IF(A4799&lt;&gt;"",TIME(HOUR(TRANSACTIONS!$A4799),MINUTE(TRANSACTIONS!$A4799),SECOND(TRANSACTIONS!$A4799)),"")</f>
        <v>0.65168981481481481</v>
      </c>
      <c r="D4799" s="82" t="s">
        <v>62</v>
      </c>
      <c r="E4799" s="82" t="s">
        <v>7</v>
      </c>
      <c r="F4799" s="88">
        <v>1000</v>
      </c>
      <c r="G4799" s="46"/>
      <c r="H4799" s="46">
        <f>IFERROR(TRANSACTIONS!$F4799+TRANSACTIONS!$G4799,"")</f>
        <v>1000</v>
      </c>
      <c r="I4799" s="40" t="s">
        <v>41</v>
      </c>
    </row>
    <row r="4800" spans="1:9" x14ac:dyDescent="0.25">
      <c r="A4800" s="41">
        <v>45380.651702430558</v>
      </c>
      <c r="B4800" s="48">
        <f>IF(A4800&lt;&gt;"",DATE(YEAR(TRANSACTIONS!$A4800),MONTH(TRANSACTIONS!$A4800),DAY(TRANSACTIONS!$A4800)),"")</f>
        <v>45380</v>
      </c>
      <c r="C4800" s="49">
        <f>IF(A4800&lt;&gt;"",TIME(HOUR(TRANSACTIONS!$A4800),MINUTE(TRANSACTIONS!$A4800),SECOND(TRANSACTIONS!$A4800)),"")</f>
        <v>0.65170138888888884</v>
      </c>
      <c r="D4800" s="82" t="s">
        <v>62</v>
      </c>
      <c r="E4800" s="82" t="s">
        <v>7</v>
      </c>
      <c r="F4800" s="88">
        <v>2000</v>
      </c>
      <c r="G4800" s="46"/>
      <c r="H4800" s="46">
        <f>IFERROR(TRANSACTIONS!$F4800+TRANSACTIONS!$G4800,"")</f>
        <v>2000</v>
      </c>
      <c r="I4800" s="40" t="s">
        <v>41</v>
      </c>
    </row>
    <row r="4801" spans="1:9" x14ac:dyDescent="0.25">
      <c r="A4801" s="41">
        <v>45380.656767939814</v>
      </c>
      <c r="B4801" s="48">
        <f>IF(A4801&lt;&gt;"",DATE(YEAR(TRANSACTIONS!$A4801),MONTH(TRANSACTIONS!$A4801),DAY(TRANSACTIONS!$A4801)),"")</f>
        <v>45380</v>
      </c>
      <c r="C4801" s="49">
        <f>IF(A4801&lt;&gt;"",TIME(HOUR(TRANSACTIONS!$A4801),MINUTE(TRANSACTIONS!$A4801),SECOND(TRANSACTIONS!$A4801)),"")</f>
        <v>0.6567708333333333</v>
      </c>
      <c r="D4801" s="82" t="s">
        <v>62</v>
      </c>
      <c r="E4801" s="82" t="s">
        <v>6</v>
      </c>
      <c r="F4801" s="88">
        <v>7000</v>
      </c>
      <c r="G4801" s="46"/>
      <c r="H4801" s="46">
        <f>IFERROR(TRANSACTIONS!$F4801+TRANSACTIONS!$G4801,"")</f>
        <v>7000</v>
      </c>
      <c r="I4801" s="40" t="s">
        <v>41</v>
      </c>
    </row>
    <row r="4802" spans="1:9" x14ac:dyDescent="0.25">
      <c r="A4802" s="41">
        <v>45380.713178935184</v>
      </c>
      <c r="B4802" s="48">
        <f>IF(A4802&lt;&gt;"",DATE(YEAR(TRANSACTIONS!$A4802),MONTH(TRANSACTIONS!$A4802),DAY(TRANSACTIONS!$A4802)),"")</f>
        <v>45380</v>
      </c>
      <c r="C4802" s="49">
        <f>IF(A4802&lt;&gt;"",TIME(HOUR(TRANSACTIONS!$A4802),MINUTE(TRANSACTIONS!$A4802),SECOND(TRANSACTIONS!$A4802)),"")</f>
        <v>0.71318287037037031</v>
      </c>
      <c r="D4802" s="82" t="s">
        <v>62</v>
      </c>
      <c r="E4802" s="82" t="s">
        <v>6</v>
      </c>
      <c r="F4802" s="88">
        <v>77200</v>
      </c>
      <c r="G4802" s="46"/>
      <c r="H4802" s="46">
        <f>IFERROR(TRANSACTIONS!$F4802+TRANSACTIONS!$G4802,"")</f>
        <v>77200</v>
      </c>
      <c r="I4802" s="40" t="s">
        <v>41</v>
      </c>
    </row>
    <row r="4803" spans="1:9" x14ac:dyDescent="0.25">
      <c r="A4803" s="41">
        <v>45380.713188310183</v>
      </c>
      <c r="B4803" s="48">
        <f>IF(A4803&lt;&gt;"",DATE(YEAR(TRANSACTIONS!$A4803),MONTH(TRANSACTIONS!$A4803),DAY(TRANSACTIONS!$A4803)),"")</f>
        <v>45380</v>
      </c>
      <c r="C4803" s="49">
        <f>IF(A4803&lt;&gt;"",TIME(HOUR(TRANSACTIONS!$A4803),MINUTE(TRANSACTIONS!$A4803),SECOND(TRANSACTIONS!$A4803)),"")</f>
        <v>0.71318287037037031</v>
      </c>
      <c r="D4803" s="82" t="s">
        <v>62</v>
      </c>
      <c r="E4803" s="82" t="s">
        <v>6</v>
      </c>
      <c r="F4803" s="88">
        <v>2000</v>
      </c>
      <c r="G4803" s="46"/>
      <c r="H4803" s="46">
        <f>IFERROR(TRANSACTIONS!$F4803+TRANSACTIONS!$G4803,"")</f>
        <v>2000</v>
      </c>
      <c r="I4803" s="40" t="s">
        <v>41</v>
      </c>
    </row>
    <row r="4804" spans="1:9" x14ac:dyDescent="0.25">
      <c r="A4804" s="41">
        <v>45380.713196296296</v>
      </c>
      <c r="B4804" s="48">
        <f>IF(A4804&lt;&gt;"",DATE(YEAR(TRANSACTIONS!$A4804),MONTH(TRANSACTIONS!$A4804),DAY(TRANSACTIONS!$A4804)),"")</f>
        <v>45380</v>
      </c>
      <c r="C4804" s="49">
        <f>IF(A4804&lt;&gt;"",TIME(HOUR(TRANSACTIONS!$A4804),MINUTE(TRANSACTIONS!$A4804),SECOND(TRANSACTIONS!$A4804)),"")</f>
        <v>0.71319444444444446</v>
      </c>
      <c r="D4804" s="179" t="s">
        <v>62</v>
      </c>
      <c r="E4804" s="82" t="s">
        <v>7</v>
      </c>
      <c r="F4804" s="88">
        <v>100000</v>
      </c>
      <c r="G4804" s="46"/>
      <c r="H4804" s="46">
        <f>IFERROR(TRANSACTIONS!$F4804+TRANSACTIONS!$G4804,"")</f>
        <v>100000</v>
      </c>
      <c r="I4804" s="40" t="s">
        <v>41</v>
      </c>
    </row>
    <row r="4805" spans="1:9" x14ac:dyDescent="0.25">
      <c r="A4805" s="41">
        <v>45380.713216319447</v>
      </c>
      <c r="B4805" s="48">
        <f>IF(A4805&lt;&gt;"",DATE(YEAR(TRANSACTIONS!$A4805),MONTH(TRANSACTIONS!$A4805),DAY(TRANSACTIONS!$A4805)),"")</f>
        <v>45380</v>
      </c>
      <c r="C4805" s="49">
        <f>IF(A4805&lt;&gt;"",TIME(HOUR(TRANSACTIONS!$A4805),MINUTE(TRANSACTIONS!$A4805),SECOND(TRANSACTIONS!$A4805)),"")</f>
        <v>0.71321759259259254</v>
      </c>
      <c r="D4805" s="82" t="s">
        <v>62</v>
      </c>
      <c r="E4805" s="82" t="s">
        <v>6</v>
      </c>
      <c r="F4805" s="88">
        <v>2000</v>
      </c>
      <c r="G4805" s="46"/>
      <c r="H4805" s="46">
        <f>IFERROR(TRANSACTIONS!$F4805+TRANSACTIONS!$G4805,"")</f>
        <v>2000</v>
      </c>
      <c r="I4805" s="40" t="s">
        <v>41</v>
      </c>
    </row>
    <row r="4806" spans="1:9" x14ac:dyDescent="0.25">
      <c r="A4806" s="41">
        <v>45380.716221759256</v>
      </c>
      <c r="B4806" s="48">
        <f>IF(A4806&lt;&gt;"",DATE(YEAR(TRANSACTIONS!$A4806),MONTH(TRANSACTIONS!$A4806),DAY(TRANSACTIONS!$A4806)),"")</f>
        <v>45380</v>
      </c>
      <c r="C4806" s="49">
        <f>IF(A4806&lt;&gt;"",TIME(HOUR(TRANSACTIONS!$A4806),MINUTE(TRANSACTIONS!$A4806),SECOND(TRANSACTIONS!$A4806)),"")</f>
        <v>0.71622685185185186</v>
      </c>
      <c r="D4806" s="82" t="s">
        <v>62</v>
      </c>
      <c r="E4806" s="82" t="s">
        <v>6</v>
      </c>
      <c r="F4806" s="88">
        <v>100000</v>
      </c>
      <c r="G4806" s="46"/>
      <c r="H4806" s="46">
        <f>IFERROR(TRANSACTIONS!$F4806+TRANSACTIONS!$G4806,"")</f>
        <v>100000</v>
      </c>
      <c r="I4806" s="40" t="s">
        <v>41</v>
      </c>
    </row>
    <row r="4807" spans="1:9" x14ac:dyDescent="0.25">
      <c r="A4807" s="81">
        <v>45380.716245949072</v>
      </c>
      <c r="B4807" s="83">
        <f>IF(A4807&lt;&gt;"",DATE(YEAR(TRANSACTIONS!$A4807),MONTH(TRANSACTIONS!$A4807),DAY(TRANSACTIONS!$A4807)),"")</f>
        <v>45380</v>
      </c>
      <c r="C4807" s="84">
        <f>IF(A4807&lt;&gt;"",TIME(HOUR(TRANSACTIONS!$A4807),MINUTE(TRANSACTIONS!$A4807),SECOND(TRANSACTIONS!$A4807)),"")</f>
        <v>0.71625000000000005</v>
      </c>
      <c r="D4807" s="82" t="s">
        <v>62</v>
      </c>
      <c r="E4807" s="82" t="s">
        <v>6</v>
      </c>
      <c r="F4807" s="88">
        <v>150000</v>
      </c>
      <c r="G4807" s="86"/>
      <c r="H4807" s="86">
        <f>IFERROR(TRANSACTIONS!$F4807+TRANSACTIONS!$G4807,"")</f>
        <v>150000</v>
      </c>
      <c r="I4807" s="88" t="s">
        <v>41</v>
      </c>
    </row>
    <row r="4808" spans="1:9" x14ac:dyDescent="0.25">
      <c r="A4808" s="41">
        <v>45380.71625972222</v>
      </c>
      <c r="B4808" s="48">
        <f>IF(A4808&lt;&gt;"",DATE(YEAR(TRANSACTIONS!$A4808),MONTH(TRANSACTIONS!$A4808),DAY(TRANSACTIONS!$A4808)),"")</f>
        <v>45380</v>
      </c>
      <c r="C4808" s="49">
        <f>IF(A4808&lt;&gt;"",TIME(HOUR(TRANSACTIONS!$A4808),MINUTE(TRANSACTIONS!$A4808),SECOND(TRANSACTIONS!$A4808)),"")</f>
        <v>0.71626157407407398</v>
      </c>
      <c r="D4808" s="82" t="s">
        <v>62</v>
      </c>
      <c r="E4808" s="82" t="s">
        <v>6</v>
      </c>
      <c r="F4808" s="88">
        <v>17000</v>
      </c>
      <c r="G4808" s="46"/>
      <c r="H4808" s="46">
        <f>IFERROR(TRANSACTIONS!$F4808+TRANSACTIONS!$G4808,"")</f>
        <v>17000</v>
      </c>
      <c r="I4808" s="40" t="s">
        <v>41</v>
      </c>
    </row>
    <row r="4809" spans="1:9" x14ac:dyDescent="0.25">
      <c r="A4809" s="41">
        <v>45380.716266782409</v>
      </c>
      <c r="B4809" s="48">
        <f>IF(A4809&lt;&gt;"",DATE(YEAR(TRANSACTIONS!$A4809),MONTH(TRANSACTIONS!$A4809),DAY(TRANSACTIONS!$A4809)),"")</f>
        <v>45380</v>
      </c>
      <c r="C4809" s="49">
        <f>IF(A4809&lt;&gt;"",TIME(HOUR(TRANSACTIONS!$A4809),MINUTE(TRANSACTIONS!$A4809),SECOND(TRANSACTIONS!$A4809)),"")</f>
        <v>0.71626157407407398</v>
      </c>
      <c r="D4809" s="82" t="s">
        <v>62</v>
      </c>
      <c r="E4809" s="82" t="s">
        <v>7</v>
      </c>
      <c r="F4809" s="88">
        <v>13500</v>
      </c>
      <c r="G4809" s="46"/>
      <c r="H4809" s="46">
        <f>IFERROR(TRANSACTIONS!$F4809+TRANSACTIONS!$G4809,"")</f>
        <v>13500</v>
      </c>
      <c r="I4809" s="40" t="s">
        <v>41</v>
      </c>
    </row>
    <row r="4810" spans="1:9" x14ac:dyDescent="0.25">
      <c r="A4810" s="41">
        <v>45380.716273958336</v>
      </c>
      <c r="B4810" s="48">
        <f>IF(A4810&lt;&gt;"",DATE(YEAR(TRANSACTIONS!$A4810),MONTH(TRANSACTIONS!$A4810),DAY(TRANSACTIONS!$A4810)),"")</f>
        <v>45380</v>
      </c>
      <c r="C4810" s="49">
        <f>IF(A4810&lt;&gt;"",TIME(HOUR(TRANSACTIONS!$A4810),MINUTE(TRANSACTIONS!$A4810),SECOND(TRANSACTIONS!$A4810)),"")</f>
        <v>0.71627314814814813</v>
      </c>
      <c r="D4810" s="82" t="s">
        <v>62</v>
      </c>
      <c r="E4810" s="82" t="s">
        <v>6</v>
      </c>
      <c r="F4810" s="88">
        <v>5000</v>
      </c>
      <c r="G4810" s="46"/>
      <c r="H4810" s="46">
        <f>IFERROR(TRANSACTIONS!$F4810+TRANSACTIONS!$G4810,"")</f>
        <v>5000</v>
      </c>
      <c r="I4810" s="40" t="s">
        <v>41</v>
      </c>
    </row>
    <row r="4811" spans="1:9" x14ac:dyDescent="0.25">
      <c r="A4811" s="41">
        <v>45380.716282291665</v>
      </c>
      <c r="B4811" s="48">
        <f>IF(A4811&lt;&gt;"",DATE(YEAR(TRANSACTIONS!$A4811),MONTH(TRANSACTIONS!$A4811),DAY(TRANSACTIONS!$A4811)),"")</f>
        <v>45380</v>
      </c>
      <c r="C4811" s="49">
        <f>IF(A4811&lt;&gt;"",TIME(HOUR(TRANSACTIONS!$A4811),MINUTE(TRANSACTIONS!$A4811),SECOND(TRANSACTIONS!$A4811)),"")</f>
        <v>0.71628472222222228</v>
      </c>
      <c r="D4811" s="82" t="s">
        <v>62</v>
      </c>
      <c r="E4811" s="82" t="s">
        <v>7</v>
      </c>
      <c r="F4811" s="88">
        <v>3000</v>
      </c>
      <c r="G4811" s="46"/>
      <c r="H4811" s="46">
        <f>IFERROR(TRANSACTIONS!$F4811+TRANSACTIONS!$G4811,"")</f>
        <v>3000</v>
      </c>
      <c r="I4811" s="40" t="s">
        <v>41</v>
      </c>
    </row>
    <row r="4812" spans="1:9" x14ac:dyDescent="0.25">
      <c r="A4812" s="41">
        <v>45380.716289583332</v>
      </c>
      <c r="B4812" s="48">
        <f>IF(A4812&lt;&gt;"",DATE(YEAR(TRANSACTIONS!$A4812),MONTH(TRANSACTIONS!$A4812),DAY(TRANSACTIONS!$A4812)),"")</f>
        <v>45380</v>
      </c>
      <c r="C4812" s="49">
        <f>IF(A4812&lt;&gt;"",TIME(HOUR(TRANSACTIONS!$A4812),MINUTE(TRANSACTIONS!$A4812),SECOND(TRANSACTIONS!$A4812)),"")</f>
        <v>0.71628472222222228</v>
      </c>
      <c r="D4812" s="82" t="s">
        <v>62</v>
      </c>
      <c r="E4812" s="82" t="s">
        <v>7</v>
      </c>
      <c r="F4812" s="88">
        <v>500</v>
      </c>
      <c r="G4812" s="46"/>
      <c r="H4812" s="46">
        <f>IFERROR(TRANSACTIONS!$F4812+TRANSACTIONS!$G4812,"")</f>
        <v>500</v>
      </c>
      <c r="I4812" s="40" t="s">
        <v>41</v>
      </c>
    </row>
    <row r="4813" spans="1:9" x14ac:dyDescent="0.25">
      <c r="A4813" s="41">
        <v>45380.716296759259</v>
      </c>
      <c r="B4813" s="48">
        <f>IF(A4813&lt;&gt;"",DATE(YEAR(TRANSACTIONS!$A4813),MONTH(TRANSACTIONS!$A4813),DAY(TRANSACTIONS!$A4813)),"")</f>
        <v>45380</v>
      </c>
      <c r="C4813" s="49">
        <f>IF(A4813&lt;&gt;"",TIME(HOUR(TRANSACTIONS!$A4813),MINUTE(TRANSACTIONS!$A4813),SECOND(TRANSACTIONS!$A4813)),"")</f>
        <v>0.71629629629629632</v>
      </c>
      <c r="D4813" s="82" t="s">
        <v>62</v>
      </c>
      <c r="E4813" s="82" t="s">
        <v>7</v>
      </c>
      <c r="F4813" s="88">
        <v>140000</v>
      </c>
      <c r="G4813" s="46"/>
      <c r="H4813" s="46">
        <f>IFERROR(TRANSACTIONS!$F4813+TRANSACTIONS!$G4813,"")</f>
        <v>140000</v>
      </c>
      <c r="I4813" s="40" t="s">
        <v>41</v>
      </c>
    </row>
    <row r="4814" spans="1:9" x14ac:dyDescent="0.25">
      <c r="A4814" s="41">
        <v>45380.716304050926</v>
      </c>
      <c r="B4814" s="48">
        <f>IF(A4814&lt;&gt;"",DATE(YEAR(TRANSACTIONS!$A4814),MONTH(TRANSACTIONS!$A4814),DAY(TRANSACTIONS!$A4814)),"")</f>
        <v>45380</v>
      </c>
      <c r="C4814" s="49">
        <f>IF(A4814&lt;&gt;"",TIME(HOUR(TRANSACTIONS!$A4814),MINUTE(TRANSACTIONS!$A4814),SECOND(TRANSACTIONS!$A4814)),"")</f>
        <v>0.71630787037037036</v>
      </c>
      <c r="D4814" s="82" t="s">
        <v>62</v>
      </c>
      <c r="E4814" s="82" t="s">
        <v>6</v>
      </c>
      <c r="F4814" s="88">
        <v>500</v>
      </c>
      <c r="G4814" s="46"/>
      <c r="H4814" s="46">
        <f>IFERROR(TRANSACTIONS!$F4814+TRANSACTIONS!$G4814,"")</f>
        <v>500</v>
      </c>
      <c r="I4814" s="40" t="s">
        <v>41</v>
      </c>
    </row>
    <row r="4815" spans="1:9" x14ac:dyDescent="0.25">
      <c r="A4815" s="41">
        <v>45380.71631087963</v>
      </c>
      <c r="B4815" s="48">
        <f>IF(A4815&lt;&gt;"",DATE(YEAR(TRANSACTIONS!$A4815),MONTH(TRANSACTIONS!$A4815),DAY(TRANSACTIONS!$A4815)),"")</f>
        <v>45380</v>
      </c>
      <c r="C4815" s="49">
        <f>IF(A4815&lt;&gt;"",TIME(HOUR(TRANSACTIONS!$A4815),MINUTE(TRANSACTIONS!$A4815),SECOND(TRANSACTIONS!$A4815)),"")</f>
        <v>0.71630787037037036</v>
      </c>
      <c r="D4815" s="82" t="s">
        <v>62</v>
      </c>
      <c r="E4815" s="82" t="s">
        <v>6</v>
      </c>
      <c r="F4815" s="88">
        <v>6000</v>
      </c>
      <c r="G4815" s="46"/>
      <c r="H4815" s="46">
        <f>IFERROR(TRANSACTIONS!$F4815+TRANSACTIONS!$G4815,"")</f>
        <v>6000</v>
      </c>
      <c r="I4815" s="40" t="s">
        <v>41</v>
      </c>
    </row>
    <row r="4816" spans="1:9" x14ac:dyDescent="0.25">
      <c r="A4816" s="41">
        <v>45380.716317592596</v>
      </c>
      <c r="B4816" s="48">
        <f>IF(A4816&lt;&gt;"",DATE(YEAR(TRANSACTIONS!$A4816),MONTH(TRANSACTIONS!$A4816),DAY(TRANSACTIONS!$A4816)),"")</f>
        <v>45380</v>
      </c>
      <c r="C4816" s="49">
        <f>IF(A4816&lt;&gt;"",TIME(HOUR(TRANSACTIONS!$A4816),MINUTE(TRANSACTIONS!$A4816),SECOND(TRANSACTIONS!$A4816)),"")</f>
        <v>0.7163194444444444</v>
      </c>
      <c r="D4816" s="82" t="s">
        <v>62</v>
      </c>
      <c r="E4816" s="82" t="s">
        <v>7</v>
      </c>
      <c r="F4816" s="88">
        <v>25000</v>
      </c>
      <c r="G4816" s="46"/>
      <c r="H4816" s="46">
        <f>IFERROR(TRANSACTIONS!$F4816+TRANSACTIONS!$G4816,"")</f>
        <v>25000</v>
      </c>
      <c r="I4816" s="40" t="s">
        <v>41</v>
      </c>
    </row>
    <row r="4817" spans="1:9" x14ac:dyDescent="0.25">
      <c r="A4817" s="41">
        <v>45380.71633333333</v>
      </c>
      <c r="B4817" s="48">
        <f>IF(A4817&lt;&gt;"",DATE(YEAR(TRANSACTIONS!$A4817),MONTH(TRANSACTIONS!$A4817),DAY(TRANSACTIONS!$A4817)),"")</f>
        <v>45380</v>
      </c>
      <c r="C4817" s="49">
        <f>IF(A4817&lt;&gt;"",TIME(HOUR(TRANSACTIONS!$A4817),MINUTE(TRANSACTIONS!$A4817),SECOND(TRANSACTIONS!$A4817)),"")</f>
        <v>0.71633101851851855</v>
      </c>
      <c r="D4817" s="82" t="s">
        <v>62</v>
      </c>
      <c r="E4817" s="82" t="s">
        <v>7</v>
      </c>
      <c r="F4817" s="88">
        <v>15000</v>
      </c>
      <c r="G4817" s="46"/>
      <c r="H4817" s="46">
        <f>IFERROR(TRANSACTIONS!$F4817+TRANSACTIONS!$G4817,"")</f>
        <v>15000</v>
      </c>
      <c r="I4817" s="40" t="s">
        <v>41</v>
      </c>
    </row>
    <row r="4818" spans="1:9" x14ac:dyDescent="0.25">
      <c r="A4818" s="41">
        <v>45380.716341087966</v>
      </c>
      <c r="B4818" s="48">
        <f>IF(A4818&lt;&gt;"",DATE(YEAR(TRANSACTIONS!$A4818),MONTH(TRANSACTIONS!$A4818),DAY(TRANSACTIONS!$A4818)),"")</f>
        <v>45380</v>
      </c>
      <c r="C4818" s="49">
        <f>IF(A4818&lt;&gt;"",TIME(HOUR(TRANSACTIONS!$A4818),MINUTE(TRANSACTIONS!$A4818),SECOND(TRANSACTIONS!$A4818)),"")</f>
        <v>0.7163425925925927</v>
      </c>
      <c r="D4818" s="82" t="s">
        <v>62</v>
      </c>
      <c r="E4818" s="82" t="s">
        <v>7</v>
      </c>
      <c r="F4818" s="88">
        <v>18000</v>
      </c>
      <c r="G4818" s="46"/>
      <c r="H4818" s="46">
        <f>IFERROR(TRANSACTIONS!$F4818+TRANSACTIONS!$G4818,"")</f>
        <v>18000</v>
      </c>
      <c r="I4818" s="40" t="s">
        <v>41</v>
      </c>
    </row>
    <row r="4819" spans="1:9" x14ac:dyDescent="0.25">
      <c r="A4819" s="41">
        <v>45380.716348495371</v>
      </c>
      <c r="B4819" s="48">
        <f>IF(A4819&lt;&gt;"",DATE(YEAR(TRANSACTIONS!$A4819),MONTH(TRANSACTIONS!$A4819),DAY(TRANSACTIONS!$A4819)),"")</f>
        <v>45380</v>
      </c>
      <c r="C4819" s="49">
        <f>IF(A4819&lt;&gt;"",TIME(HOUR(TRANSACTIONS!$A4819),MINUTE(TRANSACTIONS!$A4819),SECOND(TRANSACTIONS!$A4819)),"")</f>
        <v>0.71635416666666663</v>
      </c>
      <c r="D4819" s="82" t="s">
        <v>62</v>
      </c>
      <c r="E4819" s="82" t="s">
        <v>6</v>
      </c>
      <c r="F4819" s="88">
        <v>19000</v>
      </c>
      <c r="G4819" s="46"/>
      <c r="H4819" s="46">
        <f>IFERROR(TRANSACTIONS!$F4819+TRANSACTIONS!$G4819,"")</f>
        <v>19000</v>
      </c>
      <c r="I4819" s="40" t="s">
        <v>41</v>
      </c>
    </row>
    <row r="4820" spans="1:9" x14ac:dyDescent="0.25">
      <c r="A4820" s="41">
        <v>45380.716357175923</v>
      </c>
      <c r="B4820" s="48">
        <f>IF(A4820&lt;&gt;"",DATE(YEAR(TRANSACTIONS!$A4820),MONTH(TRANSACTIONS!$A4820),DAY(TRANSACTIONS!$A4820)),"")</f>
        <v>45380</v>
      </c>
      <c r="C4820" s="49">
        <f>IF(A4820&lt;&gt;"",TIME(HOUR(TRANSACTIONS!$A4820),MINUTE(TRANSACTIONS!$A4820),SECOND(TRANSACTIONS!$A4820)),"")</f>
        <v>0.71635416666666663</v>
      </c>
      <c r="D4820" s="82" t="s">
        <v>62</v>
      </c>
      <c r="E4820" s="82" t="s">
        <v>6</v>
      </c>
      <c r="F4820" s="88">
        <v>135000</v>
      </c>
      <c r="G4820" s="46"/>
      <c r="H4820" s="46">
        <f>IFERROR(TRANSACTIONS!$F4820+TRANSACTIONS!$G4820,"")</f>
        <v>135000</v>
      </c>
      <c r="I4820" s="40" t="s">
        <v>41</v>
      </c>
    </row>
    <row r="4821" spans="1:9" x14ac:dyDescent="0.25">
      <c r="A4821" s="41">
        <v>45380.716364814813</v>
      </c>
      <c r="B4821" s="48">
        <f>IF(A4821&lt;&gt;"",DATE(YEAR(TRANSACTIONS!$A4821),MONTH(TRANSACTIONS!$A4821),DAY(TRANSACTIONS!$A4821)),"")</f>
        <v>45380</v>
      </c>
      <c r="C4821" s="49">
        <f>IF(A4821&lt;&gt;"",TIME(HOUR(TRANSACTIONS!$A4821),MINUTE(TRANSACTIONS!$A4821),SECOND(TRANSACTIONS!$A4821)),"")</f>
        <v>0.71636574074074078</v>
      </c>
      <c r="D4821" s="82" t="s">
        <v>62</v>
      </c>
      <c r="E4821" s="82" t="s">
        <v>6</v>
      </c>
      <c r="F4821" s="88">
        <v>150</v>
      </c>
      <c r="G4821" s="46"/>
      <c r="H4821" s="46">
        <f>IFERROR(TRANSACTIONS!$F4821+TRANSACTIONS!$G4821,"")</f>
        <v>150</v>
      </c>
      <c r="I4821" s="40" t="s">
        <v>41</v>
      </c>
    </row>
    <row r="4822" spans="1:9" x14ac:dyDescent="0.25">
      <c r="A4822" s="41">
        <v>45380.716387152781</v>
      </c>
      <c r="B4822" s="48">
        <f>IF(A4822&lt;&gt;"",DATE(YEAR(TRANSACTIONS!$A4822),MONTH(TRANSACTIONS!$A4822),DAY(TRANSACTIONS!$A4822)),"")</f>
        <v>45380</v>
      </c>
      <c r="C4822" s="49">
        <f>IF(A4822&lt;&gt;"",TIME(HOUR(TRANSACTIONS!$A4822),MINUTE(TRANSACTIONS!$A4822),SECOND(TRANSACTIONS!$A4822)),"")</f>
        <v>0.71638888888888885</v>
      </c>
      <c r="D4822" s="82" t="s">
        <v>62</v>
      </c>
      <c r="E4822" s="82" t="s">
        <v>7</v>
      </c>
      <c r="F4822" s="88">
        <v>1000</v>
      </c>
      <c r="G4822" s="46"/>
      <c r="H4822" s="46">
        <f>IFERROR(TRANSACTIONS!$F4822+TRANSACTIONS!$G4822,"")</f>
        <v>1000</v>
      </c>
      <c r="I4822" s="40" t="s">
        <v>41</v>
      </c>
    </row>
    <row r="4823" spans="1:9" x14ac:dyDescent="0.25">
      <c r="A4823" s="41">
        <v>45380.716396990741</v>
      </c>
      <c r="B4823" s="48">
        <f>IF(A4823&lt;&gt;"",DATE(YEAR(TRANSACTIONS!$A4823),MONTH(TRANSACTIONS!$A4823),DAY(TRANSACTIONS!$A4823)),"")</f>
        <v>45380</v>
      </c>
      <c r="C4823" s="49">
        <f>IF(A4823&lt;&gt;"",TIME(HOUR(TRANSACTIONS!$A4823),MINUTE(TRANSACTIONS!$A4823),SECOND(TRANSACTIONS!$A4823)),"")</f>
        <v>0.71640046296296289</v>
      </c>
      <c r="D4823" s="82" t="s">
        <v>25</v>
      </c>
      <c r="E4823" s="82" t="s">
        <v>7</v>
      </c>
      <c r="F4823" s="88">
        <v>7000</v>
      </c>
      <c r="G4823" s="46"/>
      <c r="H4823" s="46">
        <f>IFERROR(TRANSACTIONS!$F4823+TRANSACTIONS!$G4823,"")</f>
        <v>7000</v>
      </c>
      <c r="I4823" s="40" t="s">
        <v>41</v>
      </c>
    </row>
    <row r="4824" spans="1:9" x14ac:dyDescent="0.25">
      <c r="A4824" s="41">
        <v>45380.71640474537</v>
      </c>
      <c r="B4824" s="48">
        <f>IF(A4824&lt;&gt;"",DATE(YEAR(TRANSACTIONS!$A4824),MONTH(TRANSACTIONS!$A4824),DAY(TRANSACTIONS!$A4824)),"")</f>
        <v>45380</v>
      </c>
      <c r="C4824" s="49">
        <f>IF(A4824&lt;&gt;"",TIME(HOUR(TRANSACTIONS!$A4824),MINUTE(TRANSACTIONS!$A4824),SECOND(TRANSACTIONS!$A4824)),"")</f>
        <v>0.71640046296296289</v>
      </c>
      <c r="D4824" s="82" t="s">
        <v>25</v>
      </c>
      <c r="E4824" s="82" t="s">
        <v>6</v>
      </c>
      <c r="F4824" s="88">
        <v>45000</v>
      </c>
      <c r="G4824" s="46"/>
      <c r="H4824" s="46">
        <f>IFERROR(TRANSACTIONS!$F4824+TRANSACTIONS!$G4824,"")</f>
        <v>45000</v>
      </c>
      <c r="I4824" s="40" t="s">
        <v>41</v>
      </c>
    </row>
    <row r="4825" spans="1:9" x14ac:dyDescent="0.25">
      <c r="A4825" s="41">
        <v>45380.716412384259</v>
      </c>
      <c r="B4825" s="48">
        <f>IF(A4825&lt;&gt;"",DATE(YEAR(TRANSACTIONS!$A4825),MONTH(TRANSACTIONS!$A4825),DAY(TRANSACTIONS!$A4825)),"")</f>
        <v>45380</v>
      </c>
      <c r="C4825" s="49">
        <f>IF(A4825&lt;&gt;"",TIME(HOUR(TRANSACTIONS!$A4825),MINUTE(TRANSACTIONS!$A4825),SECOND(TRANSACTIONS!$A4825)),"")</f>
        <v>0.71641203703703704</v>
      </c>
      <c r="D4825" s="82" t="s">
        <v>25</v>
      </c>
      <c r="E4825" s="82" t="s">
        <v>7</v>
      </c>
      <c r="F4825" s="88">
        <v>24000</v>
      </c>
      <c r="G4825" s="46"/>
      <c r="H4825" s="46">
        <f>IFERROR(TRANSACTIONS!$F4825+TRANSACTIONS!$G4825,"")</f>
        <v>24000</v>
      </c>
      <c r="I4825" s="40" t="s">
        <v>41</v>
      </c>
    </row>
    <row r="4826" spans="1:9" x14ac:dyDescent="0.25">
      <c r="A4826" s="41">
        <v>45380.716421064812</v>
      </c>
      <c r="B4826" s="48">
        <f>IF(A4826&lt;&gt;"",DATE(YEAR(TRANSACTIONS!$A4826),MONTH(TRANSACTIONS!$A4826),DAY(TRANSACTIONS!$A4826)),"")</f>
        <v>45380</v>
      </c>
      <c r="C4826" s="49">
        <f>IF(A4826&lt;&gt;"",TIME(HOUR(TRANSACTIONS!$A4826),MINUTE(TRANSACTIONS!$A4826),SECOND(TRANSACTIONS!$A4826)),"")</f>
        <v>0.71642361111111119</v>
      </c>
      <c r="D4826" s="82" t="s">
        <v>25</v>
      </c>
      <c r="E4826" s="82" t="s">
        <v>6</v>
      </c>
      <c r="F4826" s="88">
        <v>1000</v>
      </c>
      <c r="G4826" s="46"/>
      <c r="H4826" s="46">
        <f>IFERROR(TRANSACTIONS!$F4826+TRANSACTIONS!$G4826,"")</f>
        <v>1000</v>
      </c>
      <c r="I4826" s="40" t="s">
        <v>41</v>
      </c>
    </row>
    <row r="4827" spans="1:9" x14ac:dyDescent="0.25">
      <c r="A4827" s="41">
        <v>45380.71645659722</v>
      </c>
      <c r="B4827" s="48">
        <f>IF(A4827&lt;&gt;"",DATE(YEAR(TRANSACTIONS!$A4827),MONTH(TRANSACTIONS!$A4827),DAY(TRANSACTIONS!$A4827)),"")</f>
        <v>45380</v>
      </c>
      <c r="C4827" s="49">
        <f>IF(A4827&lt;&gt;"",TIME(HOUR(TRANSACTIONS!$A4827),MINUTE(TRANSACTIONS!$A4827),SECOND(TRANSACTIONS!$A4827)),"")</f>
        <v>0.71645833333333331</v>
      </c>
      <c r="D4827" s="82" t="s">
        <v>62</v>
      </c>
      <c r="E4827" s="82" t="s">
        <v>7</v>
      </c>
      <c r="F4827" s="88">
        <v>5000</v>
      </c>
      <c r="G4827" s="46"/>
      <c r="H4827" s="46">
        <f>IFERROR(TRANSACTIONS!$F4827+TRANSACTIONS!$G4827,"")</f>
        <v>5000</v>
      </c>
      <c r="I4827" s="40" t="s">
        <v>41</v>
      </c>
    </row>
    <row r="4828" spans="1:9" x14ac:dyDescent="0.25">
      <c r="A4828" s="41">
        <v>45380.71644074074</v>
      </c>
      <c r="B4828" s="48">
        <f>IF(A4828&lt;&gt;"",DATE(YEAR(TRANSACTIONS!$A4828),MONTH(TRANSACTIONS!$A4828),DAY(TRANSACTIONS!$A4828)),"")</f>
        <v>45380</v>
      </c>
      <c r="C4828" s="49">
        <f>IF(A4828&lt;&gt;"",TIME(HOUR(TRANSACTIONS!$A4828),MINUTE(TRANSACTIONS!$A4828),SECOND(TRANSACTIONS!$A4828)),"")</f>
        <v>0.71643518518518512</v>
      </c>
      <c r="D4828" s="82" t="s">
        <v>62</v>
      </c>
      <c r="E4828" s="82" t="s">
        <v>7</v>
      </c>
      <c r="F4828" s="88">
        <v>6000</v>
      </c>
      <c r="G4828" s="46"/>
      <c r="H4828" s="46">
        <f>IFERROR(TRANSACTIONS!$F4828+TRANSACTIONS!$G4828,"")</f>
        <v>6000</v>
      </c>
      <c r="I4828" s="40" t="s">
        <v>41</v>
      </c>
    </row>
    <row r="4829" spans="1:9" x14ac:dyDescent="0.25">
      <c r="A4829" s="41">
        <v>45380.718481365744</v>
      </c>
      <c r="B4829" s="48">
        <f>IF(A4829&lt;&gt;"",DATE(YEAR(TRANSACTIONS!$A4829),MONTH(TRANSACTIONS!$A4829),DAY(TRANSACTIONS!$A4829)),"")</f>
        <v>45380</v>
      </c>
      <c r="C4829" s="49">
        <f>IF(A4829&lt;&gt;"",TIME(HOUR(TRANSACTIONS!$A4829),MINUTE(TRANSACTIONS!$A4829),SECOND(TRANSACTIONS!$A4829)),"")</f>
        <v>0.71848379629629633</v>
      </c>
      <c r="D4829" s="82" t="s">
        <v>62</v>
      </c>
      <c r="E4829" s="82" t="s">
        <v>7</v>
      </c>
      <c r="F4829" s="88">
        <v>80000</v>
      </c>
      <c r="G4829" s="46"/>
      <c r="H4829" s="46">
        <f>IFERROR(TRANSACTIONS!$F4829+TRANSACTIONS!$G4829,"")</f>
        <v>80000</v>
      </c>
      <c r="I4829" s="40" t="s">
        <v>41</v>
      </c>
    </row>
    <row r="4830" spans="1:9" x14ac:dyDescent="0.25">
      <c r="A4830" s="71">
        <v>45380.720348263887</v>
      </c>
      <c r="B4830" s="73">
        <f>IF(A4830&lt;&gt;"",DATE(YEAR(TRANSACTIONS!$A4830),MONTH(TRANSACTIONS!$A4830),DAY(TRANSACTIONS!$A4830)),"")</f>
        <v>45380</v>
      </c>
      <c r="C4830" s="74">
        <f>IF(A4830&lt;&gt;"",TIME(HOUR(TRANSACTIONS!$A4830),MINUTE(TRANSACTIONS!$A4830),SECOND(TRANSACTIONS!$A4830)),"")</f>
        <v>0.72034722222222225</v>
      </c>
      <c r="D4830" s="82" t="s">
        <v>62</v>
      </c>
      <c r="E4830" s="82" t="s">
        <v>7</v>
      </c>
      <c r="F4830" s="88">
        <v>6000</v>
      </c>
      <c r="G4830" s="75"/>
      <c r="H4830" s="75">
        <f>IFERROR(TRANSACTIONS!$F4830+TRANSACTIONS!$G4830,"")</f>
        <v>6000</v>
      </c>
      <c r="I4830" s="76" t="s">
        <v>41</v>
      </c>
    </row>
    <row r="4831" spans="1:9" x14ac:dyDescent="0.25">
      <c r="A4831" s="41">
        <v>45380.720644212961</v>
      </c>
      <c r="B4831" s="48">
        <f>IF(A4831&lt;&gt;"",DATE(YEAR(TRANSACTIONS!$A4831),MONTH(TRANSACTIONS!$A4831),DAY(TRANSACTIONS!$A4831)),"")</f>
        <v>45380</v>
      </c>
      <c r="C4831" s="49">
        <f>IF(A4831&lt;&gt;"",TIME(HOUR(TRANSACTIONS!$A4831),MINUTE(TRANSACTIONS!$A4831),SECOND(TRANSACTIONS!$A4831)),"")</f>
        <v>0.72064814814814815</v>
      </c>
      <c r="D4831" s="82" t="s">
        <v>62</v>
      </c>
      <c r="E4831" s="82" t="s">
        <v>6</v>
      </c>
      <c r="F4831" s="88">
        <v>10000</v>
      </c>
      <c r="G4831" s="46"/>
      <c r="H4831" s="46">
        <f>IFERROR(TRANSACTIONS!$F4831+TRANSACTIONS!$G4831,"")</f>
        <v>10000</v>
      </c>
      <c r="I4831" s="40" t="s">
        <v>41</v>
      </c>
    </row>
    <row r="4832" spans="1:9" x14ac:dyDescent="0.25">
      <c r="A4832" s="41">
        <v>45380.720654745368</v>
      </c>
      <c r="B4832" s="48">
        <f>IF(A4832&lt;&gt;"",DATE(YEAR(TRANSACTIONS!$A4832),MONTH(TRANSACTIONS!$A4832),DAY(TRANSACTIONS!$A4832)),"")</f>
        <v>45380</v>
      </c>
      <c r="C4832" s="49">
        <f>IF(A4832&lt;&gt;"",TIME(HOUR(TRANSACTIONS!$A4832),MINUTE(TRANSACTIONS!$A4832),SECOND(TRANSACTIONS!$A4832)),"")</f>
        <v>0.7206597222222223</v>
      </c>
      <c r="D4832" s="82" t="s">
        <v>62</v>
      </c>
      <c r="E4832" s="82" t="s">
        <v>7</v>
      </c>
      <c r="F4832" s="88">
        <v>2000</v>
      </c>
      <c r="G4832" s="46"/>
      <c r="H4832" s="46">
        <f>IFERROR(TRANSACTIONS!$F4832+TRANSACTIONS!$G4832,"")</f>
        <v>2000</v>
      </c>
      <c r="I4832" s="40" t="s">
        <v>41</v>
      </c>
    </row>
    <row r="4833" spans="1:9" x14ac:dyDescent="0.25">
      <c r="A4833" s="41">
        <v>45380.739995138887</v>
      </c>
      <c r="B4833" s="48">
        <f>IF(A4833&lt;&gt;"",DATE(YEAR(TRANSACTIONS!$A4833),MONTH(TRANSACTIONS!$A4833),DAY(TRANSACTIONS!$A4833)),"")</f>
        <v>45380</v>
      </c>
      <c r="C4833" s="49">
        <f>IF(A4833&lt;&gt;"",TIME(HOUR(TRANSACTIONS!$A4833),MINUTE(TRANSACTIONS!$A4833),SECOND(TRANSACTIONS!$A4833)),"")</f>
        <v>0.7400000000000001</v>
      </c>
      <c r="D4833" s="82" t="s">
        <v>62</v>
      </c>
      <c r="E4833" s="82" t="s">
        <v>6</v>
      </c>
      <c r="F4833" s="88">
        <v>500000</v>
      </c>
      <c r="G4833" s="46"/>
      <c r="H4833" s="46">
        <f>IFERROR(TRANSACTIONS!$F4833+TRANSACTIONS!$G4833,"")</f>
        <v>500000</v>
      </c>
      <c r="I4833" s="40" t="s">
        <v>41</v>
      </c>
    </row>
    <row r="4834" spans="1:9" x14ac:dyDescent="0.25">
      <c r="A4834" s="41">
        <v>45380.739997800927</v>
      </c>
      <c r="B4834" s="48">
        <f>IF(A4834&lt;&gt;"",DATE(YEAR(TRANSACTIONS!$A4834),MONTH(TRANSACTIONS!$A4834),DAY(TRANSACTIONS!$A4834)),"")</f>
        <v>45380</v>
      </c>
      <c r="C4834" s="49">
        <f>IF(A4834&lt;&gt;"",TIME(HOUR(TRANSACTIONS!$A4834),MINUTE(TRANSACTIONS!$A4834),SECOND(TRANSACTIONS!$A4834)),"")</f>
        <v>0.7400000000000001</v>
      </c>
      <c r="D4834" s="82" t="s">
        <v>62</v>
      </c>
      <c r="E4834" s="82" t="s">
        <v>7</v>
      </c>
      <c r="F4834" s="88">
        <v>5000</v>
      </c>
      <c r="G4834" s="46"/>
      <c r="H4834" s="46">
        <f>IFERROR(TRANSACTIONS!$F4834+TRANSACTIONS!$G4834,"")</f>
        <v>5000</v>
      </c>
      <c r="I4834" s="40" t="s">
        <v>41</v>
      </c>
    </row>
    <row r="4835" spans="1:9" x14ac:dyDescent="0.25">
      <c r="A4835" s="41">
        <v>45380.74003090278</v>
      </c>
      <c r="B4835" s="48">
        <f>IF(A4835&lt;&gt;"",DATE(YEAR(TRANSACTIONS!$A4835),MONTH(TRANSACTIONS!$A4835),DAY(TRANSACTIONS!$A4835)),"")</f>
        <v>45380</v>
      </c>
      <c r="C4835" s="49">
        <f>IF(A4835&lt;&gt;"",TIME(HOUR(TRANSACTIONS!$A4835),MINUTE(TRANSACTIONS!$A4835),SECOND(TRANSACTIONS!$A4835)),"")</f>
        <v>0.74003472222222222</v>
      </c>
      <c r="D4835" s="82" t="s">
        <v>62</v>
      </c>
      <c r="E4835" s="82" t="s">
        <v>6</v>
      </c>
      <c r="F4835" s="88">
        <v>10000</v>
      </c>
      <c r="G4835" s="46"/>
      <c r="H4835" s="46">
        <f>IFERROR(TRANSACTIONS!$F4835+TRANSACTIONS!$G4835,"")</f>
        <v>10000</v>
      </c>
      <c r="I4835" s="40" t="s">
        <v>41</v>
      </c>
    </row>
    <row r="4836" spans="1:9" x14ac:dyDescent="0.25">
      <c r="A4836" s="113">
        <v>45380.740046643521</v>
      </c>
      <c r="B4836" s="114">
        <f>IF(A4836&lt;&gt;"",DATE(YEAR(TRANSACTIONS!$A4836),MONTH(TRANSACTIONS!$A4836),DAY(TRANSACTIONS!$A4836)),"")</f>
        <v>45380</v>
      </c>
      <c r="C4836" s="115">
        <f>IF(A4836&lt;&gt;"",TIME(HOUR(TRANSACTIONS!$A4836),MINUTE(TRANSACTIONS!$A4836),SECOND(TRANSACTIONS!$A4836)),"")</f>
        <v>0.74004629629629637</v>
      </c>
      <c r="D4836" s="82" t="s">
        <v>25</v>
      </c>
      <c r="E4836" s="82" t="s">
        <v>7</v>
      </c>
      <c r="F4836" s="88">
        <v>5000</v>
      </c>
      <c r="G4836" s="117"/>
      <c r="H4836" s="117">
        <f>IFERROR(TRANSACTIONS!$F4836+TRANSACTIONS!$G4836,"")</f>
        <v>5000</v>
      </c>
      <c r="I4836" s="118" t="s">
        <v>41</v>
      </c>
    </row>
    <row r="4837" spans="1:9" x14ac:dyDescent="0.25">
      <c r="A4837" s="41">
        <v>45380.74005497685</v>
      </c>
      <c r="B4837" s="48">
        <f>IF(A4837&lt;&gt;"",DATE(YEAR(TRANSACTIONS!$A4837),MONTH(TRANSACTIONS!$A4837),DAY(TRANSACTIONS!$A4837)),"")</f>
        <v>45380</v>
      </c>
      <c r="C4837" s="49">
        <f>IF(A4837&lt;&gt;"",TIME(HOUR(TRANSACTIONS!$A4837),MINUTE(TRANSACTIONS!$A4837),SECOND(TRANSACTIONS!$A4837)),"")</f>
        <v>0.7400578703703703</v>
      </c>
      <c r="D4837" s="82" t="s">
        <v>64</v>
      </c>
      <c r="E4837" s="82" t="s">
        <v>7</v>
      </c>
      <c r="F4837" s="88">
        <v>300000</v>
      </c>
      <c r="G4837" s="46"/>
      <c r="H4837" s="46">
        <f>IFERROR(TRANSACTIONS!$F4837+TRANSACTIONS!$G4837,"")</f>
        <v>300000</v>
      </c>
      <c r="I4837" s="40" t="s">
        <v>41</v>
      </c>
    </row>
    <row r="4838" spans="1:9" x14ac:dyDescent="0.25">
      <c r="A4838" s="41"/>
      <c r="B4838" s="48" t="str">
        <f>IF(A4838&lt;&gt;"",DATE(YEAR(TRANSACTIONS!$A4838),MONTH(TRANSACTIONS!$A4838),DAY(TRANSACTIONS!$A4838)),"")</f>
        <v/>
      </c>
      <c r="C4838" s="49" t="str">
        <f>IF(A4838&lt;&gt;"",TIME(HOUR(TRANSACTIONS!$A4838),MINUTE(TRANSACTIONS!$A4838),SECOND(TRANSACTIONS!$A4838)),"")</f>
        <v/>
      </c>
      <c r="D4838" s="82"/>
      <c r="E4838" s="82"/>
      <c r="F4838" s="88"/>
      <c r="G4838" s="46"/>
      <c r="H4838" s="46">
        <f>IFERROR(TRANSACTIONS!$F4838+TRANSACTIONS!$G4838,"")</f>
        <v>0</v>
      </c>
      <c r="I4838" s="40" t="s">
        <v>41</v>
      </c>
    </row>
    <row r="4839" spans="1:9" x14ac:dyDescent="0.25">
      <c r="A4839" s="41">
        <v>45381.397307291663</v>
      </c>
      <c r="B4839" s="48">
        <f>IF(A4839&lt;&gt;"",DATE(YEAR(TRANSACTIONS!$A4839),MONTH(TRANSACTIONS!$A4839),DAY(TRANSACTIONS!$A4839)),"")</f>
        <v>45381</v>
      </c>
      <c r="C4839" s="49">
        <f>IF(A4839&lt;&gt;"",TIME(HOUR(TRANSACTIONS!$A4839),MINUTE(TRANSACTIONS!$A4839),SECOND(TRANSACTIONS!$A4839)),"")</f>
        <v>0.39730324074074069</v>
      </c>
      <c r="D4839" s="82" t="s">
        <v>62</v>
      </c>
      <c r="E4839" s="82" t="s">
        <v>6</v>
      </c>
      <c r="F4839" s="88">
        <v>100000</v>
      </c>
      <c r="G4839" s="46"/>
      <c r="H4839" s="46">
        <f>IFERROR(TRANSACTIONS!$F4839+TRANSACTIONS!$G4839,"")</f>
        <v>100000</v>
      </c>
      <c r="I4839" s="40" t="s">
        <v>41</v>
      </c>
    </row>
    <row r="4840" spans="1:9" x14ac:dyDescent="0.25">
      <c r="A4840" s="41">
        <v>45381.397318171294</v>
      </c>
      <c r="B4840" s="48">
        <f>IF(A4840&lt;&gt;"",DATE(YEAR(TRANSACTIONS!$A4840),MONTH(TRANSACTIONS!$A4840),DAY(TRANSACTIONS!$A4840)),"")</f>
        <v>45381</v>
      </c>
      <c r="C4840" s="49">
        <f>IF(A4840&lt;&gt;"",TIME(HOUR(TRANSACTIONS!$A4840),MINUTE(TRANSACTIONS!$A4840),SECOND(TRANSACTIONS!$A4840)),"")</f>
        <v>0.39731481481481484</v>
      </c>
      <c r="D4840" s="82" t="s">
        <v>62</v>
      </c>
      <c r="E4840" s="82" t="s">
        <v>6</v>
      </c>
      <c r="F4840" s="88">
        <v>2000</v>
      </c>
      <c r="G4840" s="46"/>
      <c r="H4840" s="46">
        <f>IFERROR(TRANSACTIONS!$F4840+TRANSACTIONS!$G4840,"")</f>
        <v>2000</v>
      </c>
      <c r="I4840" s="40" t="s">
        <v>41</v>
      </c>
    </row>
    <row r="4841" spans="1:9" x14ac:dyDescent="0.25">
      <c r="A4841" s="41">
        <v>45381.397327430554</v>
      </c>
      <c r="B4841" s="48">
        <f>IF(A4841&lt;&gt;"",DATE(YEAR(TRANSACTIONS!$A4841),MONTH(TRANSACTIONS!$A4841),DAY(TRANSACTIONS!$A4841)),"")</f>
        <v>45381</v>
      </c>
      <c r="C4841" s="49">
        <f>IF(A4841&lt;&gt;"",TIME(HOUR(TRANSACTIONS!$A4841),MINUTE(TRANSACTIONS!$A4841),SECOND(TRANSACTIONS!$A4841)),"")</f>
        <v>0.39732638888888888</v>
      </c>
      <c r="D4841" s="82" t="s">
        <v>25</v>
      </c>
      <c r="E4841" s="82" t="s">
        <v>6</v>
      </c>
      <c r="F4841" s="88">
        <v>700</v>
      </c>
      <c r="G4841" s="46"/>
      <c r="H4841" s="46">
        <f>IFERROR(TRANSACTIONS!$F4841+TRANSACTIONS!$G4841,"")</f>
        <v>700</v>
      </c>
      <c r="I4841" s="40" t="s">
        <v>41</v>
      </c>
    </row>
    <row r="4842" spans="1:9" x14ac:dyDescent="0.25">
      <c r="A4842" s="41">
        <v>45381.397336226852</v>
      </c>
      <c r="B4842" s="48">
        <f>IF(A4842&lt;&gt;"",DATE(YEAR(TRANSACTIONS!$A4842),MONTH(TRANSACTIONS!$A4842),DAY(TRANSACTIONS!$A4842)),"")</f>
        <v>45381</v>
      </c>
      <c r="C4842" s="49">
        <f>IF(A4842&lt;&gt;"",TIME(HOUR(TRANSACTIONS!$A4842),MINUTE(TRANSACTIONS!$A4842),SECOND(TRANSACTIONS!$A4842)),"")</f>
        <v>0.39733796296296298</v>
      </c>
      <c r="D4842" s="82" t="s">
        <v>62</v>
      </c>
      <c r="E4842" s="82" t="s">
        <v>6</v>
      </c>
      <c r="F4842" s="88">
        <v>10000</v>
      </c>
      <c r="G4842" s="46"/>
      <c r="H4842" s="46">
        <f>IFERROR(TRANSACTIONS!$F4842+TRANSACTIONS!$G4842,"")</f>
        <v>10000</v>
      </c>
      <c r="I4842" s="40" t="s">
        <v>41</v>
      </c>
    </row>
    <row r="4843" spans="1:9" x14ac:dyDescent="0.25">
      <c r="A4843" s="41">
        <v>45381.417820833332</v>
      </c>
      <c r="B4843" s="48">
        <f>IF(A4843&lt;&gt;"",DATE(YEAR(TRANSACTIONS!$A4843),MONTH(TRANSACTIONS!$A4843),DAY(TRANSACTIONS!$A4843)),"")</f>
        <v>45381</v>
      </c>
      <c r="C4843" s="49">
        <f>IF(A4843&lt;&gt;"",TIME(HOUR(TRANSACTIONS!$A4843),MINUTE(TRANSACTIONS!$A4843),SECOND(TRANSACTIONS!$A4843)),"")</f>
        <v>0.41782407407407413</v>
      </c>
      <c r="D4843" s="82" t="s">
        <v>62</v>
      </c>
      <c r="E4843" s="82" t="s">
        <v>7</v>
      </c>
      <c r="F4843" s="88">
        <v>17000</v>
      </c>
      <c r="G4843" s="46"/>
      <c r="H4843" s="46">
        <f>IFERROR(TRANSACTIONS!$F4843+TRANSACTIONS!$G4843,"")</f>
        <v>17000</v>
      </c>
      <c r="I4843" s="40" t="s">
        <v>41</v>
      </c>
    </row>
    <row r="4844" spans="1:9" x14ac:dyDescent="0.25">
      <c r="A4844" s="41">
        <v>45381.417833333333</v>
      </c>
      <c r="B4844" s="48">
        <f>IF(A4844&lt;&gt;"",DATE(YEAR(TRANSACTIONS!$A4844),MONTH(TRANSACTIONS!$A4844),DAY(TRANSACTIONS!$A4844)),"")</f>
        <v>45381</v>
      </c>
      <c r="C4844" s="49">
        <f>IF(A4844&lt;&gt;"",TIME(HOUR(TRANSACTIONS!$A4844),MINUTE(TRANSACTIONS!$A4844),SECOND(TRANSACTIONS!$A4844)),"")</f>
        <v>0.41783564814814816</v>
      </c>
      <c r="D4844" s="82" t="s">
        <v>25</v>
      </c>
      <c r="E4844" s="82" t="s">
        <v>6</v>
      </c>
      <c r="F4844" s="88">
        <v>3000</v>
      </c>
      <c r="G4844" s="46"/>
      <c r="H4844" s="46">
        <f>IFERROR(TRANSACTIONS!$F4844+TRANSACTIONS!$G4844,"")</f>
        <v>3000</v>
      </c>
      <c r="I4844" s="40" t="s">
        <v>41</v>
      </c>
    </row>
    <row r="4845" spans="1:9" x14ac:dyDescent="0.25">
      <c r="A4845" s="41">
        <v>45381.461815393515</v>
      </c>
      <c r="B4845" s="48">
        <f>IF(A4845&lt;&gt;"",DATE(YEAR(TRANSACTIONS!$A4845),MONTH(TRANSACTIONS!$A4845),DAY(TRANSACTIONS!$A4845)),"")</f>
        <v>45381</v>
      </c>
      <c r="C4845" s="49">
        <f>IF(A4845&lt;&gt;"",TIME(HOUR(TRANSACTIONS!$A4845),MINUTE(TRANSACTIONS!$A4845),SECOND(TRANSACTIONS!$A4845)),"")</f>
        <v>0.46181712962962962</v>
      </c>
      <c r="D4845" s="82" t="s">
        <v>62</v>
      </c>
      <c r="E4845" s="82" t="s">
        <v>7</v>
      </c>
      <c r="F4845" s="88">
        <v>30000</v>
      </c>
      <c r="G4845" s="46"/>
      <c r="H4845" s="46">
        <f>IFERROR(TRANSACTIONS!$F4845+TRANSACTIONS!$G4845,"")</f>
        <v>30000</v>
      </c>
      <c r="I4845" s="40" t="s">
        <v>41</v>
      </c>
    </row>
    <row r="4846" spans="1:9" x14ac:dyDescent="0.25">
      <c r="A4846" s="41">
        <v>45381.46181828704</v>
      </c>
      <c r="B4846" s="48">
        <f>IF(A4846&lt;&gt;"",DATE(YEAR(TRANSACTIONS!$A4846),MONTH(TRANSACTIONS!$A4846),DAY(TRANSACTIONS!$A4846)),"")</f>
        <v>45381</v>
      </c>
      <c r="C4846" s="49">
        <f>IF(A4846&lt;&gt;"",TIME(HOUR(TRANSACTIONS!$A4846),MINUTE(TRANSACTIONS!$A4846),SECOND(TRANSACTIONS!$A4846)),"")</f>
        <v>0.46181712962962962</v>
      </c>
      <c r="D4846" s="82" t="s">
        <v>62</v>
      </c>
      <c r="E4846" s="82" t="s">
        <v>6</v>
      </c>
      <c r="F4846" s="88">
        <v>2000</v>
      </c>
      <c r="G4846" s="46"/>
      <c r="H4846" s="46">
        <f>IFERROR(TRANSACTIONS!$F4846+TRANSACTIONS!$G4846,"")</f>
        <v>2000</v>
      </c>
      <c r="I4846" s="40" t="s">
        <v>41</v>
      </c>
    </row>
    <row r="4847" spans="1:9" x14ac:dyDescent="0.25">
      <c r="A4847" s="41">
        <v>45381.461869444443</v>
      </c>
      <c r="B4847" s="48">
        <f>IF(A4847&lt;&gt;"",DATE(YEAR(TRANSACTIONS!$A4847),MONTH(TRANSACTIONS!$A4847),DAY(TRANSACTIONS!$A4847)),"")</f>
        <v>45381</v>
      </c>
      <c r="C4847" s="49">
        <f>IF(A4847&lt;&gt;"",TIME(HOUR(TRANSACTIONS!$A4847),MINUTE(TRANSACTIONS!$A4847),SECOND(TRANSACTIONS!$A4847)),"")</f>
        <v>0.46187500000000004</v>
      </c>
      <c r="D4847" s="82" t="s">
        <v>62</v>
      </c>
      <c r="E4847" s="82" t="s">
        <v>7</v>
      </c>
      <c r="F4847" s="88">
        <v>5000</v>
      </c>
      <c r="G4847" s="46"/>
      <c r="H4847" s="46">
        <f>IFERROR(TRANSACTIONS!$F4847+TRANSACTIONS!$G4847,"")</f>
        <v>5000</v>
      </c>
      <c r="I4847" s="40" t="s">
        <v>41</v>
      </c>
    </row>
    <row r="4848" spans="1:9" x14ac:dyDescent="0.25">
      <c r="A4848" s="41">
        <v>45381.461880671297</v>
      </c>
      <c r="B4848" s="48">
        <f>IF(A4848&lt;&gt;"",DATE(YEAR(TRANSACTIONS!$A4848),MONTH(TRANSACTIONS!$A4848),DAY(TRANSACTIONS!$A4848)),"")</f>
        <v>45381</v>
      </c>
      <c r="C4848" s="49">
        <f>IF(A4848&lt;&gt;"",TIME(HOUR(TRANSACTIONS!$A4848),MINUTE(TRANSACTIONS!$A4848),SECOND(TRANSACTIONS!$A4848)),"")</f>
        <v>0.46187500000000004</v>
      </c>
      <c r="D4848" s="82" t="s">
        <v>62</v>
      </c>
      <c r="E4848" s="82" t="s">
        <v>6</v>
      </c>
      <c r="F4848" s="88">
        <v>5000</v>
      </c>
      <c r="G4848" s="46"/>
      <c r="H4848" s="46">
        <f>IFERROR(TRANSACTIONS!$F4848+TRANSACTIONS!$G4848,"")</f>
        <v>5000</v>
      </c>
      <c r="I4848" s="40" t="s">
        <v>41</v>
      </c>
    </row>
    <row r="4849" spans="1:10" x14ac:dyDescent="0.25">
      <c r="A4849" s="113">
        <v>45381.461887731479</v>
      </c>
      <c r="B4849" s="114">
        <f>IF(A4849&lt;&gt;"",DATE(YEAR(TRANSACTIONS!$A4849),MONTH(TRANSACTIONS!$A4849),DAY(TRANSACTIONS!$A4849)),"")</f>
        <v>45381</v>
      </c>
      <c r="C4849" s="115">
        <f>IF(A4849&lt;&gt;"",TIME(HOUR(TRANSACTIONS!$A4849),MINUTE(TRANSACTIONS!$A4849),SECOND(TRANSACTIONS!$A4849)),"")</f>
        <v>0.46188657407407407</v>
      </c>
      <c r="D4849" s="82" t="s">
        <v>62</v>
      </c>
      <c r="E4849" s="116" t="s">
        <v>7</v>
      </c>
      <c r="F4849" s="118">
        <v>2000</v>
      </c>
      <c r="G4849" s="117"/>
      <c r="H4849" s="117">
        <f>IFERROR(TRANSACTIONS!$F4849+TRANSACTIONS!$G4849,"")</f>
        <v>2000</v>
      </c>
      <c r="I4849" s="118" t="s">
        <v>41</v>
      </c>
      <c r="J4849" s="118"/>
    </row>
    <row r="4850" spans="1:10" x14ac:dyDescent="0.25">
      <c r="A4850" s="41">
        <v>45381.46189421296</v>
      </c>
      <c r="B4850" s="48">
        <f>IF(A4850&lt;&gt;"",DATE(YEAR(TRANSACTIONS!$A4850),MONTH(TRANSACTIONS!$A4850),DAY(TRANSACTIONS!$A4850)),"")</f>
        <v>45381</v>
      </c>
      <c r="C4850" s="49">
        <f>IF(A4850&lt;&gt;"",TIME(HOUR(TRANSACTIONS!$A4850),MINUTE(TRANSACTIONS!$A4850),SECOND(TRANSACTIONS!$A4850)),"")</f>
        <v>0.46189814814814811</v>
      </c>
      <c r="D4850" s="82" t="s">
        <v>62</v>
      </c>
      <c r="E4850" s="82" t="s">
        <v>6</v>
      </c>
      <c r="F4850" s="88">
        <v>2000</v>
      </c>
      <c r="G4850" s="46"/>
      <c r="H4850" s="46">
        <f>IFERROR(TRANSACTIONS!$F4850+TRANSACTIONS!$G4850,"")</f>
        <v>2000</v>
      </c>
      <c r="I4850" s="40" t="s">
        <v>41</v>
      </c>
    </row>
    <row r="4851" spans="1:10" x14ac:dyDescent="0.25">
      <c r="A4851" s="41">
        <v>45381.461903819443</v>
      </c>
      <c r="B4851" s="48">
        <f>IF(A4851&lt;&gt;"",DATE(YEAR(TRANSACTIONS!$A4851),MONTH(TRANSACTIONS!$A4851),DAY(TRANSACTIONS!$A4851)),"")</f>
        <v>45381</v>
      </c>
      <c r="C4851" s="49">
        <f>IF(A4851&lt;&gt;"",TIME(HOUR(TRANSACTIONS!$A4851),MINUTE(TRANSACTIONS!$A4851),SECOND(TRANSACTIONS!$A4851)),"")</f>
        <v>0.46189814814814811</v>
      </c>
      <c r="D4851" s="82" t="s">
        <v>62</v>
      </c>
      <c r="E4851" s="82" t="s">
        <v>7</v>
      </c>
      <c r="F4851" s="88">
        <v>55000</v>
      </c>
      <c r="G4851" s="46"/>
      <c r="H4851" s="46">
        <f>IFERROR(TRANSACTIONS!$F4851+TRANSACTIONS!$G4851,"")</f>
        <v>55000</v>
      </c>
      <c r="I4851" s="40" t="s">
        <v>41</v>
      </c>
    </row>
    <row r="4852" spans="1:10" x14ac:dyDescent="0.25">
      <c r="A4852" s="41">
        <v>45381.461939930552</v>
      </c>
      <c r="B4852" s="48">
        <f>IF(A4852&lt;&gt;"",DATE(YEAR(TRANSACTIONS!$A4852),MONTH(TRANSACTIONS!$A4852),DAY(TRANSACTIONS!$A4852)),"")</f>
        <v>45381</v>
      </c>
      <c r="C4852" s="49">
        <f>IF(A4852&lt;&gt;"",TIME(HOUR(TRANSACTIONS!$A4852),MINUTE(TRANSACTIONS!$A4852),SECOND(TRANSACTIONS!$A4852)),"")</f>
        <v>0.46194444444444444</v>
      </c>
      <c r="D4852" s="82" t="s">
        <v>25</v>
      </c>
      <c r="E4852" s="82" t="s">
        <v>6</v>
      </c>
      <c r="F4852" s="88">
        <v>500</v>
      </c>
      <c r="G4852" s="46"/>
      <c r="H4852" s="46">
        <f>IFERROR(TRANSACTIONS!$F4852+TRANSACTIONS!$G4852,"")</f>
        <v>500</v>
      </c>
      <c r="I4852" s="40" t="s">
        <v>41</v>
      </c>
    </row>
    <row r="4853" spans="1:10" x14ac:dyDescent="0.25">
      <c r="A4853" s="41">
        <v>45381.461947569442</v>
      </c>
      <c r="B4853" s="48">
        <f>IF(A4853&lt;&gt;"",DATE(YEAR(TRANSACTIONS!$A4853),MONTH(TRANSACTIONS!$A4853),DAY(TRANSACTIONS!$A4853)),"")</f>
        <v>45381</v>
      </c>
      <c r="C4853" s="49">
        <f>IF(A4853&lt;&gt;"",TIME(HOUR(TRANSACTIONS!$A4853),MINUTE(TRANSACTIONS!$A4853),SECOND(TRANSACTIONS!$A4853)),"")</f>
        <v>0.46194444444444444</v>
      </c>
      <c r="D4853" s="82" t="s">
        <v>25</v>
      </c>
      <c r="E4853" s="82" t="s">
        <v>6</v>
      </c>
      <c r="F4853" s="88">
        <v>2000</v>
      </c>
      <c r="G4853" s="46"/>
      <c r="H4853" s="46">
        <f>IFERROR(TRANSACTIONS!$F4853+TRANSACTIONS!$G4853,"")</f>
        <v>2000</v>
      </c>
      <c r="I4853" s="40" t="s">
        <v>41</v>
      </c>
    </row>
    <row r="4854" spans="1:10" x14ac:dyDescent="0.25">
      <c r="A4854" s="41">
        <v>45381.461954745369</v>
      </c>
      <c r="B4854" s="48">
        <f>IF(A4854&lt;&gt;"",DATE(YEAR(TRANSACTIONS!$A4854),MONTH(TRANSACTIONS!$A4854),DAY(TRANSACTIONS!$A4854)),"")</f>
        <v>45381</v>
      </c>
      <c r="C4854" s="49">
        <f>IF(A4854&lt;&gt;"",TIME(HOUR(TRANSACTIONS!$A4854),MINUTE(TRANSACTIONS!$A4854),SECOND(TRANSACTIONS!$A4854)),"")</f>
        <v>0.46195601851851853</v>
      </c>
      <c r="D4854" s="82" t="s">
        <v>25</v>
      </c>
      <c r="E4854" s="82" t="s">
        <v>6</v>
      </c>
      <c r="F4854" s="88">
        <v>500</v>
      </c>
      <c r="G4854" s="46"/>
      <c r="H4854" s="46">
        <f>IFERROR(TRANSACTIONS!$F4854+TRANSACTIONS!$G4854,"")</f>
        <v>500</v>
      </c>
      <c r="I4854" s="40" t="s">
        <v>41</v>
      </c>
    </row>
    <row r="4855" spans="1:10" x14ac:dyDescent="0.25">
      <c r="A4855" s="41">
        <v>45381.463255671297</v>
      </c>
      <c r="B4855" s="48">
        <f>IF(A4855&lt;&gt;"",DATE(YEAR(TRANSACTIONS!$A4855),MONTH(TRANSACTIONS!$A4855),DAY(TRANSACTIONS!$A4855)),"")</f>
        <v>45381</v>
      </c>
      <c r="C4855" s="49">
        <f>IF(A4855&lt;&gt;"",TIME(HOUR(TRANSACTIONS!$A4855),MINUTE(TRANSACTIONS!$A4855),SECOND(TRANSACTIONS!$A4855)),"")</f>
        <v>0.46325231481481483</v>
      </c>
      <c r="D4855" s="82" t="s">
        <v>25</v>
      </c>
      <c r="E4855" s="82" t="s">
        <v>6</v>
      </c>
      <c r="F4855" s="88">
        <v>50000</v>
      </c>
      <c r="G4855" s="46"/>
      <c r="H4855" s="46">
        <f>IFERROR(TRANSACTIONS!$F4855+TRANSACTIONS!$G4855,"")</f>
        <v>50000</v>
      </c>
      <c r="I4855" s="40" t="s">
        <v>41</v>
      </c>
    </row>
    <row r="4856" spans="1:10" x14ac:dyDescent="0.25">
      <c r="A4856" s="41">
        <v>45381.491392824071</v>
      </c>
      <c r="B4856" s="48">
        <f>IF(A4856&lt;&gt;"",DATE(YEAR(TRANSACTIONS!$A4856),MONTH(TRANSACTIONS!$A4856),DAY(TRANSACTIONS!$A4856)),"")</f>
        <v>45381</v>
      </c>
      <c r="C4856" s="49">
        <f>IF(A4856&lt;&gt;"",TIME(HOUR(TRANSACTIONS!$A4856),MINUTE(TRANSACTIONS!$A4856),SECOND(TRANSACTIONS!$A4856)),"")</f>
        <v>0.49138888888888888</v>
      </c>
      <c r="D4856" s="82" t="s">
        <v>25</v>
      </c>
      <c r="E4856" s="82" t="s">
        <v>7</v>
      </c>
      <c r="F4856" s="88">
        <v>50000</v>
      </c>
      <c r="G4856" s="46"/>
      <c r="H4856" s="46">
        <f>IFERROR(TRANSACTIONS!$F4856+TRANSACTIONS!$G4856,"")</f>
        <v>50000</v>
      </c>
      <c r="I4856" s="40" t="s">
        <v>41</v>
      </c>
    </row>
    <row r="4857" spans="1:10" x14ac:dyDescent="0.25">
      <c r="A4857" s="41">
        <v>45381.491400578707</v>
      </c>
      <c r="B4857" s="48">
        <f>IF(A4857&lt;&gt;"",DATE(YEAR(TRANSACTIONS!$A4857),MONTH(TRANSACTIONS!$A4857),DAY(TRANSACTIONS!$A4857)),"")</f>
        <v>45381</v>
      </c>
      <c r="C4857" s="49">
        <f>IF(A4857&lt;&gt;"",TIME(HOUR(TRANSACTIONS!$A4857),MINUTE(TRANSACTIONS!$A4857),SECOND(TRANSACTIONS!$A4857)),"")</f>
        <v>0.49140046296296297</v>
      </c>
      <c r="D4857" s="82" t="s">
        <v>25</v>
      </c>
      <c r="E4857" s="82" t="s">
        <v>7</v>
      </c>
      <c r="F4857" s="88">
        <v>5000</v>
      </c>
      <c r="G4857" s="46"/>
      <c r="H4857" s="46">
        <f>IFERROR(TRANSACTIONS!$F4857+TRANSACTIONS!$G4857,"")</f>
        <v>5000</v>
      </c>
      <c r="I4857" s="40" t="s">
        <v>41</v>
      </c>
    </row>
    <row r="4858" spans="1:10" x14ac:dyDescent="0.25">
      <c r="A4858" s="41">
        <v>45381.491408564812</v>
      </c>
      <c r="B4858" s="48">
        <f>IF(A4858&lt;&gt;"",DATE(YEAR(TRANSACTIONS!$A4858),MONTH(TRANSACTIONS!$A4858),DAY(TRANSACTIONS!$A4858)),"")</f>
        <v>45381</v>
      </c>
      <c r="C4858" s="49">
        <f>IF(A4858&lt;&gt;"",TIME(HOUR(TRANSACTIONS!$A4858),MINUTE(TRANSACTIONS!$A4858),SECOND(TRANSACTIONS!$A4858)),"")</f>
        <v>0.49141203703703701</v>
      </c>
      <c r="D4858" s="82" t="s">
        <v>62</v>
      </c>
      <c r="E4858" s="82" t="s">
        <v>6</v>
      </c>
      <c r="F4858" s="88">
        <v>2500</v>
      </c>
      <c r="G4858" s="46"/>
      <c r="H4858" s="46">
        <f>IFERROR(TRANSACTIONS!$F4858+TRANSACTIONS!$G4858,"")</f>
        <v>2500</v>
      </c>
      <c r="I4858" s="40" t="s">
        <v>41</v>
      </c>
    </row>
    <row r="4859" spans="1:10" x14ac:dyDescent="0.25">
      <c r="A4859" s="41">
        <v>45381.491417013887</v>
      </c>
      <c r="B4859" s="48">
        <f>IF(A4859&lt;&gt;"",DATE(YEAR(TRANSACTIONS!$A4859),MONTH(TRANSACTIONS!$A4859),DAY(TRANSACTIONS!$A4859)),"")</f>
        <v>45381</v>
      </c>
      <c r="C4859" s="49">
        <f>IF(A4859&lt;&gt;"",TIME(HOUR(TRANSACTIONS!$A4859),MINUTE(TRANSACTIONS!$A4859),SECOND(TRANSACTIONS!$A4859)),"")</f>
        <v>0.49141203703703701</v>
      </c>
      <c r="D4859" s="82" t="s">
        <v>62</v>
      </c>
      <c r="E4859" s="82" t="s">
        <v>6</v>
      </c>
      <c r="F4859" s="88">
        <v>4000</v>
      </c>
      <c r="G4859" s="46"/>
      <c r="H4859" s="46">
        <f>IFERROR(TRANSACTIONS!$F4859+TRANSACTIONS!$G4859,"")</f>
        <v>4000</v>
      </c>
      <c r="I4859" s="40" t="s">
        <v>41</v>
      </c>
    </row>
    <row r="4860" spans="1:10" x14ac:dyDescent="0.25">
      <c r="A4860" s="41">
        <v>45381.491428240741</v>
      </c>
      <c r="B4860" s="48">
        <f>IF(A4860&lt;&gt;"",DATE(YEAR(TRANSACTIONS!$A4860),MONTH(TRANSACTIONS!$A4860),DAY(TRANSACTIONS!$A4860)),"")</f>
        <v>45381</v>
      </c>
      <c r="C4860" s="49">
        <f>IF(A4860&lt;&gt;"",TIME(HOUR(TRANSACTIONS!$A4860),MINUTE(TRANSACTIONS!$A4860),SECOND(TRANSACTIONS!$A4860)),"")</f>
        <v>0.49142361111111116</v>
      </c>
      <c r="D4860" s="82" t="s">
        <v>62</v>
      </c>
      <c r="E4860" s="82" t="s">
        <v>6</v>
      </c>
      <c r="F4860" s="88">
        <v>10100</v>
      </c>
      <c r="G4860" s="46"/>
      <c r="H4860" s="46">
        <f>IFERROR(TRANSACTIONS!$F4860+TRANSACTIONS!$G4860,"")</f>
        <v>10100</v>
      </c>
      <c r="I4860" s="40" t="s">
        <v>41</v>
      </c>
    </row>
    <row r="4861" spans="1:10" x14ac:dyDescent="0.25">
      <c r="A4861" s="41">
        <v>45381.491559837959</v>
      </c>
      <c r="B4861" s="48">
        <f>IF(A4861&lt;&gt;"",DATE(YEAR(TRANSACTIONS!$A4861),MONTH(TRANSACTIONS!$A4861),DAY(TRANSACTIONS!$A4861)),"")</f>
        <v>45381</v>
      </c>
      <c r="C4861" s="49">
        <f>IF(A4861&lt;&gt;"",TIME(HOUR(TRANSACTIONS!$A4861),MINUTE(TRANSACTIONS!$A4861),SECOND(TRANSACTIONS!$A4861)),"")</f>
        <v>0.49156249999999996</v>
      </c>
      <c r="D4861" s="82" t="s">
        <v>62</v>
      </c>
      <c r="E4861" s="82" t="s">
        <v>6</v>
      </c>
      <c r="F4861" s="88">
        <v>15000</v>
      </c>
      <c r="G4861" s="46"/>
      <c r="H4861" s="46">
        <f>IFERROR(TRANSACTIONS!$F4861+TRANSACTIONS!$G4861,"")</f>
        <v>15000</v>
      </c>
      <c r="I4861" s="40" t="s">
        <v>41</v>
      </c>
    </row>
    <row r="4862" spans="1:10" x14ac:dyDescent="0.25">
      <c r="A4862" s="41">
        <v>45381.491574189815</v>
      </c>
      <c r="B4862" s="48">
        <f>IF(A4862&lt;&gt;"",DATE(YEAR(TRANSACTIONS!$A4862),MONTH(TRANSACTIONS!$A4862),DAY(TRANSACTIONS!$A4862)),"")</f>
        <v>45381</v>
      </c>
      <c r="C4862" s="49">
        <f>IF(A4862&lt;&gt;"",TIME(HOUR(TRANSACTIONS!$A4862),MINUTE(TRANSACTIONS!$A4862),SECOND(TRANSACTIONS!$A4862)),"")</f>
        <v>0.49157407407407411</v>
      </c>
      <c r="D4862" s="82" t="s">
        <v>62</v>
      </c>
      <c r="E4862" s="82" t="s">
        <v>6</v>
      </c>
      <c r="F4862" s="88">
        <v>10000</v>
      </c>
      <c r="G4862" s="46"/>
      <c r="H4862" s="46">
        <f>IFERROR(TRANSACTIONS!$F4862+TRANSACTIONS!$G4862,"")</f>
        <v>10000</v>
      </c>
      <c r="I4862" s="40" t="s">
        <v>41</v>
      </c>
    </row>
    <row r="4863" spans="1:10" x14ac:dyDescent="0.25">
      <c r="A4863" s="41">
        <v>45381.491582870367</v>
      </c>
      <c r="B4863" s="48">
        <f>IF(A4863&lt;&gt;"",DATE(YEAR(TRANSACTIONS!$A4863),MONTH(TRANSACTIONS!$A4863),DAY(TRANSACTIONS!$A4863)),"")</f>
        <v>45381</v>
      </c>
      <c r="C4863" s="49">
        <f>IF(A4863&lt;&gt;"",TIME(HOUR(TRANSACTIONS!$A4863),MINUTE(TRANSACTIONS!$A4863),SECOND(TRANSACTIONS!$A4863)),"")</f>
        <v>0.49158564814814815</v>
      </c>
      <c r="D4863" s="82" t="s">
        <v>62</v>
      </c>
      <c r="E4863" s="82" t="s">
        <v>6</v>
      </c>
      <c r="F4863" s="88">
        <v>5000</v>
      </c>
      <c r="G4863" s="46"/>
      <c r="H4863" s="46">
        <f>IFERROR(TRANSACTIONS!$F4863+TRANSACTIONS!$G4863,"")</f>
        <v>5000</v>
      </c>
      <c r="I4863" s="40" t="s">
        <v>41</v>
      </c>
    </row>
    <row r="4864" spans="1:10" x14ac:dyDescent="0.25">
      <c r="A4864" s="41">
        <v>45381.491615856481</v>
      </c>
      <c r="B4864" s="48">
        <f>IF(A4864&lt;&gt;"",DATE(YEAR(TRANSACTIONS!$A4864),MONTH(TRANSACTIONS!$A4864),DAY(TRANSACTIONS!$A4864)),"")</f>
        <v>45381</v>
      </c>
      <c r="C4864" s="49">
        <f>IF(A4864&lt;&gt;"",TIME(HOUR(TRANSACTIONS!$A4864),MINUTE(TRANSACTIONS!$A4864),SECOND(TRANSACTIONS!$A4864)),"")</f>
        <v>0.49162037037037037</v>
      </c>
      <c r="D4864" s="82" t="s">
        <v>62</v>
      </c>
      <c r="E4864" s="82" t="s">
        <v>6</v>
      </c>
      <c r="F4864" s="88">
        <v>40000</v>
      </c>
      <c r="G4864" s="46"/>
      <c r="H4864" s="46">
        <f>IFERROR(TRANSACTIONS!$F4864+TRANSACTIONS!$G4864,"")</f>
        <v>40000</v>
      </c>
      <c r="I4864" s="40" t="s">
        <v>41</v>
      </c>
    </row>
    <row r="4865" spans="1:9" x14ac:dyDescent="0.25">
      <c r="A4865" s="41">
        <v>45381.492052777779</v>
      </c>
      <c r="B4865" s="48">
        <f>IF(A4865&lt;&gt;"",DATE(YEAR(TRANSACTIONS!$A4865),MONTH(TRANSACTIONS!$A4865),DAY(TRANSACTIONS!$A4865)),"")</f>
        <v>45381</v>
      </c>
      <c r="C4865" s="49">
        <f>IF(A4865&lt;&gt;"",TIME(HOUR(TRANSACTIONS!$A4865),MINUTE(TRANSACTIONS!$A4865),SECOND(TRANSACTIONS!$A4865)),"")</f>
        <v>0.49204861111111109</v>
      </c>
      <c r="D4865" s="82" t="s">
        <v>62</v>
      </c>
      <c r="E4865" s="82" t="s">
        <v>7</v>
      </c>
      <c r="F4865" s="88">
        <v>5000</v>
      </c>
      <c r="G4865" s="46"/>
      <c r="H4865" s="46">
        <f>IFERROR(TRANSACTIONS!$F4865+TRANSACTIONS!$G4865,"")</f>
        <v>5000</v>
      </c>
      <c r="I4865" s="40" t="s">
        <v>41</v>
      </c>
    </row>
    <row r="4866" spans="1:9" x14ac:dyDescent="0.25">
      <c r="A4866" s="41">
        <v>45381.49424699074</v>
      </c>
      <c r="B4866" s="48">
        <f>IF(A4866&lt;&gt;"",DATE(YEAR(TRANSACTIONS!$A4866),MONTH(TRANSACTIONS!$A4866),DAY(TRANSACTIONS!$A4866)),"")</f>
        <v>45381</v>
      </c>
      <c r="C4866" s="49">
        <f>IF(A4866&lt;&gt;"",TIME(HOUR(TRANSACTIONS!$A4866),MINUTE(TRANSACTIONS!$A4866),SECOND(TRANSACTIONS!$A4866)),"")</f>
        <v>0.49424768518518519</v>
      </c>
      <c r="D4866" s="82" t="s">
        <v>62</v>
      </c>
      <c r="E4866" s="82" t="s">
        <v>7</v>
      </c>
      <c r="F4866" s="88">
        <v>4000</v>
      </c>
      <c r="G4866" s="46"/>
      <c r="H4866" s="46">
        <f>IFERROR(TRANSACTIONS!$F4866+TRANSACTIONS!$G4866,"")</f>
        <v>4000</v>
      </c>
      <c r="I4866" s="40" t="s">
        <v>41</v>
      </c>
    </row>
    <row r="4867" spans="1:9" x14ac:dyDescent="0.25">
      <c r="A4867" s="41">
        <v>45381.494475810185</v>
      </c>
      <c r="B4867" s="48">
        <f>IF(A4867&lt;&gt;"",DATE(YEAR(TRANSACTIONS!$A4867),MONTH(TRANSACTIONS!$A4867),DAY(TRANSACTIONS!$A4867)),"")</f>
        <v>45381</v>
      </c>
      <c r="C4867" s="49">
        <f>IF(A4867&lt;&gt;"",TIME(HOUR(TRANSACTIONS!$A4867),MINUTE(TRANSACTIONS!$A4867),SECOND(TRANSACTIONS!$A4867)),"")</f>
        <v>0.49447916666666664</v>
      </c>
      <c r="D4867" s="82" t="s">
        <v>62</v>
      </c>
      <c r="E4867" s="82" t="s">
        <v>6</v>
      </c>
      <c r="F4867" s="88">
        <v>2000</v>
      </c>
      <c r="G4867" s="46"/>
      <c r="H4867" s="46">
        <f>IFERROR(TRANSACTIONS!$F4867+TRANSACTIONS!$G4867,"")</f>
        <v>2000</v>
      </c>
      <c r="I4867" s="40" t="s">
        <v>41</v>
      </c>
    </row>
    <row r="4868" spans="1:9" x14ac:dyDescent="0.25">
      <c r="A4868" s="41">
        <v>45381.494483564813</v>
      </c>
      <c r="B4868" s="48">
        <f>IF(A4868&lt;&gt;"",DATE(YEAR(TRANSACTIONS!$A4868),MONTH(TRANSACTIONS!$A4868),DAY(TRANSACTIONS!$A4868)),"")</f>
        <v>45381</v>
      </c>
      <c r="C4868" s="49">
        <f>IF(A4868&lt;&gt;"",TIME(HOUR(TRANSACTIONS!$A4868),MINUTE(TRANSACTIONS!$A4868),SECOND(TRANSACTIONS!$A4868)),"")</f>
        <v>0.49447916666666664</v>
      </c>
      <c r="D4868" s="82" t="s">
        <v>62</v>
      </c>
      <c r="E4868" s="82" t="s">
        <v>7</v>
      </c>
      <c r="F4868" s="88">
        <v>200000</v>
      </c>
      <c r="G4868" s="46"/>
      <c r="H4868" s="46">
        <f>IFERROR(TRANSACTIONS!$F4868+TRANSACTIONS!$G4868,"")</f>
        <v>200000</v>
      </c>
      <c r="I4868" s="40" t="s">
        <v>41</v>
      </c>
    </row>
    <row r="4869" spans="1:9" x14ac:dyDescent="0.25">
      <c r="A4869" s="41">
        <v>45381.494491898149</v>
      </c>
      <c r="B4869" s="48">
        <f>IF(A4869&lt;&gt;"",DATE(YEAR(TRANSACTIONS!$A4869),MONTH(TRANSACTIONS!$A4869),DAY(TRANSACTIONS!$A4869)),"")</f>
        <v>45381</v>
      </c>
      <c r="C4869" s="49">
        <f>IF(A4869&lt;&gt;"",TIME(HOUR(TRANSACTIONS!$A4869),MINUTE(TRANSACTIONS!$A4869),SECOND(TRANSACTIONS!$A4869)),"")</f>
        <v>0.49449074074074079</v>
      </c>
      <c r="D4869" s="82" t="s">
        <v>62</v>
      </c>
      <c r="E4869" s="82" t="s">
        <v>7</v>
      </c>
      <c r="F4869" s="88">
        <v>70000</v>
      </c>
      <c r="G4869" s="46"/>
      <c r="H4869" s="46">
        <f>IFERROR(TRANSACTIONS!$F4869+TRANSACTIONS!$G4869,"")</f>
        <v>70000</v>
      </c>
      <c r="I4869" s="40" t="s">
        <v>41</v>
      </c>
    </row>
    <row r="4870" spans="1:9" x14ac:dyDescent="0.25">
      <c r="A4870" s="41">
        <v>45381.494510763892</v>
      </c>
      <c r="B4870" s="48">
        <f>IF(A4870&lt;&gt;"",DATE(YEAR(TRANSACTIONS!$A4870),MONTH(TRANSACTIONS!$A4870),DAY(TRANSACTIONS!$A4870)),"")</f>
        <v>45381</v>
      </c>
      <c r="C4870" s="49">
        <f>IF(A4870&lt;&gt;"",TIME(HOUR(TRANSACTIONS!$A4870),MINUTE(TRANSACTIONS!$A4870),SECOND(TRANSACTIONS!$A4870)),"")</f>
        <v>0.49451388888888892</v>
      </c>
      <c r="D4870" s="82" t="s">
        <v>62</v>
      </c>
      <c r="E4870" s="82" t="s">
        <v>6</v>
      </c>
      <c r="F4870" s="88">
        <v>50000</v>
      </c>
      <c r="G4870" s="46"/>
      <c r="H4870" s="46">
        <f>IFERROR(TRANSACTIONS!$F4870+TRANSACTIONS!$G4870,"")</f>
        <v>50000</v>
      </c>
      <c r="I4870" s="40" t="s">
        <v>41</v>
      </c>
    </row>
    <row r="4871" spans="1:9" x14ac:dyDescent="0.25">
      <c r="A4871" s="41">
        <v>45381.494570949071</v>
      </c>
      <c r="B4871" s="48">
        <f>IF(A4871&lt;&gt;"",DATE(YEAR(TRANSACTIONS!$A4871),MONTH(TRANSACTIONS!$A4871),DAY(TRANSACTIONS!$A4871)),"")</f>
        <v>45381</v>
      </c>
      <c r="C4871" s="49">
        <f>IF(A4871&lt;&gt;"",TIME(HOUR(TRANSACTIONS!$A4871),MINUTE(TRANSACTIONS!$A4871),SECOND(TRANSACTIONS!$A4871)),"")</f>
        <v>0.49457175925925928</v>
      </c>
      <c r="D4871" s="82" t="s">
        <v>62</v>
      </c>
      <c r="E4871" s="82" t="s">
        <v>6</v>
      </c>
      <c r="F4871" s="88">
        <v>2000</v>
      </c>
      <c r="G4871" s="46"/>
      <c r="H4871" s="46">
        <f>IFERROR(TRANSACTIONS!$F4871+TRANSACTIONS!$G4871,"")</f>
        <v>2000</v>
      </c>
      <c r="I4871" s="40" t="s">
        <v>41</v>
      </c>
    </row>
    <row r="4872" spans="1:9" x14ac:dyDescent="0.25">
      <c r="A4872" s="41">
        <v>45381.495778472221</v>
      </c>
      <c r="B4872" s="48">
        <f>IF(A4872&lt;&gt;"",DATE(YEAR(TRANSACTIONS!$A4872),MONTH(TRANSACTIONS!$A4872),DAY(TRANSACTIONS!$A4872)),"")</f>
        <v>45381</v>
      </c>
      <c r="C4872" s="49">
        <f>IF(A4872&lt;&gt;"",TIME(HOUR(TRANSACTIONS!$A4872),MINUTE(TRANSACTIONS!$A4872),SECOND(TRANSACTIONS!$A4872)),"")</f>
        <v>0.49577546296296293</v>
      </c>
      <c r="D4872" s="82" t="s">
        <v>25</v>
      </c>
      <c r="E4872" s="82" t="s">
        <v>6</v>
      </c>
      <c r="F4872" s="88">
        <v>5000</v>
      </c>
      <c r="G4872" s="46"/>
      <c r="H4872" s="46">
        <f>IFERROR(TRANSACTIONS!$F4872+TRANSACTIONS!$G4872,"")</f>
        <v>5000</v>
      </c>
      <c r="I4872" s="40" t="s">
        <v>41</v>
      </c>
    </row>
    <row r="4873" spans="1:9" x14ac:dyDescent="0.25">
      <c r="A4873" s="81">
        <v>45381.495791319445</v>
      </c>
      <c r="B4873" s="83">
        <f>IF(A4873&lt;&gt;"",DATE(YEAR(TRANSACTIONS!$A4873),MONTH(TRANSACTIONS!$A4873),DAY(TRANSACTIONS!$A4873)),"")</f>
        <v>45381</v>
      </c>
      <c r="C4873" s="84">
        <f>IF(A4873&lt;&gt;"",TIME(HOUR(TRANSACTIONS!$A4873),MINUTE(TRANSACTIONS!$A4873),SECOND(TRANSACTIONS!$A4873)),"")</f>
        <v>0.49578703703703703</v>
      </c>
      <c r="D4873" s="82" t="s">
        <v>62</v>
      </c>
      <c r="E4873" s="82" t="s">
        <v>6</v>
      </c>
      <c r="F4873" s="88">
        <v>20200</v>
      </c>
      <c r="G4873" s="86"/>
      <c r="H4873" s="86">
        <f>IFERROR(TRANSACTIONS!$F4873+TRANSACTIONS!$G4873,"")</f>
        <v>20200</v>
      </c>
      <c r="I4873" s="88" t="s">
        <v>41</v>
      </c>
    </row>
    <row r="4874" spans="1:9" x14ac:dyDescent="0.25">
      <c r="A4874" s="41">
        <v>45381.511092361114</v>
      </c>
      <c r="B4874" s="48">
        <f>IF(A4874&lt;&gt;"",DATE(YEAR(TRANSACTIONS!$A4874),MONTH(TRANSACTIONS!$A4874),DAY(TRANSACTIONS!$A4874)),"")</f>
        <v>45381</v>
      </c>
      <c r="C4874" s="49">
        <f>IF(A4874&lt;&gt;"",TIME(HOUR(TRANSACTIONS!$A4874),MINUTE(TRANSACTIONS!$A4874),SECOND(TRANSACTIONS!$A4874)),"")</f>
        <v>0.51108796296296299</v>
      </c>
      <c r="D4874" s="82" t="s">
        <v>62</v>
      </c>
      <c r="E4874" s="82" t="s">
        <v>6</v>
      </c>
      <c r="F4874" s="88">
        <v>20000</v>
      </c>
      <c r="G4874" s="46"/>
      <c r="H4874" s="46">
        <f>IFERROR(TRANSACTIONS!$F4874+TRANSACTIONS!$G4874,"")</f>
        <v>20000</v>
      </c>
      <c r="I4874" s="40" t="s">
        <v>41</v>
      </c>
    </row>
    <row r="4875" spans="1:9" x14ac:dyDescent="0.25">
      <c r="A4875" s="41">
        <v>45381.51245185185</v>
      </c>
      <c r="B4875" s="48">
        <f>IF(A4875&lt;&gt;"",DATE(YEAR(TRANSACTIONS!$A4875),MONTH(TRANSACTIONS!$A4875),DAY(TRANSACTIONS!$A4875)),"")</f>
        <v>45381</v>
      </c>
      <c r="C4875" s="49">
        <f>IF(A4875&lt;&gt;"",TIME(HOUR(TRANSACTIONS!$A4875),MINUTE(TRANSACTIONS!$A4875),SECOND(TRANSACTIONS!$A4875)),"")</f>
        <v>0.51245370370370369</v>
      </c>
      <c r="D4875" s="82" t="s">
        <v>62</v>
      </c>
      <c r="E4875" s="82" t="s">
        <v>6</v>
      </c>
      <c r="F4875" s="88">
        <v>4000</v>
      </c>
      <c r="G4875" s="46"/>
      <c r="H4875" s="46">
        <f>IFERROR(TRANSACTIONS!$F4875+TRANSACTIONS!$G4875,"")</f>
        <v>4000</v>
      </c>
      <c r="I4875" s="40" t="s">
        <v>41</v>
      </c>
    </row>
    <row r="4876" spans="1:9" x14ac:dyDescent="0.25">
      <c r="A4876" s="41">
        <v>45381.514171064817</v>
      </c>
      <c r="B4876" s="48">
        <f>IF(A4876&lt;&gt;"",DATE(YEAR(TRANSACTIONS!$A4876),MONTH(TRANSACTIONS!$A4876),DAY(TRANSACTIONS!$A4876)),"")</f>
        <v>45381</v>
      </c>
      <c r="C4876" s="49">
        <f>IF(A4876&lt;&gt;"",TIME(HOUR(TRANSACTIONS!$A4876),MINUTE(TRANSACTIONS!$A4876),SECOND(TRANSACTIONS!$A4876)),"")</f>
        <v>0.51416666666666666</v>
      </c>
      <c r="D4876" s="82" t="s">
        <v>25</v>
      </c>
      <c r="E4876" s="82" t="s">
        <v>7</v>
      </c>
      <c r="F4876" s="88">
        <v>5000</v>
      </c>
      <c r="G4876" s="46"/>
      <c r="H4876" s="46">
        <f>IFERROR(TRANSACTIONS!$F4876+TRANSACTIONS!$G4876,"")</f>
        <v>5000</v>
      </c>
      <c r="I4876" s="40" t="s">
        <v>41</v>
      </c>
    </row>
    <row r="4877" spans="1:9" x14ac:dyDescent="0.25">
      <c r="A4877" s="41">
        <v>45381.514920949077</v>
      </c>
      <c r="B4877" s="48">
        <f>IF(A4877&lt;&gt;"",DATE(YEAR(TRANSACTIONS!$A4877),MONTH(TRANSACTIONS!$A4877),DAY(TRANSACTIONS!$A4877)),"")</f>
        <v>45381</v>
      </c>
      <c r="C4877" s="49">
        <f>IF(A4877&lt;&gt;"",TIME(HOUR(TRANSACTIONS!$A4877),MINUTE(TRANSACTIONS!$A4877),SECOND(TRANSACTIONS!$A4877)),"")</f>
        <v>0.51491898148148152</v>
      </c>
      <c r="D4877" s="82" t="s">
        <v>25</v>
      </c>
      <c r="E4877" s="82" t="s">
        <v>6</v>
      </c>
      <c r="F4877" s="88">
        <v>1300</v>
      </c>
      <c r="G4877" s="46"/>
      <c r="H4877" s="46">
        <f>IFERROR(TRANSACTIONS!$F4877+TRANSACTIONS!$G4877,"")</f>
        <v>1300</v>
      </c>
      <c r="I4877" s="40" t="s">
        <v>41</v>
      </c>
    </row>
    <row r="4878" spans="1:9" x14ac:dyDescent="0.25">
      <c r="A4878" s="41">
        <v>45381.516654398147</v>
      </c>
      <c r="B4878" s="48">
        <f>IF(A4878&lt;&gt;"",DATE(YEAR(TRANSACTIONS!$A4878),MONTH(TRANSACTIONS!$A4878),DAY(TRANSACTIONS!$A4878)),"")</f>
        <v>45381</v>
      </c>
      <c r="C4878" s="49">
        <f>IF(A4878&lt;&gt;"",TIME(HOUR(TRANSACTIONS!$A4878),MINUTE(TRANSACTIONS!$A4878),SECOND(TRANSACTIONS!$A4878)),"")</f>
        <v>0.51665509259259257</v>
      </c>
      <c r="D4878" s="82" t="s">
        <v>25</v>
      </c>
      <c r="E4878" s="82" t="s">
        <v>7</v>
      </c>
      <c r="F4878" s="88">
        <v>125000</v>
      </c>
      <c r="G4878" s="46"/>
      <c r="H4878" s="46">
        <f>IFERROR(TRANSACTIONS!$F4878+TRANSACTIONS!$G4878,"")</f>
        <v>125000</v>
      </c>
      <c r="I4878" s="40" t="s">
        <v>41</v>
      </c>
    </row>
    <row r="4879" spans="1:9" x14ac:dyDescent="0.25">
      <c r="A4879" s="41">
        <v>45381.516801388891</v>
      </c>
      <c r="B4879" s="48">
        <f>IF(A4879&lt;&gt;"",DATE(YEAR(TRANSACTIONS!$A4879),MONTH(TRANSACTIONS!$A4879),DAY(TRANSACTIONS!$A4879)),"")</f>
        <v>45381</v>
      </c>
      <c r="C4879" s="49">
        <f>IF(A4879&lt;&gt;"",TIME(HOUR(TRANSACTIONS!$A4879),MINUTE(TRANSACTIONS!$A4879),SECOND(TRANSACTIONS!$A4879)),"")</f>
        <v>0.51680555555555552</v>
      </c>
      <c r="D4879" s="82" t="s">
        <v>25</v>
      </c>
      <c r="E4879" s="82" t="s">
        <v>6</v>
      </c>
      <c r="F4879" s="88">
        <v>3000</v>
      </c>
      <c r="G4879" s="46"/>
      <c r="H4879" s="46">
        <f>IFERROR(TRANSACTIONS!$F4879+TRANSACTIONS!$G4879,"")</f>
        <v>3000</v>
      </c>
      <c r="I4879" s="40" t="s">
        <v>41</v>
      </c>
    </row>
    <row r="4880" spans="1:9" x14ac:dyDescent="0.25">
      <c r="A4880" s="41">
        <v>45381.520164236113</v>
      </c>
      <c r="B4880" s="48">
        <f>IF(A4880&lt;&gt;"",DATE(YEAR(TRANSACTIONS!$A4880),MONTH(TRANSACTIONS!$A4880),DAY(TRANSACTIONS!$A4880)),"")</f>
        <v>45381</v>
      </c>
      <c r="C4880" s="49">
        <f>IF(A4880&lt;&gt;"",TIME(HOUR(TRANSACTIONS!$A4880),MINUTE(TRANSACTIONS!$A4880),SECOND(TRANSACTIONS!$A4880)),"")</f>
        <v>0.52016203703703701</v>
      </c>
      <c r="D4880" s="82" t="s">
        <v>25</v>
      </c>
      <c r="E4880" s="82" t="s">
        <v>6</v>
      </c>
      <c r="F4880" s="88">
        <v>10000</v>
      </c>
      <c r="G4880" s="46"/>
      <c r="H4880" s="46">
        <f>IFERROR(TRANSACTIONS!$F4880+TRANSACTIONS!$G4880,"")</f>
        <v>10000</v>
      </c>
      <c r="I4880" s="40" t="s">
        <v>41</v>
      </c>
    </row>
    <row r="4881" spans="1:9" x14ac:dyDescent="0.25">
      <c r="A4881" s="41">
        <v>45381.596806365742</v>
      </c>
      <c r="B4881" s="48">
        <f>IF(A4881&lt;&gt;"",DATE(YEAR(TRANSACTIONS!$A4881),MONTH(TRANSACTIONS!$A4881),DAY(TRANSACTIONS!$A4881)),"")</f>
        <v>45381</v>
      </c>
      <c r="C4881" s="49">
        <f>IF(A4881&lt;&gt;"",TIME(HOUR(TRANSACTIONS!$A4881),MINUTE(TRANSACTIONS!$A4881),SECOND(TRANSACTIONS!$A4881)),"")</f>
        <v>0.59680555555555559</v>
      </c>
      <c r="D4881" s="82" t="s">
        <v>62</v>
      </c>
      <c r="E4881" s="82" t="s">
        <v>7</v>
      </c>
      <c r="F4881" s="88">
        <v>8000</v>
      </c>
      <c r="G4881" s="46"/>
      <c r="H4881" s="46">
        <f>IFERROR(TRANSACTIONS!$F4881+TRANSACTIONS!$G4881,"")</f>
        <v>8000</v>
      </c>
      <c r="I4881" s="40" t="s">
        <v>41</v>
      </c>
    </row>
    <row r="4882" spans="1:9" x14ac:dyDescent="0.25">
      <c r="A4882" s="41">
        <v>45381.596813773147</v>
      </c>
      <c r="B4882" s="48">
        <f>IF(A4882&lt;&gt;"",DATE(YEAR(TRANSACTIONS!$A4882),MONTH(TRANSACTIONS!$A4882),DAY(TRANSACTIONS!$A4882)),"")</f>
        <v>45381</v>
      </c>
      <c r="C4882" s="49">
        <f>IF(A4882&lt;&gt;"",TIME(HOUR(TRANSACTIONS!$A4882),MINUTE(TRANSACTIONS!$A4882),SECOND(TRANSACTIONS!$A4882)),"")</f>
        <v>0.59681712962962963</v>
      </c>
      <c r="D4882" s="82" t="s">
        <v>62</v>
      </c>
      <c r="E4882" s="82" t="s">
        <v>7</v>
      </c>
      <c r="F4882" s="88">
        <v>22500</v>
      </c>
      <c r="G4882" s="46"/>
      <c r="H4882" s="46">
        <f>IFERROR(TRANSACTIONS!$F4882+TRANSACTIONS!$G4882,"")</f>
        <v>22500</v>
      </c>
      <c r="I4882" s="40" t="s">
        <v>41</v>
      </c>
    </row>
    <row r="4883" spans="1:9" x14ac:dyDescent="0.25">
      <c r="A4883" s="41">
        <v>45381.596821874999</v>
      </c>
      <c r="B4883" s="48">
        <f>IF(A4883&lt;&gt;"",DATE(YEAR(TRANSACTIONS!$A4883),MONTH(TRANSACTIONS!$A4883),DAY(TRANSACTIONS!$A4883)),"")</f>
        <v>45381</v>
      </c>
      <c r="C4883" s="49">
        <f>IF(A4883&lt;&gt;"",TIME(HOUR(TRANSACTIONS!$A4883),MINUTE(TRANSACTIONS!$A4883),SECOND(TRANSACTIONS!$A4883)),"")</f>
        <v>0.59681712962962963</v>
      </c>
      <c r="D4883" s="82" t="s">
        <v>62</v>
      </c>
      <c r="E4883" s="82" t="s">
        <v>7</v>
      </c>
      <c r="F4883" s="88">
        <v>1000</v>
      </c>
      <c r="G4883" s="46"/>
      <c r="H4883" s="46">
        <f>IFERROR(TRANSACTIONS!$F4883+TRANSACTIONS!$G4883,"")</f>
        <v>1000</v>
      </c>
      <c r="I4883" s="40" t="s">
        <v>41</v>
      </c>
    </row>
    <row r="4884" spans="1:9" x14ac:dyDescent="0.25">
      <c r="A4884" s="41">
        <v>45381.596861342594</v>
      </c>
      <c r="B4884" s="48">
        <f>IF(A4884&lt;&gt;"",DATE(YEAR(TRANSACTIONS!$A4884),MONTH(TRANSACTIONS!$A4884),DAY(TRANSACTIONS!$A4884)),"")</f>
        <v>45381</v>
      </c>
      <c r="C4884" s="49">
        <f>IF(A4884&lt;&gt;"",TIME(HOUR(TRANSACTIONS!$A4884),MINUTE(TRANSACTIONS!$A4884),SECOND(TRANSACTIONS!$A4884)),"")</f>
        <v>0.59686342592592589</v>
      </c>
      <c r="D4884" s="82" t="s">
        <v>62</v>
      </c>
      <c r="E4884" s="82" t="s">
        <v>7</v>
      </c>
      <c r="F4884" s="88">
        <v>25000</v>
      </c>
      <c r="G4884" s="46"/>
      <c r="H4884" s="46">
        <f>IFERROR(TRANSACTIONS!$F4884+TRANSACTIONS!$G4884,"")</f>
        <v>25000</v>
      </c>
      <c r="I4884" s="40" t="s">
        <v>41</v>
      </c>
    </row>
    <row r="4885" spans="1:9" x14ac:dyDescent="0.25">
      <c r="A4885" s="41">
        <v>45381.596878472221</v>
      </c>
      <c r="B4885" s="48">
        <f>IF(A4885&lt;&gt;"",DATE(YEAR(TRANSACTIONS!$A4885),MONTH(TRANSACTIONS!$A4885),DAY(TRANSACTIONS!$A4885)),"")</f>
        <v>45381</v>
      </c>
      <c r="C4885" s="49">
        <f>IF(A4885&lt;&gt;"",TIME(HOUR(TRANSACTIONS!$A4885),MINUTE(TRANSACTIONS!$A4885),SECOND(TRANSACTIONS!$A4885)),"")</f>
        <v>0.59687499999999993</v>
      </c>
      <c r="D4885" s="82" t="s">
        <v>62</v>
      </c>
      <c r="E4885" s="82" t="s">
        <v>7</v>
      </c>
      <c r="F4885" s="88">
        <v>6500</v>
      </c>
      <c r="G4885" s="46"/>
      <c r="H4885" s="46">
        <f>IFERROR(TRANSACTIONS!$F4885+TRANSACTIONS!$G4885,"")</f>
        <v>6500</v>
      </c>
      <c r="I4885" s="40" t="s">
        <v>41</v>
      </c>
    </row>
    <row r="4886" spans="1:9" x14ac:dyDescent="0.25">
      <c r="A4886" s="41">
        <v>45381.597538657406</v>
      </c>
      <c r="B4886" s="48">
        <f>IF(A4886&lt;&gt;"",DATE(YEAR(TRANSACTIONS!$A4886),MONTH(TRANSACTIONS!$A4886),DAY(TRANSACTIONS!$A4886)),"")</f>
        <v>45381</v>
      </c>
      <c r="C4886" s="49">
        <f>IF(A4886&lt;&gt;"",TIME(HOUR(TRANSACTIONS!$A4886),MINUTE(TRANSACTIONS!$A4886),SECOND(TRANSACTIONS!$A4886)),"")</f>
        <v>0.59753472222222215</v>
      </c>
      <c r="D4886" s="82" t="s">
        <v>62</v>
      </c>
      <c r="E4886" s="82" t="s">
        <v>6</v>
      </c>
      <c r="F4886" s="76">
        <v>25000</v>
      </c>
      <c r="G4886" s="46"/>
      <c r="H4886" s="46">
        <f>IFERROR(TRANSACTIONS!$F4886+TRANSACTIONS!$G4886,"")</f>
        <v>25000</v>
      </c>
      <c r="I4886" s="40" t="s">
        <v>41</v>
      </c>
    </row>
    <row r="4887" spans="1:9" x14ac:dyDescent="0.25">
      <c r="A4887" s="41">
        <v>45381.600343749997</v>
      </c>
      <c r="B4887" s="48">
        <f>IF(A4887&lt;&gt;"",DATE(YEAR(TRANSACTIONS!$A4887),MONTH(TRANSACTIONS!$A4887),DAY(TRANSACTIONS!$A4887)),"")</f>
        <v>45381</v>
      </c>
      <c r="C4887" s="49">
        <f>IF(A4887&lt;&gt;"",TIME(HOUR(TRANSACTIONS!$A4887),MINUTE(TRANSACTIONS!$A4887),SECOND(TRANSACTIONS!$A4887)),"")</f>
        <v>0.60034722222222225</v>
      </c>
      <c r="D4887" s="82" t="s">
        <v>62</v>
      </c>
      <c r="E4887" s="82" t="s">
        <v>7</v>
      </c>
      <c r="F4887" s="88">
        <v>5000</v>
      </c>
      <c r="G4887" s="46"/>
      <c r="H4887" s="46">
        <f>IFERROR(TRANSACTIONS!$F4887+TRANSACTIONS!$G4887,"")</f>
        <v>5000</v>
      </c>
      <c r="I4887" s="40" t="s">
        <v>41</v>
      </c>
    </row>
    <row r="4888" spans="1:9" x14ac:dyDescent="0.25">
      <c r="A4888" s="41">
        <v>45381.600375578702</v>
      </c>
      <c r="B4888" s="48">
        <f>IF(A4888&lt;&gt;"",DATE(YEAR(TRANSACTIONS!$A4888),MONTH(TRANSACTIONS!$A4888),DAY(TRANSACTIONS!$A4888)),"")</f>
        <v>45381</v>
      </c>
      <c r="C4888" s="49">
        <f>IF(A4888&lt;&gt;"",TIME(HOUR(TRANSACTIONS!$A4888),MINUTE(TRANSACTIONS!$A4888),SECOND(TRANSACTIONS!$A4888)),"")</f>
        <v>0.60037037037037033</v>
      </c>
      <c r="D4888" s="82" t="s">
        <v>62</v>
      </c>
      <c r="E4888" s="82" t="s">
        <v>7</v>
      </c>
      <c r="F4888" s="88">
        <v>5000</v>
      </c>
      <c r="G4888" s="46"/>
      <c r="H4888" s="46">
        <f>IFERROR(TRANSACTIONS!$F4888+TRANSACTIONS!$G4888,"")</f>
        <v>5000</v>
      </c>
      <c r="I4888" s="40" t="s">
        <v>41</v>
      </c>
    </row>
    <row r="4889" spans="1:9" x14ac:dyDescent="0.25">
      <c r="A4889" s="41">
        <v>45381.600384606485</v>
      </c>
      <c r="B4889" s="48">
        <f>IF(A4889&lt;&gt;"",DATE(YEAR(TRANSACTIONS!$A4889),MONTH(TRANSACTIONS!$A4889),DAY(TRANSACTIONS!$A4889)),"")</f>
        <v>45381</v>
      </c>
      <c r="C4889" s="49">
        <f>IF(A4889&lt;&gt;"",TIME(HOUR(TRANSACTIONS!$A4889),MINUTE(TRANSACTIONS!$A4889),SECOND(TRANSACTIONS!$A4889)),"")</f>
        <v>0.60038194444444448</v>
      </c>
      <c r="D4889" s="82" t="s">
        <v>62</v>
      </c>
      <c r="E4889" s="82" t="s">
        <v>7</v>
      </c>
      <c r="F4889" s="88">
        <v>10000</v>
      </c>
      <c r="G4889" s="46"/>
      <c r="H4889" s="46">
        <f>IFERROR(TRANSACTIONS!$F4889+TRANSACTIONS!$G4889,"")</f>
        <v>10000</v>
      </c>
      <c r="I4889" s="40" t="s">
        <v>41</v>
      </c>
    </row>
    <row r="4890" spans="1:9" x14ac:dyDescent="0.25">
      <c r="A4890" s="41">
        <v>45381.600391666667</v>
      </c>
      <c r="B4890" s="48">
        <f>IF(A4890&lt;&gt;"",DATE(YEAR(TRANSACTIONS!$A4890),MONTH(TRANSACTIONS!$A4890),DAY(TRANSACTIONS!$A4890)),"")</f>
        <v>45381</v>
      </c>
      <c r="C4890" s="49">
        <f>IF(A4890&lt;&gt;"",TIME(HOUR(TRANSACTIONS!$A4890),MINUTE(TRANSACTIONS!$A4890),SECOND(TRANSACTIONS!$A4890)),"")</f>
        <v>0.60039351851851852</v>
      </c>
      <c r="D4890" s="82" t="s">
        <v>62</v>
      </c>
      <c r="E4890" s="82" t="s">
        <v>6</v>
      </c>
      <c r="F4890" s="88">
        <v>177750</v>
      </c>
      <c r="G4890" s="46"/>
      <c r="H4890" s="46">
        <f>IFERROR(TRANSACTIONS!$F4890+TRANSACTIONS!$G4890,"")</f>
        <v>177750</v>
      </c>
      <c r="I4890" s="40" t="s">
        <v>41</v>
      </c>
    </row>
    <row r="4891" spans="1:9" x14ac:dyDescent="0.25">
      <c r="A4891" s="113">
        <v>45381.600411805557</v>
      </c>
      <c r="B4891" s="114">
        <f>IF(A4891&lt;&gt;"",DATE(YEAR(TRANSACTIONS!$A4891),MONTH(TRANSACTIONS!$A4891),DAY(TRANSACTIONS!$A4891)),"")</f>
        <v>45381</v>
      </c>
      <c r="C4891" s="115">
        <f>IF(A4891&lt;&gt;"",TIME(HOUR(TRANSACTIONS!$A4891),MINUTE(TRANSACTIONS!$A4891),SECOND(TRANSACTIONS!$A4891)),"")</f>
        <v>0.60041666666666671</v>
      </c>
      <c r="D4891" s="82" t="s">
        <v>62</v>
      </c>
      <c r="E4891" s="82" t="s">
        <v>6</v>
      </c>
      <c r="F4891" s="88">
        <v>5000</v>
      </c>
      <c r="G4891" s="117"/>
      <c r="H4891" s="117">
        <f>IFERROR(TRANSACTIONS!$F4891+TRANSACTIONS!$G4891,"")</f>
        <v>5000</v>
      </c>
      <c r="I4891" s="118" t="s">
        <v>41</v>
      </c>
    </row>
    <row r="4892" spans="1:9" x14ac:dyDescent="0.25">
      <c r="A4892" s="41">
        <v>45381.600422453703</v>
      </c>
      <c r="B4892" s="48">
        <f>IF(A4892&lt;&gt;"",DATE(YEAR(TRANSACTIONS!$A4892),MONTH(TRANSACTIONS!$A4892),DAY(TRANSACTIONS!$A4892)),"")</f>
        <v>45381</v>
      </c>
      <c r="C4892" s="49">
        <f>IF(A4892&lt;&gt;"",TIME(HOUR(TRANSACTIONS!$A4892),MINUTE(TRANSACTIONS!$A4892),SECOND(TRANSACTIONS!$A4892)),"")</f>
        <v>0.60041666666666671</v>
      </c>
      <c r="D4892" s="82" t="s">
        <v>62</v>
      </c>
      <c r="E4892" s="82" t="s">
        <v>7</v>
      </c>
      <c r="F4892" s="88">
        <v>500</v>
      </c>
      <c r="G4892" s="46"/>
      <c r="H4892" s="46">
        <f>IFERROR(TRANSACTIONS!$F4892+TRANSACTIONS!$G4892,"")</f>
        <v>500</v>
      </c>
      <c r="I4892" s="40" t="s">
        <v>41</v>
      </c>
    </row>
    <row r="4893" spans="1:9" x14ac:dyDescent="0.25">
      <c r="A4893" s="41">
        <v>45381.600431828701</v>
      </c>
      <c r="B4893" s="48">
        <f>IF(A4893&lt;&gt;"",DATE(YEAR(TRANSACTIONS!$A4893),MONTH(TRANSACTIONS!$A4893),DAY(TRANSACTIONS!$A4893)),"")</f>
        <v>45381</v>
      </c>
      <c r="C4893" s="49">
        <f>IF(A4893&lt;&gt;"",TIME(HOUR(TRANSACTIONS!$A4893),MINUTE(TRANSACTIONS!$A4893),SECOND(TRANSACTIONS!$A4893)),"")</f>
        <v>0.60042824074074075</v>
      </c>
      <c r="D4893" s="82" t="s">
        <v>62</v>
      </c>
      <c r="E4893" s="82" t="s">
        <v>7</v>
      </c>
      <c r="F4893" s="88">
        <v>4500</v>
      </c>
      <c r="G4893" s="46"/>
      <c r="H4893" s="46">
        <f>IFERROR(TRANSACTIONS!$F4893+TRANSACTIONS!$G4893,"")</f>
        <v>4500</v>
      </c>
      <c r="I4893" s="40" t="s">
        <v>41</v>
      </c>
    </row>
    <row r="4894" spans="1:9" x14ac:dyDescent="0.25">
      <c r="A4894" s="41">
        <v>45381.60043958333</v>
      </c>
      <c r="B4894" s="48">
        <f>IF(A4894&lt;&gt;"",DATE(YEAR(TRANSACTIONS!$A4894),MONTH(TRANSACTIONS!$A4894),DAY(TRANSACTIONS!$A4894)),"")</f>
        <v>45381</v>
      </c>
      <c r="C4894" s="49">
        <f>IF(A4894&lt;&gt;"",TIME(HOUR(TRANSACTIONS!$A4894),MINUTE(TRANSACTIONS!$A4894),SECOND(TRANSACTIONS!$A4894)),"")</f>
        <v>0.60043981481481479</v>
      </c>
      <c r="D4894" s="82" t="s">
        <v>62</v>
      </c>
      <c r="E4894" s="82" t="s">
        <v>6</v>
      </c>
      <c r="F4894" s="88">
        <v>20000</v>
      </c>
      <c r="G4894" s="46"/>
      <c r="H4894" s="46">
        <f>IFERROR(TRANSACTIONS!$F4894+TRANSACTIONS!$G4894,"")</f>
        <v>20000</v>
      </c>
      <c r="I4894" s="40" t="s">
        <v>41</v>
      </c>
    </row>
    <row r="4895" spans="1:9" x14ac:dyDescent="0.25">
      <c r="A4895" s="41">
        <v>45381.600475810184</v>
      </c>
      <c r="B4895" s="48">
        <f>IF(A4895&lt;&gt;"",DATE(YEAR(TRANSACTIONS!$A4895),MONTH(TRANSACTIONS!$A4895),DAY(TRANSACTIONS!$A4895)),"")</f>
        <v>45381</v>
      </c>
      <c r="C4895" s="49">
        <f>IF(A4895&lt;&gt;"",TIME(HOUR(TRANSACTIONS!$A4895),MINUTE(TRANSACTIONS!$A4895),SECOND(TRANSACTIONS!$A4895)),"")</f>
        <v>0.60047453703703701</v>
      </c>
      <c r="D4895" s="82" t="s">
        <v>62</v>
      </c>
      <c r="E4895" s="82" t="s">
        <v>7</v>
      </c>
      <c r="F4895" s="88">
        <v>45000</v>
      </c>
      <c r="G4895" s="46"/>
      <c r="H4895" s="46">
        <f>IFERROR(TRANSACTIONS!$F4895+TRANSACTIONS!$G4895,"")</f>
        <v>45000</v>
      </c>
      <c r="I4895" s="40" t="s">
        <v>41</v>
      </c>
    </row>
    <row r="4896" spans="1:9" x14ac:dyDescent="0.25">
      <c r="A4896" s="41">
        <v>45381.600484259259</v>
      </c>
      <c r="B4896" s="48">
        <f>IF(A4896&lt;&gt;"",DATE(YEAR(TRANSACTIONS!$A4896),MONTH(TRANSACTIONS!$A4896),DAY(TRANSACTIONS!$A4896)),"")</f>
        <v>45381</v>
      </c>
      <c r="C4896" s="49">
        <f>IF(A4896&lt;&gt;"",TIME(HOUR(TRANSACTIONS!$A4896),MINUTE(TRANSACTIONS!$A4896),SECOND(TRANSACTIONS!$A4896)),"")</f>
        <v>0.60048611111111116</v>
      </c>
      <c r="D4896" s="82" t="s">
        <v>62</v>
      </c>
      <c r="E4896" s="82" t="s">
        <v>7</v>
      </c>
      <c r="F4896" s="88">
        <v>5000</v>
      </c>
      <c r="G4896" s="46"/>
      <c r="H4896" s="46">
        <f>IFERROR(TRANSACTIONS!$F4896+TRANSACTIONS!$G4896,"")</f>
        <v>5000</v>
      </c>
      <c r="I4896" s="40" t="s">
        <v>41</v>
      </c>
    </row>
    <row r="4897" spans="1:9" x14ac:dyDescent="0.25">
      <c r="A4897" s="41">
        <v>45381.600492245372</v>
      </c>
      <c r="B4897" s="48">
        <f>IF(A4897&lt;&gt;"",DATE(YEAR(TRANSACTIONS!$A4897),MONTH(TRANSACTIONS!$A4897),DAY(TRANSACTIONS!$A4897)),"")</f>
        <v>45381</v>
      </c>
      <c r="C4897" s="49">
        <f>IF(A4897&lt;&gt;"",TIME(HOUR(TRANSACTIONS!$A4897),MINUTE(TRANSACTIONS!$A4897),SECOND(TRANSACTIONS!$A4897)),"")</f>
        <v>0.6004976851851852</v>
      </c>
      <c r="D4897" s="82" t="s">
        <v>62</v>
      </c>
      <c r="E4897" s="82" t="s">
        <v>7</v>
      </c>
      <c r="F4897" s="88">
        <v>1000</v>
      </c>
      <c r="G4897" s="46"/>
      <c r="H4897" s="46">
        <f>IFERROR(TRANSACTIONS!$F4897+TRANSACTIONS!$G4897,"")</f>
        <v>1000</v>
      </c>
      <c r="I4897" s="40" t="s">
        <v>41</v>
      </c>
    </row>
    <row r="4898" spans="1:9" x14ac:dyDescent="0.25">
      <c r="A4898" s="41">
        <v>45381.6004994213</v>
      </c>
      <c r="B4898" s="48">
        <f>IF(A4898&lt;&gt;"",DATE(YEAR(TRANSACTIONS!$A4898),MONTH(TRANSACTIONS!$A4898),DAY(TRANSACTIONS!$A4898)),"")</f>
        <v>45381</v>
      </c>
      <c r="C4898" s="49">
        <f>IF(A4898&lt;&gt;"",TIME(HOUR(TRANSACTIONS!$A4898),MINUTE(TRANSACTIONS!$A4898),SECOND(TRANSACTIONS!$A4898)),"")</f>
        <v>0.6004976851851852</v>
      </c>
      <c r="D4898" s="82" t="s">
        <v>62</v>
      </c>
      <c r="E4898" s="82" t="s">
        <v>6</v>
      </c>
      <c r="F4898" s="88">
        <v>40000</v>
      </c>
      <c r="G4898" s="46"/>
      <c r="H4898" s="46">
        <f>IFERROR(TRANSACTIONS!$F4898+TRANSACTIONS!$G4898,"")</f>
        <v>40000</v>
      </c>
      <c r="I4898" s="40" t="s">
        <v>41</v>
      </c>
    </row>
    <row r="4899" spans="1:9" x14ac:dyDescent="0.25">
      <c r="A4899" s="41">
        <v>45381.600506134258</v>
      </c>
      <c r="B4899" s="48">
        <f>IF(A4899&lt;&gt;"",DATE(YEAR(TRANSACTIONS!$A4899),MONTH(TRANSACTIONS!$A4899),DAY(TRANSACTIONS!$A4899)),"")</f>
        <v>45381</v>
      </c>
      <c r="C4899" s="49">
        <f>IF(A4899&lt;&gt;"",TIME(HOUR(TRANSACTIONS!$A4899),MINUTE(TRANSACTIONS!$A4899),SECOND(TRANSACTIONS!$A4899)),"")</f>
        <v>0.60050925925925924</v>
      </c>
      <c r="D4899" s="82" t="s">
        <v>62</v>
      </c>
      <c r="E4899" s="82" t="s">
        <v>7</v>
      </c>
      <c r="F4899" s="88">
        <v>1000</v>
      </c>
      <c r="G4899" s="46"/>
      <c r="H4899" s="46">
        <f>IFERROR(TRANSACTIONS!$F4899+TRANSACTIONS!$G4899,"")</f>
        <v>1000</v>
      </c>
      <c r="I4899" s="40" t="s">
        <v>41</v>
      </c>
    </row>
    <row r="4900" spans="1:9" x14ac:dyDescent="0.25">
      <c r="A4900" s="41">
        <v>45381.600513541664</v>
      </c>
      <c r="B4900" s="48">
        <f>IF(A4900&lt;&gt;"",DATE(YEAR(TRANSACTIONS!$A4900),MONTH(TRANSACTIONS!$A4900),DAY(TRANSACTIONS!$A4900)),"")</f>
        <v>45381</v>
      </c>
      <c r="C4900" s="49">
        <f>IF(A4900&lt;&gt;"",TIME(HOUR(TRANSACTIONS!$A4900),MINUTE(TRANSACTIONS!$A4900),SECOND(TRANSACTIONS!$A4900)),"")</f>
        <v>0.60050925925925924</v>
      </c>
      <c r="D4900" s="82" t="s">
        <v>62</v>
      </c>
      <c r="E4900" s="82" t="s">
        <v>7</v>
      </c>
      <c r="F4900" s="88">
        <v>20000</v>
      </c>
      <c r="G4900" s="46"/>
      <c r="H4900" s="46">
        <f>IFERROR(TRANSACTIONS!$F4900+TRANSACTIONS!$G4900,"")</f>
        <v>20000</v>
      </c>
      <c r="I4900" s="40" t="s">
        <v>41</v>
      </c>
    </row>
    <row r="4901" spans="1:9" x14ac:dyDescent="0.25">
      <c r="A4901" s="41">
        <v>45381.600534490739</v>
      </c>
      <c r="B4901" s="48">
        <f>IF(A4901&lt;&gt;"",DATE(YEAR(TRANSACTIONS!$A4901),MONTH(TRANSACTIONS!$A4901),DAY(TRANSACTIONS!$A4901)),"")</f>
        <v>45381</v>
      </c>
      <c r="C4901" s="49">
        <f>IF(A4901&lt;&gt;"",TIME(HOUR(TRANSACTIONS!$A4901),MINUTE(TRANSACTIONS!$A4901),SECOND(TRANSACTIONS!$A4901)),"")</f>
        <v>0.60053240740740743</v>
      </c>
      <c r="D4901" s="82" t="s">
        <v>62</v>
      </c>
      <c r="E4901" s="82" t="s">
        <v>6</v>
      </c>
      <c r="F4901" s="88">
        <v>7500</v>
      </c>
      <c r="G4901" s="46"/>
      <c r="H4901" s="46">
        <f>IFERROR(TRANSACTIONS!$F4901+TRANSACTIONS!$G4901,"")</f>
        <v>7500</v>
      </c>
      <c r="I4901" s="40" t="s">
        <v>41</v>
      </c>
    </row>
    <row r="4902" spans="1:9" x14ac:dyDescent="0.25">
      <c r="A4902" s="41">
        <v>45381.600542708336</v>
      </c>
      <c r="B4902" s="48">
        <f>IF(A4902&lt;&gt;"",DATE(YEAR(TRANSACTIONS!$A4902),MONTH(TRANSACTIONS!$A4902),DAY(TRANSACTIONS!$A4902)),"")</f>
        <v>45381</v>
      </c>
      <c r="C4902" s="49">
        <f>IF(A4902&lt;&gt;"",TIME(HOUR(TRANSACTIONS!$A4902),MINUTE(TRANSACTIONS!$A4902),SECOND(TRANSACTIONS!$A4902)),"")</f>
        <v>0.60054398148148147</v>
      </c>
      <c r="D4902" s="82" t="s">
        <v>63</v>
      </c>
      <c r="E4902" s="82" t="s">
        <v>7</v>
      </c>
      <c r="F4902" s="88">
        <v>3500</v>
      </c>
      <c r="G4902" s="46"/>
      <c r="H4902" s="46">
        <f>IFERROR(TRANSACTIONS!$F4902+TRANSACTIONS!$G4902,"")</f>
        <v>3500</v>
      </c>
      <c r="I4902" s="40" t="s">
        <v>41</v>
      </c>
    </row>
    <row r="4903" spans="1:9" x14ac:dyDescent="0.25">
      <c r="A4903" s="41">
        <v>45381.600564351851</v>
      </c>
      <c r="B4903" s="48">
        <f>IF(A4903&lt;&gt;"",DATE(YEAR(TRANSACTIONS!$A4903),MONTH(TRANSACTIONS!$A4903),DAY(TRANSACTIONS!$A4903)),"")</f>
        <v>45381</v>
      </c>
      <c r="C4903" s="49">
        <f>IF(A4903&lt;&gt;"",TIME(HOUR(TRANSACTIONS!$A4903),MINUTE(TRANSACTIONS!$A4903),SECOND(TRANSACTIONS!$A4903)),"")</f>
        <v>0.60056712962962966</v>
      </c>
      <c r="D4903" s="82" t="s">
        <v>62</v>
      </c>
      <c r="E4903" s="82" t="s">
        <v>7</v>
      </c>
      <c r="F4903" s="88">
        <v>5000</v>
      </c>
      <c r="G4903" s="46"/>
      <c r="H4903" s="46">
        <f>IFERROR(TRANSACTIONS!$F4903+TRANSACTIONS!$G4903,"")</f>
        <v>5000</v>
      </c>
      <c r="I4903" s="40" t="s">
        <v>41</v>
      </c>
    </row>
    <row r="4904" spans="1:9" x14ac:dyDescent="0.25">
      <c r="A4904" s="41">
        <v>45381.600573958334</v>
      </c>
      <c r="B4904" s="48">
        <f>IF(A4904&lt;&gt;"",DATE(YEAR(TRANSACTIONS!$A4904),MONTH(TRANSACTIONS!$A4904),DAY(TRANSACTIONS!$A4904)),"")</f>
        <v>45381</v>
      </c>
      <c r="C4904" s="49">
        <f>IF(A4904&lt;&gt;"",TIME(HOUR(TRANSACTIONS!$A4904),MINUTE(TRANSACTIONS!$A4904),SECOND(TRANSACTIONS!$A4904)),"")</f>
        <v>0.6005787037037037</v>
      </c>
      <c r="D4904" s="82" t="s">
        <v>62</v>
      </c>
      <c r="E4904" s="82" t="s">
        <v>7</v>
      </c>
      <c r="F4904" s="88">
        <v>6000</v>
      </c>
      <c r="G4904" s="46"/>
      <c r="H4904" s="46">
        <f>IFERROR(TRANSACTIONS!$F4904+TRANSACTIONS!$G4904,"")</f>
        <v>6000</v>
      </c>
      <c r="I4904" s="40" t="s">
        <v>41</v>
      </c>
    </row>
    <row r="4905" spans="1:9" x14ac:dyDescent="0.25">
      <c r="A4905" s="41">
        <v>45381.600582754632</v>
      </c>
      <c r="B4905" s="48">
        <f>IF(A4905&lt;&gt;"",DATE(YEAR(TRANSACTIONS!$A4905),MONTH(TRANSACTIONS!$A4905),DAY(TRANSACTIONS!$A4905)),"")</f>
        <v>45381</v>
      </c>
      <c r="C4905" s="49">
        <f>IF(A4905&lt;&gt;"",TIME(HOUR(TRANSACTIONS!$A4905),MINUTE(TRANSACTIONS!$A4905),SECOND(TRANSACTIONS!$A4905)),"")</f>
        <v>0.6005787037037037</v>
      </c>
      <c r="D4905" s="82" t="s">
        <v>62</v>
      </c>
      <c r="E4905" s="82" t="s">
        <v>7</v>
      </c>
      <c r="F4905" s="88">
        <v>20000</v>
      </c>
      <c r="G4905" s="46"/>
      <c r="H4905" s="46">
        <f>IFERROR(TRANSACTIONS!$F4905+TRANSACTIONS!$G4905,"")</f>
        <v>20000</v>
      </c>
      <c r="I4905" s="40" t="s">
        <v>41</v>
      </c>
    </row>
    <row r="4906" spans="1:9" x14ac:dyDescent="0.25">
      <c r="A4906" s="41">
        <v>45381.600601388891</v>
      </c>
      <c r="B4906" s="48">
        <f>IF(A4906&lt;&gt;"",DATE(YEAR(TRANSACTIONS!$A4906),MONTH(TRANSACTIONS!$A4906),DAY(TRANSACTIONS!$A4906)),"")</f>
        <v>45381</v>
      </c>
      <c r="C4906" s="49">
        <f>IF(A4906&lt;&gt;"",TIME(HOUR(TRANSACTIONS!$A4906),MINUTE(TRANSACTIONS!$A4906),SECOND(TRANSACTIONS!$A4906)),"")</f>
        <v>0.60060185185185189</v>
      </c>
      <c r="D4906" s="82" t="s">
        <v>62</v>
      </c>
      <c r="E4906" s="82" t="s">
        <v>7</v>
      </c>
      <c r="F4906" s="88">
        <v>10000</v>
      </c>
      <c r="G4906" s="46"/>
      <c r="H4906" s="46">
        <f>IFERROR(TRANSACTIONS!$F4906+TRANSACTIONS!$G4906,"")</f>
        <v>10000</v>
      </c>
      <c r="I4906" s="40" t="s">
        <v>41</v>
      </c>
    </row>
    <row r="4907" spans="1:9" x14ac:dyDescent="0.25">
      <c r="A4907" s="41">
        <v>45381.634402430558</v>
      </c>
      <c r="B4907" s="48">
        <f>IF(A4907&lt;&gt;"",DATE(YEAR(TRANSACTIONS!$A4907),MONTH(TRANSACTIONS!$A4907),DAY(TRANSACTIONS!$A4907)),"")</f>
        <v>45381</v>
      </c>
      <c r="C4907" s="49">
        <f>IF(A4907&lt;&gt;"",TIME(HOUR(TRANSACTIONS!$A4907),MINUTE(TRANSACTIONS!$A4907),SECOND(TRANSACTIONS!$A4907)),"")</f>
        <v>0.6343981481481481</v>
      </c>
      <c r="D4907" s="82" t="s">
        <v>62</v>
      </c>
      <c r="E4907" s="82" t="s">
        <v>7</v>
      </c>
      <c r="F4907" s="88">
        <v>15000</v>
      </c>
      <c r="G4907" s="46"/>
      <c r="H4907" s="46">
        <f>IFERROR(TRANSACTIONS!$F4907+TRANSACTIONS!$G4907,"")</f>
        <v>15000</v>
      </c>
      <c r="I4907" s="40" t="s">
        <v>41</v>
      </c>
    </row>
    <row r="4908" spans="1:9" x14ac:dyDescent="0.25">
      <c r="A4908" s="41">
        <v>45381.634406249999</v>
      </c>
      <c r="B4908" s="48">
        <f>IF(A4908&lt;&gt;"",DATE(YEAR(TRANSACTIONS!$A4908),MONTH(TRANSACTIONS!$A4908),DAY(TRANSACTIONS!$A4908)),"")</f>
        <v>45381</v>
      </c>
      <c r="C4908" s="49">
        <f>IF(A4908&lt;&gt;"",TIME(HOUR(TRANSACTIONS!$A4908),MINUTE(TRANSACTIONS!$A4908),SECOND(TRANSACTIONS!$A4908)),"")</f>
        <v>0.63440972222222225</v>
      </c>
      <c r="D4908" s="82" t="s">
        <v>25</v>
      </c>
      <c r="E4908" s="82" t="s">
        <v>6</v>
      </c>
      <c r="F4908" s="88">
        <v>45000</v>
      </c>
      <c r="G4908" s="46"/>
      <c r="H4908" s="46">
        <f>IFERROR(TRANSACTIONS!$F4908+TRANSACTIONS!$G4908,"")</f>
        <v>45000</v>
      </c>
      <c r="I4908" s="40" t="s">
        <v>41</v>
      </c>
    </row>
    <row r="4909" spans="1:9" x14ac:dyDescent="0.25">
      <c r="A4909" s="41">
        <v>45381.634452546299</v>
      </c>
      <c r="B4909" s="48">
        <f>IF(A4909&lt;&gt;"",DATE(YEAR(TRANSACTIONS!$A4909),MONTH(TRANSACTIONS!$A4909),DAY(TRANSACTIONS!$A4909)),"")</f>
        <v>45381</v>
      </c>
      <c r="C4909" s="49">
        <f>IF(A4909&lt;&gt;"",TIME(HOUR(TRANSACTIONS!$A4909),MINUTE(TRANSACTIONS!$A4909),SECOND(TRANSACTIONS!$A4909)),"")</f>
        <v>0.63445601851851852</v>
      </c>
      <c r="D4909" s="82" t="s">
        <v>25</v>
      </c>
      <c r="E4909" s="82" t="s">
        <v>6</v>
      </c>
      <c r="F4909" s="88">
        <v>16000</v>
      </c>
      <c r="G4909" s="46"/>
      <c r="H4909" s="46">
        <f>IFERROR(TRANSACTIONS!$F4909+TRANSACTIONS!$G4909,"")</f>
        <v>16000</v>
      </c>
      <c r="I4909" s="40" t="s">
        <v>41</v>
      </c>
    </row>
    <row r="4910" spans="1:9" x14ac:dyDescent="0.25">
      <c r="A4910" s="41">
        <v>45381.634463541668</v>
      </c>
      <c r="B4910" s="48">
        <f>IF(A4910&lt;&gt;"",DATE(YEAR(TRANSACTIONS!$A4910),MONTH(TRANSACTIONS!$A4910),DAY(TRANSACTIONS!$A4910)),"")</f>
        <v>45381</v>
      </c>
      <c r="C4910" s="49">
        <f>IF(A4910&lt;&gt;"",TIME(HOUR(TRANSACTIONS!$A4910),MINUTE(TRANSACTIONS!$A4910),SECOND(TRANSACTIONS!$A4910)),"")</f>
        <v>0.63446759259259256</v>
      </c>
      <c r="D4910" s="82" t="s">
        <v>25</v>
      </c>
      <c r="E4910" s="82" t="s">
        <v>7</v>
      </c>
      <c r="F4910" s="88">
        <v>120000</v>
      </c>
      <c r="G4910" s="46"/>
      <c r="H4910" s="46">
        <f>IFERROR(TRANSACTIONS!$F4910+TRANSACTIONS!$G4910,"")</f>
        <v>120000</v>
      </c>
      <c r="I4910" s="40" t="s">
        <v>41</v>
      </c>
    </row>
    <row r="4911" spans="1:9" x14ac:dyDescent="0.25">
      <c r="A4911" s="41">
        <v>45381.634471180558</v>
      </c>
      <c r="B4911" s="48">
        <f>IF(A4911&lt;&gt;"",DATE(YEAR(TRANSACTIONS!$A4911),MONTH(TRANSACTIONS!$A4911),DAY(TRANSACTIONS!$A4911)),"")</f>
        <v>45381</v>
      </c>
      <c r="C4911" s="49">
        <f>IF(A4911&lt;&gt;"",TIME(HOUR(TRANSACTIONS!$A4911),MINUTE(TRANSACTIONS!$A4911),SECOND(TRANSACTIONS!$A4911)),"")</f>
        <v>0.63446759259259256</v>
      </c>
      <c r="D4911" s="82" t="s">
        <v>62</v>
      </c>
      <c r="E4911" s="82" t="s">
        <v>7</v>
      </c>
      <c r="F4911" s="88">
        <v>15000</v>
      </c>
      <c r="G4911" s="46"/>
      <c r="H4911" s="46">
        <f>IFERROR(TRANSACTIONS!$F4911+TRANSACTIONS!$G4911,"")</f>
        <v>15000</v>
      </c>
      <c r="I4911" s="40" t="s">
        <v>41</v>
      </c>
    </row>
    <row r="4912" spans="1:9" x14ac:dyDescent="0.25">
      <c r="A4912" s="41">
        <v>45381.634478587963</v>
      </c>
      <c r="B4912" s="48">
        <f>IF(A4912&lt;&gt;"",DATE(YEAR(TRANSACTIONS!$A4912),MONTH(TRANSACTIONS!$A4912),DAY(TRANSACTIONS!$A4912)),"")</f>
        <v>45381</v>
      </c>
      <c r="C4912" s="49">
        <f>IF(A4912&lt;&gt;"",TIME(HOUR(TRANSACTIONS!$A4912),MINUTE(TRANSACTIONS!$A4912),SECOND(TRANSACTIONS!$A4912)),"")</f>
        <v>0.63447916666666659</v>
      </c>
      <c r="D4912" s="82" t="s">
        <v>62</v>
      </c>
      <c r="E4912" s="82" t="s">
        <v>7</v>
      </c>
      <c r="F4912" s="88">
        <v>5000</v>
      </c>
      <c r="G4912" s="46"/>
      <c r="H4912" s="46">
        <f>IFERROR(TRANSACTIONS!$F4912+TRANSACTIONS!$G4912,"")</f>
        <v>5000</v>
      </c>
      <c r="I4912" s="40" t="s">
        <v>41</v>
      </c>
    </row>
    <row r="4913" spans="1:9" x14ac:dyDescent="0.25">
      <c r="A4913" s="41">
        <v>45381.634486111114</v>
      </c>
      <c r="B4913" s="48">
        <f>IF(A4913&lt;&gt;"",DATE(YEAR(TRANSACTIONS!$A4913),MONTH(TRANSACTIONS!$A4913),DAY(TRANSACTIONS!$A4913)),"")</f>
        <v>45381</v>
      </c>
      <c r="C4913" s="49">
        <f>IF(A4913&lt;&gt;"",TIME(HOUR(TRANSACTIONS!$A4913),MINUTE(TRANSACTIONS!$A4913),SECOND(TRANSACTIONS!$A4913)),"")</f>
        <v>0.63449074074074074</v>
      </c>
      <c r="D4913" s="82" t="s">
        <v>62</v>
      </c>
      <c r="E4913" s="82" t="s">
        <v>7</v>
      </c>
      <c r="F4913" s="88">
        <v>500</v>
      </c>
      <c r="G4913" s="46"/>
      <c r="H4913" s="46">
        <f>IFERROR(TRANSACTIONS!$F4913+TRANSACTIONS!$G4913,"")</f>
        <v>500</v>
      </c>
      <c r="I4913" s="40" t="s">
        <v>41</v>
      </c>
    </row>
    <row r="4914" spans="1:9" x14ac:dyDescent="0.25">
      <c r="A4914" s="41">
        <v>45381.634535532408</v>
      </c>
      <c r="B4914" s="48">
        <f>IF(A4914&lt;&gt;"",DATE(YEAR(TRANSACTIONS!$A4914),MONTH(TRANSACTIONS!$A4914),DAY(TRANSACTIONS!$A4914)),"")</f>
        <v>45381</v>
      </c>
      <c r="C4914" s="49">
        <f>IF(A4914&lt;&gt;"",TIME(HOUR(TRANSACTIONS!$A4914),MINUTE(TRANSACTIONS!$A4914),SECOND(TRANSACTIONS!$A4914)),"")</f>
        <v>0.63453703703703701</v>
      </c>
      <c r="D4914" s="82" t="s">
        <v>62</v>
      </c>
      <c r="E4914" s="82" t="s">
        <v>6</v>
      </c>
      <c r="F4914" s="88">
        <v>140000</v>
      </c>
      <c r="G4914" s="46"/>
      <c r="H4914" s="46">
        <f>IFERROR(TRANSACTIONS!$F4914+TRANSACTIONS!$G4914,"")</f>
        <v>140000</v>
      </c>
      <c r="I4914" s="40" t="s">
        <v>41</v>
      </c>
    </row>
    <row r="4915" spans="1:9" x14ac:dyDescent="0.25">
      <c r="A4915" s="41">
        <v>45381.63454097222</v>
      </c>
      <c r="B4915" s="48">
        <f>IF(A4915&lt;&gt;"",DATE(YEAR(TRANSACTIONS!$A4915),MONTH(TRANSACTIONS!$A4915),DAY(TRANSACTIONS!$A4915)),"")</f>
        <v>45381</v>
      </c>
      <c r="C4915" s="49">
        <f>IF(A4915&lt;&gt;"",TIME(HOUR(TRANSACTIONS!$A4915),MINUTE(TRANSACTIONS!$A4915),SECOND(TRANSACTIONS!$A4915)),"")</f>
        <v>0.63453703703703701</v>
      </c>
      <c r="D4915" s="82" t="s">
        <v>62</v>
      </c>
      <c r="E4915" s="82" t="s">
        <v>6</v>
      </c>
      <c r="F4915" s="88">
        <v>20200</v>
      </c>
      <c r="G4915" s="46"/>
      <c r="H4915" s="46">
        <f>IFERROR(TRANSACTIONS!$F4915+TRANSACTIONS!$G4915,"")</f>
        <v>20200</v>
      </c>
      <c r="I4915" s="40" t="s">
        <v>41</v>
      </c>
    </row>
    <row r="4916" spans="1:9" x14ac:dyDescent="0.25">
      <c r="A4916" s="41">
        <v>45381.636692245367</v>
      </c>
      <c r="B4916" s="48">
        <f>IF(A4916&lt;&gt;"",DATE(YEAR(TRANSACTIONS!$A4916),MONTH(TRANSACTIONS!$A4916),DAY(TRANSACTIONS!$A4916)),"")</f>
        <v>45381</v>
      </c>
      <c r="C4916" s="49">
        <f>IF(A4916&lt;&gt;"",TIME(HOUR(TRANSACTIONS!$A4916),MINUTE(TRANSACTIONS!$A4916),SECOND(TRANSACTIONS!$A4916)),"")</f>
        <v>0.63668981481481479</v>
      </c>
      <c r="D4916" s="82" t="s">
        <v>62</v>
      </c>
      <c r="E4916" s="82" t="s">
        <v>7</v>
      </c>
      <c r="F4916" s="88">
        <v>10000</v>
      </c>
      <c r="G4916" s="46"/>
      <c r="H4916" s="46">
        <f>IFERROR(TRANSACTIONS!$F4916+TRANSACTIONS!$G4916,"")</f>
        <v>10000</v>
      </c>
      <c r="I4916" s="40" t="s">
        <v>41</v>
      </c>
    </row>
    <row r="4917" spans="1:9" x14ac:dyDescent="0.25">
      <c r="A4917" s="41">
        <v>45381.673125810186</v>
      </c>
      <c r="B4917" s="48">
        <f>IF(A4917&lt;&gt;"",DATE(YEAR(TRANSACTIONS!$A4917),MONTH(TRANSACTIONS!$A4917),DAY(TRANSACTIONS!$A4917)),"")</f>
        <v>45381</v>
      </c>
      <c r="C4917" s="49">
        <f>IF(A4917&lt;&gt;"",TIME(HOUR(TRANSACTIONS!$A4917),MINUTE(TRANSACTIONS!$A4917),SECOND(TRANSACTIONS!$A4917)),"")</f>
        <v>0.67312500000000008</v>
      </c>
      <c r="D4917" s="82" t="s">
        <v>62</v>
      </c>
      <c r="E4917" s="82" t="s">
        <v>7</v>
      </c>
      <c r="F4917" s="88">
        <v>10000</v>
      </c>
      <c r="G4917" s="46"/>
      <c r="H4917" s="46">
        <f>IFERROR(TRANSACTIONS!$F4917+TRANSACTIONS!$G4917,"")</f>
        <v>10000</v>
      </c>
      <c r="I4917" s="40" t="s">
        <v>41</v>
      </c>
    </row>
    <row r="4918" spans="1:9" x14ac:dyDescent="0.25">
      <c r="A4918" s="41">
        <v>45381.674850578704</v>
      </c>
      <c r="B4918" s="48">
        <f>IF(A4918&lt;&gt;"",DATE(YEAR(TRANSACTIONS!$A4918),MONTH(TRANSACTIONS!$A4918),DAY(TRANSACTIONS!$A4918)),"")</f>
        <v>45381</v>
      </c>
      <c r="C4918" s="49">
        <f>IF(A4918&lt;&gt;"",TIME(HOUR(TRANSACTIONS!$A4918),MINUTE(TRANSACTIONS!$A4918),SECOND(TRANSACTIONS!$A4918)),"")</f>
        <v>0.67484953703703709</v>
      </c>
      <c r="D4918" s="82" t="s">
        <v>62</v>
      </c>
      <c r="E4918" s="82" t="s">
        <v>6</v>
      </c>
      <c r="F4918" s="88">
        <v>40000</v>
      </c>
      <c r="G4918" s="46"/>
      <c r="H4918" s="46">
        <f>IFERROR(TRANSACTIONS!$F4918+TRANSACTIONS!$G4918,"")</f>
        <v>40000</v>
      </c>
      <c r="I4918" s="40" t="s">
        <v>41</v>
      </c>
    </row>
    <row r="4919" spans="1:9" x14ac:dyDescent="0.25">
      <c r="A4919" s="41">
        <v>45381.674863425927</v>
      </c>
      <c r="B4919" s="48">
        <f>IF(A4919&lt;&gt;"",DATE(YEAR(TRANSACTIONS!$A4919),MONTH(TRANSACTIONS!$A4919),DAY(TRANSACTIONS!$A4919)),"")</f>
        <v>45381</v>
      </c>
      <c r="C4919" s="49">
        <f>IF(A4919&lt;&gt;"",TIME(HOUR(TRANSACTIONS!$A4919),MINUTE(TRANSACTIONS!$A4919),SECOND(TRANSACTIONS!$A4919)),"")</f>
        <v>0.67486111111111102</v>
      </c>
      <c r="D4919" s="82" t="s">
        <v>62</v>
      </c>
      <c r="E4919" s="82" t="s">
        <v>7</v>
      </c>
      <c r="F4919" s="88">
        <v>4500</v>
      </c>
      <c r="G4919" s="46"/>
      <c r="H4919" s="46">
        <f>IFERROR(TRANSACTIONS!$F4919+TRANSACTIONS!$G4919,"")</f>
        <v>4500</v>
      </c>
      <c r="I4919" s="40" t="s">
        <v>41</v>
      </c>
    </row>
    <row r="4920" spans="1:9" x14ac:dyDescent="0.25">
      <c r="A4920" s="41">
        <v>45381.674897453704</v>
      </c>
      <c r="B4920" s="48">
        <f>IF(A4920&lt;&gt;"",DATE(YEAR(TRANSACTIONS!$A4920),MONTH(TRANSACTIONS!$A4920),DAY(TRANSACTIONS!$A4920)),"")</f>
        <v>45381</v>
      </c>
      <c r="C4920" s="49">
        <f>IF(A4920&lt;&gt;"",TIME(HOUR(TRANSACTIONS!$A4920),MINUTE(TRANSACTIONS!$A4920),SECOND(TRANSACTIONS!$A4920)),"")</f>
        <v>0.67489583333333336</v>
      </c>
      <c r="D4920" s="82" t="s">
        <v>25</v>
      </c>
      <c r="E4920" s="82" t="s">
        <v>6</v>
      </c>
      <c r="F4920" s="88">
        <v>40000</v>
      </c>
      <c r="G4920" s="46"/>
      <c r="H4920" s="46">
        <f>IFERROR(TRANSACTIONS!$F4920+TRANSACTIONS!$G4920,"")</f>
        <v>40000</v>
      </c>
      <c r="I4920" s="40" t="s">
        <v>41</v>
      </c>
    </row>
    <row r="4921" spans="1:9" x14ac:dyDescent="0.25">
      <c r="A4921" s="41">
        <v>45381.674905208332</v>
      </c>
      <c r="B4921" s="48">
        <f>IF(A4921&lt;&gt;"",DATE(YEAR(TRANSACTIONS!$A4921),MONTH(TRANSACTIONS!$A4921),DAY(TRANSACTIONS!$A4921)),"")</f>
        <v>45381</v>
      </c>
      <c r="C4921" s="49">
        <f>IF(A4921&lt;&gt;"",TIME(HOUR(TRANSACTIONS!$A4921),MINUTE(TRANSACTIONS!$A4921),SECOND(TRANSACTIONS!$A4921)),"")</f>
        <v>0.6749074074074074</v>
      </c>
      <c r="D4921" s="82" t="s">
        <v>25</v>
      </c>
      <c r="E4921" s="82" t="s">
        <v>6</v>
      </c>
      <c r="F4921" s="88">
        <v>200000</v>
      </c>
      <c r="G4921" s="46"/>
      <c r="H4921" s="46">
        <f>IFERROR(TRANSACTIONS!$F4921+TRANSACTIONS!$G4921,"")</f>
        <v>200000</v>
      </c>
      <c r="I4921" s="40" t="s">
        <v>41</v>
      </c>
    </row>
    <row r="4922" spans="1:9" x14ac:dyDescent="0.25">
      <c r="A4922" s="41">
        <v>45381.674913888892</v>
      </c>
      <c r="B4922" s="48">
        <f>IF(A4922&lt;&gt;"",DATE(YEAR(TRANSACTIONS!$A4922),MONTH(TRANSACTIONS!$A4922),DAY(TRANSACTIONS!$A4922)),"")</f>
        <v>45381</v>
      </c>
      <c r="C4922" s="49">
        <f>IF(A4922&lt;&gt;"",TIME(HOUR(TRANSACTIONS!$A4922),MINUTE(TRANSACTIONS!$A4922),SECOND(TRANSACTIONS!$A4922)),"")</f>
        <v>0.67491898148148144</v>
      </c>
      <c r="D4922" s="82" t="s">
        <v>25</v>
      </c>
      <c r="E4922" s="82" t="s">
        <v>6</v>
      </c>
      <c r="F4922" s="88">
        <v>100000</v>
      </c>
      <c r="G4922" s="46"/>
      <c r="H4922" s="46">
        <f>IFERROR(TRANSACTIONS!$F4922+TRANSACTIONS!$G4922,"")</f>
        <v>100000</v>
      </c>
      <c r="I4922" s="40" t="s">
        <v>41</v>
      </c>
    </row>
    <row r="4923" spans="1:9" x14ac:dyDescent="0.25">
      <c r="A4923" s="41">
        <v>45381.674924421299</v>
      </c>
      <c r="B4923" s="48">
        <f>IF(A4923&lt;&gt;"",DATE(YEAR(TRANSACTIONS!$A4923),MONTH(TRANSACTIONS!$A4923),DAY(TRANSACTIONS!$A4923)),"")</f>
        <v>45381</v>
      </c>
      <c r="C4923" s="49">
        <f>IF(A4923&lt;&gt;"",TIME(HOUR(TRANSACTIONS!$A4923),MINUTE(TRANSACTIONS!$A4923),SECOND(TRANSACTIONS!$A4923)),"")</f>
        <v>0.67491898148148144</v>
      </c>
      <c r="D4923" s="82" t="s">
        <v>25</v>
      </c>
      <c r="E4923" s="82" t="s">
        <v>7</v>
      </c>
      <c r="F4923" s="88">
        <v>11000</v>
      </c>
      <c r="G4923" s="46"/>
      <c r="H4923" s="46">
        <f>IFERROR(TRANSACTIONS!$F4923+TRANSACTIONS!$G4923,"")</f>
        <v>11000</v>
      </c>
      <c r="I4923" s="40" t="s">
        <v>41</v>
      </c>
    </row>
    <row r="4924" spans="1:9" x14ac:dyDescent="0.25">
      <c r="A4924" s="41">
        <v>45381.674932754628</v>
      </c>
      <c r="B4924" s="48">
        <f>IF(A4924&lt;&gt;"",DATE(YEAR(TRANSACTIONS!$A4924),MONTH(TRANSACTIONS!$A4924),DAY(TRANSACTIONS!$A4924)),"")</f>
        <v>45381</v>
      </c>
      <c r="C4924" s="49">
        <f>IF(A4924&lt;&gt;"",TIME(HOUR(TRANSACTIONS!$A4924),MINUTE(TRANSACTIONS!$A4924),SECOND(TRANSACTIONS!$A4924)),"")</f>
        <v>0.67493055555555559</v>
      </c>
      <c r="D4924" s="82" t="s">
        <v>25</v>
      </c>
      <c r="E4924" s="82" t="s">
        <v>6</v>
      </c>
      <c r="F4924" s="88">
        <v>22000</v>
      </c>
      <c r="G4924" s="46"/>
      <c r="H4924" s="46">
        <f>IFERROR(TRANSACTIONS!$F4924+TRANSACTIONS!$G4924,"")</f>
        <v>22000</v>
      </c>
      <c r="I4924" s="40" t="s">
        <v>41</v>
      </c>
    </row>
    <row r="4925" spans="1:9" x14ac:dyDescent="0.25">
      <c r="A4925" s="41">
        <v>45381.704252662035</v>
      </c>
      <c r="B4925" s="48">
        <f>IF(A4925&lt;&gt;"",DATE(YEAR(TRANSACTIONS!$A4925),MONTH(TRANSACTIONS!$A4925),DAY(TRANSACTIONS!$A4925)),"")</f>
        <v>45381</v>
      </c>
      <c r="C4925" s="49">
        <f>IF(A4925&lt;&gt;"",TIME(HOUR(TRANSACTIONS!$A4925),MINUTE(TRANSACTIONS!$A4925),SECOND(TRANSACTIONS!$A4925)),"")</f>
        <v>0.70424768518518521</v>
      </c>
      <c r="D4925" s="82" t="s">
        <v>72</v>
      </c>
      <c r="E4925" s="82" t="s">
        <v>6</v>
      </c>
      <c r="F4925" s="88">
        <v>700000</v>
      </c>
      <c r="G4925" s="46"/>
      <c r="H4925" s="46">
        <f>IFERROR(TRANSACTIONS!$F4925+TRANSACTIONS!$G4925,"")</f>
        <v>700000</v>
      </c>
      <c r="I4925" s="40" t="s">
        <v>41</v>
      </c>
    </row>
    <row r="4926" spans="1:9" x14ac:dyDescent="0.25">
      <c r="A4926" s="41">
        <v>45381.704290624999</v>
      </c>
      <c r="B4926" s="48">
        <f>IF(A4926&lt;&gt;"",DATE(YEAR(TRANSACTIONS!$A4926),MONTH(TRANSACTIONS!$A4926),DAY(TRANSACTIONS!$A4926)),"")</f>
        <v>45381</v>
      </c>
      <c r="C4926" s="49">
        <f>IF(A4926&lt;&gt;"",TIME(HOUR(TRANSACTIONS!$A4926),MINUTE(TRANSACTIONS!$A4926),SECOND(TRANSACTIONS!$A4926)),"")</f>
        <v>0.70429398148148137</v>
      </c>
      <c r="D4926" s="82" t="s">
        <v>62</v>
      </c>
      <c r="E4926" s="82" t="s">
        <v>6</v>
      </c>
      <c r="F4926" s="88">
        <v>20000</v>
      </c>
      <c r="G4926" s="46"/>
      <c r="H4926" s="46">
        <f>IFERROR(TRANSACTIONS!$F4926+TRANSACTIONS!$G4926,"")</f>
        <v>20000</v>
      </c>
      <c r="I4926" s="40" t="s">
        <v>41</v>
      </c>
    </row>
    <row r="4927" spans="1:9" x14ac:dyDescent="0.25">
      <c r="A4927" s="41">
        <v>45381.704305092593</v>
      </c>
      <c r="B4927" s="48">
        <f>IF(A4927&lt;&gt;"",DATE(YEAR(TRANSACTIONS!$A4927),MONTH(TRANSACTIONS!$A4927),DAY(TRANSACTIONS!$A4927)),"")</f>
        <v>45381</v>
      </c>
      <c r="C4927" s="49">
        <f>IF(A4927&lt;&gt;"",TIME(HOUR(TRANSACTIONS!$A4927),MINUTE(TRANSACTIONS!$A4927),SECOND(TRANSACTIONS!$A4927)),"")</f>
        <v>0.70430555555555552</v>
      </c>
      <c r="D4927" s="82" t="s">
        <v>62</v>
      </c>
      <c r="E4927" s="82" t="s">
        <v>6</v>
      </c>
      <c r="F4927" s="88">
        <v>1500</v>
      </c>
      <c r="G4927" s="46"/>
      <c r="H4927" s="46">
        <f>IFERROR(TRANSACTIONS!$F4927+TRANSACTIONS!$G4927,"")</f>
        <v>1500</v>
      </c>
      <c r="I4927" s="40" t="s">
        <v>41</v>
      </c>
    </row>
    <row r="4928" spans="1:9" x14ac:dyDescent="0.25">
      <c r="A4928" s="41">
        <v>45381.704314351853</v>
      </c>
      <c r="B4928" s="48">
        <f>IF(A4928&lt;&gt;"",DATE(YEAR(TRANSACTIONS!$A4928),MONTH(TRANSACTIONS!$A4928),DAY(TRANSACTIONS!$A4928)),"")</f>
        <v>45381</v>
      </c>
      <c r="C4928" s="49">
        <f>IF(A4928&lt;&gt;"",TIME(HOUR(TRANSACTIONS!$A4928),MINUTE(TRANSACTIONS!$A4928),SECOND(TRANSACTIONS!$A4928)),"")</f>
        <v>0.70431712962962967</v>
      </c>
      <c r="D4928" s="82" t="s">
        <v>62</v>
      </c>
      <c r="E4928" s="82" t="s">
        <v>7</v>
      </c>
      <c r="F4928" s="88">
        <v>1100000</v>
      </c>
      <c r="G4928" s="46"/>
      <c r="H4928" s="46">
        <f>IFERROR(TRANSACTIONS!$F4928+TRANSACTIONS!$G4928,"")</f>
        <v>1100000</v>
      </c>
      <c r="I4928" s="40" t="s">
        <v>41</v>
      </c>
    </row>
    <row r="4929" spans="1:9" x14ac:dyDescent="0.25">
      <c r="A4929" s="41">
        <v>45381.704327199077</v>
      </c>
      <c r="B4929" s="48">
        <f>IF(A4929&lt;&gt;"",DATE(YEAR(TRANSACTIONS!$A4929),MONTH(TRANSACTIONS!$A4929),DAY(TRANSACTIONS!$A4929)),"")</f>
        <v>45381</v>
      </c>
      <c r="C4929" s="49">
        <f>IF(A4929&lt;&gt;"",TIME(HOUR(TRANSACTIONS!$A4929),MINUTE(TRANSACTIONS!$A4929),SECOND(TRANSACTIONS!$A4929)),"")</f>
        <v>0.70432870370370371</v>
      </c>
      <c r="D4929" s="82" t="s">
        <v>62</v>
      </c>
      <c r="E4929" s="82" t="s">
        <v>7</v>
      </c>
      <c r="F4929" s="88">
        <v>30000</v>
      </c>
      <c r="G4929" s="46"/>
      <c r="H4929" s="46">
        <f>IFERROR(TRANSACTIONS!$F4929+TRANSACTIONS!$G4929,"")</f>
        <v>30000</v>
      </c>
      <c r="I4929" s="40" t="s">
        <v>41</v>
      </c>
    </row>
    <row r="4930" spans="1:9" x14ac:dyDescent="0.25">
      <c r="A4930" s="41">
        <v>45381.704335300929</v>
      </c>
      <c r="B4930" s="48">
        <f>IF(A4930&lt;&gt;"",DATE(YEAR(TRANSACTIONS!$A4930),MONTH(TRANSACTIONS!$A4930),DAY(TRANSACTIONS!$A4930)),"")</f>
        <v>45381</v>
      </c>
      <c r="C4930" s="49">
        <f>IF(A4930&lt;&gt;"",TIME(HOUR(TRANSACTIONS!$A4930),MINUTE(TRANSACTIONS!$A4930),SECOND(TRANSACTIONS!$A4930)),"")</f>
        <v>0.70434027777777775</v>
      </c>
      <c r="D4930" s="82" t="s">
        <v>62</v>
      </c>
      <c r="E4930" s="82" t="s">
        <v>6</v>
      </c>
      <c r="F4930" s="88">
        <v>8000</v>
      </c>
      <c r="G4930" s="46"/>
      <c r="H4930" s="46">
        <f>IFERROR(TRANSACTIONS!$F4930+TRANSACTIONS!$G4930,"")</f>
        <v>8000</v>
      </c>
      <c r="I4930" s="40" t="s">
        <v>41</v>
      </c>
    </row>
    <row r="4931" spans="1:9" x14ac:dyDescent="0.25">
      <c r="A4931" s="41">
        <v>45381.704342824072</v>
      </c>
      <c r="B4931" s="48">
        <f>IF(A4931&lt;&gt;"",DATE(YEAR(TRANSACTIONS!$A4931),MONTH(TRANSACTIONS!$A4931),DAY(TRANSACTIONS!$A4931)),"")</f>
        <v>45381</v>
      </c>
      <c r="C4931" s="49">
        <f>IF(A4931&lt;&gt;"",TIME(HOUR(TRANSACTIONS!$A4931),MINUTE(TRANSACTIONS!$A4931),SECOND(TRANSACTIONS!$A4931)),"")</f>
        <v>0.70434027777777775</v>
      </c>
      <c r="D4931" s="82" t="s">
        <v>62</v>
      </c>
      <c r="E4931" s="82" t="s">
        <v>6</v>
      </c>
      <c r="F4931" s="88">
        <v>11000</v>
      </c>
      <c r="G4931" s="46"/>
      <c r="H4931" s="46">
        <f>IFERROR(TRANSACTIONS!$F4931+TRANSACTIONS!$G4931,"")</f>
        <v>11000</v>
      </c>
      <c r="I4931" s="40" t="s">
        <v>41</v>
      </c>
    </row>
    <row r="4932" spans="1:9" x14ac:dyDescent="0.25">
      <c r="A4932" s="41">
        <v>45381.704350462962</v>
      </c>
      <c r="B4932" s="48">
        <f>IF(A4932&lt;&gt;"",DATE(YEAR(TRANSACTIONS!$A4932),MONTH(TRANSACTIONS!$A4932),DAY(TRANSACTIONS!$A4932)),"")</f>
        <v>45381</v>
      </c>
      <c r="C4932" s="49">
        <f>IF(A4932&lt;&gt;"",TIME(HOUR(TRANSACTIONS!$A4932),MINUTE(TRANSACTIONS!$A4932),SECOND(TRANSACTIONS!$A4932)),"")</f>
        <v>0.70435185185185178</v>
      </c>
      <c r="D4932" s="82" t="s">
        <v>62</v>
      </c>
      <c r="E4932" s="82" t="s">
        <v>7</v>
      </c>
      <c r="F4932" s="88">
        <v>300000</v>
      </c>
      <c r="G4932" s="46"/>
      <c r="H4932" s="46">
        <f>IFERROR(TRANSACTIONS!$F4932+TRANSACTIONS!$G4932,"")</f>
        <v>300000</v>
      </c>
      <c r="I4932" s="40" t="s">
        <v>41</v>
      </c>
    </row>
    <row r="4933" spans="1:9" x14ac:dyDescent="0.25">
      <c r="A4933" s="113">
        <v>45381.704359490737</v>
      </c>
      <c r="B4933" s="114">
        <f>IF(A4933&lt;&gt;"",DATE(YEAR(TRANSACTIONS!$A4933),MONTH(TRANSACTIONS!$A4933),DAY(TRANSACTIONS!$A4933)),"")</f>
        <v>45381</v>
      </c>
      <c r="C4933" s="115">
        <f>IF(A4933&lt;&gt;"",TIME(HOUR(TRANSACTIONS!$A4933),MINUTE(TRANSACTIONS!$A4933),SECOND(TRANSACTIONS!$A4933)),"")</f>
        <v>0.70436342592592593</v>
      </c>
      <c r="D4933" s="82" t="s">
        <v>62</v>
      </c>
      <c r="E4933" s="82" t="s">
        <v>7</v>
      </c>
      <c r="F4933" s="88">
        <v>5000</v>
      </c>
      <c r="G4933" s="117"/>
      <c r="H4933" s="117">
        <f>IFERROR(TRANSACTIONS!$F4933+TRANSACTIONS!$G4933,"")</f>
        <v>5000</v>
      </c>
      <c r="I4933" s="118" t="s">
        <v>41</v>
      </c>
    </row>
    <row r="4934" spans="1:9" x14ac:dyDescent="0.25">
      <c r="A4934" s="71">
        <v>45381.704367129627</v>
      </c>
      <c r="B4934" s="73">
        <f>IF(A4934&lt;&gt;"",DATE(YEAR(TRANSACTIONS!$A4934),MONTH(TRANSACTIONS!$A4934),DAY(TRANSACTIONS!$A4934)),"")</f>
        <v>45381</v>
      </c>
      <c r="C4934" s="74">
        <f>IF(A4934&lt;&gt;"",TIME(HOUR(TRANSACTIONS!$A4934),MINUTE(TRANSACTIONS!$A4934),SECOND(TRANSACTIONS!$A4934)),"")</f>
        <v>0.70436342592592593</v>
      </c>
      <c r="D4934" s="82" t="s">
        <v>62</v>
      </c>
      <c r="E4934" s="82" t="s">
        <v>7</v>
      </c>
      <c r="F4934" s="88">
        <v>107500</v>
      </c>
      <c r="G4934" s="75"/>
      <c r="H4934" s="75">
        <f>IFERROR(TRANSACTIONS!$F4934+TRANSACTIONS!$G4934,"")</f>
        <v>107500</v>
      </c>
      <c r="I4934" s="76" t="s">
        <v>41</v>
      </c>
    </row>
    <row r="4935" spans="1:9" x14ac:dyDescent="0.25">
      <c r="A4935" s="41">
        <v>45381.705378240738</v>
      </c>
      <c r="B4935" s="48">
        <f>IF(A4935&lt;&gt;"",DATE(YEAR(TRANSACTIONS!$A4935),MONTH(TRANSACTIONS!$A4935),DAY(TRANSACTIONS!$A4935)),"")</f>
        <v>45381</v>
      </c>
      <c r="C4935" s="49">
        <f>IF(A4935&lt;&gt;"",TIME(HOUR(TRANSACTIONS!$A4935),MINUTE(TRANSACTIONS!$A4935),SECOND(TRANSACTIONS!$A4935)),"")</f>
        <v>0.70538194444444446</v>
      </c>
      <c r="D4935" s="82" t="s">
        <v>62</v>
      </c>
      <c r="E4935" s="82"/>
      <c r="F4935" s="88"/>
      <c r="G4935" s="46"/>
      <c r="H4935" s="46">
        <f>IFERROR(TRANSACTIONS!$F4935+TRANSACTIONS!$G4935,"")</f>
        <v>0</v>
      </c>
      <c r="I4935" s="40" t="s">
        <v>41</v>
      </c>
    </row>
    <row r="4936" spans="1:9" x14ac:dyDescent="0.25">
      <c r="A4936" s="41">
        <v>45381.705414467593</v>
      </c>
      <c r="B4936" s="48">
        <f>IF(A4936&lt;&gt;"",DATE(YEAR(TRANSACTIONS!$A4936),MONTH(TRANSACTIONS!$A4936),DAY(TRANSACTIONS!$A4936)),"")</f>
        <v>45381</v>
      </c>
      <c r="C4936" s="49">
        <f>IF(A4936&lt;&gt;"",TIME(HOUR(TRANSACTIONS!$A4936),MINUTE(TRANSACTIONS!$A4936),SECOND(TRANSACTIONS!$A4936)),"")</f>
        <v>0.70541666666666669</v>
      </c>
      <c r="D4936" s="82" t="s">
        <v>62</v>
      </c>
      <c r="E4936" s="82"/>
      <c r="F4936" s="88">
        <v>50000</v>
      </c>
      <c r="G4936" s="46"/>
      <c r="H4936" s="46">
        <f>IFERROR(TRANSACTIONS!$F4936+TRANSACTIONS!$G4936,"")</f>
        <v>50000</v>
      </c>
      <c r="I4936" s="40" t="s">
        <v>41</v>
      </c>
    </row>
    <row r="4937" spans="1:9" x14ac:dyDescent="0.25">
      <c r="A4937" s="41">
        <v>45381.705430555558</v>
      </c>
      <c r="B4937" s="48">
        <f>IF(A4937&lt;&gt;"",DATE(YEAR(TRANSACTIONS!$A4937),MONTH(TRANSACTIONS!$A4937),DAY(TRANSACTIONS!$A4937)),"")</f>
        <v>45381</v>
      </c>
      <c r="C4937" s="49">
        <f>IF(A4937&lt;&gt;"",TIME(HOUR(TRANSACTIONS!$A4937),MINUTE(TRANSACTIONS!$A4937),SECOND(TRANSACTIONS!$A4937)),"")</f>
        <v>0.70542824074074073</v>
      </c>
      <c r="D4937" s="82" t="s">
        <v>62</v>
      </c>
      <c r="E4937" s="82" t="s">
        <v>7</v>
      </c>
      <c r="F4937" s="88">
        <v>3000</v>
      </c>
      <c r="G4937" s="46"/>
      <c r="H4937" s="46">
        <f>IFERROR(TRANSACTIONS!$F4937+TRANSACTIONS!$G4937,"")</f>
        <v>3000</v>
      </c>
      <c r="I4937" s="40" t="s">
        <v>41</v>
      </c>
    </row>
    <row r="4938" spans="1:9" x14ac:dyDescent="0.25">
      <c r="A4938" s="41">
        <v>45381.705438888886</v>
      </c>
      <c r="B4938" s="48">
        <f>IF(A4938&lt;&gt;"",DATE(YEAR(TRANSACTIONS!$A4938),MONTH(TRANSACTIONS!$A4938),DAY(TRANSACTIONS!$A4938)),"")</f>
        <v>45381</v>
      </c>
      <c r="C4938" s="49">
        <f>IF(A4938&lt;&gt;"",TIME(HOUR(TRANSACTIONS!$A4938),MINUTE(TRANSACTIONS!$A4938),SECOND(TRANSACTIONS!$A4938)),"")</f>
        <v>0.70543981481481488</v>
      </c>
      <c r="D4938" s="82" t="s">
        <v>62</v>
      </c>
      <c r="E4938" s="82" t="s">
        <v>7</v>
      </c>
      <c r="F4938" s="88">
        <v>15000</v>
      </c>
      <c r="G4938" s="46"/>
      <c r="H4938" s="46">
        <f>IFERROR(TRANSACTIONS!$F4938+TRANSACTIONS!$G4938,"")</f>
        <v>15000</v>
      </c>
      <c r="I4938" s="40" t="s">
        <v>41</v>
      </c>
    </row>
    <row r="4939" spans="1:9" x14ac:dyDescent="0.25">
      <c r="A4939" s="41">
        <v>45381.705446064814</v>
      </c>
      <c r="B4939" s="48">
        <f>IF(A4939&lt;&gt;"",DATE(YEAR(TRANSACTIONS!$A4939),MONTH(TRANSACTIONS!$A4939),DAY(TRANSACTIONS!$A4939)),"")</f>
        <v>45381</v>
      </c>
      <c r="C4939" s="49">
        <f>IF(A4939&lt;&gt;"",TIME(HOUR(TRANSACTIONS!$A4939),MINUTE(TRANSACTIONS!$A4939),SECOND(TRANSACTIONS!$A4939)),"")</f>
        <v>0.70545138888888881</v>
      </c>
      <c r="D4939" s="82" t="s">
        <v>62</v>
      </c>
      <c r="E4939" s="82" t="s">
        <v>6</v>
      </c>
      <c r="F4939" s="88">
        <v>14000</v>
      </c>
      <c r="G4939" s="46"/>
      <c r="H4939" s="46">
        <f>IFERROR(TRANSACTIONS!$F4939+TRANSACTIONS!$G4939,"")</f>
        <v>14000</v>
      </c>
      <c r="I4939" s="40" t="s">
        <v>41</v>
      </c>
    </row>
    <row r="4940" spans="1:9" x14ac:dyDescent="0.25">
      <c r="A4940" s="41">
        <v>45381.705473726855</v>
      </c>
      <c r="B4940" s="48">
        <f>IF(A4940&lt;&gt;"",DATE(YEAR(TRANSACTIONS!$A4940),MONTH(TRANSACTIONS!$A4940),DAY(TRANSACTIONS!$A4940)),"")</f>
        <v>45381</v>
      </c>
      <c r="C4940" s="49">
        <f>IF(A4940&lt;&gt;"",TIME(HOUR(TRANSACTIONS!$A4940),MINUTE(TRANSACTIONS!$A4940),SECOND(TRANSACTIONS!$A4940)),"")</f>
        <v>0.70547453703703711</v>
      </c>
      <c r="D4940" s="82" t="s">
        <v>62</v>
      </c>
      <c r="E4940" s="82" t="s">
        <v>7</v>
      </c>
      <c r="F4940" s="88">
        <v>2000</v>
      </c>
      <c r="G4940" s="46"/>
      <c r="H4940" s="46">
        <f>IFERROR(TRANSACTIONS!$F4940+TRANSACTIONS!$G4940,"")</f>
        <v>2000</v>
      </c>
      <c r="I4940" s="40" t="s">
        <v>41</v>
      </c>
    </row>
    <row r="4941" spans="1:9" x14ac:dyDescent="0.25">
      <c r="A4941" s="41">
        <v>45381.705495486109</v>
      </c>
      <c r="B4941" s="48">
        <f>IF(A4941&lt;&gt;"",DATE(YEAR(TRANSACTIONS!$A4941),MONTH(TRANSACTIONS!$A4941),DAY(TRANSACTIONS!$A4941)),"")</f>
        <v>45381</v>
      </c>
      <c r="C4941" s="49">
        <f>IF(A4941&lt;&gt;"",TIME(HOUR(TRANSACTIONS!$A4941),MINUTE(TRANSACTIONS!$A4941),SECOND(TRANSACTIONS!$A4941)),"")</f>
        <v>0.70549768518518519</v>
      </c>
      <c r="D4941" s="82" t="s">
        <v>62</v>
      </c>
      <c r="E4941" s="82" t="s">
        <v>7</v>
      </c>
      <c r="F4941" s="88">
        <v>5000</v>
      </c>
      <c r="G4941" s="46"/>
      <c r="H4941" s="46">
        <f>IFERROR(TRANSACTIONS!$F4941+TRANSACTIONS!$G4941,"")</f>
        <v>5000</v>
      </c>
      <c r="I4941" s="40" t="s">
        <v>41</v>
      </c>
    </row>
    <row r="4942" spans="1:9" x14ac:dyDescent="0.25">
      <c r="A4942" s="41">
        <v>45381.705589120371</v>
      </c>
      <c r="B4942" s="48">
        <f>IF(A4942&lt;&gt;"",DATE(YEAR(TRANSACTIONS!$A4942),MONTH(TRANSACTIONS!$A4942),DAY(TRANSACTIONS!$A4942)),"")</f>
        <v>45381</v>
      </c>
      <c r="C4942" s="49">
        <f>IF(A4942&lt;&gt;"",TIME(HOUR(TRANSACTIONS!$A4942),MINUTE(TRANSACTIONS!$A4942),SECOND(TRANSACTIONS!$A4942)),"")</f>
        <v>0.70559027777777772</v>
      </c>
      <c r="D4942" s="82" t="s">
        <v>62</v>
      </c>
      <c r="E4942" s="82" t="s">
        <v>7</v>
      </c>
      <c r="F4942" s="88">
        <v>5000</v>
      </c>
      <c r="G4942" s="46"/>
      <c r="H4942" s="46">
        <f>IFERROR(TRANSACTIONS!$F4942+TRANSACTIONS!$G4942,"")</f>
        <v>5000</v>
      </c>
      <c r="I4942" s="40" t="s">
        <v>41</v>
      </c>
    </row>
    <row r="4943" spans="1:9" x14ac:dyDescent="0.25">
      <c r="A4943" s="41">
        <v>45381.738952546293</v>
      </c>
      <c r="B4943" s="48">
        <f>IF(A4943&lt;&gt;"",DATE(YEAR(TRANSACTIONS!$A4943),MONTH(TRANSACTIONS!$A4943),DAY(TRANSACTIONS!$A4943)),"")</f>
        <v>45381</v>
      </c>
      <c r="C4943" s="49">
        <f>IF(A4943&lt;&gt;"",TIME(HOUR(TRANSACTIONS!$A4943),MINUTE(TRANSACTIONS!$A4943),SECOND(TRANSACTIONS!$A4943)),"")</f>
        <v>0.73894675925925923</v>
      </c>
      <c r="D4943" s="82" t="s">
        <v>62</v>
      </c>
      <c r="E4943" s="82" t="s">
        <v>7</v>
      </c>
      <c r="F4943" s="88">
        <v>15000</v>
      </c>
      <c r="G4943" s="46"/>
      <c r="H4943" s="46">
        <f>IFERROR(TRANSACTIONS!$F4943+TRANSACTIONS!$G4943,"")</f>
        <v>15000</v>
      </c>
      <c r="I4943" s="40" t="s">
        <v>41</v>
      </c>
    </row>
    <row r="4944" spans="1:9" x14ac:dyDescent="0.25">
      <c r="A4944" s="41">
        <v>45381.739019560184</v>
      </c>
      <c r="B4944" s="48">
        <f>IF(A4944&lt;&gt;"",DATE(YEAR(TRANSACTIONS!$A4944),MONTH(TRANSACTIONS!$A4944),DAY(TRANSACTIONS!$A4944)),"")</f>
        <v>45381</v>
      </c>
      <c r="C4944" s="49">
        <f>IF(A4944&lt;&gt;"",TIME(HOUR(TRANSACTIONS!$A4944),MINUTE(TRANSACTIONS!$A4944),SECOND(TRANSACTIONS!$A4944)),"")</f>
        <v>0.73901620370370369</v>
      </c>
      <c r="D4944" s="82" t="s">
        <v>62</v>
      </c>
      <c r="E4944" s="82" t="s">
        <v>6</v>
      </c>
      <c r="F4944" s="88">
        <v>5000</v>
      </c>
      <c r="G4944" s="46"/>
      <c r="H4944" s="46">
        <f>IFERROR(TRANSACTIONS!$F4944+TRANSACTIONS!$G4944,"")</f>
        <v>5000</v>
      </c>
      <c r="I4944" s="40" t="s">
        <v>41</v>
      </c>
    </row>
    <row r="4945" spans="1:9" x14ac:dyDescent="0.25">
      <c r="A4945" s="71">
        <v>45381.739035416664</v>
      </c>
      <c r="B4945" s="73">
        <f>IF(A4945&lt;&gt;"",DATE(YEAR(TRANSACTIONS!$A4945),MONTH(TRANSACTIONS!$A4945),DAY(TRANSACTIONS!$A4945)),"")</f>
        <v>45381</v>
      </c>
      <c r="C4945" s="74">
        <f>IF(A4945&lt;&gt;"",TIME(HOUR(TRANSACTIONS!$A4945),MINUTE(TRANSACTIONS!$A4945),SECOND(TRANSACTIONS!$A4945)),"")</f>
        <v>0.73903935185185177</v>
      </c>
      <c r="D4945" s="82" t="s">
        <v>62</v>
      </c>
      <c r="E4945" s="82" t="s">
        <v>6</v>
      </c>
      <c r="F4945" s="88">
        <v>120000</v>
      </c>
      <c r="G4945" s="75"/>
      <c r="H4945" s="75">
        <f>IFERROR(TRANSACTIONS!$F4945+TRANSACTIONS!$G4945,"")</f>
        <v>120000</v>
      </c>
      <c r="I4945" s="76" t="s">
        <v>41</v>
      </c>
    </row>
    <row r="4946" spans="1:9" x14ac:dyDescent="0.25">
      <c r="A4946" s="41">
        <v>45381.739039583335</v>
      </c>
      <c r="B4946" s="48">
        <f>IF(A4946&lt;&gt;"",DATE(YEAR(TRANSACTIONS!$A4946),MONTH(TRANSACTIONS!$A4946),DAY(TRANSACTIONS!$A4946)),"")</f>
        <v>45381</v>
      </c>
      <c r="C4946" s="49">
        <f>IF(A4946&lt;&gt;"",TIME(HOUR(TRANSACTIONS!$A4946),MINUTE(TRANSACTIONS!$A4946),SECOND(TRANSACTIONS!$A4946)),"")</f>
        <v>0.73903935185185177</v>
      </c>
      <c r="D4946" s="82" t="s">
        <v>62</v>
      </c>
      <c r="E4946" s="82" t="s">
        <v>6</v>
      </c>
      <c r="F4946" s="88">
        <v>140000</v>
      </c>
      <c r="G4946" s="46"/>
      <c r="H4946" s="46">
        <f>IFERROR(TRANSACTIONS!$F4946+TRANSACTIONS!$G4946,"")</f>
        <v>140000</v>
      </c>
      <c r="I4946" s="40" t="s">
        <v>41</v>
      </c>
    </row>
    <row r="4947" spans="1:9" x14ac:dyDescent="0.25">
      <c r="A4947" s="41">
        <v>45381.739057754632</v>
      </c>
      <c r="B4947" s="48">
        <f>IF(A4947&lt;&gt;"",DATE(YEAR(TRANSACTIONS!$A4947),MONTH(TRANSACTIONS!$A4947),DAY(TRANSACTIONS!$A4947)),"")</f>
        <v>45381</v>
      </c>
      <c r="C4947" s="49">
        <f>IF(A4947&lt;&gt;"",TIME(HOUR(TRANSACTIONS!$A4947),MINUTE(TRANSACTIONS!$A4947),SECOND(TRANSACTIONS!$A4947)),"")</f>
        <v>0.73906250000000007</v>
      </c>
      <c r="D4947" s="82" t="s">
        <v>62</v>
      </c>
      <c r="E4947" s="82" t="s">
        <v>7</v>
      </c>
      <c r="F4947" s="88">
        <v>6000</v>
      </c>
      <c r="G4947" s="46"/>
      <c r="H4947" s="46">
        <f>IFERROR(TRANSACTIONS!$F4947+TRANSACTIONS!$G4947,"")</f>
        <v>6000</v>
      </c>
      <c r="I4947" s="40" t="s">
        <v>41</v>
      </c>
    </row>
    <row r="4948" spans="1:9" x14ac:dyDescent="0.25">
      <c r="A4948" s="41">
        <v>45381.739095254627</v>
      </c>
      <c r="B4948" s="48">
        <f>IF(A4948&lt;&gt;"",DATE(YEAR(TRANSACTIONS!$A4948),MONTH(TRANSACTIONS!$A4948),DAY(TRANSACTIONS!$A4948)),"")</f>
        <v>45381</v>
      </c>
      <c r="C4948" s="49">
        <f>IF(A4948&lt;&gt;"",TIME(HOUR(TRANSACTIONS!$A4948),MINUTE(TRANSACTIONS!$A4948),SECOND(TRANSACTIONS!$A4948)),"")</f>
        <v>0.73909722222222218</v>
      </c>
      <c r="D4948" s="82" t="s">
        <v>25</v>
      </c>
      <c r="E4948" s="82"/>
      <c r="F4948" s="88">
        <v>2000</v>
      </c>
      <c r="G4948" s="46"/>
      <c r="H4948" s="46">
        <f>IFERROR(TRANSACTIONS!$F4948+TRANSACTIONS!$G4948,"")</f>
        <v>2000</v>
      </c>
      <c r="I4948" s="40" t="s">
        <v>41</v>
      </c>
    </row>
    <row r="4949" spans="1:9" x14ac:dyDescent="0.25">
      <c r="A4949" s="41">
        <v>45381.751678935187</v>
      </c>
      <c r="B4949" s="48">
        <f>IF(A4949&lt;&gt;"",DATE(YEAR(TRANSACTIONS!$A4949),MONTH(TRANSACTIONS!$A4949),DAY(TRANSACTIONS!$A4949)),"")</f>
        <v>45381</v>
      </c>
      <c r="C4949" s="49">
        <f>IF(A4949&lt;&gt;"",TIME(HOUR(TRANSACTIONS!$A4949),MINUTE(TRANSACTIONS!$A4949),SECOND(TRANSACTIONS!$A4949)),"")</f>
        <v>0.75167824074074074</v>
      </c>
      <c r="D4949" s="82" t="s">
        <v>25</v>
      </c>
      <c r="E4949" s="82" t="s">
        <v>6</v>
      </c>
      <c r="F4949" s="88">
        <v>500</v>
      </c>
      <c r="G4949" s="46"/>
      <c r="H4949" s="46">
        <f>IFERROR(TRANSACTIONS!$F4949+TRANSACTIONS!$G4949,"")</f>
        <v>500</v>
      </c>
      <c r="I4949" s="40" t="s">
        <v>41</v>
      </c>
    </row>
    <row r="4950" spans="1:9" x14ac:dyDescent="0.25">
      <c r="A4950" s="41">
        <v>45381.751695370367</v>
      </c>
      <c r="B4950" s="48">
        <f>IF(A4950&lt;&gt;"",DATE(YEAR(TRANSACTIONS!$A4950),MONTH(TRANSACTIONS!$A4950),DAY(TRANSACTIONS!$A4950)),"")</f>
        <v>45381</v>
      </c>
      <c r="C4950" s="49">
        <f>IF(A4950&lt;&gt;"",TIME(HOUR(TRANSACTIONS!$A4950),MINUTE(TRANSACTIONS!$A4950),SECOND(TRANSACTIONS!$A4950)),"")</f>
        <v>0.75168981481481489</v>
      </c>
      <c r="D4950" s="82" t="s">
        <v>25</v>
      </c>
      <c r="E4950" s="82" t="s">
        <v>6</v>
      </c>
      <c r="F4950" s="88">
        <v>4000</v>
      </c>
      <c r="G4950" s="46"/>
      <c r="H4950" s="46">
        <f>IFERROR(TRANSACTIONS!$F4950+TRANSACTIONS!$G4950,"")</f>
        <v>4000</v>
      </c>
      <c r="I4950" s="40" t="s">
        <v>41</v>
      </c>
    </row>
    <row r="4951" spans="1:9" x14ac:dyDescent="0.25">
      <c r="A4951" s="41">
        <v>45381.751703935188</v>
      </c>
      <c r="B4951" s="48">
        <f>IF(A4951&lt;&gt;"",DATE(YEAR(TRANSACTIONS!$A4951),MONTH(TRANSACTIONS!$A4951),DAY(TRANSACTIONS!$A4951)),"")</f>
        <v>45381</v>
      </c>
      <c r="C4951" s="49">
        <f>IF(A4951&lt;&gt;"",TIME(HOUR(TRANSACTIONS!$A4951),MINUTE(TRANSACTIONS!$A4951),SECOND(TRANSACTIONS!$A4951)),"")</f>
        <v>0.75170138888888882</v>
      </c>
      <c r="D4951" s="82" t="s">
        <v>25</v>
      </c>
      <c r="E4951" s="82" t="s">
        <v>6</v>
      </c>
      <c r="F4951" s="88">
        <v>5000</v>
      </c>
      <c r="G4951" s="46"/>
      <c r="H4951" s="46">
        <f>IFERROR(TRANSACTIONS!$F4951+TRANSACTIONS!$G4951,"")</f>
        <v>5000</v>
      </c>
      <c r="I4951" s="40" t="s">
        <v>41</v>
      </c>
    </row>
    <row r="4952" spans="1:9" x14ac:dyDescent="0.25">
      <c r="A4952" s="41">
        <v>45381.751711458332</v>
      </c>
      <c r="B4952" s="48">
        <f>IF(A4952&lt;&gt;"",DATE(YEAR(TRANSACTIONS!$A4952),MONTH(TRANSACTIONS!$A4952),DAY(TRANSACTIONS!$A4952)),"")</f>
        <v>45381</v>
      </c>
      <c r="C4952" s="49">
        <f>IF(A4952&lt;&gt;"",TIME(HOUR(TRANSACTIONS!$A4952),MINUTE(TRANSACTIONS!$A4952),SECOND(TRANSACTIONS!$A4952)),"")</f>
        <v>0.75171296296296297</v>
      </c>
      <c r="D4952" s="82" t="s">
        <v>25</v>
      </c>
      <c r="E4952" s="82" t="s">
        <v>7</v>
      </c>
      <c r="F4952" s="88">
        <v>120000</v>
      </c>
      <c r="G4952" s="46"/>
      <c r="H4952" s="46">
        <f>IFERROR(TRANSACTIONS!$F4952+TRANSACTIONS!$G4952,"")</f>
        <v>120000</v>
      </c>
      <c r="I4952" s="40" t="s">
        <v>41</v>
      </c>
    </row>
    <row r="4953" spans="1:9" x14ac:dyDescent="0.25">
      <c r="A4953" s="71">
        <v>45381.751720138891</v>
      </c>
      <c r="B4953" s="73">
        <f>IF(A4953&lt;&gt;"",DATE(YEAR(TRANSACTIONS!$A4953),MONTH(TRANSACTIONS!$A4953),DAY(TRANSACTIONS!$A4953)),"")</f>
        <v>45381</v>
      </c>
      <c r="C4953" s="74">
        <f>IF(A4953&lt;&gt;"",TIME(HOUR(TRANSACTIONS!$A4953),MINUTE(TRANSACTIONS!$A4953),SECOND(TRANSACTIONS!$A4953)),"")</f>
        <v>0.75172453703703701</v>
      </c>
      <c r="D4953" s="72" t="s">
        <v>25</v>
      </c>
      <c r="E4953" s="72" t="s">
        <v>6</v>
      </c>
      <c r="F4953" s="76">
        <v>6000</v>
      </c>
      <c r="G4953" s="75"/>
      <c r="H4953" s="75">
        <f>IFERROR(TRANSACTIONS!$F4953+TRANSACTIONS!$G4953,"")</f>
        <v>6000</v>
      </c>
      <c r="I4953" s="76" t="s">
        <v>41</v>
      </c>
    </row>
    <row r="4954" spans="1:9" x14ac:dyDescent="0.25">
      <c r="A4954" s="41"/>
      <c r="B4954" s="48" t="str">
        <f>IF(A4954&lt;&gt;"",DATE(YEAR(TRANSACTIONS!$A4954),MONTH(TRANSACTIONS!$A4954),DAY(TRANSACTIONS!$A4954)),"")</f>
        <v/>
      </c>
      <c r="C4954" s="49" t="str">
        <f>IF(A4954&lt;&gt;"",TIME(HOUR(TRANSACTIONS!$A4954),MINUTE(TRANSACTIONS!$A4954),SECOND(TRANSACTIONS!$A4954)),"")</f>
        <v/>
      </c>
      <c r="D4954" s="82"/>
      <c r="E4954" s="82"/>
      <c r="F4954" s="88"/>
      <c r="G4954" s="46"/>
      <c r="H4954" s="46">
        <f>IFERROR(TRANSACTIONS!$F4954+TRANSACTIONS!$G4954,"")</f>
        <v>0</v>
      </c>
      <c r="I4954" s="40" t="s">
        <v>41</v>
      </c>
    </row>
    <row r="4955" spans="1:9" x14ac:dyDescent="0.25">
      <c r="A4955" s="41">
        <v>45382.491709606482</v>
      </c>
      <c r="B4955" s="48">
        <f>IF(A4955&lt;&gt;"",DATE(YEAR(TRANSACTIONS!$A4955),MONTH(TRANSACTIONS!$A4955),DAY(TRANSACTIONS!$A4955)),"")</f>
        <v>45382</v>
      </c>
      <c r="C4955" s="49">
        <f>IF(A4955&lt;&gt;"",TIME(HOUR(TRANSACTIONS!$A4955),MINUTE(TRANSACTIONS!$A4955),SECOND(TRANSACTIONS!$A4955)),"")</f>
        <v>0.49171296296296302</v>
      </c>
      <c r="D4955" s="82" t="s">
        <v>62</v>
      </c>
      <c r="E4955" s="82" t="s">
        <v>7</v>
      </c>
      <c r="F4955" s="88">
        <v>9000</v>
      </c>
      <c r="G4955" s="46"/>
      <c r="H4955" s="46">
        <f>IFERROR(TRANSACTIONS!$F4955+TRANSACTIONS!$G4955,"")</f>
        <v>9000</v>
      </c>
      <c r="I4955" s="40" t="s">
        <v>41</v>
      </c>
    </row>
    <row r="4956" spans="1:9" x14ac:dyDescent="0.25">
      <c r="A4956" s="41">
        <v>45382.4918525463</v>
      </c>
      <c r="B4956" s="48">
        <f>IF(A4956&lt;&gt;"",DATE(YEAR(TRANSACTIONS!$A4956),MONTH(TRANSACTIONS!$A4956),DAY(TRANSACTIONS!$A4956)),"")</f>
        <v>45382</v>
      </c>
      <c r="C4956" s="49">
        <f>IF(A4956&lt;&gt;"",TIME(HOUR(TRANSACTIONS!$A4956),MINUTE(TRANSACTIONS!$A4956),SECOND(TRANSACTIONS!$A4956)),"")</f>
        <v>0.49185185185185182</v>
      </c>
      <c r="D4956" s="82" t="s">
        <v>62</v>
      </c>
      <c r="E4956" s="82" t="s">
        <v>7</v>
      </c>
      <c r="F4956" s="88">
        <v>200000</v>
      </c>
      <c r="G4956" s="46"/>
      <c r="H4956" s="46">
        <f>IFERROR(TRANSACTIONS!$F4956+TRANSACTIONS!$G4956,"")</f>
        <v>200000</v>
      </c>
      <c r="I4956" s="40" t="s">
        <v>41</v>
      </c>
    </row>
    <row r="4957" spans="1:9" x14ac:dyDescent="0.25">
      <c r="A4957" s="41">
        <v>45382.491871180559</v>
      </c>
      <c r="B4957" s="48">
        <f>IF(A4957&lt;&gt;"",DATE(YEAR(TRANSACTIONS!$A4957),MONTH(TRANSACTIONS!$A4957),DAY(TRANSACTIONS!$A4957)),"")</f>
        <v>45382</v>
      </c>
      <c r="C4957" s="49">
        <f>IF(A4957&lt;&gt;"",TIME(HOUR(TRANSACTIONS!$A4957),MINUTE(TRANSACTIONS!$A4957),SECOND(TRANSACTIONS!$A4957)),"")</f>
        <v>0.49187500000000001</v>
      </c>
      <c r="D4957" s="82" t="s">
        <v>62</v>
      </c>
      <c r="E4957" s="82" t="s">
        <v>6</v>
      </c>
      <c r="F4957" s="88">
        <v>54000</v>
      </c>
      <c r="G4957" s="46"/>
      <c r="H4957" s="46">
        <f>IFERROR(TRANSACTIONS!$F4957+TRANSACTIONS!$G4957,"")</f>
        <v>54000</v>
      </c>
      <c r="I4957" s="40" t="s">
        <v>41</v>
      </c>
    </row>
    <row r="4958" spans="1:9" x14ac:dyDescent="0.25">
      <c r="A4958" s="41">
        <v>45382.492705208337</v>
      </c>
      <c r="B4958" s="48">
        <f>IF(A4958&lt;&gt;"",DATE(YEAR(TRANSACTIONS!$A4958),MONTH(TRANSACTIONS!$A4958),DAY(TRANSACTIONS!$A4958)),"")</f>
        <v>45382</v>
      </c>
      <c r="C4958" s="49">
        <f>IF(A4958&lt;&gt;"",TIME(HOUR(TRANSACTIONS!$A4958),MINUTE(TRANSACTIONS!$A4958),SECOND(TRANSACTIONS!$A4958)),"")</f>
        <v>0.4927083333333333</v>
      </c>
      <c r="D4958" s="82" t="s">
        <v>62</v>
      </c>
      <c r="E4958" s="82" t="s">
        <v>7</v>
      </c>
      <c r="F4958" s="88">
        <v>160000</v>
      </c>
      <c r="G4958" s="46"/>
      <c r="H4958" s="46">
        <f>IFERROR(TRANSACTIONS!$F4958+TRANSACTIONS!$G4958,"")</f>
        <v>160000</v>
      </c>
      <c r="I4958" s="40" t="s">
        <v>41</v>
      </c>
    </row>
    <row r="4959" spans="1:9" x14ac:dyDescent="0.25">
      <c r="A4959" s="41">
        <v>45382.492747222219</v>
      </c>
      <c r="B4959" s="48">
        <f>IF(A4959&lt;&gt;"",DATE(YEAR(TRANSACTIONS!$A4959),MONTH(TRANSACTIONS!$A4959),DAY(TRANSACTIONS!$A4959)),"")</f>
        <v>45382</v>
      </c>
      <c r="C4959" s="49">
        <f>IF(A4959&lt;&gt;"",TIME(HOUR(TRANSACTIONS!$A4959),MINUTE(TRANSACTIONS!$A4959),SECOND(TRANSACTIONS!$A4959)),"")</f>
        <v>0.49274305555555559</v>
      </c>
      <c r="D4959" s="82" t="s">
        <v>62</v>
      </c>
      <c r="E4959" s="82" t="s">
        <v>7</v>
      </c>
      <c r="F4959" s="88">
        <v>5000</v>
      </c>
      <c r="G4959" s="46"/>
      <c r="H4959" s="46">
        <f>IFERROR(TRANSACTIONS!$F4959+TRANSACTIONS!$G4959,"")</f>
        <v>5000</v>
      </c>
      <c r="I4959" s="40" t="s">
        <v>41</v>
      </c>
    </row>
    <row r="4960" spans="1:9" x14ac:dyDescent="0.25">
      <c r="A4960" s="41">
        <v>45382.497556134258</v>
      </c>
      <c r="B4960" s="48">
        <f>IF(A4960&lt;&gt;"",DATE(YEAR(TRANSACTIONS!$A4960),MONTH(TRANSACTIONS!$A4960),DAY(TRANSACTIONS!$A4960)),"")</f>
        <v>45382</v>
      </c>
      <c r="C4960" s="49">
        <f>IF(A4960&lt;&gt;"",TIME(HOUR(TRANSACTIONS!$A4960),MINUTE(TRANSACTIONS!$A4960),SECOND(TRANSACTIONS!$A4960)),"")</f>
        <v>0.49755787037037041</v>
      </c>
      <c r="D4960" s="82" t="s">
        <v>62</v>
      </c>
      <c r="E4960" s="82" t="s">
        <v>7</v>
      </c>
      <c r="F4960" s="88">
        <v>5000</v>
      </c>
      <c r="G4960" s="46"/>
      <c r="H4960" s="46">
        <f>IFERROR(TRANSACTIONS!$F4960+TRANSACTIONS!$G4960,"")</f>
        <v>5000</v>
      </c>
      <c r="I4960" s="40" t="s">
        <v>41</v>
      </c>
    </row>
    <row r="4961" spans="1:10" x14ac:dyDescent="0.25">
      <c r="A4961" s="41">
        <v>45382.49800821759</v>
      </c>
      <c r="B4961" s="48">
        <f>IF(A4961&lt;&gt;"",DATE(YEAR(TRANSACTIONS!$A4961),MONTH(TRANSACTIONS!$A4961),DAY(TRANSACTIONS!$A4961)),"")</f>
        <v>45382</v>
      </c>
      <c r="C4961" s="49">
        <f>IF(A4961&lt;&gt;"",TIME(HOUR(TRANSACTIONS!$A4961),MINUTE(TRANSACTIONS!$A4961),SECOND(TRANSACTIONS!$A4961)),"")</f>
        <v>0.49800925925925926</v>
      </c>
      <c r="D4961" s="82" t="s">
        <v>62</v>
      </c>
      <c r="E4961" s="82" t="s">
        <v>7</v>
      </c>
      <c r="F4961" s="88">
        <v>5000</v>
      </c>
      <c r="G4961" s="46"/>
      <c r="H4961" s="46">
        <f>IFERROR(TRANSACTIONS!$F4961+TRANSACTIONS!$G4961,"")</f>
        <v>5000</v>
      </c>
      <c r="I4961" s="40" t="s">
        <v>41</v>
      </c>
    </row>
    <row r="4962" spans="1:10" ht="13.5" customHeight="1" x14ac:dyDescent="0.25">
      <c r="A4962" s="41">
        <v>45382.498049305555</v>
      </c>
      <c r="B4962" s="48">
        <f>IF(A4962&lt;&gt;"",DATE(YEAR(TRANSACTIONS!$A4962),MONTH(TRANSACTIONS!$A4962),DAY(TRANSACTIONS!$A4962)),"")</f>
        <v>45382</v>
      </c>
      <c r="C4962" s="49">
        <f>IF(A4962&lt;&gt;"",TIME(HOUR(TRANSACTIONS!$A4962),MINUTE(TRANSACTIONS!$A4962),SECOND(TRANSACTIONS!$A4962)),"")</f>
        <v>0.49804398148148149</v>
      </c>
      <c r="D4962" s="82" t="s">
        <v>62</v>
      </c>
      <c r="E4962" s="82" t="s">
        <v>7</v>
      </c>
      <c r="F4962" s="88">
        <v>5000</v>
      </c>
      <c r="G4962" s="46"/>
      <c r="H4962" s="46">
        <f>IFERROR(TRANSACTIONS!$F4962+TRANSACTIONS!$G4962,"")</f>
        <v>5000</v>
      </c>
      <c r="I4962" s="40" t="s">
        <v>41</v>
      </c>
    </row>
    <row r="4963" spans="1:10" hidden="1" x14ac:dyDescent="0.25">
      <c r="A4963" s="113"/>
      <c r="B4963" s="114" t="str">
        <f>IF(A4963&lt;&gt;"",DATE(YEAR(TRANSACTIONS!$A4963),MONTH(TRANSACTIONS!$A4963),DAY(TRANSACTIONS!$A4963)),"")</f>
        <v/>
      </c>
      <c r="C4963" s="115" t="str">
        <f>IF(A4963&lt;&gt;"",TIME(HOUR(TRANSACTIONS!$A4963),MINUTE(TRANSACTIONS!$A4963),SECOND(TRANSACTIONS!$A4963)),"")</f>
        <v/>
      </c>
      <c r="D4963" s="82"/>
      <c r="E4963" s="82"/>
      <c r="F4963" s="88"/>
      <c r="G4963" s="117"/>
      <c r="H4963" s="117">
        <f>IFERROR(TRANSACTIONS!$F4963+TRANSACTIONS!$G4963,"")</f>
        <v>0</v>
      </c>
      <c r="I4963" s="118" t="s">
        <v>41</v>
      </c>
    </row>
    <row r="4964" spans="1:10" x14ac:dyDescent="0.25">
      <c r="A4964" s="41">
        <v>45382.511441898147</v>
      </c>
      <c r="B4964" s="48">
        <f>IF(A4964&lt;&gt;"",DATE(YEAR(TRANSACTIONS!$A4964),MONTH(TRANSACTIONS!$A4964),DAY(TRANSACTIONS!$A4964)),"")</f>
        <v>45382</v>
      </c>
      <c r="C4964" s="49">
        <f>IF(A4964&lt;&gt;"",TIME(HOUR(TRANSACTIONS!$A4964),MINUTE(TRANSACTIONS!$A4964),SECOND(TRANSACTIONS!$A4964)),"")</f>
        <v>0.5114467592592592</v>
      </c>
      <c r="D4964" s="82" t="s">
        <v>62</v>
      </c>
      <c r="E4964" s="82" t="s">
        <v>7</v>
      </c>
      <c r="F4964" s="88">
        <v>6000</v>
      </c>
      <c r="G4964" s="46"/>
      <c r="H4964" s="46">
        <f>IFERROR(TRANSACTIONS!$F4964+TRANSACTIONS!$G4964,"")</f>
        <v>6000</v>
      </c>
      <c r="I4964" s="40" t="s">
        <v>41</v>
      </c>
    </row>
    <row r="4965" spans="1:10" x14ac:dyDescent="0.25">
      <c r="A4965" s="41">
        <v>45382.511850000003</v>
      </c>
      <c r="B4965" s="48">
        <f>IF(A4965&lt;&gt;"",DATE(YEAR(TRANSACTIONS!$A4965),MONTH(TRANSACTIONS!$A4965),DAY(TRANSACTIONS!$A4965)),"")</f>
        <v>45382</v>
      </c>
      <c r="C4965" s="49">
        <f>IF(A4965&lt;&gt;"",TIME(HOUR(TRANSACTIONS!$A4965),MINUTE(TRANSACTIONS!$A4965),SECOND(TRANSACTIONS!$A4965)),"")</f>
        <v>0.51185185185185189</v>
      </c>
      <c r="D4965" s="82" t="s">
        <v>62</v>
      </c>
      <c r="E4965" s="82" t="s">
        <v>6</v>
      </c>
      <c r="F4965" s="88">
        <v>5050</v>
      </c>
      <c r="G4965" s="46"/>
      <c r="H4965" s="46">
        <f>IFERROR(TRANSACTIONS!$F4965+TRANSACTIONS!$G4965,"")</f>
        <v>5050</v>
      </c>
      <c r="I4965" s="40" t="s">
        <v>41</v>
      </c>
    </row>
    <row r="4966" spans="1:10" x14ac:dyDescent="0.25">
      <c r="A4966" s="41">
        <v>45382.512460185186</v>
      </c>
      <c r="B4966" s="48">
        <f>IF(A4966&lt;&gt;"",DATE(YEAR(TRANSACTIONS!$A4966),MONTH(TRANSACTIONS!$A4966),DAY(TRANSACTIONS!$A4966)),"")</f>
        <v>45382</v>
      </c>
      <c r="C4966" s="49">
        <f>IF(A4966&lt;&gt;"",TIME(HOUR(TRANSACTIONS!$A4966),MINUTE(TRANSACTIONS!$A4966),SECOND(TRANSACTIONS!$A4966)),"")</f>
        <v>0.51246527777777773</v>
      </c>
      <c r="D4966" s="82" t="s">
        <v>62</v>
      </c>
      <c r="E4966" s="82" t="s">
        <v>7</v>
      </c>
      <c r="F4966" s="88">
        <v>5000</v>
      </c>
      <c r="G4966" s="46"/>
      <c r="H4966" s="46">
        <f>IFERROR(TRANSACTIONS!$F4966+TRANSACTIONS!$G4966,"")</f>
        <v>5000</v>
      </c>
      <c r="I4966" s="40" t="s">
        <v>41</v>
      </c>
    </row>
    <row r="4967" spans="1:10" x14ac:dyDescent="0.25">
      <c r="A4967" s="41">
        <v>45382.520804745371</v>
      </c>
      <c r="B4967" s="48">
        <f>IF(A4967&lt;&gt;"",DATE(YEAR(TRANSACTIONS!$A4967),MONTH(TRANSACTIONS!$A4967),DAY(TRANSACTIONS!$A4967)),"")</f>
        <v>45382</v>
      </c>
      <c r="C4967" s="49">
        <f>IF(A4967&lt;&gt;"",TIME(HOUR(TRANSACTIONS!$A4967),MINUTE(TRANSACTIONS!$A4967),SECOND(TRANSACTIONS!$A4967)),"")</f>
        <v>0.52081018518518518</v>
      </c>
      <c r="D4967" s="82" t="s">
        <v>62</v>
      </c>
      <c r="E4967" s="82" t="s">
        <v>7</v>
      </c>
      <c r="F4967" s="88">
        <v>5000</v>
      </c>
      <c r="G4967" s="46"/>
      <c r="H4967" s="46">
        <f>IFERROR(TRANSACTIONS!$F4967+TRANSACTIONS!$G4967,"")</f>
        <v>5000</v>
      </c>
      <c r="I4967" s="40" t="s">
        <v>41</v>
      </c>
    </row>
    <row r="4968" spans="1:10" x14ac:dyDescent="0.25">
      <c r="A4968" s="41">
        <v>45382.534182175928</v>
      </c>
      <c r="B4968" s="48">
        <f>IF(A4968&lt;&gt;"",DATE(YEAR(TRANSACTIONS!$A4968),MONTH(TRANSACTIONS!$A4968),DAY(TRANSACTIONS!$A4968)),"")</f>
        <v>45382</v>
      </c>
      <c r="C4968" s="49">
        <f>IF(A4968&lt;&gt;"",TIME(HOUR(TRANSACTIONS!$A4968),MINUTE(TRANSACTIONS!$A4968),SECOND(TRANSACTIONS!$A4968)),"")</f>
        <v>0.53417824074074072</v>
      </c>
      <c r="D4968" s="82" t="s">
        <v>62</v>
      </c>
      <c r="E4968" s="82" t="s">
        <v>6</v>
      </c>
      <c r="F4968" s="88">
        <v>15000</v>
      </c>
      <c r="G4968" s="46"/>
      <c r="H4968" s="46">
        <f>IFERROR(TRANSACTIONS!$F4968+TRANSACTIONS!$G4968,"")</f>
        <v>15000</v>
      </c>
      <c r="I4968" s="40" t="s">
        <v>41</v>
      </c>
    </row>
    <row r="4969" spans="1:10" x14ac:dyDescent="0.25">
      <c r="A4969" s="41">
        <v>45382.534313194446</v>
      </c>
      <c r="B4969" s="48">
        <f>IF(A4969&lt;&gt;"",DATE(YEAR(TRANSACTIONS!$A4969),MONTH(TRANSACTIONS!$A4969),DAY(TRANSACTIONS!$A4969)),"")</f>
        <v>45382</v>
      </c>
      <c r="C4969" s="49">
        <f>IF(A4969&lt;&gt;"",TIME(HOUR(TRANSACTIONS!$A4969),MINUTE(TRANSACTIONS!$A4969),SECOND(TRANSACTIONS!$A4969)),"")</f>
        <v>0.53431712962962963</v>
      </c>
      <c r="D4969" s="82" t="s">
        <v>25</v>
      </c>
      <c r="E4969" s="82" t="s">
        <v>7</v>
      </c>
      <c r="F4969" s="88">
        <v>50000</v>
      </c>
      <c r="G4969" s="46"/>
      <c r="H4969" s="46">
        <f>IFERROR(TRANSACTIONS!$F4969+TRANSACTIONS!$G4969,"")</f>
        <v>50000</v>
      </c>
      <c r="I4969" s="40" t="s">
        <v>41</v>
      </c>
    </row>
    <row r="4970" spans="1:10" x14ac:dyDescent="0.25">
      <c r="A4970" s="41">
        <v>45382.553578587962</v>
      </c>
      <c r="B4970" s="48">
        <f>IF(A4970&lt;&gt;"",DATE(YEAR(TRANSACTIONS!$A4970),MONTH(TRANSACTIONS!$A4970),DAY(TRANSACTIONS!$A4970)),"")</f>
        <v>45382</v>
      </c>
      <c r="C4970" s="49">
        <f>IF(A4970&lt;&gt;"",TIME(HOUR(TRANSACTIONS!$A4970),MINUTE(TRANSACTIONS!$A4970),SECOND(TRANSACTIONS!$A4970)),"")</f>
        <v>0.55357638888888883</v>
      </c>
      <c r="D4970" s="82" t="s">
        <v>25</v>
      </c>
      <c r="E4970" s="82" t="s">
        <v>6</v>
      </c>
      <c r="F4970" s="88">
        <v>170000</v>
      </c>
      <c r="G4970" s="46"/>
      <c r="H4970" s="46">
        <f>IFERROR(TRANSACTIONS!$F4970+TRANSACTIONS!$G4970,"")</f>
        <v>170000</v>
      </c>
      <c r="I4970" s="40" t="s">
        <v>41</v>
      </c>
    </row>
    <row r="4971" spans="1:10" x14ac:dyDescent="0.25">
      <c r="A4971" s="41">
        <v>45382.553591435186</v>
      </c>
      <c r="B4971" s="48">
        <f>IF(A4971&lt;&gt;"",DATE(YEAR(TRANSACTIONS!$A4971),MONTH(TRANSACTIONS!$A4971),DAY(TRANSACTIONS!$A4971)),"")</f>
        <v>45382</v>
      </c>
      <c r="C4971" s="49">
        <f>IF(A4971&lt;&gt;"",TIME(HOUR(TRANSACTIONS!$A4971),MINUTE(TRANSACTIONS!$A4971),SECOND(TRANSACTIONS!$A4971)),"")</f>
        <v>0.55358796296296298</v>
      </c>
      <c r="D4971" s="82" t="s">
        <v>25</v>
      </c>
      <c r="E4971" s="82" t="s">
        <v>6</v>
      </c>
      <c r="F4971" s="88">
        <v>195000</v>
      </c>
      <c r="G4971" s="46"/>
      <c r="H4971" s="46">
        <f>IFERROR(TRANSACTIONS!$F4971+TRANSACTIONS!$G4971,"")</f>
        <v>195000</v>
      </c>
      <c r="I4971" s="40" t="s">
        <v>41</v>
      </c>
    </row>
    <row r="4972" spans="1:10" x14ac:dyDescent="0.25">
      <c r="A4972" s="41">
        <v>45382.553634027776</v>
      </c>
      <c r="B4972" s="48">
        <f>IF(A4972&lt;&gt;"",DATE(YEAR(TRANSACTIONS!$A4972),MONTH(TRANSACTIONS!$A4972),DAY(TRANSACTIONS!$A4972)),"")</f>
        <v>45382</v>
      </c>
      <c r="C4972" s="49">
        <f>IF(A4972&lt;&gt;"",TIME(HOUR(TRANSACTIONS!$A4972),MINUTE(TRANSACTIONS!$A4972),SECOND(TRANSACTIONS!$A4972)),"")</f>
        <v>0.55363425925925924</v>
      </c>
      <c r="D4972" s="82" t="s">
        <v>62</v>
      </c>
      <c r="E4972" s="82" t="s">
        <v>7</v>
      </c>
      <c r="F4972" s="88">
        <v>6000</v>
      </c>
      <c r="G4972" s="46"/>
      <c r="H4972" s="46">
        <f>IFERROR(TRANSACTIONS!$F4972+TRANSACTIONS!$G4972,"")</f>
        <v>6000</v>
      </c>
      <c r="I4972" s="40" t="s">
        <v>41</v>
      </c>
    </row>
    <row r="4973" spans="1:10" x14ac:dyDescent="0.25">
      <c r="A4973" s="81">
        <v>45382.553651273149</v>
      </c>
      <c r="B4973" s="83">
        <f>IF(A4973&lt;&gt;"",DATE(YEAR(TRANSACTIONS!$A4973),MONTH(TRANSACTIONS!$A4973),DAY(TRANSACTIONS!$A4973)),"")</f>
        <v>45382</v>
      </c>
      <c r="C4973" s="84">
        <f>IF(A4973&lt;&gt;"",TIME(HOUR(TRANSACTIONS!$A4973),MINUTE(TRANSACTIONS!$A4973),SECOND(TRANSACTIONS!$A4973)),"")</f>
        <v>0.55364583333333328</v>
      </c>
      <c r="D4973" s="82" t="s">
        <v>62</v>
      </c>
      <c r="E4973" s="82" t="s">
        <v>6</v>
      </c>
      <c r="F4973" s="88">
        <v>156550</v>
      </c>
      <c r="G4973" s="86"/>
      <c r="H4973" s="86">
        <f>IFERROR(TRANSACTIONS!$F4973+TRANSACTIONS!$G4973,"")</f>
        <v>156550</v>
      </c>
      <c r="I4973" s="88" t="s">
        <v>41</v>
      </c>
      <c r="J4973" s="88"/>
    </row>
    <row r="4974" spans="1:10" x14ac:dyDescent="0.25">
      <c r="A4974" s="81">
        <v>45382.561232291664</v>
      </c>
      <c r="B4974" s="83">
        <f>IF(A4974&lt;&gt;"",DATE(YEAR(TRANSACTIONS!$A4974),MONTH(TRANSACTIONS!$A4974),DAY(TRANSACTIONS!$A4974)),"")</f>
        <v>45382</v>
      </c>
      <c r="C4974" s="84">
        <f>IF(A4974&lt;&gt;"",TIME(HOUR(TRANSACTIONS!$A4974),MINUTE(TRANSACTIONS!$A4974),SECOND(TRANSACTIONS!$A4974)),"")</f>
        <v>0.56122685185185184</v>
      </c>
      <c r="D4974" s="82" t="s">
        <v>62</v>
      </c>
      <c r="E4974" s="82" t="s">
        <v>6</v>
      </c>
      <c r="F4974" s="88">
        <v>20000</v>
      </c>
      <c r="G4974" s="86"/>
      <c r="H4974" s="86">
        <f>IFERROR(TRANSACTIONS!$F4974+TRANSACTIONS!$G4974,"")</f>
        <v>20000</v>
      </c>
      <c r="I4974" s="88" t="s">
        <v>41</v>
      </c>
      <c r="J4974" s="88"/>
    </row>
    <row r="4975" spans="1:10" x14ac:dyDescent="0.25">
      <c r="A4975" s="81">
        <v>45382.561273726853</v>
      </c>
      <c r="B4975" s="83">
        <f>IF(A4975&lt;&gt;"",DATE(YEAR(TRANSACTIONS!$A4975),MONTH(TRANSACTIONS!$A4975),DAY(TRANSACTIONS!$A4975)),"")</f>
        <v>45382</v>
      </c>
      <c r="C4975" s="84">
        <f>IF(A4975&lt;&gt;"",TIME(HOUR(TRANSACTIONS!$A4975),MINUTE(TRANSACTIONS!$A4975),SECOND(TRANSACTIONS!$A4975)),"")</f>
        <v>0.56127314814814822</v>
      </c>
      <c r="D4975" s="82" t="s">
        <v>62</v>
      </c>
      <c r="E4975" s="82" t="s">
        <v>6</v>
      </c>
      <c r="F4975" s="88">
        <v>5000</v>
      </c>
      <c r="G4975" s="86"/>
      <c r="H4975" s="86">
        <f>IFERROR(TRANSACTIONS!$F4975+TRANSACTIONS!$G4975,"")</f>
        <v>5000</v>
      </c>
      <c r="I4975" s="88" t="s">
        <v>41</v>
      </c>
      <c r="J4975" s="88"/>
    </row>
    <row r="4976" spans="1:10" x14ac:dyDescent="0.25">
      <c r="A4976" s="41">
        <v>45382.561282754628</v>
      </c>
      <c r="B4976" s="48">
        <f>IF(A4976&lt;&gt;"",DATE(YEAR(TRANSACTIONS!$A4976),MONTH(TRANSACTIONS!$A4976),DAY(TRANSACTIONS!$A4976)),"")</f>
        <v>45382</v>
      </c>
      <c r="C4976" s="49">
        <f>IF(A4976&lt;&gt;"",TIME(HOUR(TRANSACTIONS!$A4976),MINUTE(TRANSACTIONS!$A4976),SECOND(TRANSACTIONS!$A4976)),"")</f>
        <v>0.56128472222222225</v>
      </c>
      <c r="D4976" s="82" t="s">
        <v>25</v>
      </c>
      <c r="E4976" s="82" t="s">
        <v>7</v>
      </c>
      <c r="F4976" s="88">
        <v>20000</v>
      </c>
      <c r="G4976" s="46"/>
      <c r="H4976" s="46">
        <f>IFERROR(TRANSACTIONS!$F4976+TRANSACTIONS!$G4976,"")</f>
        <v>20000</v>
      </c>
      <c r="I4976" s="40" t="s">
        <v>41</v>
      </c>
    </row>
    <row r="4977" spans="1:9" x14ac:dyDescent="0.25">
      <c r="A4977" s="41">
        <v>45382.561297222222</v>
      </c>
      <c r="B4977" s="48">
        <f>IF(A4977&lt;&gt;"",DATE(YEAR(TRANSACTIONS!$A4977),MONTH(TRANSACTIONS!$A4977),DAY(TRANSACTIONS!$A4977)),"")</f>
        <v>45382</v>
      </c>
      <c r="C4977" s="49">
        <f>IF(A4977&lt;&gt;"",TIME(HOUR(TRANSACTIONS!$A4977),MINUTE(TRANSACTIONS!$A4977),SECOND(TRANSACTIONS!$A4977)),"")</f>
        <v>0.56129629629629629</v>
      </c>
      <c r="D4977" s="82" t="s">
        <v>25</v>
      </c>
      <c r="E4977" s="82" t="s">
        <v>6</v>
      </c>
      <c r="F4977" s="88">
        <v>20000</v>
      </c>
      <c r="G4977" s="46"/>
      <c r="H4977" s="46">
        <f>IFERROR(TRANSACTIONS!$F4977+TRANSACTIONS!$G4977,"")</f>
        <v>20000</v>
      </c>
      <c r="I4977" s="40" t="s">
        <v>41</v>
      </c>
    </row>
    <row r="4978" spans="1:9" x14ac:dyDescent="0.25">
      <c r="A4978" s="41">
        <v>45382.564063078702</v>
      </c>
      <c r="B4978" s="48">
        <f>IF(A4978&lt;&gt;"",DATE(YEAR(TRANSACTIONS!$A4978),MONTH(TRANSACTIONS!$A4978),DAY(TRANSACTIONS!$A4978)),"")</f>
        <v>45382</v>
      </c>
      <c r="C4978" s="49">
        <f>IF(A4978&lt;&gt;"",TIME(HOUR(TRANSACTIONS!$A4978),MINUTE(TRANSACTIONS!$A4978),SECOND(TRANSACTIONS!$A4978)),"")</f>
        <v>0.56406250000000002</v>
      </c>
      <c r="D4978" s="82" t="s">
        <v>62</v>
      </c>
      <c r="E4978" s="82" t="s">
        <v>7</v>
      </c>
      <c r="F4978" s="88">
        <v>7000</v>
      </c>
      <c r="G4978" s="46"/>
      <c r="H4978" s="46">
        <f>IFERROR(TRANSACTIONS!$F4978+TRANSACTIONS!$G4978,"")</f>
        <v>7000</v>
      </c>
      <c r="I4978" s="40" t="s">
        <v>41</v>
      </c>
    </row>
    <row r="4979" spans="1:9" x14ac:dyDescent="0.25">
      <c r="A4979" s="41">
        <v>45382.564947222221</v>
      </c>
      <c r="B4979" s="48">
        <f>IF(A4979&lt;&gt;"",DATE(YEAR(TRANSACTIONS!$A4979),MONTH(TRANSACTIONS!$A4979),DAY(TRANSACTIONS!$A4979)),"")</f>
        <v>45382</v>
      </c>
      <c r="C4979" s="49">
        <f>IF(A4979&lt;&gt;"",TIME(HOUR(TRANSACTIONS!$A4979),MINUTE(TRANSACTIONS!$A4979),SECOND(TRANSACTIONS!$A4979)),"")</f>
        <v>0.56494212962962964</v>
      </c>
      <c r="D4979" s="82" t="s">
        <v>62</v>
      </c>
      <c r="E4979" s="82" t="s">
        <v>7</v>
      </c>
      <c r="F4979" s="88">
        <v>50000</v>
      </c>
      <c r="G4979" s="46"/>
      <c r="H4979" s="46">
        <f>IFERROR(TRANSACTIONS!$F4979+TRANSACTIONS!$G4979,"")</f>
        <v>50000</v>
      </c>
      <c r="I4979" s="40" t="s">
        <v>41</v>
      </c>
    </row>
    <row r="4980" spans="1:9" ht="12.75" customHeight="1" x14ac:dyDescent="0.25">
      <c r="A4980" s="41">
        <v>45382.564956018519</v>
      </c>
      <c r="B4980" s="48">
        <f>IF(A4980&lt;&gt;"",DATE(YEAR(TRANSACTIONS!$A4980),MONTH(TRANSACTIONS!$A4980),DAY(TRANSACTIONS!$A4980)),"")</f>
        <v>45382</v>
      </c>
      <c r="C4980" s="49">
        <f>IF(A4980&lt;&gt;"",TIME(HOUR(TRANSACTIONS!$A4980),MINUTE(TRANSACTIONS!$A4980),SECOND(TRANSACTIONS!$A4980)),"")</f>
        <v>0.56495370370370368</v>
      </c>
      <c r="D4980" s="82" t="s">
        <v>62</v>
      </c>
      <c r="E4980" s="82" t="s">
        <v>6</v>
      </c>
      <c r="F4980" s="88">
        <v>3000</v>
      </c>
      <c r="G4980" s="46"/>
      <c r="H4980" s="46">
        <f>IFERROR(TRANSACTIONS!$F4980+TRANSACTIONS!$G4980,"")</f>
        <v>3000</v>
      </c>
      <c r="I4980" s="40" t="s">
        <v>41</v>
      </c>
    </row>
    <row r="4981" spans="1:9" x14ac:dyDescent="0.25">
      <c r="A4981" s="41">
        <v>45382.564991550928</v>
      </c>
      <c r="B4981" s="48">
        <f>IF(A4981&lt;&gt;"",DATE(YEAR(TRANSACTIONS!$A4981),MONTH(TRANSACTIONS!$A4981),DAY(TRANSACTIONS!$A4981)),"")</f>
        <v>45382</v>
      </c>
      <c r="C4981" s="49">
        <f>IF(A4981&lt;&gt;"",TIME(HOUR(TRANSACTIONS!$A4981),MINUTE(TRANSACTIONS!$A4981),SECOND(TRANSACTIONS!$A4981)),"")</f>
        <v>0.56498842592592591</v>
      </c>
      <c r="D4981" s="82" t="s">
        <v>62</v>
      </c>
      <c r="E4981" s="82" t="s">
        <v>7</v>
      </c>
      <c r="F4981" s="88">
        <v>5000</v>
      </c>
      <c r="G4981" s="46"/>
      <c r="H4981" s="46">
        <f>IFERROR(TRANSACTIONS!$F4981+TRANSACTIONS!$G4981,"")</f>
        <v>5000</v>
      </c>
      <c r="I4981" s="40" t="s">
        <v>41</v>
      </c>
    </row>
    <row r="4982" spans="1:9" x14ac:dyDescent="0.25">
      <c r="A4982" s="41">
        <v>45382.56500949074</v>
      </c>
      <c r="B4982" s="48">
        <f>IF(A4982&lt;&gt;"",DATE(YEAR(TRANSACTIONS!$A4982),MONTH(TRANSACTIONS!$A4982),DAY(TRANSACTIONS!$A4982)),"")</f>
        <v>45382</v>
      </c>
      <c r="C4982" s="49">
        <f>IF(A4982&lt;&gt;"",TIME(HOUR(TRANSACTIONS!$A4982),MINUTE(TRANSACTIONS!$A4982),SECOND(TRANSACTIONS!$A4982)),"")</f>
        <v>0.5650115740740741</v>
      </c>
      <c r="D4982" s="82" t="s">
        <v>25</v>
      </c>
      <c r="E4982" s="82" t="s">
        <v>7</v>
      </c>
      <c r="F4982" s="88">
        <v>5000</v>
      </c>
      <c r="G4982" s="46"/>
      <c r="H4982" s="46">
        <f>IFERROR(TRANSACTIONS!$F4982+TRANSACTIONS!$G4982,"")</f>
        <v>5000</v>
      </c>
      <c r="I4982" s="40" t="s">
        <v>41</v>
      </c>
    </row>
    <row r="4983" spans="1:9" x14ac:dyDescent="0.25">
      <c r="A4983" s="81">
        <v>45382.573422569447</v>
      </c>
      <c r="B4983" s="83">
        <f>IF(A4983&lt;&gt;"",DATE(YEAR(TRANSACTIONS!$A4983),MONTH(TRANSACTIONS!$A4983),DAY(TRANSACTIONS!$A4983)),"")</f>
        <v>45382</v>
      </c>
      <c r="C4983" s="84">
        <f>IF(A4983&lt;&gt;"",TIME(HOUR(TRANSACTIONS!$A4983),MINUTE(TRANSACTIONS!$A4983),SECOND(TRANSACTIONS!$A4983)),"")</f>
        <v>0.57342592592592589</v>
      </c>
      <c r="D4983" s="82" t="s">
        <v>62</v>
      </c>
      <c r="E4983" s="82" t="s">
        <v>7</v>
      </c>
      <c r="F4983" s="88">
        <v>5000</v>
      </c>
      <c r="G4983" s="86"/>
      <c r="H4983" s="86">
        <f>IFERROR(TRANSACTIONS!$F4983+TRANSACTIONS!$G4983,"")</f>
        <v>5000</v>
      </c>
      <c r="I4983" s="88" t="s">
        <v>41</v>
      </c>
    </row>
    <row r="4984" spans="1:9" x14ac:dyDescent="0.25">
      <c r="A4984" s="41">
        <v>45382.586871412037</v>
      </c>
      <c r="B4984" s="48">
        <f>IF(A4984&lt;&gt;"",DATE(YEAR(TRANSACTIONS!$A4984),MONTH(TRANSACTIONS!$A4984),DAY(TRANSACTIONS!$A4984)),"")</f>
        <v>45382</v>
      </c>
      <c r="C4984" s="49">
        <f>IF(A4984&lt;&gt;"",TIME(HOUR(TRANSACTIONS!$A4984),MINUTE(TRANSACTIONS!$A4984),SECOND(TRANSACTIONS!$A4984)),"")</f>
        <v>0.58687500000000004</v>
      </c>
      <c r="D4984" s="82" t="s">
        <v>25</v>
      </c>
      <c r="E4984" s="82" t="s">
        <v>7</v>
      </c>
      <c r="F4984" s="88">
        <v>25000</v>
      </c>
      <c r="G4984" s="46"/>
      <c r="H4984" s="46">
        <f>IFERROR(TRANSACTIONS!$F4984+TRANSACTIONS!$G4984,"")</f>
        <v>25000</v>
      </c>
      <c r="I4984" s="40" t="s">
        <v>41</v>
      </c>
    </row>
    <row r="4985" spans="1:9" ht="14.25" customHeight="1" x14ac:dyDescent="0.25">
      <c r="A4985" s="41">
        <v>45382.588642361108</v>
      </c>
      <c r="B4985" s="48">
        <f>IF(A4985&lt;&gt;"",DATE(YEAR(TRANSACTIONS!$A4985),MONTH(TRANSACTIONS!$A4985),DAY(TRANSACTIONS!$A4985)),"")</f>
        <v>45382</v>
      </c>
      <c r="C4985" s="49">
        <f>IF(A4985&lt;&gt;"",TIME(HOUR(TRANSACTIONS!$A4985),MINUTE(TRANSACTIONS!$A4985),SECOND(TRANSACTIONS!$A4985)),"")</f>
        <v>0.58864583333333331</v>
      </c>
      <c r="D4985" s="82" t="s">
        <v>62</v>
      </c>
      <c r="E4985" s="82" t="s">
        <v>7</v>
      </c>
      <c r="F4985" s="88">
        <v>10000</v>
      </c>
      <c r="G4985" s="46"/>
      <c r="H4985" s="46">
        <f>IFERROR(TRANSACTIONS!$F4985+TRANSACTIONS!$G4985,"")</f>
        <v>10000</v>
      </c>
      <c r="I4985" s="40" t="s">
        <v>41</v>
      </c>
    </row>
    <row r="4986" spans="1:9" x14ac:dyDescent="0.25">
      <c r="A4986" s="41">
        <v>45382.612829513891</v>
      </c>
      <c r="B4986" s="48">
        <f>IF(A4986&lt;&gt;"",DATE(YEAR(TRANSACTIONS!$A4986),MONTH(TRANSACTIONS!$A4986),DAY(TRANSACTIONS!$A4986)),"")</f>
        <v>45382</v>
      </c>
      <c r="C4986" s="49">
        <f>IF(A4986&lt;&gt;"",TIME(HOUR(TRANSACTIONS!$A4986),MINUTE(TRANSACTIONS!$A4986),SECOND(TRANSACTIONS!$A4986)),"")</f>
        <v>0.61282407407407413</v>
      </c>
      <c r="D4986" s="82" t="s">
        <v>62</v>
      </c>
      <c r="E4986" s="82" t="s">
        <v>6</v>
      </c>
      <c r="F4986" s="88">
        <v>100000</v>
      </c>
      <c r="G4986" s="46"/>
      <c r="H4986" s="46">
        <f>IFERROR(TRANSACTIONS!$F4986+TRANSACTIONS!$G4986,"")</f>
        <v>100000</v>
      </c>
      <c r="I4986" s="40" t="s">
        <v>41</v>
      </c>
    </row>
    <row r="4987" spans="1:9" x14ac:dyDescent="0.25">
      <c r="A4987" s="41">
        <v>45382.612849421297</v>
      </c>
      <c r="B4987" s="48">
        <f>IF(A4987&lt;&gt;"",DATE(YEAR(TRANSACTIONS!$A4987),MONTH(TRANSACTIONS!$A4987),DAY(TRANSACTIONS!$A4987)),"")</f>
        <v>45382</v>
      </c>
      <c r="C4987" s="49">
        <f>IF(A4987&lt;&gt;"",TIME(HOUR(TRANSACTIONS!$A4987),MINUTE(TRANSACTIONS!$A4987),SECOND(TRANSACTIONS!$A4987)),"")</f>
        <v>0.61284722222222221</v>
      </c>
      <c r="D4987" s="82" t="s">
        <v>62</v>
      </c>
      <c r="E4987" s="82" t="s">
        <v>6</v>
      </c>
      <c r="F4987" s="88">
        <v>3000</v>
      </c>
      <c r="G4987" s="46"/>
      <c r="H4987" s="46">
        <f>IFERROR(TRANSACTIONS!$F4987+TRANSACTIONS!$G4987,"")</f>
        <v>3000</v>
      </c>
      <c r="I4987" s="40" t="s">
        <v>41</v>
      </c>
    </row>
    <row r="4988" spans="1:9" x14ac:dyDescent="0.25">
      <c r="A4988" s="41">
        <v>45382.61341111111</v>
      </c>
      <c r="B4988" s="48">
        <f>IF(A4988&lt;&gt;"",DATE(YEAR(TRANSACTIONS!$A4988),MONTH(TRANSACTIONS!$A4988),DAY(TRANSACTIONS!$A4988)),"")</f>
        <v>45382</v>
      </c>
      <c r="C4988" s="49">
        <f>IF(A4988&lt;&gt;"",TIME(HOUR(TRANSACTIONS!$A4988),MINUTE(TRANSACTIONS!$A4988),SECOND(TRANSACTIONS!$A4988)),"")</f>
        <v>0.61341435185185189</v>
      </c>
      <c r="D4988" s="82" t="s">
        <v>62</v>
      </c>
      <c r="E4988" s="82" t="s">
        <v>6</v>
      </c>
      <c r="F4988" s="88">
        <v>48000</v>
      </c>
      <c r="G4988" s="46"/>
      <c r="H4988" s="46">
        <f>IFERROR(TRANSACTIONS!$F4988+TRANSACTIONS!$G4988,"")</f>
        <v>48000</v>
      </c>
      <c r="I4988" s="40" t="s">
        <v>41</v>
      </c>
    </row>
    <row r="4989" spans="1:9" x14ac:dyDescent="0.25">
      <c r="A4989" s="41">
        <v>45382.613422453702</v>
      </c>
      <c r="B4989" s="48">
        <f>IF(A4989&lt;&gt;"",DATE(YEAR(TRANSACTIONS!$A4989),MONTH(TRANSACTIONS!$A4989),DAY(TRANSACTIONS!$A4989)),"")</f>
        <v>45382</v>
      </c>
      <c r="C4989" s="49">
        <f>IF(A4989&lt;&gt;"",TIME(HOUR(TRANSACTIONS!$A4989),MINUTE(TRANSACTIONS!$A4989),SECOND(TRANSACTIONS!$A4989)),"")</f>
        <v>0.61342592592592593</v>
      </c>
      <c r="D4989" s="82" t="s">
        <v>62</v>
      </c>
      <c r="E4989" s="82" t="s">
        <v>6</v>
      </c>
      <c r="F4989" s="88">
        <v>11000</v>
      </c>
      <c r="G4989" s="46"/>
      <c r="H4989" s="46">
        <f>IFERROR(TRANSACTIONS!$F4989+TRANSACTIONS!$G4989,"")</f>
        <v>11000</v>
      </c>
      <c r="I4989" s="40" t="s">
        <v>41</v>
      </c>
    </row>
    <row r="4990" spans="1:9" x14ac:dyDescent="0.25">
      <c r="A4990" s="41">
        <v>45382.613473495374</v>
      </c>
      <c r="B4990" s="48">
        <f>IF(A4990&lt;&gt;"",DATE(YEAR(TRANSACTIONS!$A4990),MONTH(TRANSACTIONS!$A4990),DAY(TRANSACTIONS!$A4990)),"")</f>
        <v>45382</v>
      </c>
      <c r="C4990" s="49">
        <f>IF(A4990&lt;&gt;"",TIME(HOUR(TRANSACTIONS!$A4990),MINUTE(TRANSACTIONS!$A4990),SECOND(TRANSACTIONS!$A4990)),"")</f>
        <v>0.6134722222222222</v>
      </c>
      <c r="D4990" s="82" t="s">
        <v>25</v>
      </c>
      <c r="E4990" s="82" t="s">
        <v>7</v>
      </c>
      <c r="F4990" s="88">
        <v>5000</v>
      </c>
      <c r="G4990" s="46"/>
      <c r="H4990" s="46">
        <f>IFERROR(TRANSACTIONS!$F4990+TRANSACTIONS!$G4990,"")</f>
        <v>5000</v>
      </c>
      <c r="I4990" s="40" t="s">
        <v>41</v>
      </c>
    </row>
    <row r="4991" spans="1:9" x14ac:dyDescent="0.25">
      <c r="A4991" s="41">
        <v>45382.613495370373</v>
      </c>
      <c r="B4991" s="48">
        <f>IF(A4991&lt;&gt;"",DATE(YEAR(TRANSACTIONS!$A4991),MONTH(TRANSACTIONS!$A4991),DAY(TRANSACTIONS!$A4991)),"")</f>
        <v>45382</v>
      </c>
      <c r="C4991" s="49">
        <f>IF(A4991&lt;&gt;"",TIME(HOUR(TRANSACTIONS!$A4991),MINUTE(TRANSACTIONS!$A4991),SECOND(TRANSACTIONS!$A4991)),"")</f>
        <v>0.61349537037037039</v>
      </c>
      <c r="D4991" s="82" t="s">
        <v>25</v>
      </c>
      <c r="E4991" s="82" t="s">
        <v>7</v>
      </c>
      <c r="F4991" s="88">
        <v>5000</v>
      </c>
      <c r="G4991" s="46"/>
      <c r="H4991" s="46">
        <f>IFERROR(TRANSACTIONS!$F4991+TRANSACTIONS!$G4991,"")</f>
        <v>5000</v>
      </c>
      <c r="I4991" s="40" t="s">
        <v>41</v>
      </c>
    </row>
    <row r="4992" spans="1:9" x14ac:dyDescent="0.25">
      <c r="A4992" s="41">
        <v>45382.61569849537</v>
      </c>
      <c r="B4992" s="48">
        <f>IF(A4992&lt;&gt;"",DATE(YEAR(TRANSACTIONS!$A4992),MONTH(TRANSACTIONS!$A4992),DAY(TRANSACTIONS!$A4992)),"")</f>
        <v>45382</v>
      </c>
      <c r="C4992" s="49">
        <f>IF(A4992&lt;&gt;"",TIME(HOUR(TRANSACTIONS!$A4992),MINUTE(TRANSACTIONS!$A4992),SECOND(TRANSACTIONS!$A4992)),"")</f>
        <v>0.61569444444444443</v>
      </c>
      <c r="D4992" s="82" t="s">
        <v>25</v>
      </c>
      <c r="E4992" s="82" t="s">
        <v>7</v>
      </c>
      <c r="F4992" s="88">
        <v>5000</v>
      </c>
      <c r="G4992" s="46"/>
      <c r="H4992" s="46">
        <f>IFERROR(TRANSACTIONS!$F4992+TRANSACTIONS!$G4992,"")</f>
        <v>5000</v>
      </c>
      <c r="I4992" s="40" t="s">
        <v>41</v>
      </c>
    </row>
    <row r="4993" spans="1:11" x14ac:dyDescent="0.25">
      <c r="A4993" s="41">
        <v>45382.615709490739</v>
      </c>
      <c r="B4993" s="48">
        <f>IF(A4993&lt;&gt;"",DATE(YEAR(TRANSACTIONS!$A4993),MONTH(TRANSACTIONS!$A4993),DAY(TRANSACTIONS!$A4993)),"")</f>
        <v>45382</v>
      </c>
      <c r="C4993" s="49">
        <f>IF(A4993&lt;&gt;"",TIME(HOUR(TRANSACTIONS!$A4993),MINUTE(TRANSACTIONS!$A4993),SECOND(TRANSACTIONS!$A4993)),"")</f>
        <v>0.61570601851851847</v>
      </c>
      <c r="D4993" s="82" t="s">
        <v>25</v>
      </c>
      <c r="E4993" s="82" t="s">
        <v>6</v>
      </c>
      <c r="F4993" s="88">
        <v>13000</v>
      </c>
      <c r="G4993" s="46"/>
      <c r="H4993" s="46">
        <f>IFERROR(TRANSACTIONS!$F4993+TRANSACTIONS!$G4993,"")</f>
        <v>13000</v>
      </c>
      <c r="I4993" s="40" t="s">
        <v>41</v>
      </c>
    </row>
    <row r="4994" spans="1:11" x14ac:dyDescent="0.25">
      <c r="A4994" s="41">
        <v>45382.615881597223</v>
      </c>
      <c r="B4994" s="48">
        <f>IF(A4994&lt;&gt;"",DATE(YEAR(TRANSACTIONS!$A4994),MONTH(TRANSACTIONS!$A4994),DAY(TRANSACTIONS!$A4994)),"")</f>
        <v>45382</v>
      </c>
      <c r="C4994" s="49">
        <f>IF(A4994&lt;&gt;"",TIME(HOUR(TRANSACTIONS!$A4994),MINUTE(TRANSACTIONS!$A4994),SECOND(TRANSACTIONS!$A4994)),"")</f>
        <v>0.61587962962962961</v>
      </c>
      <c r="D4994" s="82" t="s">
        <v>25</v>
      </c>
      <c r="E4994" s="82" t="s">
        <v>6</v>
      </c>
      <c r="F4994" s="88">
        <v>5000</v>
      </c>
      <c r="G4994" s="46"/>
      <c r="H4994" s="46">
        <f>IFERROR(TRANSACTIONS!$F4994+TRANSACTIONS!$G4994,"")</f>
        <v>5000</v>
      </c>
      <c r="I4994" s="40" t="s">
        <v>41</v>
      </c>
    </row>
    <row r="4995" spans="1:11" x14ac:dyDescent="0.25">
      <c r="A4995" s="41">
        <v>45382.616226388891</v>
      </c>
      <c r="B4995" s="48">
        <f>IF(A4995&lt;&gt;"",DATE(YEAR(TRANSACTIONS!$A4995),MONTH(TRANSACTIONS!$A4995),DAY(TRANSACTIONS!$A4995)),"")</f>
        <v>45382</v>
      </c>
      <c r="C4995" s="49">
        <f>IF(A4995&lt;&gt;"",TIME(HOUR(TRANSACTIONS!$A4995),MINUTE(TRANSACTIONS!$A4995),SECOND(TRANSACTIONS!$A4995)),"")</f>
        <v>0.61622685185185189</v>
      </c>
      <c r="D4995" s="82" t="s">
        <v>62</v>
      </c>
      <c r="E4995" s="82" t="s">
        <v>6</v>
      </c>
      <c r="F4995" s="88">
        <v>15000</v>
      </c>
      <c r="G4995" s="46"/>
      <c r="H4995" s="46">
        <f>IFERROR(TRANSACTIONS!$F4995+TRANSACTIONS!$G4995,"")</f>
        <v>15000</v>
      </c>
      <c r="I4995" s="40" t="s">
        <v>41</v>
      </c>
    </row>
    <row r="4996" spans="1:11" x14ac:dyDescent="0.25">
      <c r="A4996" s="41">
        <v>45382.622249537038</v>
      </c>
      <c r="B4996" s="48">
        <f>IF(A4996&lt;&gt;"",DATE(YEAR(TRANSACTIONS!$A4996),MONTH(TRANSACTIONS!$A4996),DAY(TRANSACTIONS!$A4996)),"")</f>
        <v>45382</v>
      </c>
      <c r="C4996" s="49">
        <f>IF(A4996&lt;&gt;"",TIME(HOUR(TRANSACTIONS!$A4996),MINUTE(TRANSACTIONS!$A4996),SECOND(TRANSACTIONS!$A4996)),"")</f>
        <v>0.62224537037037042</v>
      </c>
      <c r="D4996" s="82" t="s">
        <v>62</v>
      </c>
      <c r="E4996" s="82" t="s">
        <v>7</v>
      </c>
      <c r="F4996" s="88">
        <v>5000</v>
      </c>
      <c r="G4996" s="46"/>
      <c r="H4996" s="46">
        <f>IFERROR(TRANSACTIONS!$F4996+TRANSACTIONS!$G4996,"")</f>
        <v>5000</v>
      </c>
      <c r="I4996" s="40" t="s">
        <v>41</v>
      </c>
    </row>
    <row r="4997" spans="1:11" x14ac:dyDescent="0.25">
      <c r="A4997" s="41">
        <v>45382.623922916668</v>
      </c>
      <c r="B4997" s="48">
        <f>IF(A4997&lt;&gt;"",DATE(YEAR(TRANSACTIONS!$A4997),MONTH(TRANSACTIONS!$A4997),DAY(TRANSACTIONS!$A4997)),"")</f>
        <v>45382</v>
      </c>
      <c r="C4997" s="49">
        <f>IF(A4997&lt;&gt;"",TIME(HOUR(TRANSACTIONS!$A4997),MINUTE(TRANSACTIONS!$A4997),SECOND(TRANSACTIONS!$A4997)),"")</f>
        <v>0.62392361111111116</v>
      </c>
      <c r="D4997" s="82" t="s">
        <v>62</v>
      </c>
      <c r="E4997" s="82" t="s">
        <v>7</v>
      </c>
      <c r="F4997" s="88">
        <v>10000</v>
      </c>
      <c r="G4997" s="46"/>
      <c r="H4997" s="46">
        <f>IFERROR(TRANSACTIONS!$F4997+TRANSACTIONS!$G4997,"")</f>
        <v>10000</v>
      </c>
      <c r="I4997" s="40" t="s">
        <v>41</v>
      </c>
    </row>
    <row r="4998" spans="1:11" x14ac:dyDescent="0.25">
      <c r="A4998" s="41">
        <v>45382.624034490742</v>
      </c>
      <c r="B4998" s="48">
        <f>IF(A4998&lt;&gt;"",DATE(YEAR(TRANSACTIONS!$A4998),MONTH(TRANSACTIONS!$A4998),DAY(TRANSACTIONS!$A4998)),"")</f>
        <v>45382</v>
      </c>
      <c r="C4998" s="49">
        <f>IF(A4998&lt;&gt;"",TIME(HOUR(TRANSACTIONS!$A4998),MINUTE(TRANSACTIONS!$A4998),SECOND(TRANSACTIONS!$A4998)),"")</f>
        <v>0.62403935185185189</v>
      </c>
      <c r="D4998" s="82" t="s">
        <v>62</v>
      </c>
      <c r="E4998" s="82" t="s">
        <v>7</v>
      </c>
      <c r="F4998" s="88">
        <v>500</v>
      </c>
      <c r="G4998" s="46"/>
      <c r="H4998" s="46">
        <f>IFERROR(TRANSACTIONS!$F4998+TRANSACTIONS!$G4998,"")</f>
        <v>500</v>
      </c>
      <c r="I4998" s="40" t="s">
        <v>41</v>
      </c>
    </row>
    <row r="4999" spans="1:11" x14ac:dyDescent="0.25">
      <c r="A4999" s="41">
        <v>45382.628774884259</v>
      </c>
      <c r="B4999" s="48">
        <f>IF(A4999&lt;&gt;"",DATE(YEAR(TRANSACTIONS!$A4999),MONTH(TRANSACTIONS!$A4999),DAY(TRANSACTIONS!$A4999)),"")</f>
        <v>45382</v>
      </c>
      <c r="C4999" s="49">
        <f>IF(A4999&lt;&gt;"",TIME(HOUR(TRANSACTIONS!$A4999),MINUTE(TRANSACTIONS!$A4999),SECOND(TRANSACTIONS!$A4999)),"")</f>
        <v>0.62877314814814811</v>
      </c>
      <c r="D4999" s="82" t="s">
        <v>62</v>
      </c>
      <c r="E4999" s="82" t="s">
        <v>7</v>
      </c>
      <c r="F4999" s="88">
        <v>10000</v>
      </c>
      <c r="G4999" s="46"/>
      <c r="H4999" s="46">
        <f>IFERROR(TRANSACTIONS!$F4999+TRANSACTIONS!$G4999,"")</f>
        <v>10000</v>
      </c>
      <c r="I4999" s="40" t="s">
        <v>41</v>
      </c>
    </row>
    <row r="5000" spans="1:11" x14ac:dyDescent="0.25">
      <c r="A5000" s="41">
        <v>45382.628794444441</v>
      </c>
      <c r="B5000" s="48">
        <f>IF(A5000&lt;&gt;"",DATE(YEAR(TRANSACTIONS!$A5000),MONTH(TRANSACTIONS!$A5000),DAY(TRANSACTIONS!$A5000)),"")</f>
        <v>45382</v>
      </c>
      <c r="C5000" s="49">
        <f>IF(A5000&lt;&gt;"",TIME(HOUR(TRANSACTIONS!$A5000),MINUTE(TRANSACTIONS!$A5000),SECOND(TRANSACTIONS!$A5000)),"")</f>
        <v>0.6287962962962963</v>
      </c>
      <c r="D5000" s="82" t="s">
        <v>62</v>
      </c>
      <c r="E5000" s="82" t="s">
        <v>7</v>
      </c>
      <c r="F5000" s="88">
        <v>10000</v>
      </c>
      <c r="G5000" s="46"/>
      <c r="H5000" s="46">
        <f>IFERROR(TRANSACTIONS!$F5000+TRANSACTIONS!$G5000,"")</f>
        <v>10000</v>
      </c>
      <c r="I5000" s="40" t="s">
        <v>41</v>
      </c>
    </row>
    <row r="5001" spans="1:11" x14ac:dyDescent="0.25">
      <c r="A5001" s="113">
        <v>45382.629633449076</v>
      </c>
      <c r="B5001" s="114">
        <f>IF(A5001&lt;&gt;"",DATE(YEAR(TRANSACTIONS!$A5001),MONTH(TRANSACTIONS!$A5001),DAY(TRANSACTIONS!$A5001)),"")</f>
        <v>45382</v>
      </c>
      <c r="C5001" s="115">
        <f>IF(A5001&lt;&gt;"",TIME(HOUR(TRANSACTIONS!$A5001),MINUTE(TRANSACTIONS!$A5001),SECOND(TRANSACTIONS!$A5001)),"")</f>
        <v>0.62962962962962965</v>
      </c>
      <c r="D5001" s="116" t="s">
        <v>25</v>
      </c>
      <c r="E5001" s="116" t="s">
        <v>6</v>
      </c>
      <c r="F5001" s="118">
        <v>3000</v>
      </c>
      <c r="G5001" s="117"/>
      <c r="H5001" s="117">
        <f>IFERROR(TRANSACTIONS!$F5001+TRANSACTIONS!$G5001,"")</f>
        <v>3000</v>
      </c>
      <c r="I5001" s="118" t="s">
        <v>41</v>
      </c>
      <c r="J5001" s="118"/>
    </row>
    <row r="5002" spans="1:11" x14ac:dyDescent="0.25">
      <c r="A5002" s="41">
        <v>45382.671444791667</v>
      </c>
      <c r="B5002" s="48">
        <f>IF(A5002&lt;&gt;"",DATE(YEAR(TRANSACTIONS!$A5002),MONTH(TRANSACTIONS!$A5002),DAY(TRANSACTIONS!$A5002)),"")</f>
        <v>45382</v>
      </c>
      <c r="C5002" s="49">
        <f>IF(A5002&lt;&gt;"",TIME(HOUR(TRANSACTIONS!$A5002),MINUTE(TRANSACTIONS!$A5002),SECOND(TRANSACTIONS!$A5002)),"")</f>
        <v>0.67144675925925934</v>
      </c>
      <c r="D5002" s="82" t="s">
        <v>25</v>
      </c>
      <c r="E5002" s="82" t="s">
        <v>7</v>
      </c>
      <c r="F5002" s="88">
        <v>10000</v>
      </c>
      <c r="G5002" s="46"/>
      <c r="H5002" s="46">
        <f>IFERROR(TRANSACTIONS!$F5002+TRANSACTIONS!$G5002,"")</f>
        <v>10000</v>
      </c>
      <c r="I5002" s="40" t="s">
        <v>41</v>
      </c>
    </row>
    <row r="5003" spans="1:11" x14ac:dyDescent="0.25">
      <c r="A5003" s="41">
        <v>45382.67263090278</v>
      </c>
      <c r="B5003" s="48">
        <f>IF(A5003&lt;&gt;"",DATE(YEAR(TRANSACTIONS!$A5003),MONTH(TRANSACTIONS!$A5003),DAY(TRANSACTIONS!$A5003)),"")</f>
        <v>45382</v>
      </c>
      <c r="C5003" s="49">
        <f>IF(A5003&lt;&gt;"",TIME(HOUR(TRANSACTIONS!$A5003),MINUTE(TRANSACTIONS!$A5003),SECOND(TRANSACTIONS!$A5003)),"")</f>
        <v>0.67262731481481486</v>
      </c>
      <c r="D5003" s="82" t="s">
        <v>25</v>
      </c>
      <c r="E5003" s="82" t="s">
        <v>7</v>
      </c>
      <c r="F5003" s="88">
        <v>3000</v>
      </c>
      <c r="G5003" s="46"/>
      <c r="H5003" s="46">
        <f>IFERROR(TRANSACTIONS!$F5003+TRANSACTIONS!$G5003,"")</f>
        <v>3000</v>
      </c>
      <c r="I5003" s="40" t="s">
        <v>41</v>
      </c>
    </row>
    <row r="5004" spans="1:11" x14ac:dyDescent="0.25">
      <c r="A5004" s="41">
        <v>45382.672643749996</v>
      </c>
      <c r="B5004" s="48">
        <f>IF(A5004&lt;&gt;"",DATE(YEAR(TRANSACTIONS!$A5004),MONTH(TRANSACTIONS!$A5004),DAY(TRANSACTIONS!$A5004)),"")</f>
        <v>45382</v>
      </c>
      <c r="C5004" s="49">
        <f>IF(A5004&lt;&gt;"",TIME(HOUR(TRANSACTIONS!$A5004),MINUTE(TRANSACTIONS!$A5004),SECOND(TRANSACTIONS!$A5004)),"")</f>
        <v>0.6726388888888889</v>
      </c>
      <c r="D5004" s="82" t="s">
        <v>62</v>
      </c>
      <c r="E5004" s="82" t="s">
        <v>6</v>
      </c>
      <c r="F5004" s="88">
        <v>20000</v>
      </c>
      <c r="G5004" s="46"/>
      <c r="H5004" s="46">
        <f>IFERROR(TRANSACTIONS!$F5004+TRANSACTIONS!$G5004,"")</f>
        <v>20000</v>
      </c>
      <c r="I5004" s="40" t="s">
        <v>41</v>
      </c>
    </row>
    <row r="5005" spans="1:11" x14ac:dyDescent="0.25">
      <c r="A5005" s="81">
        <v>45382.67265763889</v>
      </c>
      <c r="B5005" s="83">
        <f>IF(A5005&lt;&gt;"",DATE(YEAR(TRANSACTIONS!$A5005),MONTH(TRANSACTIONS!$A5005),DAY(TRANSACTIONS!$A5005)),"")</f>
        <v>45382</v>
      </c>
      <c r="C5005" s="84">
        <f>IF(A5005&lt;&gt;"",TIME(HOUR(TRANSACTIONS!$A5005),MINUTE(TRANSACTIONS!$A5005),SECOND(TRANSACTIONS!$A5005)),"")</f>
        <v>0.67266203703703698</v>
      </c>
      <c r="D5005" s="82" t="s">
        <v>62</v>
      </c>
      <c r="E5005" s="82" t="s">
        <v>6</v>
      </c>
      <c r="F5005" s="88">
        <v>14500</v>
      </c>
      <c r="G5005" s="86"/>
      <c r="H5005" s="86">
        <f>IFERROR(TRANSACTIONS!$F5005+TRANSACTIONS!$G5005,"")</f>
        <v>14500</v>
      </c>
      <c r="I5005" s="88" t="s">
        <v>41</v>
      </c>
      <c r="J5005" s="88"/>
      <c r="K5005" s="88"/>
    </row>
    <row r="5006" spans="1:11" x14ac:dyDescent="0.25">
      <c r="A5006" s="81">
        <v>45382.672670138891</v>
      </c>
      <c r="B5006" s="83">
        <f>IF(A5006&lt;&gt;"",DATE(YEAR(TRANSACTIONS!$A5006),MONTH(TRANSACTIONS!$A5006),DAY(TRANSACTIONS!$A5006)),"")</f>
        <v>45382</v>
      </c>
      <c r="C5006" s="84">
        <f>IF(A5006&lt;&gt;"",TIME(HOUR(TRANSACTIONS!$A5006),MINUTE(TRANSACTIONS!$A5006),SECOND(TRANSACTIONS!$A5006)),"")</f>
        <v>0.67267361111111112</v>
      </c>
      <c r="D5006" s="82" t="s">
        <v>62</v>
      </c>
      <c r="E5006" s="82" t="s">
        <v>6</v>
      </c>
      <c r="F5006" s="88">
        <v>1000</v>
      </c>
      <c r="G5006" s="86"/>
      <c r="H5006" s="86">
        <f>IFERROR(TRANSACTIONS!$F5006+TRANSACTIONS!$G5006,"")</f>
        <v>1000</v>
      </c>
      <c r="I5006" s="88" t="s">
        <v>41</v>
      </c>
      <c r="J5006" s="88"/>
      <c r="K5006" s="88"/>
    </row>
    <row r="5007" spans="1:11" x14ac:dyDescent="0.25">
      <c r="A5007" s="81">
        <v>45382.672677199072</v>
      </c>
      <c r="B5007" s="83">
        <f>IF(A5007&lt;&gt;"",DATE(YEAR(TRANSACTIONS!$A5007),MONTH(TRANSACTIONS!$A5007),DAY(TRANSACTIONS!$A5007)),"")</f>
        <v>45382</v>
      </c>
      <c r="C5007" s="84">
        <f>IF(A5007&lt;&gt;"",TIME(HOUR(TRANSACTIONS!$A5007),MINUTE(TRANSACTIONS!$A5007),SECOND(TRANSACTIONS!$A5007)),"")</f>
        <v>0.67267361111111112</v>
      </c>
      <c r="D5007" s="82" t="s">
        <v>62</v>
      </c>
      <c r="E5007" s="82" t="s">
        <v>7</v>
      </c>
      <c r="F5007" s="88">
        <v>30000</v>
      </c>
      <c r="G5007" s="86"/>
      <c r="H5007" s="86">
        <f>IFERROR(TRANSACTIONS!$F5007+TRANSACTIONS!$G5007,"")</f>
        <v>30000</v>
      </c>
      <c r="I5007" s="88" t="s">
        <v>41</v>
      </c>
      <c r="J5007" s="88"/>
      <c r="K5007" s="88"/>
    </row>
    <row r="5008" spans="1:11" x14ac:dyDescent="0.25">
      <c r="A5008" s="41">
        <v>45382.672692824075</v>
      </c>
      <c r="B5008" s="48">
        <f>IF(A5008&lt;&gt;"",DATE(YEAR(TRANSACTIONS!$A5008),MONTH(TRANSACTIONS!$A5008),DAY(TRANSACTIONS!$A5008)),"")</f>
        <v>45382</v>
      </c>
      <c r="C5008" s="49">
        <f>IF(A5008&lt;&gt;"",TIME(HOUR(TRANSACTIONS!$A5008),MINUTE(TRANSACTIONS!$A5008),SECOND(TRANSACTIONS!$A5008)),"")</f>
        <v>0.6726967592592592</v>
      </c>
      <c r="D5008" s="82" t="s">
        <v>62</v>
      </c>
      <c r="E5008" s="82" t="s">
        <v>6</v>
      </c>
      <c r="F5008" s="88">
        <v>5000</v>
      </c>
      <c r="G5008" s="86"/>
      <c r="H5008" s="86">
        <f>IFERROR(TRANSACTIONS!$F5008+TRANSACTIONS!$G5008,"")</f>
        <v>5000</v>
      </c>
      <c r="I5008" s="88" t="s">
        <v>41</v>
      </c>
      <c r="J5008" s="88"/>
      <c r="K5008" s="88"/>
    </row>
    <row r="5009" spans="1:11" x14ac:dyDescent="0.25">
      <c r="A5009" s="41">
        <v>45382.672707754631</v>
      </c>
      <c r="B5009" s="48">
        <f>IF(A5009&lt;&gt;"",DATE(YEAR(TRANSACTIONS!$A5009),MONTH(TRANSACTIONS!$A5009),DAY(TRANSACTIONS!$A5009)),"")</f>
        <v>45382</v>
      </c>
      <c r="C5009" s="49">
        <f>IF(A5009&lt;&gt;"",TIME(HOUR(TRANSACTIONS!$A5009),MINUTE(TRANSACTIONS!$A5009),SECOND(TRANSACTIONS!$A5009)),"")</f>
        <v>0.67270833333333335</v>
      </c>
      <c r="D5009" s="82" t="s">
        <v>62</v>
      </c>
      <c r="E5009" s="82" t="s">
        <v>7</v>
      </c>
      <c r="F5009" s="88">
        <v>5000</v>
      </c>
      <c r="G5009" s="86"/>
      <c r="H5009" s="86">
        <f>IFERROR(TRANSACTIONS!$F5009+TRANSACTIONS!$G5009,"")</f>
        <v>5000</v>
      </c>
      <c r="I5009" s="88" t="s">
        <v>41</v>
      </c>
      <c r="J5009" s="88"/>
      <c r="K5009" s="88"/>
    </row>
    <row r="5010" spans="1:11" x14ac:dyDescent="0.25">
      <c r="A5010" s="41">
        <v>45382.674197222223</v>
      </c>
      <c r="B5010" s="48">
        <f>IF(A5010&lt;&gt;"",DATE(YEAR(TRANSACTIONS!$A5010),MONTH(TRANSACTIONS!$A5010),DAY(TRANSACTIONS!$A5010)),"")</f>
        <v>45382</v>
      </c>
      <c r="C5010" s="49">
        <f>IF(A5010&lt;&gt;"",TIME(HOUR(TRANSACTIONS!$A5010),MINUTE(TRANSACTIONS!$A5010),SECOND(TRANSACTIONS!$A5010)),"")</f>
        <v>0.67420138888888881</v>
      </c>
      <c r="D5010" s="82" t="s">
        <v>62</v>
      </c>
      <c r="E5010" s="82" t="s">
        <v>6</v>
      </c>
      <c r="F5010" s="88">
        <v>8000</v>
      </c>
      <c r="G5010" s="86"/>
      <c r="H5010" s="86">
        <f>IFERROR(TRANSACTIONS!$F5010+TRANSACTIONS!$G5010,"")</f>
        <v>8000</v>
      </c>
      <c r="I5010" s="88" t="s">
        <v>41</v>
      </c>
      <c r="J5010" s="88"/>
      <c r="K5010" s="88"/>
    </row>
    <row r="5011" spans="1:11" x14ac:dyDescent="0.25">
      <c r="A5011" s="113">
        <v>45382.674209375</v>
      </c>
      <c r="B5011" s="114">
        <f>IF(A5011&lt;&gt;"",DATE(YEAR(TRANSACTIONS!$A5011),MONTH(TRANSACTIONS!$A5011),DAY(TRANSACTIONS!$A5011)),"")</f>
        <v>45382</v>
      </c>
      <c r="C5011" s="115">
        <f>IF(A5011&lt;&gt;"",TIME(HOUR(TRANSACTIONS!$A5011),MINUTE(TRANSACTIONS!$A5011),SECOND(TRANSACTIONS!$A5011)),"")</f>
        <v>0.67421296296296296</v>
      </c>
      <c r="D5011" s="82" t="s">
        <v>62</v>
      </c>
      <c r="E5011" s="82" t="s">
        <v>6</v>
      </c>
      <c r="F5011" s="88">
        <v>8000</v>
      </c>
      <c r="G5011" s="86"/>
      <c r="H5011" s="86">
        <f>IFERROR(TRANSACTIONS!$F5011+TRANSACTIONS!$G5011,"")</f>
        <v>8000</v>
      </c>
      <c r="I5011" s="88" t="s">
        <v>41</v>
      </c>
      <c r="J5011" s="88"/>
      <c r="K5011" s="88"/>
    </row>
    <row r="5012" spans="1:11" x14ac:dyDescent="0.25">
      <c r="A5012" s="41">
        <v>45382.674257754632</v>
      </c>
      <c r="B5012" s="48">
        <f>IF(A5012&lt;&gt;"",DATE(YEAR(TRANSACTIONS!$A5012),MONTH(TRANSACTIONS!$A5012),DAY(TRANSACTIONS!$A5012)),"")</f>
        <v>45382</v>
      </c>
      <c r="C5012" s="49">
        <f>IF(A5012&lt;&gt;"",TIME(HOUR(TRANSACTIONS!$A5012),MINUTE(TRANSACTIONS!$A5012),SECOND(TRANSACTIONS!$A5012)),"")</f>
        <v>0.67425925925925922</v>
      </c>
      <c r="D5012" s="82" t="s">
        <v>62</v>
      </c>
      <c r="E5012" s="82" t="s">
        <v>7</v>
      </c>
      <c r="F5012" s="88">
        <v>5000</v>
      </c>
      <c r="G5012" s="46"/>
      <c r="H5012" s="46">
        <f>IFERROR(TRANSACTIONS!$F5012+TRANSACTIONS!$G5012,"")</f>
        <v>5000</v>
      </c>
      <c r="I5012" s="40" t="s">
        <v>41</v>
      </c>
    </row>
    <row r="5013" spans="1:11" x14ac:dyDescent="0.25">
      <c r="A5013" s="41">
        <v>45382.674271759257</v>
      </c>
      <c r="B5013" s="48">
        <f>IF(A5013&lt;&gt;"",DATE(YEAR(TRANSACTIONS!$A5013),MONTH(TRANSACTIONS!$A5013),DAY(TRANSACTIONS!$A5013)),"")</f>
        <v>45382</v>
      </c>
      <c r="C5013" s="49">
        <f>IF(A5013&lt;&gt;"",TIME(HOUR(TRANSACTIONS!$A5013),MINUTE(TRANSACTIONS!$A5013),SECOND(TRANSACTIONS!$A5013)),"")</f>
        <v>0.67427083333333337</v>
      </c>
      <c r="D5013" s="82" t="s">
        <v>62</v>
      </c>
      <c r="E5013" s="82" t="s">
        <v>7</v>
      </c>
      <c r="F5013" s="88">
        <v>5000</v>
      </c>
      <c r="G5013" s="46"/>
      <c r="H5013" s="46">
        <f>IFERROR(TRANSACTIONS!$F5013+TRANSACTIONS!$G5013,"")</f>
        <v>5000</v>
      </c>
      <c r="I5013" s="40" t="s">
        <v>41</v>
      </c>
    </row>
    <row r="5014" spans="1:11" x14ac:dyDescent="0.25">
      <c r="A5014" s="41">
        <v>45382.674290393516</v>
      </c>
      <c r="B5014" s="48">
        <f>IF(A5014&lt;&gt;"",DATE(YEAR(TRANSACTIONS!$A5014),MONTH(TRANSACTIONS!$A5014),DAY(TRANSACTIONS!$A5014)),"")</f>
        <v>45382</v>
      </c>
      <c r="C5014" s="49">
        <f>IF(A5014&lt;&gt;"",TIME(HOUR(TRANSACTIONS!$A5014),MINUTE(TRANSACTIONS!$A5014),SECOND(TRANSACTIONS!$A5014)),"")</f>
        <v>0.67429398148148145</v>
      </c>
      <c r="D5014" s="82" t="s">
        <v>62</v>
      </c>
      <c r="E5014" s="82" t="s">
        <v>6</v>
      </c>
      <c r="F5014" s="88">
        <v>8000</v>
      </c>
      <c r="G5014" s="46"/>
      <c r="H5014" s="46">
        <f>IFERROR(TRANSACTIONS!$F5014+TRANSACTIONS!$G5014,"")</f>
        <v>8000</v>
      </c>
      <c r="I5014" s="40" t="s">
        <v>41</v>
      </c>
    </row>
    <row r="5015" spans="1:11" x14ac:dyDescent="0.25">
      <c r="A5015" s="41">
        <v>45382.679917592592</v>
      </c>
      <c r="B5015" s="48">
        <f>IF(A5015&lt;&gt;"",DATE(YEAR(TRANSACTIONS!$A5015),MONTH(TRANSACTIONS!$A5015),DAY(TRANSACTIONS!$A5015)),"")</f>
        <v>45382</v>
      </c>
      <c r="C5015" s="49">
        <f>IF(A5015&lt;&gt;"",TIME(HOUR(TRANSACTIONS!$A5015),MINUTE(TRANSACTIONS!$A5015),SECOND(TRANSACTIONS!$A5015)),"")</f>
        <v>0.67991898148148155</v>
      </c>
      <c r="D5015" s="82" t="s">
        <v>62</v>
      </c>
      <c r="E5015" s="82" t="s">
        <v>7</v>
      </c>
      <c r="F5015" s="88">
        <v>20200</v>
      </c>
      <c r="G5015" s="46"/>
      <c r="H5015" s="46">
        <f>IFERROR(TRANSACTIONS!$F5015+TRANSACTIONS!$G5015,"")</f>
        <v>20200</v>
      </c>
      <c r="I5015" s="40" t="s">
        <v>41</v>
      </c>
    </row>
    <row r="5016" spans="1:11" x14ac:dyDescent="0.25">
      <c r="A5016" s="41">
        <v>45382.690443865744</v>
      </c>
      <c r="B5016" s="48">
        <f>IF(A5016&lt;&gt;"",DATE(YEAR(TRANSACTIONS!$A5016),MONTH(TRANSACTIONS!$A5016),DAY(TRANSACTIONS!$A5016)),"")</f>
        <v>45382</v>
      </c>
      <c r="C5016" s="49">
        <f>IF(A5016&lt;&gt;"",TIME(HOUR(TRANSACTIONS!$A5016),MINUTE(TRANSACTIONS!$A5016),SECOND(TRANSACTIONS!$A5016)),"")</f>
        <v>0.69043981481481476</v>
      </c>
      <c r="D5016" s="82" t="s">
        <v>62</v>
      </c>
      <c r="E5016" s="82" t="s">
        <v>6</v>
      </c>
      <c r="F5016" s="88">
        <v>19470</v>
      </c>
      <c r="G5016" s="46"/>
      <c r="H5016" s="46">
        <f>IFERROR(TRANSACTIONS!$F5016+TRANSACTIONS!$G5016,"")</f>
        <v>19470</v>
      </c>
      <c r="I5016" s="40" t="s">
        <v>41</v>
      </c>
    </row>
    <row r="5017" spans="1:11" x14ac:dyDescent="0.25">
      <c r="A5017" s="41">
        <v>45382.690453240742</v>
      </c>
      <c r="B5017" s="48">
        <f>IF(A5017&lt;&gt;"",DATE(YEAR(TRANSACTIONS!$A5017),MONTH(TRANSACTIONS!$A5017),DAY(TRANSACTIONS!$A5017)),"")</f>
        <v>45382</v>
      </c>
      <c r="C5017" s="49">
        <f>IF(A5017&lt;&gt;"",TIME(HOUR(TRANSACTIONS!$A5017),MINUTE(TRANSACTIONS!$A5017),SECOND(TRANSACTIONS!$A5017)),"")</f>
        <v>0.69045138888888891</v>
      </c>
      <c r="D5017" s="82" t="s">
        <v>62</v>
      </c>
      <c r="E5017" s="82" t="s">
        <v>7</v>
      </c>
      <c r="F5017" s="88">
        <v>50000</v>
      </c>
      <c r="G5017" s="46"/>
      <c r="H5017" s="46">
        <f>IFERROR(TRANSACTIONS!$F5017+TRANSACTIONS!$G5017,"")</f>
        <v>50000</v>
      </c>
      <c r="I5017" s="40" t="s">
        <v>41</v>
      </c>
    </row>
    <row r="5018" spans="1:11" x14ac:dyDescent="0.25">
      <c r="A5018" s="41">
        <v>45382.69050034722</v>
      </c>
      <c r="B5018" s="48">
        <f>IF(A5018&lt;&gt;"",DATE(YEAR(TRANSACTIONS!$A5018),MONTH(TRANSACTIONS!$A5018),DAY(TRANSACTIONS!$A5018)),"")</f>
        <v>45382</v>
      </c>
      <c r="C5018" s="49">
        <f>IF(A5018&lt;&gt;"",TIME(HOUR(TRANSACTIONS!$A5018),MINUTE(TRANSACTIONS!$A5018),SECOND(TRANSACTIONS!$A5018)),"")</f>
        <v>0.69049768518518517</v>
      </c>
      <c r="D5018" s="82" t="s">
        <v>62</v>
      </c>
      <c r="E5018" s="82" t="s">
        <v>7</v>
      </c>
      <c r="F5018" s="88">
        <v>450000</v>
      </c>
      <c r="G5018" s="46"/>
      <c r="H5018" s="46">
        <f>IFERROR(TRANSACTIONS!$F5018+TRANSACTIONS!$G5018,"")</f>
        <v>450000</v>
      </c>
      <c r="I5018" s="40" t="s">
        <v>41</v>
      </c>
    </row>
    <row r="5019" spans="1:11" x14ac:dyDescent="0.25">
      <c r="A5019" s="41">
        <v>45382.695245833333</v>
      </c>
      <c r="B5019" s="48">
        <f>IF(A5019&lt;&gt;"",DATE(YEAR(TRANSACTIONS!$A5019),MONTH(TRANSACTIONS!$A5019),DAY(TRANSACTIONS!$A5019)),"")</f>
        <v>45382</v>
      </c>
      <c r="C5019" s="49">
        <f>IF(A5019&lt;&gt;"",TIME(HOUR(TRANSACTIONS!$A5019),MINUTE(TRANSACTIONS!$A5019),SECOND(TRANSACTIONS!$A5019)),"")</f>
        <v>0.69524305555555566</v>
      </c>
      <c r="D5019" s="82" t="s">
        <v>64</v>
      </c>
      <c r="E5019" s="82" t="s">
        <v>6</v>
      </c>
      <c r="F5019" s="118">
        <v>690000</v>
      </c>
      <c r="G5019" s="46"/>
      <c r="H5019" s="46">
        <f>IFERROR(TRANSACTIONS!$F5019+TRANSACTIONS!$G5019,"")</f>
        <v>690000</v>
      </c>
      <c r="I5019" s="40" t="s">
        <v>41</v>
      </c>
    </row>
    <row r="5020" spans="1:11" x14ac:dyDescent="0.25">
      <c r="A5020" s="71">
        <v>45382.696886458332</v>
      </c>
      <c r="B5020" s="73">
        <f>IF(A5020&lt;&gt;"",DATE(YEAR(TRANSACTIONS!$A5020),MONTH(TRANSACTIONS!$A5020),DAY(TRANSACTIONS!$A5020)),"")</f>
        <v>45382</v>
      </c>
      <c r="C5020" s="74">
        <f>IF(A5020&lt;&gt;"",TIME(HOUR(TRANSACTIONS!$A5020),MINUTE(TRANSACTIONS!$A5020),SECOND(TRANSACTIONS!$A5020)),"")</f>
        <v>0.69688657407407406</v>
      </c>
      <c r="D5020" s="72" t="s">
        <v>72</v>
      </c>
      <c r="E5020" s="72" t="s">
        <v>7</v>
      </c>
      <c r="F5020" s="76">
        <v>750000</v>
      </c>
      <c r="G5020" s="75"/>
      <c r="H5020" s="75">
        <f>IFERROR(TRANSACTIONS!$F5020+TRANSACTIONS!$G5020,"")</f>
        <v>750000</v>
      </c>
      <c r="I5020" s="76" t="s">
        <v>41</v>
      </c>
    </row>
    <row r="5021" spans="1:11" x14ac:dyDescent="0.25">
      <c r="A5021" s="71"/>
      <c r="B5021" s="73" t="str">
        <f>IF(A5021&lt;&gt;"",DATE(YEAR(TRANSACTIONS!$A5021),MONTH(TRANSACTIONS!$A5021),DAY(TRANSACTIONS!$A5021)),"")</f>
        <v/>
      </c>
      <c r="C5021" s="74" t="str">
        <f>IF(A5021&lt;&gt;"",TIME(HOUR(TRANSACTIONS!$A5021),MINUTE(TRANSACTIONS!$A5021),SECOND(TRANSACTIONS!$A5021)),"")</f>
        <v/>
      </c>
      <c r="D5021" s="72"/>
      <c r="E5021" s="72"/>
      <c r="F5021" s="76"/>
      <c r="G5021" s="75"/>
      <c r="H5021" s="75">
        <f>IFERROR(TRANSACTIONS!$F5021+TRANSACTIONS!$G5021,"")</f>
        <v>0</v>
      </c>
      <c r="I5021" s="76" t="s">
        <v>41</v>
      </c>
    </row>
    <row r="5022" spans="1:11" x14ac:dyDescent="0.25">
      <c r="A5022" s="71">
        <v>45383.408355902779</v>
      </c>
      <c r="B5022" s="73">
        <f>IF(A5022&lt;&gt;"",DATE(YEAR(TRANSACTIONS!$A5022),MONTH(TRANSACTIONS!$A5022),DAY(TRANSACTIONS!$A5022)),"")</f>
        <v>45383</v>
      </c>
      <c r="C5022" s="74">
        <f>IF(A5022&lt;&gt;"",TIME(HOUR(TRANSACTIONS!$A5022),MINUTE(TRANSACTIONS!$A5022),SECOND(TRANSACTIONS!$A5022)),"")</f>
        <v>0.40835648148148151</v>
      </c>
      <c r="D5022" s="72" t="s">
        <v>62</v>
      </c>
      <c r="E5022" s="72" t="s">
        <v>7</v>
      </c>
      <c r="F5022" s="76">
        <v>5000</v>
      </c>
      <c r="G5022" s="75"/>
      <c r="H5022" s="75">
        <f>IFERROR(TRANSACTIONS!$F5022+TRANSACTIONS!$G5022,"")</f>
        <v>5000</v>
      </c>
      <c r="I5022" s="76" t="s">
        <v>41</v>
      </c>
    </row>
    <row r="5023" spans="1:11" x14ac:dyDescent="0.25">
      <c r="A5023" s="41">
        <v>45383.40832962963</v>
      </c>
      <c r="B5023" s="48">
        <f>IF(A5023&lt;&gt;"",DATE(YEAR(TRANSACTIONS!$A5023),MONTH(TRANSACTIONS!$A5023),DAY(TRANSACTIONS!$A5023)),"")</f>
        <v>45383</v>
      </c>
      <c r="C5023" s="49">
        <f>IF(A5023&lt;&gt;"",TIME(HOUR(TRANSACTIONS!$A5023),MINUTE(TRANSACTIONS!$A5023),SECOND(TRANSACTIONS!$A5023)),"")</f>
        <v>0.40833333333333338</v>
      </c>
      <c r="D5023" s="82" t="s">
        <v>62</v>
      </c>
      <c r="E5023" s="82" t="s">
        <v>6</v>
      </c>
      <c r="F5023" s="88">
        <v>3000</v>
      </c>
      <c r="G5023" s="46"/>
      <c r="H5023" s="46">
        <f>IFERROR(TRANSACTIONS!$F5023+TRANSACTIONS!$G5023,"")</f>
        <v>3000</v>
      </c>
      <c r="I5023" s="40" t="s">
        <v>41</v>
      </c>
    </row>
    <row r="5024" spans="1:11" x14ac:dyDescent="0.25">
      <c r="A5024" s="41">
        <v>45383.408371296297</v>
      </c>
      <c r="B5024" s="48">
        <f>IF(A5024&lt;&gt;"",DATE(YEAR(TRANSACTIONS!$A5024),MONTH(TRANSACTIONS!$A5024),DAY(TRANSACTIONS!$A5024)),"")</f>
        <v>45383</v>
      </c>
      <c r="C5024" s="49">
        <f>IF(A5024&lt;&gt;"",TIME(HOUR(TRANSACTIONS!$A5024),MINUTE(TRANSACTIONS!$A5024),SECOND(TRANSACTIONS!$A5024)),"")</f>
        <v>0.40836805555555555</v>
      </c>
      <c r="D5024" s="82" t="s">
        <v>62</v>
      </c>
      <c r="E5024" s="82" t="s">
        <v>7</v>
      </c>
      <c r="F5024" s="88">
        <v>5000</v>
      </c>
      <c r="G5024" s="46"/>
      <c r="H5024" s="46">
        <f>IFERROR(TRANSACTIONS!$F5024+TRANSACTIONS!$G5024,"")</f>
        <v>5000</v>
      </c>
      <c r="I5024" s="40" t="s">
        <v>41</v>
      </c>
    </row>
    <row r="5025" spans="1:9" x14ac:dyDescent="0.25">
      <c r="A5025" s="41">
        <v>45383.40838645833</v>
      </c>
      <c r="B5025" s="48">
        <f>IF(A5025&lt;&gt;"",DATE(YEAR(TRANSACTIONS!$A5025),MONTH(TRANSACTIONS!$A5025),DAY(TRANSACTIONS!$A5025)),"")</f>
        <v>45383</v>
      </c>
      <c r="C5025" s="49">
        <f>IF(A5025&lt;&gt;"",TIME(HOUR(TRANSACTIONS!$A5025),MINUTE(TRANSACTIONS!$A5025),SECOND(TRANSACTIONS!$A5025)),"")</f>
        <v>0.40839120370370369</v>
      </c>
      <c r="D5025" s="82" t="s">
        <v>62</v>
      </c>
      <c r="E5025" s="82" t="s">
        <v>7</v>
      </c>
      <c r="F5025" s="88">
        <v>10000</v>
      </c>
      <c r="G5025" s="46"/>
      <c r="H5025" s="46">
        <f>IFERROR(TRANSACTIONS!$F5025+TRANSACTIONS!$G5025,"")</f>
        <v>10000</v>
      </c>
      <c r="I5025" s="40" t="s">
        <v>41</v>
      </c>
    </row>
    <row r="5026" spans="1:9" x14ac:dyDescent="0.25">
      <c r="A5026" s="41">
        <v>45383.408393981481</v>
      </c>
      <c r="B5026" s="48">
        <f>IF(A5026&lt;&gt;"",DATE(YEAR(TRANSACTIONS!$A5026),MONTH(TRANSACTIONS!$A5026),DAY(TRANSACTIONS!$A5026)),"")</f>
        <v>45383</v>
      </c>
      <c r="C5026" s="49">
        <f>IF(A5026&lt;&gt;"",TIME(HOUR(TRANSACTIONS!$A5026),MINUTE(TRANSACTIONS!$A5026),SECOND(TRANSACTIONS!$A5026)),"")</f>
        <v>0.40839120370370369</v>
      </c>
      <c r="D5026" s="82" t="s">
        <v>62</v>
      </c>
      <c r="E5026" s="82" t="s">
        <v>7</v>
      </c>
      <c r="F5026" s="88">
        <v>2000</v>
      </c>
      <c r="G5026" s="46"/>
      <c r="H5026" s="46">
        <f>IFERROR(TRANSACTIONS!$F5026+TRANSACTIONS!$G5026,"")</f>
        <v>2000</v>
      </c>
      <c r="I5026" s="40" t="s">
        <v>41</v>
      </c>
    </row>
    <row r="5027" spans="1:9" x14ac:dyDescent="0.25">
      <c r="A5027" s="41">
        <v>45383.408401620371</v>
      </c>
      <c r="B5027" s="48">
        <f>IF(A5027&lt;&gt;"",DATE(YEAR(TRANSACTIONS!$A5027),MONTH(TRANSACTIONS!$A5027),DAY(TRANSACTIONS!$A5027)),"")</f>
        <v>45383</v>
      </c>
      <c r="C5027" s="49">
        <f>IF(A5027&lt;&gt;"",TIME(HOUR(TRANSACTIONS!$A5027),MINUTE(TRANSACTIONS!$A5027),SECOND(TRANSACTIONS!$A5027)),"")</f>
        <v>0.40840277777777773</v>
      </c>
      <c r="D5027" s="82" t="s">
        <v>25</v>
      </c>
      <c r="E5027" s="82" t="s">
        <v>7</v>
      </c>
      <c r="F5027" s="88">
        <v>100000</v>
      </c>
      <c r="G5027" s="46"/>
      <c r="H5027" s="46">
        <f>IFERROR(TRANSACTIONS!$F5027+TRANSACTIONS!$G5027,"")</f>
        <v>100000</v>
      </c>
      <c r="I5027" s="40" t="s">
        <v>41</v>
      </c>
    </row>
    <row r="5028" spans="1:9" x14ac:dyDescent="0.25">
      <c r="A5028" s="41">
        <v>45383.408409374999</v>
      </c>
      <c r="B5028" s="48">
        <f>IF(A5028&lt;&gt;"",DATE(YEAR(TRANSACTIONS!$A5028),MONTH(TRANSACTIONS!$A5028),DAY(TRANSACTIONS!$A5028)),"")</f>
        <v>45383</v>
      </c>
      <c r="C5028" s="49">
        <f>IF(A5028&lt;&gt;"",TIME(HOUR(TRANSACTIONS!$A5028),MINUTE(TRANSACTIONS!$A5028),SECOND(TRANSACTIONS!$A5028)),"")</f>
        <v>0.40841435185185188</v>
      </c>
      <c r="D5028" s="82" t="s">
        <v>25</v>
      </c>
      <c r="E5028" s="82" t="s">
        <v>7</v>
      </c>
      <c r="F5028" s="88">
        <v>15000</v>
      </c>
      <c r="G5028" s="46"/>
      <c r="H5028" s="46">
        <f>IFERROR(TRANSACTIONS!$F5028+TRANSACTIONS!$G5028,"")</f>
        <v>15000</v>
      </c>
      <c r="I5028" s="40" t="s">
        <v>41</v>
      </c>
    </row>
    <row r="5029" spans="1:9" x14ac:dyDescent="0.25">
      <c r="A5029" s="41">
        <v>45383.408417013889</v>
      </c>
      <c r="B5029" s="48">
        <f>IF(A5029&lt;&gt;"",DATE(YEAR(TRANSACTIONS!$A5029),MONTH(TRANSACTIONS!$A5029),DAY(TRANSACTIONS!$A5029)),"")</f>
        <v>45383</v>
      </c>
      <c r="C5029" s="49">
        <f>IF(A5029&lt;&gt;"",TIME(HOUR(TRANSACTIONS!$A5029),MINUTE(TRANSACTIONS!$A5029),SECOND(TRANSACTIONS!$A5029)),"")</f>
        <v>0.40841435185185188</v>
      </c>
      <c r="D5029" s="82" t="s">
        <v>25</v>
      </c>
      <c r="E5029" s="82" t="s">
        <v>6</v>
      </c>
      <c r="F5029" s="88">
        <v>1000</v>
      </c>
      <c r="G5029" s="46"/>
      <c r="H5029" s="46">
        <f>IFERROR(TRANSACTIONS!$F5029+TRANSACTIONS!$G5029,"")</f>
        <v>1000</v>
      </c>
      <c r="I5029" s="40" t="s">
        <v>41</v>
      </c>
    </row>
    <row r="5030" spans="1:9" x14ac:dyDescent="0.25">
      <c r="A5030" s="41">
        <v>45383.40842453704</v>
      </c>
      <c r="B5030" s="48">
        <f>IF(A5030&lt;&gt;"",DATE(YEAR(TRANSACTIONS!$A5030),MONTH(TRANSACTIONS!$A5030),DAY(TRANSACTIONS!$A5030)),"")</f>
        <v>45383</v>
      </c>
      <c r="C5030" s="49">
        <f>IF(A5030&lt;&gt;"",TIME(HOUR(TRANSACTIONS!$A5030),MINUTE(TRANSACTIONS!$A5030),SECOND(TRANSACTIONS!$A5030)),"")</f>
        <v>0.40842592592592591</v>
      </c>
      <c r="D5030" s="82" t="s">
        <v>25</v>
      </c>
      <c r="E5030" s="82" t="s">
        <v>7</v>
      </c>
      <c r="F5030" s="88">
        <v>350000</v>
      </c>
      <c r="G5030" s="46"/>
      <c r="H5030" s="46">
        <f>IFERROR(TRANSACTIONS!$F5030+TRANSACTIONS!$G5030,"")</f>
        <v>350000</v>
      </c>
      <c r="I5030" s="40" t="s">
        <v>41</v>
      </c>
    </row>
    <row r="5031" spans="1:9" x14ac:dyDescent="0.25">
      <c r="B5031" s="48">
        <f>IF(A5032&lt;&gt;"",DATE(YEAR(TRANSACTIONS!$A5032),MONTH(TRANSACTIONS!$A5032),DAY(TRANSACTIONS!$A5032)),"")</f>
        <v>45383</v>
      </c>
      <c r="C5031" s="49">
        <f>IF(A5032&lt;&gt;"",TIME(HOUR(TRANSACTIONS!$A5032),MINUTE(TRANSACTIONS!$A5032),SECOND(TRANSACTIONS!$A5032)),"")</f>
        <v>0.48266203703703708</v>
      </c>
      <c r="D5031" s="82" t="s">
        <v>25</v>
      </c>
      <c r="E5031" s="82" t="s">
        <v>6</v>
      </c>
      <c r="F5031" s="88">
        <v>2000</v>
      </c>
      <c r="G5031" s="46"/>
      <c r="H5031" s="46">
        <f>IFERROR(TRANSACTIONS!$F5031+TRANSACTIONS!$G5031,"")</f>
        <v>2000</v>
      </c>
      <c r="I5031" s="40" t="s">
        <v>41</v>
      </c>
    </row>
    <row r="5032" spans="1:9" x14ac:dyDescent="0.25">
      <c r="A5032" s="40">
        <v>45383.482662152775</v>
      </c>
      <c r="B5032" s="48" t="e">
        <f>IF(#REF!&lt;&gt;"",DATE(YEAR(TRANSACTIONS!#REF!),MONTH(TRANSACTIONS!#REF!),DAY(TRANSACTIONS!#REF!)),"")</f>
        <v>#REF!</v>
      </c>
      <c r="C5032" s="49" t="e">
        <f>IF(#REF!&lt;&gt;"",TIME(HOUR(TRANSACTIONS!#REF!),MINUTE(TRANSACTIONS!#REF!),SECOND(TRANSACTIONS!#REF!)),"")</f>
        <v>#REF!</v>
      </c>
      <c r="D5032" s="82"/>
      <c r="E5032" s="82"/>
      <c r="F5032" s="88"/>
      <c r="G5032" s="46"/>
      <c r="H5032" s="46">
        <f>IFERROR(TRANSACTIONS!$F5032+TRANSACTIONS!$G5032,"")</f>
        <v>0</v>
      </c>
      <c r="I5032" s="40" t="s">
        <v>41</v>
      </c>
    </row>
    <row r="5033" spans="1:9" x14ac:dyDescent="0.25">
      <c r="A5033" s="40">
        <v>45383.48409027778</v>
      </c>
      <c r="B5033" s="48">
        <f>IF(A5033&lt;&gt;"",DATE(YEAR(TRANSACTIONS!$A5033),MONTH(TRANSACTIONS!$A5033),DAY(TRANSACTIONS!$A5033)),"")</f>
        <v>45383</v>
      </c>
      <c r="C5033" s="49">
        <f>IF(A5033&lt;&gt;"",TIME(HOUR(TRANSACTIONS!$A5033),MINUTE(TRANSACTIONS!$A5033),SECOND(TRANSACTIONS!$A5033)),"")</f>
        <v>0.48408564814814814</v>
      </c>
      <c r="D5033" s="82" t="s">
        <v>62</v>
      </c>
      <c r="E5033" s="82" t="s">
        <v>6</v>
      </c>
      <c r="F5033" s="88">
        <v>1000</v>
      </c>
      <c r="G5033" s="46"/>
      <c r="H5033" s="46">
        <f>IFERROR(TRANSACTIONS!$F5033+TRANSACTIONS!$G5033,"")</f>
        <v>1000</v>
      </c>
      <c r="I5033" s="40" t="s">
        <v>41</v>
      </c>
    </row>
    <row r="5034" spans="1:9" x14ac:dyDescent="0.25">
      <c r="A5034" s="40">
        <v>45383.484114814812</v>
      </c>
      <c r="B5034" s="48">
        <f>IF(A5034&lt;&gt;"",DATE(YEAR(TRANSACTIONS!$A5034),MONTH(TRANSACTIONS!$A5034),DAY(TRANSACTIONS!$A5034)),"")</f>
        <v>45383</v>
      </c>
      <c r="C5034" s="49">
        <f>IF(A5034&lt;&gt;"",TIME(HOUR(TRANSACTIONS!$A5034),MINUTE(TRANSACTIONS!$A5034),SECOND(TRANSACTIONS!$A5034)),"")</f>
        <v>0.48412037037037042</v>
      </c>
      <c r="D5034" s="82" t="s">
        <v>62</v>
      </c>
      <c r="E5034" s="82" t="s">
        <v>6</v>
      </c>
      <c r="F5034" s="88">
        <v>19200</v>
      </c>
      <c r="G5034" s="46"/>
      <c r="H5034" s="46">
        <f>IFERROR(TRANSACTIONS!$F5034+TRANSACTIONS!$G5034,"")</f>
        <v>19200</v>
      </c>
      <c r="I5034" s="40" t="s">
        <v>41</v>
      </c>
    </row>
    <row r="5035" spans="1:9" x14ac:dyDescent="0.25">
      <c r="A5035" s="40">
        <v>45383.48413877315</v>
      </c>
      <c r="B5035" s="48">
        <f>IF(A5035&lt;&gt;"",DATE(YEAR(TRANSACTIONS!$A5035),MONTH(TRANSACTIONS!$A5035),DAY(TRANSACTIONS!$A5035)),"")</f>
        <v>45383</v>
      </c>
      <c r="C5035" s="49">
        <f>IF(A5035&lt;&gt;"",TIME(HOUR(TRANSACTIONS!$A5035),MINUTE(TRANSACTIONS!$A5035),SECOND(TRANSACTIONS!$A5035)),"")</f>
        <v>0.4841435185185185</v>
      </c>
      <c r="D5035" s="82" t="s">
        <v>62</v>
      </c>
      <c r="E5035" s="82" t="s">
        <v>7</v>
      </c>
      <c r="F5035" s="88">
        <v>1000</v>
      </c>
      <c r="G5035" s="46"/>
      <c r="H5035" s="46">
        <f>IFERROR(TRANSACTIONS!$F5035+TRANSACTIONS!$G5035,"")</f>
        <v>1000</v>
      </c>
      <c r="I5035" s="40" t="s">
        <v>41</v>
      </c>
    </row>
    <row r="5036" spans="1:9" x14ac:dyDescent="0.25">
      <c r="A5036" s="40">
        <v>45383.484123842594</v>
      </c>
      <c r="B5036" s="48">
        <f>IF(A5036&lt;&gt;"",DATE(YEAR(TRANSACTIONS!$A5036),MONTH(TRANSACTIONS!$A5036),DAY(TRANSACTIONS!$A5036)),"")</f>
        <v>45383</v>
      </c>
      <c r="C5036" s="49">
        <f>IF(A5036&lt;&gt;"",TIME(HOUR(TRANSACTIONS!$A5036),MINUTE(TRANSACTIONS!$A5036),SECOND(TRANSACTIONS!$A5036)),"")</f>
        <v>0.48412037037037042</v>
      </c>
      <c r="D5036" s="82" t="s">
        <v>62</v>
      </c>
      <c r="E5036" s="82" t="s">
        <v>7</v>
      </c>
      <c r="F5036" s="88">
        <v>20000</v>
      </c>
      <c r="G5036" s="46"/>
      <c r="H5036" s="46">
        <f>IFERROR(TRANSACTIONS!$F5036+TRANSACTIONS!$G5036,"")</f>
        <v>20000</v>
      </c>
      <c r="I5036" s="40" t="s">
        <v>41</v>
      </c>
    </row>
    <row r="5037" spans="1:9" x14ac:dyDescent="0.25">
      <c r="A5037" s="40">
        <v>45383.484131712961</v>
      </c>
      <c r="B5037" s="48">
        <f>IF(A5037&lt;&gt;"",DATE(YEAR(TRANSACTIONS!$A5037),MONTH(TRANSACTIONS!$A5037),DAY(TRANSACTIONS!$A5037)),"")</f>
        <v>45383</v>
      </c>
      <c r="C5037" s="49">
        <f>IF(A5037&lt;&gt;"",TIME(HOUR(TRANSACTIONS!$A5037),MINUTE(TRANSACTIONS!$A5037),SECOND(TRANSACTIONS!$A5037)),"")</f>
        <v>0.48413194444444446</v>
      </c>
      <c r="D5037" s="82" t="s">
        <v>62</v>
      </c>
      <c r="E5037" s="82" t="s">
        <v>6</v>
      </c>
      <c r="F5037" s="88">
        <v>2000</v>
      </c>
      <c r="G5037" s="46"/>
      <c r="H5037" s="46">
        <f>IFERROR(TRANSACTIONS!$F5037+TRANSACTIONS!$G5037,"")</f>
        <v>2000</v>
      </c>
      <c r="I5037" s="40" t="s">
        <v>41</v>
      </c>
    </row>
    <row r="5038" spans="1:9" x14ac:dyDescent="0.25">
      <c r="A5038" s="40">
        <v>45383.484150810182</v>
      </c>
      <c r="B5038" s="48">
        <f>IF(A5038&lt;&gt;"",DATE(YEAR(TRANSACTIONS!$A5038),MONTH(TRANSACTIONS!$A5038),DAY(TRANSACTIONS!$A5038)),"")</f>
        <v>45383</v>
      </c>
      <c r="C5038" s="49">
        <f>IF(A5038&lt;&gt;"",TIME(HOUR(TRANSACTIONS!$A5038),MINUTE(TRANSACTIONS!$A5038),SECOND(TRANSACTIONS!$A5038)),"")</f>
        <v>0.4841550925925926</v>
      </c>
      <c r="D5038" s="82" t="s">
        <v>62</v>
      </c>
      <c r="E5038" s="82" t="s">
        <v>6</v>
      </c>
      <c r="F5038" s="88">
        <v>5050</v>
      </c>
      <c r="G5038" s="46"/>
      <c r="H5038" s="46">
        <f>IFERROR(TRANSACTIONS!$F5038+TRANSACTIONS!$G5038,"")</f>
        <v>5050</v>
      </c>
      <c r="I5038" s="40" t="s">
        <v>41</v>
      </c>
    </row>
    <row r="5039" spans="1:9" x14ac:dyDescent="0.25">
      <c r="A5039" s="40">
        <v>45383.484176504629</v>
      </c>
      <c r="B5039" s="48">
        <f>IF(A5039&lt;&gt;"",DATE(YEAR(TRANSACTIONS!$A5039),MONTH(TRANSACTIONS!$A5039),DAY(TRANSACTIONS!$A5039)),"")</f>
        <v>45383</v>
      </c>
      <c r="C5039" s="49">
        <f>IF(A5039&lt;&gt;"",TIME(HOUR(TRANSACTIONS!$A5039),MINUTE(TRANSACTIONS!$A5039),SECOND(TRANSACTIONS!$A5039)),"")</f>
        <v>0.48417824074074073</v>
      </c>
      <c r="D5039" s="82" t="s">
        <v>62</v>
      </c>
      <c r="E5039" s="82" t="s">
        <v>7</v>
      </c>
      <c r="F5039" s="88">
        <v>25000</v>
      </c>
      <c r="G5039" s="46"/>
      <c r="H5039" s="46">
        <f>IFERROR(TRANSACTIONS!$F5039+TRANSACTIONS!$G5039,"")</f>
        <v>25000</v>
      </c>
      <c r="I5039" s="40" t="s">
        <v>41</v>
      </c>
    </row>
    <row r="5040" spans="1:9" x14ac:dyDescent="0.25">
      <c r="A5040" s="40">
        <v>45383.484164930553</v>
      </c>
      <c r="B5040" s="48">
        <f>IF(A5040&lt;&gt;"",DATE(YEAR(TRANSACTIONS!$A5040),MONTH(TRANSACTIONS!$A5040),DAY(TRANSACTIONS!$A5040)),"")</f>
        <v>45383</v>
      </c>
      <c r="C5040" s="49">
        <f>IF(A5040&lt;&gt;"",TIME(HOUR(TRANSACTIONS!$A5040),MINUTE(TRANSACTIONS!$A5040),SECOND(TRANSACTIONS!$A5040)),"")</f>
        <v>0.48416666666666663</v>
      </c>
      <c r="D5040" s="82" t="s">
        <v>62</v>
      </c>
      <c r="E5040" s="82" t="s">
        <v>7</v>
      </c>
      <c r="F5040" s="88">
        <v>1000</v>
      </c>
      <c r="G5040" s="46"/>
      <c r="H5040" s="46">
        <f>IFERROR(TRANSACTIONS!$F5040+TRANSACTIONS!$G5040,"")</f>
        <v>1000</v>
      </c>
      <c r="I5040" s="40" t="s">
        <v>41</v>
      </c>
    </row>
    <row r="5041" spans="1:9" x14ac:dyDescent="0.25">
      <c r="A5041" s="40">
        <v>45383.48418900463</v>
      </c>
      <c r="B5041" s="48">
        <f>IF(A5041&lt;&gt;"",DATE(YEAR(TRANSACTIONS!$A5041),MONTH(TRANSACTIONS!$A5041),DAY(TRANSACTIONS!$A5041)),"")</f>
        <v>45383</v>
      </c>
      <c r="C5041" s="49">
        <f>IF(A5041&lt;&gt;"",TIME(HOUR(TRANSACTIONS!$A5041),MINUTE(TRANSACTIONS!$A5041),SECOND(TRANSACTIONS!$A5041)),"")</f>
        <v>0.48418981481481477</v>
      </c>
      <c r="D5041" s="82" t="s">
        <v>62</v>
      </c>
      <c r="E5041" s="82" t="s">
        <v>7</v>
      </c>
      <c r="F5041" s="88">
        <v>5000</v>
      </c>
      <c r="G5041" s="46"/>
      <c r="H5041" s="46">
        <f>IFERROR(TRANSACTIONS!$F5041+TRANSACTIONS!$G5041,"")</f>
        <v>5000</v>
      </c>
      <c r="I5041" s="40" t="s">
        <v>41</v>
      </c>
    </row>
    <row r="5042" spans="1:9" x14ac:dyDescent="0.25">
      <c r="A5042" s="40">
        <v>45383.484201620369</v>
      </c>
      <c r="B5042" s="48">
        <f>IF(A5042&lt;&gt;"",DATE(YEAR(TRANSACTIONS!$A5042),MONTH(TRANSACTIONS!$A5042),DAY(TRANSACTIONS!$A5042)),"")</f>
        <v>45383</v>
      </c>
      <c r="C5042" s="49">
        <f>IF(A5042&lt;&gt;"",TIME(HOUR(TRANSACTIONS!$A5042),MINUTE(TRANSACTIONS!$A5042),SECOND(TRANSACTIONS!$A5042)),"")</f>
        <v>0.48420138888888892</v>
      </c>
      <c r="D5042" s="82" t="s">
        <v>62</v>
      </c>
      <c r="E5042" s="82" t="s">
        <v>6</v>
      </c>
      <c r="F5042" s="88">
        <v>58000</v>
      </c>
      <c r="G5042" s="46"/>
      <c r="H5042" s="46">
        <f>IFERROR(TRANSACTIONS!$F5042+TRANSACTIONS!$G5042,"")</f>
        <v>58000</v>
      </c>
      <c r="I5042" s="40" t="s">
        <v>41</v>
      </c>
    </row>
    <row r="5043" spans="1:9" x14ac:dyDescent="0.25">
      <c r="A5043" s="40">
        <v>45383.484210300929</v>
      </c>
      <c r="B5043" s="48">
        <f>IF(A5043&lt;&gt;"",DATE(YEAR(TRANSACTIONS!$A5043),MONTH(TRANSACTIONS!$A5043),DAY(TRANSACTIONS!$A5043)),"")</f>
        <v>45383</v>
      </c>
      <c r="C5043" s="49">
        <f>IF(A5043&lt;&gt;"",TIME(HOUR(TRANSACTIONS!$A5043),MINUTE(TRANSACTIONS!$A5043),SECOND(TRANSACTIONS!$A5043)),"")</f>
        <v>0.48421296296296296</v>
      </c>
      <c r="D5043" s="82" t="s">
        <v>62</v>
      </c>
      <c r="E5043" s="82" t="s">
        <v>7</v>
      </c>
      <c r="F5043" s="88">
        <v>5000</v>
      </c>
      <c r="G5043" s="46"/>
      <c r="H5043" s="46">
        <f>IFERROR(TRANSACTIONS!$F5043+TRANSACTIONS!$G5043,"")</f>
        <v>5000</v>
      </c>
      <c r="I5043" s="40" t="s">
        <v>41</v>
      </c>
    </row>
    <row r="5044" spans="1:9" x14ac:dyDescent="0.25">
      <c r="A5044" s="40">
        <v>45383.484217939818</v>
      </c>
      <c r="B5044" s="48">
        <f>IF(A5044&lt;&gt;"",DATE(YEAR(TRANSACTIONS!$A5044),MONTH(TRANSACTIONS!$A5044),DAY(TRANSACTIONS!$A5044)),"")</f>
        <v>45383</v>
      </c>
      <c r="C5044" s="49">
        <f>IF(A5044&lt;&gt;"",TIME(HOUR(TRANSACTIONS!$A5044),MINUTE(TRANSACTIONS!$A5044),SECOND(TRANSACTIONS!$A5044)),"")</f>
        <v>0.48421296296296296</v>
      </c>
      <c r="D5044" s="82" t="s">
        <v>62</v>
      </c>
      <c r="E5044" s="82" t="s">
        <v>6</v>
      </c>
      <c r="F5044" s="88">
        <v>12500</v>
      </c>
      <c r="G5044" s="46"/>
      <c r="H5044" s="46">
        <f>IFERROR(TRANSACTIONS!$F5044+TRANSACTIONS!$G5044,"")</f>
        <v>12500</v>
      </c>
      <c r="I5044" s="40" t="s">
        <v>41</v>
      </c>
    </row>
    <row r="5045" spans="1:9" x14ac:dyDescent="0.25">
      <c r="A5045" s="40">
        <v>45383.484225347223</v>
      </c>
      <c r="B5045" s="83">
        <f>IF(A5045&lt;&gt;"",DATE(YEAR(TRANSACTIONS!$A5045),MONTH(TRANSACTIONS!$A5045),DAY(TRANSACTIONS!$A5045)),"")</f>
        <v>45383</v>
      </c>
      <c r="C5045" s="84">
        <f>IF(A5045&lt;&gt;"",TIME(HOUR(TRANSACTIONS!$A5045),MINUTE(TRANSACTIONS!$A5045),SECOND(TRANSACTIONS!$A5045)),"")</f>
        <v>0.48422453703703705</v>
      </c>
      <c r="D5045" s="82" t="s">
        <v>62</v>
      </c>
      <c r="E5045" s="82" t="s">
        <v>7</v>
      </c>
      <c r="F5045" s="88">
        <v>1950</v>
      </c>
      <c r="G5045" s="86"/>
      <c r="H5045" s="86">
        <f>IFERROR(TRANSACTIONS!$F5045+TRANSACTIONS!$G5045,"")</f>
        <v>1950</v>
      </c>
      <c r="I5045" s="88" t="s">
        <v>41</v>
      </c>
    </row>
    <row r="5046" spans="1:9" x14ac:dyDescent="0.25">
      <c r="A5046" s="40">
        <v>45383.616514351852</v>
      </c>
      <c r="B5046" s="83">
        <f>IF(A5046&lt;&gt;"",DATE(YEAR(TRANSACTIONS!$A5046),MONTH(TRANSACTIONS!$A5046),DAY(TRANSACTIONS!$A5046)),"")</f>
        <v>45383</v>
      </c>
      <c r="C5046" s="84">
        <f>IF(A5046&lt;&gt;"",TIME(HOUR(TRANSACTIONS!$A5046),MINUTE(TRANSACTIONS!$A5046),SECOND(TRANSACTIONS!$A5046)),"")</f>
        <v>0.61651620370370364</v>
      </c>
      <c r="D5046" s="82" t="s">
        <v>62</v>
      </c>
      <c r="E5046" s="82" t="s">
        <v>6</v>
      </c>
      <c r="F5046" s="88">
        <v>2000</v>
      </c>
      <c r="G5046" s="86"/>
      <c r="H5046" s="86">
        <f>IFERROR(TRANSACTIONS!$F5046+TRANSACTIONS!$G5046,"")</f>
        <v>2000</v>
      </c>
      <c r="I5046" s="88" t="s">
        <v>41</v>
      </c>
    </row>
    <row r="5047" spans="1:9" x14ac:dyDescent="0.25">
      <c r="A5047" s="40">
        <v>45383.616518402778</v>
      </c>
      <c r="B5047" s="83">
        <f>IF(A5047&lt;&gt;"",DATE(YEAR(TRANSACTIONS!$A5047),MONTH(TRANSACTIONS!$A5047),DAY(TRANSACTIONS!$A5047)),"")</f>
        <v>45383</v>
      </c>
      <c r="C5047" s="84">
        <f>IF(A5047&lt;&gt;"",TIME(HOUR(TRANSACTIONS!$A5047),MINUTE(TRANSACTIONS!$A5047),SECOND(TRANSACTIONS!$A5047)),"")</f>
        <v>0.61651620370370364</v>
      </c>
      <c r="D5047" s="82" t="s">
        <v>62</v>
      </c>
      <c r="E5047" s="82" t="s">
        <v>6</v>
      </c>
      <c r="F5047" s="88">
        <v>25000</v>
      </c>
      <c r="G5047" s="86"/>
      <c r="H5047" s="86">
        <f>IFERROR(TRANSACTIONS!$F5047+TRANSACTIONS!$G5047,"")</f>
        <v>25000</v>
      </c>
      <c r="I5047" s="88" t="s">
        <v>41</v>
      </c>
    </row>
    <row r="5048" spans="1:9" x14ac:dyDescent="0.25">
      <c r="A5048" s="40">
        <v>45383.616564236108</v>
      </c>
      <c r="B5048" s="83">
        <f>IF(A5048&lt;&gt;"",DATE(YEAR(TRANSACTIONS!$A5048),MONTH(TRANSACTIONS!$A5048),DAY(TRANSACTIONS!$A5048)),"")</f>
        <v>45383</v>
      </c>
      <c r="C5048" s="84">
        <f>IF(A5048&lt;&gt;"",TIME(HOUR(TRANSACTIONS!$A5048),MINUTE(TRANSACTIONS!$A5048),SECOND(TRANSACTIONS!$A5048)),"")</f>
        <v>0.61656250000000001</v>
      </c>
      <c r="D5048" s="82" t="s">
        <v>62</v>
      </c>
      <c r="E5048" s="82" t="s">
        <v>7</v>
      </c>
      <c r="F5048" s="88">
        <v>5000</v>
      </c>
      <c r="G5048" s="86"/>
      <c r="H5048" s="86">
        <f>IFERROR(TRANSACTIONS!$F5048+TRANSACTIONS!$G5048,"")</f>
        <v>5000</v>
      </c>
      <c r="I5048" s="88" t="s">
        <v>41</v>
      </c>
    </row>
    <row r="5049" spans="1:9" x14ac:dyDescent="0.25">
      <c r="A5049" s="40">
        <v>45383.616571412036</v>
      </c>
      <c r="B5049" s="83">
        <f>IF(A5049&lt;&gt;"",DATE(YEAR(TRANSACTIONS!$A5049),MONTH(TRANSACTIONS!$A5049),DAY(TRANSACTIONS!$A5049)),"")</f>
        <v>45383</v>
      </c>
      <c r="C5049" s="84">
        <f>IF(A5049&lt;&gt;"",TIME(HOUR(TRANSACTIONS!$A5049),MINUTE(TRANSACTIONS!$A5049),SECOND(TRANSACTIONS!$A5049)),"")</f>
        <v>0.61657407407407405</v>
      </c>
      <c r="D5049" s="82" t="s">
        <v>62</v>
      </c>
      <c r="E5049" s="82" t="s">
        <v>7</v>
      </c>
      <c r="F5049" s="88">
        <v>5000</v>
      </c>
      <c r="G5049" s="86"/>
      <c r="H5049" s="86">
        <f>IFERROR(TRANSACTIONS!$F5049+TRANSACTIONS!$G5049,"")</f>
        <v>5000</v>
      </c>
      <c r="I5049" s="88" t="s">
        <v>41</v>
      </c>
    </row>
    <row r="5050" spans="1:9" x14ac:dyDescent="0.25">
      <c r="A5050" s="40">
        <v>45383.616578472225</v>
      </c>
      <c r="B5050" s="83">
        <f>IF(A5050&lt;&gt;"",DATE(YEAR(TRANSACTIONS!$A5050),MONTH(TRANSACTIONS!$A5050),DAY(TRANSACTIONS!$A5050)),"")</f>
        <v>45383</v>
      </c>
      <c r="C5050" s="84">
        <f>IF(A5050&lt;&gt;"",TIME(HOUR(TRANSACTIONS!$A5050),MINUTE(TRANSACTIONS!$A5050),SECOND(TRANSACTIONS!$A5050)),"")</f>
        <v>0.61657407407407405</v>
      </c>
      <c r="D5050" s="82" t="s">
        <v>62</v>
      </c>
      <c r="E5050" s="82" t="s">
        <v>6</v>
      </c>
      <c r="F5050" s="88">
        <v>1500</v>
      </c>
      <c r="G5050" s="86"/>
      <c r="H5050" s="86">
        <f>IFERROR(TRANSACTIONS!$F5050+TRANSACTIONS!$G5050,"")</f>
        <v>1500</v>
      </c>
      <c r="I5050" s="88" t="s">
        <v>41</v>
      </c>
    </row>
    <row r="5051" spans="1:9" x14ac:dyDescent="0.25">
      <c r="A5051" s="40">
        <v>45383.616585532407</v>
      </c>
      <c r="B5051" s="48">
        <f>IF(A5051&lt;&gt;"",DATE(YEAR(TRANSACTIONS!$A5051),MONTH(TRANSACTIONS!$A5051),DAY(TRANSACTIONS!$A5051)),"")</f>
        <v>45383</v>
      </c>
      <c r="C5051" s="49">
        <f>IF(A5051&lt;&gt;"",TIME(HOUR(TRANSACTIONS!$A5051),MINUTE(TRANSACTIONS!$A5051),SECOND(TRANSACTIONS!$A5051)),"")</f>
        <v>0.61658564814814809</v>
      </c>
      <c r="D5051" s="82" t="s">
        <v>62</v>
      </c>
      <c r="E5051" s="82" t="s">
        <v>6</v>
      </c>
      <c r="F5051" s="88">
        <v>1000</v>
      </c>
      <c r="G5051" s="46"/>
      <c r="H5051" s="46">
        <f>IFERROR(TRANSACTIONS!$F5051+TRANSACTIONS!$G5051,"")</f>
        <v>1000</v>
      </c>
      <c r="I5051" s="40" t="s">
        <v>41</v>
      </c>
    </row>
    <row r="5052" spans="1:9" x14ac:dyDescent="0.25">
      <c r="A5052" s="40">
        <v>45383.616602430557</v>
      </c>
      <c r="B5052" s="48">
        <f>IF(A5052&lt;&gt;"",DATE(YEAR(TRANSACTIONS!$A5052),MONTH(TRANSACTIONS!$A5052),DAY(TRANSACTIONS!$A5052)),"")</f>
        <v>45383</v>
      </c>
      <c r="C5052" s="49">
        <f>IF(A5052&lt;&gt;"",TIME(HOUR(TRANSACTIONS!$A5052),MINUTE(TRANSACTIONS!$A5052),SECOND(TRANSACTIONS!$A5052)),"")</f>
        <v>0.61659722222222224</v>
      </c>
      <c r="D5052" s="82" t="s">
        <v>62</v>
      </c>
      <c r="E5052" s="82" t="s">
        <v>7</v>
      </c>
      <c r="F5052" s="88">
        <v>10000</v>
      </c>
      <c r="G5052" s="46"/>
      <c r="H5052" s="46">
        <f>IFERROR(TRANSACTIONS!$F5052+TRANSACTIONS!$G5052,"")</f>
        <v>10000</v>
      </c>
      <c r="I5052" s="40" t="s">
        <v>41</v>
      </c>
    </row>
    <row r="5053" spans="1:9" x14ac:dyDescent="0.25">
      <c r="A5053" s="40">
        <v>45383.616613194441</v>
      </c>
      <c r="B5053" s="48">
        <f>IF(A5053&lt;&gt;"",DATE(YEAR(TRANSACTIONS!$A5053),MONTH(TRANSACTIONS!$A5053),DAY(TRANSACTIONS!$A5053)),"")</f>
        <v>45383</v>
      </c>
      <c r="C5053" s="49">
        <f>IF(A5053&lt;&gt;"",TIME(HOUR(TRANSACTIONS!$A5053),MINUTE(TRANSACTIONS!$A5053),SECOND(TRANSACTIONS!$A5053)),"")</f>
        <v>0.61660879629629628</v>
      </c>
      <c r="D5053" s="82" t="s">
        <v>62</v>
      </c>
      <c r="E5053" s="82" t="s">
        <v>7</v>
      </c>
      <c r="F5053" s="88">
        <v>5000</v>
      </c>
      <c r="G5053" s="46"/>
      <c r="H5053" s="46">
        <f>IFERROR(TRANSACTIONS!$F5053+TRANSACTIONS!$G5053,"")</f>
        <v>5000</v>
      </c>
      <c r="I5053" s="40" t="s">
        <v>41</v>
      </c>
    </row>
    <row r="5054" spans="1:9" x14ac:dyDescent="0.25">
      <c r="A5054" s="40">
        <v>45383.61663113426</v>
      </c>
      <c r="B5054" s="48">
        <f>IF(A5054&lt;&gt;"",DATE(YEAR(TRANSACTIONS!$A5054),MONTH(TRANSACTIONS!$A5054),DAY(TRANSACTIONS!$A5054)),"")</f>
        <v>45383</v>
      </c>
      <c r="C5054" s="49">
        <f>IF(A5054&lt;&gt;"",TIME(HOUR(TRANSACTIONS!$A5054),MINUTE(TRANSACTIONS!$A5054),SECOND(TRANSACTIONS!$A5054)),"")</f>
        <v>0.61663194444444447</v>
      </c>
      <c r="D5054" s="82" t="s">
        <v>62</v>
      </c>
      <c r="E5054" s="82" t="s">
        <v>7</v>
      </c>
      <c r="F5054" s="88">
        <v>1000</v>
      </c>
      <c r="G5054" s="46"/>
      <c r="H5054" s="46">
        <f>IFERROR(TRANSACTIONS!$F5054+TRANSACTIONS!$G5054,"")</f>
        <v>1000</v>
      </c>
      <c r="I5054" s="40" t="s">
        <v>41</v>
      </c>
    </row>
    <row r="5055" spans="1:9" x14ac:dyDescent="0.25">
      <c r="A5055" s="40">
        <v>45383.616707291665</v>
      </c>
      <c r="B5055" s="48">
        <f>IF(A5055&lt;&gt;"",DATE(YEAR(TRANSACTIONS!$A5055),MONTH(TRANSACTIONS!$A5055),DAY(TRANSACTIONS!$A5055)),"")</f>
        <v>45383</v>
      </c>
      <c r="C5055" s="49">
        <f>IF(A5055&lt;&gt;"",TIME(HOUR(TRANSACTIONS!$A5055),MINUTE(TRANSACTIONS!$A5055),SECOND(TRANSACTIONS!$A5055)),"")</f>
        <v>0.61671296296296296</v>
      </c>
      <c r="D5055" s="82" t="s">
        <v>62</v>
      </c>
      <c r="E5055" s="82" t="s">
        <v>6</v>
      </c>
      <c r="F5055" s="88">
        <v>10500</v>
      </c>
      <c r="G5055" s="46"/>
      <c r="H5055" s="46">
        <f>IFERROR(TRANSACTIONS!$F5055+TRANSACTIONS!$G5055,"")</f>
        <v>10500</v>
      </c>
      <c r="I5055" s="40" t="s">
        <v>41</v>
      </c>
    </row>
    <row r="5056" spans="1:9" x14ac:dyDescent="0.25">
      <c r="A5056" s="40">
        <v>45383.616720833335</v>
      </c>
      <c r="B5056" s="48">
        <f>IF(A5056&lt;&gt;"",DATE(YEAR(TRANSACTIONS!$A5056),MONTH(TRANSACTIONS!$A5056),DAY(TRANSACTIONS!$A5056)),"")</f>
        <v>45383</v>
      </c>
      <c r="C5056" s="49">
        <f>IF(A5056&lt;&gt;"",TIME(HOUR(TRANSACTIONS!$A5056),MINUTE(TRANSACTIONS!$A5056),SECOND(TRANSACTIONS!$A5056)),"")</f>
        <v>0.616724537037037</v>
      </c>
      <c r="D5056" s="82" t="s">
        <v>62</v>
      </c>
      <c r="E5056" s="82" t="s">
        <v>6</v>
      </c>
      <c r="F5056" s="88">
        <v>5150</v>
      </c>
      <c r="G5056" s="46"/>
      <c r="H5056" s="46">
        <f>IFERROR(TRANSACTIONS!$F5056+TRANSACTIONS!$G5056,"")</f>
        <v>5150</v>
      </c>
      <c r="I5056" s="40" t="s">
        <v>41</v>
      </c>
    </row>
    <row r="5057" spans="1:9" x14ac:dyDescent="0.25">
      <c r="A5057" s="40">
        <v>45383.616699537037</v>
      </c>
      <c r="B5057" s="48">
        <f>IF(A5057&lt;&gt;"",DATE(YEAR(TRANSACTIONS!$A5057),MONTH(TRANSACTIONS!$A5057),DAY(TRANSACTIONS!$A5057)),"")</f>
        <v>45383</v>
      </c>
      <c r="C5057" s="49">
        <f>IF(A5057&lt;&gt;"",TIME(HOUR(TRANSACTIONS!$A5057),MINUTE(TRANSACTIONS!$A5057),SECOND(TRANSACTIONS!$A5057)),"")</f>
        <v>0.61670138888888892</v>
      </c>
      <c r="D5057" s="82" t="s">
        <v>62</v>
      </c>
      <c r="E5057" s="82" t="s">
        <v>7</v>
      </c>
      <c r="F5057" s="88">
        <v>1500</v>
      </c>
      <c r="G5057" s="46"/>
      <c r="H5057" s="46">
        <f>IFERROR(TRANSACTIONS!$F5057+TRANSACTIONS!$G5057,"")</f>
        <v>1500</v>
      </c>
      <c r="I5057" s="40" t="s">
        <v>41</v>
      </c>
    </row>
    <row r="5058" spans="1:9" x14ac:dyDescent="0.25">
      <c r="A5058" s="40">
        <v>45383.616734490737</v>
      </c>
      <c r="B5058" s="48">
        <f>IF(A5058&lt;&gt;"",DATE(YEAR(TRANSACTIONS!$A5058),MONTH(TRANSACTIONS!$A5058),DAY(TRANSACTIONS!$A5058)),"")</f>
        <v>45383</v>
      </c>
      <c r="C5058" s="49">
        <f>IF(A5058&lt;&gt;"",TIME(HOUR(TRANSACTIONS!$A5058),MINUTE(TRANSACTIONS!$A5058),SECOND(TRANSACTIONS!$A5058)),"")</f>
        <v>0.61673611111111104</v>
      </c>
      <c r="D5058" s="82" t="s">
        <v>62</v>
      </c>
      <c r="E5058" s="82" t="s">
        <v>6</v>
      </c>
      <c r="F5058" s="88">
        <v>8000</v>
      </c>
      <c r="G5058" s="46"/>
      <c r="H5058" s="46">
        <f>IFERROR(TRANSACTIONS!$F5058+TRANSACTIONS!$G5058,"")</f>
        <v>8000</v>
      </c>
      <c r="I5058" s="40" t="s">
        <v>41</v>
      </c>
    </row>
    <row r="5059" spans="1:9" x14ac:dyDescent="0.25">
      <c r="A5059" s="40">
        <v>45383.616748032407</v>
      </c>
      <c r="B5059" s="48">
        <f>IF(A5059&lt;&gt;"",DATE(YEAR(TRANSACTIONS!$A5059),MONTH(TRANSACTIONS!$A5059),DAY(TRANSACTIONS!$A5059)),"")</f>
        <v>45383</v>
      </c>
      <c r="C5059" s="49">
        <f>IF(A5059&lt;&gt;"",TIME(HOUR(TRANSACTIONS!$A5059),MINUTE(TRANSACTIONS!$A5059),SECOND(TRANSACTIONS!$A5059)),"")</f>
        <v>0.61674768518518519</v>
      </c>
      <c r="D5059" s="82" t="s">
        <v>62</v>
      </c>
      <c r="E5059" s="82" t="s">
        <v>6</v>
      </c>
      <c r="F5059" s="88">
        <v>7500</v>
      </c>
      <c r="G5059" s="46"/>
      <c r="H5059" s="46">
        <f>IFERROR(TRANSACTIONS!$F5059+TRANSACTIONS!$G5059,"")</f>
        <v>7500</v>
      </c>
      <c r="I5059" s="40" t="s">
        <v>41</v>
      </c>
    </row>
    <row r="5060" spans="1:9" x14ac:dyDescent="0.25">
      <c r="A5060" s="40">
        <v>45383.61675671296</v>
      </c>
      <c r="B5060" s="48">
        <f>IF(A5060&lt;&gt;"",DATE(YEAR(TRANSACTIONS!$A5060),MONTH(TRANSACTIONS!$A5060),DAY(TRANSACTIONS!$A5060)),"")</f>
        <v>45383</v>
      </c>
      <c r="C5060" s="49">
        <f>IF(A5060&lt;&gt;"",TIME(HOUR(TRANSACTIONS!$A5060),MINUTE(TRANSACTIONS!$A5060),SECOND(TRANSACTIONS!$A5060)),"")</f>
        <v>0.61675925925925923</v>
      </c>
      <c r="D5060" s="82" t="s">
        <v>62</v>
      </c>
      <c r="E5060" s="82" t="s">
        <v>7</v>
      </c>
      <c r="F5060" s="88">
        <v>2000</v>
      </c>
      <c r="G5060" s="46"/>
      <c r="H5060" s="46">
        <f>IFERROR(TRANSACTIONS!$F5060+TRANSACTIONS!$G5060,"")</f>
        <v>2000</v>
      </c>
      <c r="I5060" s="40" t="s">
        <v>41</v>
      </c>
    </row>
    <row r="5061" spans="1:9" x14ac:dyDescent="0.25">
      <c r="A5061" s="40">
        <v>45383.616765509258</v>
      </c>
      <c r="B5061" s="48">
        <f>IF(A5061&lt;&gt;"",DATE(YEAR(TRANSACTIONS!$A5061),MONTH(TRANSACTIONS!$A5061),DAY(TRANSACTIONS!$A5061)),"")</f>
        <v>45383</v>
      </c>
      <c r="C5061" s="49">
        <f>IF(A5061&lt;&gt;"",TIME(HOUR(TRANSACTIONS!$A5061),MINUTE(TRANSACTIONS!$A5061),SECOND(TRANSACTIONS!$A5061)),"")</f>
        <v>0.61677083333333338</v>
      </c>
      <c r="D5061" s="82" t="s">
        <v>62</v>
      </c>
      <c r="E5061" s="82" t="s">
        <v>7</v>
      </c>
      <c r="F5061" s="88">
        <v>3000</v>
      </c>
      <c r="G5061" s="46"/>
      <c r="H5061" s="46">
        <f>IFERROR(TRANSACTIONS!$F5061+TRANSACTIONS!$G5061,"")</f>
        <v>3000</v>
      </c>
      <c r="I5061" s="40" t="s">
        <v>41</v>
      </c>
    </row>
    <row r="5062" spans="1:9" x14ac:dyDescent="0.25">
      <c r="A5062" s="40">
        <v>45383.616774768518</v>
      </c>
      <c r="B5062" s="48">
        <f>IF(A5062&lt;&gt;"",DATE(YEAR(TRANSACTIONS!$A5062),MONTH(TRANSACTIONS!$A5062),DAY(TRANSACTIONS!$A5062)),"")</f>
        <v>45383</v>
      </c>
      <c r="C5062" s="49">
        <f>IF(A5062&lt;&gt;"",TIME(HOUR(TRANSACTIONS!$A5062),MINUTE(TRANSACTIONS!$A5062),SECOND(TRANSACTIONS!$A5062)),"")</f>
        <v>0.61677083333333338</v>
      </c>
      <c r="D5062" s="82" t="s">
        <v>62</v>
      </c>
      <c r="E5062" s="82" t="s">
        <v>6</v>
      </c>
      <c r="F5062" s="88">
        <v>300000</v>
      </c>
      <c r="G5062" s="46"/>
      <c r="H5062" s="46">
        <f>IFERROR(TRANSACTIONS!$F5062+TRANSACTIONS!$G5062,"")</f>
        <v>300000</v>
      </c>
      <c r="I5062" s="40" t="s">
        <v>41</v>
      </c>
    </row>
    <row r="5063" spans="1:9" x14ac:dyDescent="0.25">
      <c r="A5063" s="40">
        <v>45383.616790509259</v>
      </c>
      <c r="B5063" s="48">
        <f>IF(A5063&lt;&gt;"",DATE(YEAR(TRANSACTIONS!$A5063),MONTH(TRANSACTIONS!$A5063),DAY(TRANSACTIONS!$A5063)),"")</f>
        <v>45383</v>
      </c>
      <c r="C5063" s="49">
        <f>IF(A5063&lt;&gt;"",TIME(HOUR(TRANSACTIONS!$A5063),MINUTE(TRANSACTIONS!$A5063),SECOND(TRANSACTIONS!$A5063)),"")</f>
        <v>0.61679398148148146</v>
      </c>
      <c r="D5063" s="82" t="s">
        <v>62</v>
      </c>
      <c r="E5063" s="82" t="s">
        <v>7</v>
      </c>
      <c r="F5063" s="88">
        <v>2950</v>
      </c>
      <c r="G5063" s="46"/>
      <c r="H5063" s="46">
        <f>IFERROR(TRANSACTIONS!$F5063+TRANSACTIONS!$G5063,"")</f>
        <v>2950</v>
      </c>
      <c r="I5063" s="40" t="s">
        <v>41</v>
      </c>
    </row>
    <row r="5064" spans="1:9" x14ac:dyDescent="0.25">
      <c r="A5064" s="40">
        <v>45383.616799537034</v>
      </c>
      <c r="B5064" s="48">
        <f>IF(A5064&lt;&gt;"",DATE(YEAR(TRANSACTIONS!$A5064),MONTH(TRANSACTIONS!$A5064),DAY(TRANSACTIONS!$A5064)),"")</f>
        <v>45383</v>
      </c>
      <c r="C5064" s="49">
        <f>IF(A5064&lt;&gt;"",TIME(HOUR(TRANSACTIONS!$A5064),MINUTE(TRANSACTIONS!$A5064),SECOND(TRANSACTIONS!$A5064)),"")</f>
        <v>0.61679398148148146</v>
      </c>
      <c r="D5064" s="82" t="s">
        <v>25</v>
      </c>
      <c r="E5064" s="82" t="s">
        <v>6</v>
      </c>
      <c r="F5064" s="88">
        <v>1300</v>
      </c>
      <c r="G5064" s="46"/>
      <c r="H5064" s="46">
        <f>IFERROR(TRANSACTIONS!$F5064+TRANSACTIONS!$G5064,"")</f>
        <v>1300</v>
      </c>
      <c r="I5064" s="40" t="s">
        <v>41</v>
      </c>
    </row>
    <row r="5065" spans="1:9" x14ac:dyDescent="0.25">
      <c r="A5065" s="40">
        <v>45383.616826851852</v>
      </c>
      <c r="B5065" s="48">
        <f>IF(A5065&lt;&gt;"",DATE(YEAR(TRANSACTIONS!$A5065),MONTH(TRANSACTIONS!$A5065),DAY(TRANSACTIONS!$A5065)),"")</f>
        <v>45383</v>
      </c>
      <c r="C5065" s="49">
        <f>IF(A5065&lt;&gt;"",TIME(HOUR(TRANSACTIONS!$A5065),MINUTE(TRANSACTIONS!$A5065),SECOND(TRANSACTIONS!$A5065)),"")</f>
        <v>0.61682870370370368</v>
      </c>
      <c r="D5065" s="82" t="s">
        <v>25</v>
      </c>
      <c r="E5065" s="82" t="s">
        <v>6</v>
      </c>
      <c r="F5065" s="88">
        <v>20000</v>
      </c>
      <c r="G5065" s="46"/>
      <c r="H5065" s="46">
        <f>IFERROR(TRANSACTIONS!$F5065+TRANSACTIONS!$G5065,"")</f>
        <v>20000</v>
      </c>
      <c r="I5065" s="40" t="s">
        <v>41</v>
      </c>
    </row>
    <row r="5066" spans="1:9" x14ac:dyDescent="0.25">
      <c r="A5066" s="40">
        <v>45383.621474768515</v>
      </c>
      <c r="B5066" s="48">
        <f>IF(A5066&lt;&gt;"",DATE(YEAR(TRANSACTIONS!$A5066),MONTH(TRANSACTIONS!$A5066),DAY(TRANSACTIONS!$A5066)),"")</f>
        <v>45383</v>
      </c>
      <c r="C5066" s="49">
        <f>IF(A5066&lt;&gt;"",TIME(HOUR(TRANSACTIONS!$A5066),MINUTE(TRANSACTIONS!$A5066),SECOND(TRANSACTIONS!$A5066)),"")</f>
        <v>0.62146990740740737</v>
      </c>
      <c r="D5066" s="82"/>
      <c r="E5066" s="82"/>
      <c r="F5066" s="88">
        <v>3000</v>
      </c>
      <c r="G5066" s="46"/>
      <c r="H5066" s="46">
        <f>IFERROR(TRANSACTIONS!$F5066+TRANSACTIONS!$G5066,"")</f>
        <v>3000</v>
      </c>
      <c r="I5066" s="40" t="s">
        <v>41</v>
      </c>
    </row>
    <row r="5067" spans="1:9" x14ac:dyDescent="0.25">
      <c r="A5067" s="40">
        <v>45383.703902083333</v>
      </c>
      <c r="B5067" s="83">
        <f>IF(A5067&lt;&gt;"",DATE(YEAR(TRANSACTIONS!$A5067),MONTH(TRANSACTIONS!$A5067),DAY(TRANSACTIONS!$A5067)),"")</f>
        <v>45383</v>
      </c>
      <c r="C5067" s="84">
        <f>IF(A5067&lt;&gt;"",TIME(HOUR(TRANSACTIONS!$A5067),MINUTE(TRANSACTIONS!$A5067),SECOND(TRANSACTIONS!$A5067)),"")</f>
        <v>0.70390046296296294</v>
      </c>
      <c r="D5067" s="82"/>
      <c r="E5067" s="82"/>
      <c r="F5067" s="88">
        <v>20000</v>
      </c>
      <c r="G5067" s="86"/>
      <c r="H5067" s="86">
        <f>IFERROR(TRANSACTIONS!$F5067+TRANSACTIONS!$G5067,"")</f>
        <v>20000</v>
      </c>
      <c r="I5067" s="88" t="s">
        <v>41</v>
      </c>
    </row>
    <row r="5068" spans="1:9" x14ac:dyDescent="0.25">
      <c r="A5068" s="40">
        <v>45383.703909953707</v>
      </c>
      <c r="B5068" s="48">
        <f>IF(A5068&lt;&gt;"",DATE(YEAR(TRANSACTIONS!$A5068),MONTH(TRANSACTIONS!$A5068),DAY(TRANSACTIONS!$A5068)),"")</f>
        <v>45383</v>
      </c>
      <c r="C5068" s="49">
        <f>IF(A5068&lt;&gt;"",TIME(HOUR(TRANSACTIONS!$A5068),MINUTE(TRANSACTIONS!$A5068),SECOND(TRANSACTIONS!$A5068)),"")</f>
        <v>0.70391203703703698</v>
      </c>
      <c r="D5068" s="82"/>
      <c r="E5068" s="82"/>
      <c r="F5068" s="88">
        <v>10000</v>
      </c>
      <c r="G5068" s="46"/>
      <c r="H5068" s="46">
        <f>IFERROR(TRANSACTIONS!$F5068+TRANSACTIONS!$G5068,"")</f>
        <v>10000</v>
      </c>
      <c r="I5068" s="40" t="s">
        <v>41</v>
      </c>
    </row>
    <row r="5069" spans="1:9" x14ac:dyDescent="0.25">
      <c r="A5069" s="40">
        <v>45383.703917129627</v>
      </c>
      <c r="B5069" s="48">
        <f>IF(A5069&lt;&gt;"",DATE(YEAR(TRANSACTIONS!$A5069),MONTH(TRANSACTIONS!$A5069),DAY(TRANSACTIONS!$A5069)),"")</f>
        <v>45383</v>
      </c>
      <c r="C5069" s="49">
        <f>IF(A5069&lt;&gt;"",TIME(HOUR(TRANSACTIONS!$A5069),MINUTE(TRANSACTIONS!$A5069),SECOND(TRANSACTIONS!$A5069)),"")</f>
        <v>0.70391203703703698</v>
      </c>
      <c r="D5069" s="82"/>
      <c r="E5069" s="82"/>
      <c r="F5069" s="40">
        <v>100000</v>
      </c>
      <c r="G5069" s="46"/>
      <c r="H5069" s="46">
        <f>IFERROR(TRANSACTIONS!$F5081+TRANSACTIONS!$G5069,"")</f>
        <v>0</v>
      </c>
      <c r="I5069" s="40" t="s">
        <v>41</v>
      </c>
    </row>
    <row r="5070" spans="1:9" x14ac:dyDescent="0.25">
      <c r="A5070" s="40">
        <v>45383.703924189816</v>
      </c>
      <c r="B5070" s="48">
        <f>IF(A5070&lt;&gt;"",DATE(YEAR(TRANSACTIONS!$A5070),MONTH(TRANSACTIONS!$A5070),DAY(TRANSACTIONS!$A5070)),"")</f>
        <v>45383</v>
      </c>
      <c r="C5070" s="49">
        <f>IF(A5070&lt;&gt;"",TIME(HOUR(TRANSACTIONS!$A5070),MINUTE(TRANSACTIONS!$A5070),SECOND(TRANSACTIONS!$A5070)),"")</f>
        <v>0.70392361111111112</v>
      </c>
      <c r="D5070" s="82"/>
      <c r="E5070" s="82"/>
      <c r="F5070" s="40">
        <v>60000</v>
      </c>
      <c r="G5070" s="46"/>
      <c r="H5070" s="46">
        <f>IFERROR(TRANSACTIONS!$F5082+TRANSACTIONS!$G5070,"")</f>
        <v>0</v>
      </c>
      <c r="I5070" s="40" t="s">
        <v>41</v>
      </c>
    </row>
    <row r="5071" spans="1:9" x14ac:dyDescent="0.25">
      <c r="A5071" s="40">
        <v>45383.703932870369</v>
      </c>
      <c r="B5071" s="48">
        <f>IF(A5071&lt;&gt;"",DATE(YEAR(TRANSACTIONS!$A5071),MONTH(TRANSACTIONS!$A5071),DAY(TRANSACTIONS!$A5071)),"")</f>
        <v>45383</v>
      </c>
      <c r="C5071" s="49">
        <f>IF(A5071&lt;&gt;"",TIME(HOUR(TRANSACTIONS!$A5071),MINUTE(TRANSACTIONS!$A5071),SECOND(TRANSACTIONS!$A5071)),"")</f>
        <v>0.70393518518518527</v>
      </c>
      <c r="D5071" s="82"/>
      <c r="E5071" s="82"/>
      <c r="F5071" s="40">
        <v>5000</v>
      </c>
      <c r="G5071" s="46"/>
      <c r="H5071" s="46">
        <f>IFERROR(TRANSACTIONS!$F5083+TRANSACTIONS!$G5071,"")</f>
        <v>0</v>
      </c>
      <c r="I5071" s="40" t="s">
        <v>41</v>
      </c>
    </row>
    <row r="5072" spans="1:9" x14ac:dyDescent="0.25">
      <c r="A5072" s="40">
        <v>45383.703944097222</v>
      </c>
      <c r="B5072" s="48">
        <f>IF(A5072&lt;&gt;"",DATE(YEAR(TRANSACTIONS!$A5072),MONTH(TRANSACTIONS!$A5072),DAY(TRANSACTIONS!$A5072)),"")</f>
        <v>45383</v>
      </c>
      <c r="C5072" s="49">
        <f>IF(A5072&lt;&gt;"",TIME(HOUR(TRANSACTIONS!$A5072),MINUTE(TRANSACTIONS!$A5072),SECOND(TRANSACTIONS!$A5072)),"")</f>
        <v>0.7039467592592592</v>
      </c>
      <c r="D5072" s="82"/>
      <c r="E5072" s="82"/>
      <c r="G5072" s="46"/>
      <c r="H5072" s="46">
        <f>IFERROR(TRANSACTIONS!$F5084+TRANSACTIONS!$G5072,"")</f>
        <v>0</v>
      </c>
      <c r="I5072" s="40" t="s">
        <v>41</v>
      </c>
    </row>
    <row r="5073" spans="1:9" x14ac:dyDescent="0.25">
      <c r="A5073" s="40">
        <v>45383.70395185185</v>
      </c>
      <c r="B5073" s="48">
        <f>IF(A5073&lt;&gt;"",DATE(YEAR(TRANSACTIONS!$A5073),MONTH(TRANSACTIONS!$A5073),DAY(TRANSACTIONS!$A5073)),"")</f>
        <v>45383</v>
      </c>
      <c r="C5073" s="49">
        <f>IF(A5073&lt;&gt;"",TIME(HOUR(TRANSACTIONS!$A5073),MINUTE(TRANSACTIONS!$A5073),SECOND(TRANSACTIONS!$A5073)),"")</f>
        <v>0.7039467592592592</v>
      </c>
      <c r="D5073" s="82"/>
      <c r="E5073" s="82"/>
      <c r="G5073" s="46"/>
      <c r="H5073" s="46">
        <f>IFERROR(TRANSACTIONS!$F5085+TRANSACTIONS!$G5073,"")</f>
        <v>0</v>
      </c>
      <c r="I5073" s="40" t="s">
        <v>41</v>
      </c>
    </row>
    <row r="5074" spans="1:9" x14ac:dyDescent="0.25">
      <c r="A5074" s="40">
        <v>45383.703959259263</v>
      </c>
      <c r="B5074" s="48">
        <f>IF(A5074&lt;&gt;"",DATE(YEAR(TRANSACTIONS!$A5074),MONTH(TRANSACTIONS!$A5074),DAY(TRANSACTIONS!$A5074)),"")</f>
        <v>45383</v>
      </c>
      <c r="C5074" s="49">
        <f>IF(A5074&lt;&gt;"",TIME(HOUR(TRANSACTIONS!$A5074),MINUTE(TRANSACTIONS!$A5074),SECOND(TRANSACTIONS!$A5074)),"")</f>
        <v>0.70395833333333335</v>
      </c>
      <c r="D5074" s="82"/>
      <c r="E5074" s="82"/>
      <c r="G5074" s="46"/>
      <c r="H5074" s="46">
        <f>IFERROR(TRANSACTIONS!$F5086+TRANSACTIONS!$G5074,"")</f>
        <v>0</v>
      </c>
      <c r="I5074" s="40" t="s">
        <v>41</v>
      </c>
    </row>
    <row r="5075" spans="1:9" x14ac:dyDescent="0.25">
      <c r="A5075" s="40">
        <v>45383.703966319445</v>
      </c>
      <c r="B5075" s="48">
        <f>IF(A5075&lt;&gt;"",DATE(YEAR(TRANSACTIONS!$A5075),MONTH(TRANSACTIONS!$A5075),DAY(TRANSACTIONS!$A5075)),"")</f>
        <v>45383</v>
      </c>
      <c r="C5075" s="49">
        <f>IF(A5075&lt;&gt;"",TIME(HOUR(TRANSACTIONS!$A5075),MINUTE(TRANSACTIONS!$A5075),SECOND(TRANSACTIONS!$A5075)),"")</f>
        <v>0.70396990740740739</v>
      </c>
      <c r="D5075" s="82"/>
      <c r="E5075" s="82"/>
      <c r="G5075" s="46"/>
      <c r="H5075" s="46">
        <f>IFERROR(TRANSACTIONS!$F5087+TRANSACTIONS!$G5075,"")</f>
        <v>0</v>
      </c>
      <c r="I5075" s="40" t="s">
        <v>41</v>
      </c>
    </row>
    <row r="5076" spans="1:9" x14ac:dyDescent="0.25">
      <c r="B5076" s="48" t="str">
        <f>IF(A5076&lt;&gt;"",DATE(YEAR(TRANSACTIONS!$A5076),MONTH(TRANSACTIONS!$A5076),DAY(TRANSACTIONS!$A5076)),"")</f>
        <v/>
      </c>
      <c r="C5076" s="49" t="str">
        <f>IF(A5076&lt;&gt;"",TIME(HOUR(TRANSACTIONS!$A5076),MINUTE(TRANSACTIONS!$A5076),SECOND(TRANSACTIONS!$A5076)),"")</f>
        <v/>
      </c>
      <c r="D5076" s="82"/>
      <c r="E5076" s="82"/>
      <c r="G5076" s="46"/>
      <c r="H5076" s="46">
        <f>IFERROR(TRANSACTIONS!$F5088+TRANSACTIONS!$G5076,"")</f>
        <v>0</v>
      </c>
      <c r="I5076" s="40" t="s">
        <v>41</v>
      </c>
    </row>
    <row r="5077" spans="1:9" x14ac:dyDescent="0.25">
      <c r="B5077" s="48" t="str">
        <f>IF(A5077&lt;&gt;"",DATE(YEAR(TRANSACTIONS!$A5077),MONTH(TRANSACTIONS!$A5077),DAY(TRANSACTIONS!$A5077)),"")</f>
        <v/>
      </c>
      <c r="C5077" s="49" t="str">
        <f>IF(A5077&lt;&gt;"",TIME(HOUR(TRANSACTIONS!$A5077),MINUTE(TRANSACTIONS!$A5077),SECOND(TRANSACTIONS!$A5077)),"")</f>
        <v/>
      </c>
      <c r="D5077" s="82"/>
      <c r="E5077" s="82"/>
      <c r="F5077" s="40">
        <v>20000</v>
      </c>
      <c r="G5077" s="46"/>
      <c r="H5077" s="46">
        <f>IFERROR(TRANSACTIONS!$F5089+TRANSACTIONS!$G5077,"")</f>
        <v>0</v>
      </c>
      <c r="I5077" s="40" t="s">
        <v>41</v>
      </c>
    </row>
    <row r="5078" spans="1:9" x14ac:dyDescent="0.25">
      <c r="A5078" s="41"/>
      <c r="B5078" s="48" t="str">
        <f>IF(A5078&lt;&gt;"",DATE(YEAR(TRANSACTIONS!$A5078),MONTH(TRANSACTIONS!$A5078),DAY(TRANSACTIONS!$A5078)),"")</f>
        <v/>
      </c>
      <c r="C5078" s="49" t="str">
        <f>IF(A5078&lt;&gt;"",TIME(HOUR(TRANSACTIONS!$A5078),MINUTE(TRANSACTIONS!$A5078),SECOND(TRANSACTIONS!$A5078)),"")</f>
        <v/>
      </c>
      <c r="D5078" s="82"/>
      <c r="E5078" s="82"/>
      <c r="G5078" s="46"/>
      <c r="H5078" s="46">
        <f>IFERROR(TRANSACTIONS!$F5090+TRANSACTIONS!$G5078,"")</f>
        <v>0</v>
      </c>
      <c r="I5078" s="40" t="s">
        <v>41</v>
      </c>
    </row>
    <row r="5079" spans="1:9" x14ac:dyDescent="0.25">
      <c r="A5079" s="41"/>
      <c r="B5079" s="48" t="str">
        <f>IF(A5079&lt;&gt;"",DATE(YEAR(TRANSACTIONS!$A5079),MONTH(TRANSACTIONS!$A5079),DAY(TRANSACTIONS!$A5079)),"")</f>
        <v/>
      </c>
      <c r="C5079" s="49" t="str">
        <f>IF(A5079&lt;&gt;"",TIME(HOUR(TRANSACTIONS!$A5079),MINUTE(TRANSACTIONS!$A5079),SECOND(TRANSACTIONS!$A5079)),"")</f>
        <v/>
      </c>
      <c r="D5079" s="82"/>
      <c r="E5079" s="82"/>
      <c r="G5079" s="46"/>
      <c r="H5079" s="46">
        <f>IFERROR(TRANSACTIONS!$F5091+TRANSACTIONS!$G5079,"")</f>
        <v>0</v>
      </c>
      <c r="I5079" s="40" t="s">
        <v>41</v>
      </c>
    </row>
    <row r="5080" spans="1:9" x14ac:dyDescent="0.25">
      <c r="A5080" s="41"/>
      <c r="B5080" s="48" t="str">
        <f>IF(A5080&lt;&gt;"",DATE(YEAR(TRANSACTIONS!$A5080),MONTH(TRANSACTIONS!$A5080),DAY(TRANSACTIONS!$A5080)),"")</f>
        <v/>
      </c>
      <c r="C5080" s="49" t="str">
        <f>IF(A5080&lt;&gt;"",TIME(HOUR(TRANSACTIONS!$A5080),MINUTE(TRANSACTIONS!$A5080),SECOND(TRANSACTIONS!$A5080)),"")</f>
        <v/>
      </c>
      <c r="D5080" s="82"/>
      <c r="E5080" s="82"/>
      <c r="G5080" s="46"/>
      <c r="H5080" s="46">
        <f>IFERROR(TRANSACTIONS!$F5092+TRANSACTIONS!$G5080,"")</f>
        <v>0</v>
      </c>
      <c r="I5080" s="40" t="s">
        <v>41</v>
      </c>
    </row>
    <row r="5081" spans="1:9" x14ac:dyDescent="0.25">
      <c r="A5081" s="81"/>
      <c r="B5081" s="83" t="str">
        <f>IF(A5081&lt;&gt;"",DATE(YEAR(TRANSACTIONS!$A5081),MONTH(TRANSACTIONS!$A5081),DAY(TRANSACTIONS!$A5081)),"")</f>
        <v/>
      </c>
      <c r="C5081" s="84" t="str">
        <f>IF(A5081&lt;&gt;"",TIME(HOUR(TRANSACTIONS!$A5081),MINUTE(TRANSACTIONS!$A5081),SECOND(TRANSACTIONS!$A5081)),"")</f>
        <v/>
      </c>
      <c r="D5081" s="82"/>
      <c r="E5081" s="82"/>
      <c r="F5081" s="88"/>
      <c r="G5081" s="86"/>
      <c r="H5081" s="86" t="str">
        <f>IFERROR(TRANSACTIONS!#REF!+TRANSACTIONS!$G5081,"")</f>
        <v/>
      </c>
      <c r="I5081" s="88" t="s">
        <v>41</v>
      </c>
    </row>
    <row r="5082" spans="1:9" x14ac:dyDescent="0.25">
      <c r="A5082" s="41"/>
      <c r="B5082" s="48" t="str">
        <f>IF(A5082&lt;&gt;"",DATE(YEAR(TRANSACTIONS!$A5082),MONTH(TRANSACTIONS!$A5082),DAY(TRANSACTIONS!$A5082)),"")</f>
        <v/>
      </c>
      <c r="C5082" s="49" t="str">
        <f>IF(A5082&lt;&gt;"",TIME(HOUR(TRANSACTIONS!$A5082),MINUTE(TRANSACTIONS!$A5082),SECOND(TRANSACTIONS!$A5082)),"")</f>
        <v/>
      </c>
      <c r="D5082" s="82"/>
      <c r="E5082" s="82"/>
      <c r="F5082" s="88"/>
      <c r="G5082" s="46"/>
      <c r="H5082" s="46" t="str">
        <f>IFERROR(TRANSACTIONS!#REF!+TRANSACTIONS!$G5082,"")</f>
        <v/>
      </c>
      <c r="I5082" s="40" t="s">
        <v>41</v>
      </c>
    </row>
    <row r="5083" spans="1:9" x14ac:dyDescent="0.25">
      <c r="A5083" s="41"/>
      <c r="B5083" s="48" t="str">
        <f>IF(A5083&lt;&gt;"",DATE(YEAR(TRANSACTIONS!$A5083),MONTH(TRANSACTIONS!$A5083),DAY(TRANSACTIONS!$A5083)),"")</f>
        <v/>
      </c>
      <c r="C5083" s="49" t="str">
        <f>IF(A5083&lt;&gt;"",TIME(HOUR(TRANSACTIONS!$A5083),MINUTE(TRANSACTIONS!$A5083),SECOND(TRANSACTIONS!$A5083)),"")</f>
        <v/>
      </c>
      <c r="D5083" s="82"/>
      <c r="E5083" s="82"/>
      <c r="F5083" s="88"/>
      <c r="G5083" s="46"/>
      <c r="H5083" s="46" t="str">
        <f>IFERROR(TRANSACTIONS!#REF!+TRANSACTIONS!$G5083,"")</f>
        <v/>
      </c>
      <c r="I5083" s="40" t="s">
        <v>41</v>
      </c>
    </row>
    <row r="5084" spans="1:9" x14ac:dyDescent="0.25">
      <c r="A5084" s="41"/>
      <c r="B5084" s="48" t="str">
        <f>IF(A5084&lt;&gt;"",DATE(YEAR(TRANSACTIONS!$A5084),MONTH(TRANSACTIONS!$A5084),DAY(TRANSACTIONS!$A5084)),"")</f>
        <v/>
      </c>
      <c r="C5084" s="49" t="str">
        <f>IF(A5084&lt;&gt;"",TIME(HOUR(TRANSACTIONS!$A5084),MINUTE(TRANSACTIONS!$A5084),SECOND(TRANSACTIONS!$A5084)),"")</f>
        <v/>
      </c>
      <c r="D5084" s="82"/>
      <c r="E5084" s="82"/>
      <c r="F5084" s="88"/>
      <c r="G5084" s="46"/>
      <c r="H5084" s="46" t="str">
        <f>IFERROR(TRANSACTIONS!#REF!+TRANSACTIONS!$G5084,"")</f>
        <v/>
      </c>
      <c r="I5084" s="40" t="s">
        <v>41</v>
      </c>
    </row>
    <row r="5085" spans="1:9" x14ac:dyDescent="0.25">
      <c r="A5085" s="41"/>
      <c r="B5085" s="48" t="str">
        <f>IF(A5085&lt;&gt;"",DATE(YEAR(TRANSACTIONS!$A5085),MONTH(TRANSACTIONS!$A5085),DAY(TRANSACTIONS!$A5085)),"")</f>
        <v/>
      </c>
      <c r="C5085" s="49" t="str">
        <f>IF(A5085&lt;&gt;"",TIME(HOUR(TRANSACTIONS!$A5085),MINUTE(TRANSACTIONS!$A5085),SECOND(TRANSACTIONS!$A5085)),"")</f>
        <v/>
      </c>
      <c r="D5085" s="82"/>
      <c r="E5085" s="82"/>
      <c r="F5085" s="88"/>
      <c r="G5085" s="46"/>
      <c r="H5085" s="46" t="str">
        <f>IFERROR(TRANSACTIONS!#REF!+TRANSACTIONS!$G5085,"")</f>
        <v/>
      </c>
      <c r="I5085" s="40" t="s">
        <v>41</v>
      </c>
    </row>
    <row r="5086" spans="1:9" x14ac:dyDescent="0.25">
      <c r="A5086" s="41"/>
      <c r="B5086" s="48" t="str">
        <f>IF(A5086&lt;&gt;"",DATE(YEAR(TRANSACTIONS!$A5086),MONTH(TRANSACTIONS!$A5086),DAY(TRANSACTIONS!$A5086)),"")</f>
        <v/>
      </c>
      <c r="C5086" s="49" t="str">
        <f>IF(A5086&lt;&gt;"",TIME(HOUR(TRANSACTIONS!$A5086),MINUTE(TRANSACTIONS!$A5086),SECOND(TRANSACTIONS!$A5086)),"")</f>
        <v/>
      </c>
      <c r="D5086" s="82"/>
      <c r="E5086" s="82"/>
      <c r="F5086" s="88"/>
      <c r="G5086" s="46"/>
      <c r="H5086" s="46" t="str">
        <f>IFERROR(TRANSACTIONS!#REF!+TRANSACTIONS!$G5086,"")</f>
        <v/>
      </c>
      <c r="I5086" s="40" t="s">
        <v>41</v>
      </c>
    </row>
    <row r="5087" spans="1:9" x14ac:dyDescent="0.25">
      <c r="A5087" s="41"/>
      <c r="B5087" s="48" t="str">
        <f>IF(A5087&lt;&gt;"",DATE(YEAR(TRANSACTIONS!$A5087),MONTH(TRANSACTIONS!$A5087),DAY(TRANSACTIONS!$A5087)),"")</f>
        <v/>
      </c>
      <c r="C5087" s="49" t="str">
        <f>IF(A5087&lt;&gt;"",TIME(HOUR(TRANSACTIONS!$A5087),MINUTE(TRANSACTIONS!$A5087),SECOND(TRANSACTIONS!$A5087)),"")</f>
        <v/>
      </c>
      <c r="D5087" s="82"/>
      <c r="E5087" s="82"/>
      <c r="F5087" s="88"/>
      <c r="G5087" s="46"/>
      <c r="H5087" s="46" t="str">
        <f>IFERROR(TRANSACTIONS!#REF!+TRANSACTIONS!$G5087,"")</f>
        <v/>
      </c>
      <c r="I5087" s="40" t="s">
        <v>41</v>
      </c>
    </row>
    <row r="5088" spans="1:9" x14ac:dyDescent="0.25">
      <c r="A5088" s="41"/>
      <c r="B5088" s="48" t="str">
        <f>IF(A5088&lt;&gt;"",DATE(YEAR(TRANSACTIONS!$A5088),MONTH(TRANSACTIONS!$A5088),DAY(TRANSACTIONS!$A5088)),"")</f>
        <v/>
      </c>
      <c r="C5088" s="49" t="str">
        <f>IF(A5088&lt;&gt;"",TIME(HOUR(TRANSACTIONS!$A5088),MINUTE(TRANSACTIONS!$A5088),SECOND(TRANSACTIONS!$A5088)),"")</f>
        <v/>
      </c>
      <c r="D5088" s="82"/>
      <c r="E5088" s="82"/>
      <c r="F5088" s="88"/>
      <c r="G5088" s="46"/>
      <c r="H5088" s="46" t="str">
        <f>IFERROR(TRANSACTIONS!#REF!+TRANSACTIONS!$G5088,"")</f>
        <v/>
      </c>
      <c r="I5088" s="40" t="s">
        <v>41</v>
      </c>
    </row>
    <row r="5089" spans="1:9" x14ac:dyDescent="0.25">
      <c r="A5089" s="41"/>
      <c r="B5089" s="48" t="str">
        <f>IF(A5089&lt;&gt;"",DATE(YEAR(TRANSACTIONS!$A5089),MONTH(TRANSACTIONS!$A5089),DAY(TRANSACTIONS!$A5089)),"")</f>
        <v/>
      </c>
      <c r="C5089" s="49" t="str">
        <f>IF(A5089&lt;&gt;"",TIME(HOUR(TRANSACTIONS!$A5089),MINUTE(TRANSACTIONS!$A5089),SECOND(TRANSACTIONS!$A5089)),"")</f>
        <v/>
      </c>
      <c r="D5089" s="82"/>
      <c r="E5089" s="82"/>
      <c r="F5089" s="88"/>
      <c r="G5089" s="46"/>
      <c r="H5089" s="46" t="str">
        <f>IFERROR(TRANSACTIONS!#REF!+TRANSACTIONS!$G5089,"")</f>
        <v/>
      </c>
      <c r="I5089" s="40" t="s">
        <v>41</v>
      </c>
    </row>
    <row r="5090" spans="1:9" x14ac:dyDescent="0.25">
      <c r="A5090" s="41"/>
      <c r="B5090" s="48" t="str">
        <f>IF(A5090&lt;&gt;"",DATE(YEAR(TRANSACTIONS!$A5090),MONTH(TRANSACTIONS!$A5090),DAY(TRANSACTIONS!$A5090)),"")</f>
        <v/>
      </c>
      <c r="C5090" s="49" t="str">
        <f>IF(A5090&lt;&gt;"",TIME(HOUR(TRANSACTIONS!$A5090),MINUTE(TRANSACTIONS!$A5090),SECOND(TRANSACTIONS!$A5090)),"")</f>
        <v/>
      </c>
      <c r="D5090" s="82"/>
      <c r="E5090" s="82"/>
      <c r="F5090" s="88"/>
      <c r="G5090" s="46"/>
      <c r="H5090" s="46" t="str">
        <f>IFERROR(TRANSACTIONS!#REF!+TRANSACTIONS!$G5090,"")</f>
        <v/>
      </c>
      <c r="I5090" s="40" t="s">
        <v>41</v>
      </c>
    </row>
    <row r="5091" spans="1:9" x14ac:dyDescent="0.25">
      <c r="A5091" s="41"/>
      <c r="B5091" s="48" t="str">
        <f>IF(A5091&lt;&gt;"",DATE(YEAR(TRANSACTIONS!$A5091),MONTH(TRANSACTIONS!$A5091),DAY(TRANSACTIONS!$A5091)),"")</f>
        <v/>
      </c>
      <c r="C5091" s="49" t="str">
        <f>IF(A5091&lt;&gt;"",TIME(HOUR(TRANSACTIONS!$A5091),MINUTE(TRANSACTIONS!$A5091),SECOND(TRANSACTIONS!$A5091)),"")</f>
        <v/>
      </c>
      <c r="D5091" s="82"/>
      <c r="E5091" s="82"/>
      <c r="F5091" s="88"/>
      <c r="G5091" s="46"/>
      <c r="H5091" s="46" t="str">
        <f>IFERROR(TRANSACTIONS!#REF!+TRANSACTIONS!$G5091,"")</f>
        <v/>
      </c>
      <c r="I5091" s="40" t="s">
        <v>41</v>
      </c>
    </row>
    <row r="5092" spans="1:9" x14ac:dyDescent="0.25">
      <c r="A5092" s="41"/>
      <c r="B5092" s="48" t="str">
        <f>IF(A5092&lt;&gt;"",DATE(YEAR(TRANSACTIONS!$A5092),MONTH(TRANSACTIONS!$A5092),DAY(TRANSACTIONS!$A5092)),"")</f>
        <v/>
      </c>
      <c r="C5092" s="49" t="str">
        <f>IF(A5092&lt;&gt;"",TIME(HOUR(TRANSACTIONS!$A5092),MINUTE(TRANSACTIONS!$A5092),SECOND(TRANSACTIONS!$A5092)),"")</f>
        <v/>
      </c>
      <c r="D5092" s="82"/>
      <c r="E5092" s="82"/>
      <c r="F5092" s="88"/>
      <c r="G5092" s="46"/>
      <c r="H5092" s="46" t="str">
        <f>IFERROR(TRANSACTIONS!#REF!+TRANSACTIONS!$G5092,"")</f>
        <v/>
      </c>
      <c r="I5092" s="40" t="s">
        <v>41</v>
      </c>
    </row>
    <row r="5093" spans="1:9" x14ac:dyDescent="0.25">
      <c r="A5093" s="41">
        <v>45384.399060763892</v>
      </c>
      <c r="B5093" s="48">
        <f>IF(A5093&lt;&gt;"",DATE(YEAR(TRANSACTIONS!$A5093),MONTH(TRANSACTIONS!$A5093),DAY(TRANSACTIONS!$A5093)),"")</f>
        <v>45384</v>
      </c>
      <c r="C5093" s="49">
        <f>IF(A5093&lt;&gt;"",TIME(HOUR(TRANSACTIONS!$A5093),MINUTE(TRANSACTIONS!$A5093),SECOND(TRANSACTIONS!$A5093)),"")</f>
        <v>0.39906250000000004</v>
      </c>
      <c r="D5093" s="82" t="s">
        <v>62</v>
      </c>
      <c r="E5093" s="82" t="s">
        <v>6</v>
      </c>
      <c r="F5093" s="88">
        <v>2000</v>
      </c>
      <c r="G5093" s="46"/>
      <c r="H5093" s="46">
        <f>IFERROR(TRANSACTIONS!$F5093+TRANSACTIONS!$G5093,"")</f>
        <v>2000</v>
      </c>
      <c r="I5093" s="40" t="s">
        <v>41</v>
      </c>
    </row>
    <row r="5094" spans="1:9" x14ac:dyDescent="0.25">
      <c r="A5094" s="41">
        <v>45384.399273726849</v>
      </c>
      <c r="B5094" s="48">
        <f>IF(A5094&lt;&gt;"",DATE(YEAR(TRANSACTIONS!$A5094),MONTH(TRANSACTIONS!$A5094),DAY(TRANSACTIONS!$A5094)),"")</f>
        <v>45384</v>
      </c>
      <c r="C5094" s="49">
        <f>IF(A5094&lt;&gt;"",TIME(HOUR(TRANSACTIONS!$A5094),MINUTE(TRANSACTIONS!$A5094),SECOND(TRANSACTIONS!$A5094)),"")</f>
        <v>0.3992708333333333</v>
      </c>
      <c r="D5094" s="82" t="s">
        <v>62</v>
      </c>
      <c r="E5094" s="82" t="s">
        <v>7</v>
      </c>
      <c r="F5094" s="88">
        <v>15000</v>
      </c>
      <c r="G5094" s="46"/>
      <c r="H5094" s="46">
        <f>IFERROR(TRANSACTIONS!$F5094+TRANSACTIONS!$G5094,"")</f>
        <v>15000</v>
      </c>
      <c r="I5094" s="40" t="s">
        <v>41</v>
      </c>
    </row>
    <row r="5095" spans="1:9" x14ac:dyDescent="0.25">
      <c r="A5095" s="41">
        <v>45384.399282060185</v>
      </c>
      <c r="B5095" s="48">
        <f>IF(A5095&lt;&gt;"",DATE(YEAR(TRANSACTIONS!$A5095),MONTH(TRANSACTIONS!$A5095),DAY(TRANSACTIONS!$A5095)),"")</f>
        <v>45384</v>
      </c>
      <c r="C5095" s="49">
        <f>IF(A5095&lt;&gt;"",TIME(HOUR(TRANSACTIONS!$A5095),MINUTE(TRANSACTIONS!$A5095),SECOND(TRANSACTIONS!$A5095)),"")</f>
        <v>0.39928240740740745</v>
      </c>
      <c r="D5095" s="82" t="s">
        <v>62</v>
      </c>
      <c r="E5095" s="82" t="s">
        <v>6</v>
      </c>
      <c r="F5095" s="88">
        <v>5000</v>
      </c>
      <c r="G5095" s="46"/>
      <c r="H5095" s="46">
        <f>IFERROR(TRANSACTIONS!$F5095+TRANSACTIONS!$G5095,"")</f>
        <v>5000</v>
      </c>
      <c r="I5095" s="40" t="s">
        <v>41</v>
      </c>
    </row>
    <row r="5096" spans="1:9" x14ac:dyDescent="0.25">
      <c r="A5096" s="41">
        <v>45384.39929050926</v>
      </c>
      <c r="B5096" s="48">
        <f>IF(A5096&lt;&gt;"",DATE(YEAR(TRANSACTIONS!$A5096),MONTH(TRANSACTIONS!$A5096),DAY(TRANSACTIONS!$A5096)),"")</f>
        <v>45384</v>
      </c>
      <c r="C5096" s="49">
        <f>IF(A5096&lt;&gt;"",TIME(HOUR(TRANSACTIONS!$A5096),MINUTE(TRANSACTIONS!$A5096),SECOND(TRANSACTIONS!$A5096)),"")</f>
        <v>0.39929398148148149</v>
      </c>
      <c r="D5096" s="82" t="s">
        <v>62</v>
      </c>
      <c r="E5096" s="82" t="s">
        <v>7</v>
      </c>
      <c r="F5096" s="88">
        <v>1000</v>
      </c>
      <c r="G5096" s="46"/>
      <c r="H5096" s="46">
        <f>IFERROR(TRANSACTIONS!$F5096+TRANSACTIONS!$G5096,"")</f>
        <v>1000</v>
      </c>
      <c r="I5096" s="40" t="s">
        <v>41</v>
      </c>
    </row>
    <row r="5097" spans="1:9" x14ac:dyDescent="0.25">
      <c r="A5097" s="41">
        <v>45384.399299999997</v>
      </c>
      <c r="B5097" s="48">
        <f>IF(A5097&lt;&gt;"",DATE(YEAR(TRANSACTIONS!$A5097),MONTH(TRANSACTIONS!$A5097),DAY(TRANSACTIONS!$A5097)),"")</f>
        <v>45384</v>
      </c>
      <c r="C5097" s="49">
        <f>IF(A5097&lt;&gt;"",TIME(HOUR(TRANSACTIONS!$A5097),MINUTE(TRANSACTIONS!$A5097),SECOND(TRANSACTIONS!$A5097)),"")</f>
        <v>0.39930555555555558</v>
      </c>
      <c r="D5097" s="82" t="s">
        <v>62</v>
      </c>
      <c r="E5097" s="82" t="s">
        <v>6</v>
      </c>
      <c r="F5097" s="88">
        <v>10000</v>
      </c>
      <c r="G5097" s="46"/>
      <c r="H5097" s="46">
        <f>IFERROR(TRANSACTIONS!$F5097+TRANSACTIONS!$G5097,"")</f>
        <v>10000</v>
      </c>
      <c r="I5097" s="40" t="s">
        <v>41</v>
      </c>
    </row>
    <row r="5098" spans="1:9" x14ac:dyDescent="0.25">
      <c r="A5098" s="41">
        <v>45384.399314467591</v>
      </c>
      <c r="B5098" s="48">
        <f>IF(A5098&lt;&gt;"",DATE(YEAR(TRANSACTIONS!$A5098),MONTH(TRANSACTIONS!$A5098),DAY(TRANSACTIONS!$A5098)),"")</f>
        <v>45384</v>
      </c>
      <c r="C5098" s="49">
        <f>IF(A5098&lt;&gt;"",TIME(HOUR(TRANSACTIONS!$A5098),MINUTE(TRANSACTIONS!$A5098),SECOND(TRANSACTIONS!$A5098)),"")</f>
        <v>0.39931712962962962</v>
      </c>
      <c r="D5098" s="82" t="s">
        <v>62</v>
      </c>
      <c r="E5098" s="82" t="s">
        <v>6</v>
      </c>
      <c r="F5098" s="88">
        <v>5650</v>
      </c>
      <c r="G5098" s="46"/>
      <c r="H5098" s="46">
        <f>IFERROR(TRANSACTIONS!$F5098+TRANSACTIONS!$G5098,"")</f>
        <v>5650</v>
      </c>
      <c r="I5098" s="40" t="s">
        <v>41</v>
      </c>
    </row>
    <row r="5099" spans="1:9" x14ac:dyDescent="0.25">
      <c r="A5099" s="41">
        <v>45384.399322569443</v>
      </c>
      <c r="B5099" s="48">
        <f>IF(A5099&lt;&gt;"",DATE(YEAR(TRANSACTIONS!$A5099),MONTH(TRANSACTIONS!$A5099),DAY(TRANSACTIONS!$A5099)),"")</f>
        <v>45384</v>
      </c>
      <c r="C5099" s="49">
        <f>IF(A5099&lt;&gt;"",TIME(HOUR(TRANSACTIONS!$A5099),MINUTE(TRANSACTIONS!$A5099),SECOND(TRANSACTIONS!$A5099)),"")</f>
        <v>0.39931712962962962</v>
      </c>
      <c r="D5099" s="82" t="s">
        <v>62</v>
      </c>
      <c r="E5099" s="82" t="s">
        <v>6</v>
      </c>
      <c r="F5099" s="88">
        <v>4050</v>
      </c>
      <c r="G5099" s="46"/>
      <c r="H5099" s="46">
        <f>IFERROR(TRANSACTIONS!$F5099+TRANSACTIONS!$G5099,"")</f>
        <v>4050</v>
      </c>
      <c r="I5099" s="40" t="s">
        <v>41</v>
      </c>
    </row>
    <row r="5100" spans="1:9" x14ac:dyDescent="0.25">
      <c r="A5100" s="41">
        <v>45384.399330208333</v>
      </c>
      <c r="B5100" s="48">
        <f>IF(A5100&lt;&gt;"",DATE(YEAR(TRANSACTIONS!$A5100),MONTH(TRANSACTIONS!$A5100),DAY(TRANSACTIONS!$A5100)),"")</f>
        <v>45384</v>
      </c>
      <c r="C5100" s="49">
        <f>IF(A5100&lt;&gt;"",TIME(HOUR(TRANSACTIONS!$A5100),MINUTE(TRANSACTIONS!$A5100),SECOND(TRANSACTIONS!$A5100)),"")</f>
        <v>0.39932870370370371</v>
      </c>
      <c r="D5100" s="82" t="s">
        <v>62</v>
      </c>
      <c r="E5100" s="82" t="s">
        <v>7</v>
      </c>
      <c r="F5100" s="88">
        <v>10000</v>
      </c>
      <c r="G5100" s="46"/>
      <c r="H5100" s="46">
        <f>IFERROR(TRANSACTIONS!$F5100+TRANSACTIONS!$G5100,"")</f>
        <v>10000</v>
      </c>
      <c r="I5100" s="40" t="s">
        <v>41</v>
      </c>
    </row>
    <row r="5101" spans="1:9" x14ac:dyDescent="0.25">
      <c r="A5101" s="41">
        <v>45384.420553356482</v>
      </c>
      <c r="B5101" s="48">
        <f>IF(A5101&lt;&gt;"",DATE(YEAR(TRANSACTIONS!$A5101),MONTH(TRANSACTIONS!$A5101),DAY(TRANSACTIONS!$A5101)),"")</f>
        <v>45384</v>
      </c>
      <c r="C5101" s="49">
        <f>IF(A5101&lt;&gt;"",TIME(HOUR(TRANSACTIONS!$A5101),MINUTE(TRANSACTIONS!$A5101),SECOND(TRANSACTIONS!$A5101)),"")</f>
        <v>0.42055555555555557</v>
      </c>
      <c r="D5101" s="82" t="s">
        <v>62</v>
      </c>
      <c r="E5101" s="82" t="s">
        <v>7</v>
      </c>
      <c r="F5101" s="88">
        <v>20000</v>
      </c>
      <c r="G5101" s="46"/>
      <c r="H5101" s="46">
        <f>IFERROR(TRANSACTIONS!$F5101+TRANSACTIONS!$G5101,"")</f>
        <v>20000</v>
      </c>
      <c r="I5101" s="40" t="s">
        <v>41</v>
      </c>
    </row>
    <row r="5102" spans="1:9" x14ac:dyDescent="0.25">
      <c r="A5102" s="41">
        <v>45384.420564930559</v>
      </c>
      <c r="B5102" s="48">
        <f>IF(A5102&lt;&gt;"",DATE(YEAR(TRANSACTIONS!$A5102),MONTH(TRANSACTIONS!$A5102),DAY(TRANSACTIONS!$A5102)),"")</f>
        <v>45384</v>
      </c>
      <c r="C5102" s="49">
        <f>IF(A5102&lt;&gt;"",TIME(HOUR(TRANSACTIONS!$A5102),MINUTE(TRANSACTIONS!$A5102),SECOND(TRANSACTIONS!$A5102)),"")</f>
        <v>0.42056712962962961</v>
      </c>
      <c r="D5102" s="82" t="s">
        <v>62</v>
      </c>
      <c r="E5102" s="82" t="s">
        <v>7</v>
      </c>
      <c r="F5102" s="88">
        <v>5000</v>
      </c>
      <c r="G5102" s="46"/>
      <c r="H5102" s="46">
        <f>IFERROR(TRANSACTIONS!$F5102+TRANSACTIONS!$G5102,"")</f>
        <v>5000</v>
      </c>
      <c r="I5102" s="40" t="s">
        <v>41</v>
      </c>
    </row>
    <row r="5103" spans="1:9" x14ac:dyDescent="0.25">
      <c r="A5103" s="41">
        <v>45384.420613425929</v>
      </c>
      <c r="B5103" s="48">
        <f>IF(A5103&lt;&gt;"",DATE(YEAR(TRANSACTIONS!$A5103),MONTH(TRANSACTIONS!$A5103),DAY(TRANSACTIONS!$A5103)),"")</f>
        <v>45384</v>
      </c>
      <c r="C5103" s="49">
        <f>IF(A5103&lt;&gt;"",TIME(HOUR(TRANSACTIONS!$A5103),MINUTE(TRANSACTIONS!$A5103),SECOND(TRANSACTIONS!$A5103)),"")</f>
        <v>0.42061342592592593</v>
      </c>
      <c r="D5103" s="82" t="s">
        <v>62</v>
      </c>
      <c r="E5103" s="82" t="s">
        <v>7</v>
      </c>
      <c r="F5103" s="88">
        <v>1000</v>
      </c>
      <c r="G5103" s="46"/>
      <c r="H5103" s="46">
        <f>IFERROR(TRANSACTIONS!$F5103+TRANSACTIONS!$G5103,"")</f>
        <v>1000</v>
      </c>
      <c r="I5103" s="40" t="s">
        <v>41</v>
      </c>
    </row>
    <row r="5104" spans="1:9" x14ac:dyDescent="0.25">
      <c r="A5104" s="41">
        <v>45384.420621874997</v>
      </c>
      <c r="B5104" s="48">
        <f>IF(A5104&lt;&gt;"",DATE(YEAR(TRANSACTIONS!$A5104),MONTH(TRANSACTIONS!$A5104),DAY(TRANSACTIONS!$A5104)),"")</f>
        <v>45384</v>
      </c>
      <c r="C5104" s="49">
        <f>IF(A5104&lt;&gt;"",TIME(HOUR(TRANSACTIONS!$A5104),MINUTE(TRANSACTIONS!$A5104),SECOND(TRANSACTIONS!$A5104)),"")</f>
        <v>0.42062500000000003</v>
      </c>
      <c r="D5104" s="82" t="s">
        <v>62</v>
      </c>
      <c r="E5104" s="82" t="s">
        <v>6</v>
      </c>
      <c r="F5104" s="88">
        <v>1500</v>
      </c>
      <c r="G5104" s="46"/>
      <c r="H5104" s="46">
        <f>IFERROR(TRANSACTIONS!$F5104+TRANSACTIONS!$G5104,"")</f>
        <v>1500</v>
      </c>
      <c r="I5104" s="40" t="s">
        <v>41</v>
      </c>
    </row>
    <row r="5105" spans="1:9" x14ac:dyDescent="0.25">
      <c r="A5105" s="41">
        <v>45384.420629513887</v>
      </c>
      <c r="B5105" s="48">
        <f>IF(A5105&lt;&gt;"",DATE(YEAR(TRANSACTIONS!$A5105),MONTH(TRANSACTIONS!$A5105),DAY(TRANSACTIONS!$A5105)),"")</f>
        <v>45384</v>
      </c>
      <c r="C5105" s="49">
        <f>IF(A5105&lt;&gt;"",TIME(HOUR(TRANSACTIONS!$A5105),MINUTE(TRANSACTIONS!$A5105),SECOND(TRANSACTIONS!$A5105)),"")</f>
        <v>0.42062500000000003</v>
      </c>
      <c r="D5105" s="82" t="s">
        <v>62</v>
      </c>
      <c r="E5105" s="82" t="s">
        <v>7</v>
      </c>
      <c r="F5105" s="88">
        <v>10000</v>
      </c>
      <c r="G5105" s="46"/>
      <c r="H5105" s="46">
        <f>IFERROR(TRANSACTIONS!$F5105+TRANSACTIONS!$G5105,"")</f>
        <v>10000</v>
      </c>
      <c r="I5105" s="40" t="s">
        <v>41</v>
      </c>
    </row>
    <row r="5106" spans="1:9" x14ac:dyDescent="0.25">
      <c r="A5106" s="41">
        <v>45384.420639467593</v>
      </c>
      <c r="B5106" s="48">
        <f>IF(A5106&lt;&gt;"",DATE(YEAR(TRANSACTIONS!$A5106),MONTH(TRANSACTIONS!$A5106),DAY(TRANSACTIONS!$A5106)),"")</f>
        <v>45384</v>
      </c>
      <c r="C5106" s="49">
        <f>IF(A5106&lt;&gt;"",TIME(HOUR(TRANSACTIONS!$A5106),MINUTE(TRANSACTIONS!$A5106),SECOND(TRANSACTIONS!$A5106)),"")</f>
        <v>0.42063657407407407</v>
      </c>
      <c r="D5106" s="82" t="s">
        <v>62</v>
      </c>
      <c r="E5106" s="82" t="s">
        <v>6</v>
      </c>
      <c r="F5106" s="88">
        <v>2000</v>
      </c>
      <c r="G5106" s="46"/>
      <c r="H5106" s="46">
        <f>IFERROR(TRANSACTIONS!$F5106+TRANSACTIONS!$G5106,"")</f>
        <v>2000</v>
      </c>
      <c r="I5106" s="40" t="s">
        <v>41</v>
      </c>
    </row>
    <row r="5107" spans="1:9" x14ac:dyDescent="0.25">
      <c r="A5107" s="81">
        <v>45384.420647916668</v>
      </c>
      <c r="B5107" s="83">
        <f>IF(A5107&lt;&gt;"",DATE(YEAR(TRANSACTIONS!$A5107),MONTH(TRANSACTIONS!$A5107),DAY(TRANSACTIONS!$A5107)),"")</f>
        <v>45384</v>
      </c>
      <c r="C5107" s="84">
        <f>IF(A5107&lt;&gt;"",TIME(HOUR(TRANSACTIONS!$A5107),MINUTE(TRANSACTIONS!$A5107),SECOND(TRANSACTIONS!$A5107)),"")</f>
        <v>0.42064814814814816</v>
      </c>
      <c r="D5107" s="82" t="s">
        <v>62</v>
      </c>
      <c r="E5107" s="82" t="s">
        <v>6</v>
      </c>
      <c r="F5107" s="88">
        <v>5000</v>
      </c>
      <c r="G5107" s="86"/>
      <c r="H5107" s="86">
        <f>IFERROR(TRANSACTIONS!$F5107+TRANSACTIONS!$G5107,"")</f>
        <v>5000</v>
      </c>
      <c r="I5107" s="88" t="s">
        <v>41</v>
      </c>
    </row>
    <row r="5108" spans="1:9" x14ac:dyDescent="0.25">
      <c r="A5108" s="41">
        <v>45384.420656249997</v>
      </c>
      <c r="B5108" s="48">
        <f>IF(A5108&lt;&gt;"",DATE(YEAR(TRANSACTIONS!$A5108),MONTH(TRANSACTIONS!$A5108),DAY(TRANSACTIONS!$A5108)),"")</f>
        <v>45384</v>
      </c>
      <c r="C5108" s="49">
        <f>IF(A5108&lt;&gt;"",TIME(HOUR(TRANSACTIONS!$A5108),MINUTE(TRANSACTIONS!$A5108),SECOND(TRANSACTIONS!$A5108)),"")</f>
        <v>0.4206597222222222</v>
      </c>
      <c r="D5108" s="82" t="s">
        <v>25</v>
      </c>
      <c r="E5108" s="82" t="s">
        <v>6</v>
      </c>
      <c r="F5108" s="88">
        <v>5000</v>
      </c>
      <c r="G5108" s="46"/>
      <c r="H5108" s="46">
        <f>IFERROR(TRANSACTIONS!$F5108+TRANSACTIONS!$G5108,"")</f>
        <v>5000</v>
      </c>
      <c r="I5108" s="40" t="s">
        <v>41</v>
      </c>
    </row>
    <row r="5109" spans="1:9" x14ac:dyDescent="0.25">
      <c r="A5109" s="41">
        <v>45384.420677199072</v>
      </c>
      <c r="B5109" s="48">
        <f>IF(A5109&lt;&gt;"",DATE(YEAR(TRANSACTIONS!$A5109),MONTH(TRANSACTIONS!$A5109),DAY(TRANSACTIONS!$A5109)),"")</f>
        <v>45384</v>
      </c>
      <c r="C5109" s="49">
        <f>IF(A5109&lt;&gt;"",TIME(HOUR(TRANSACTIONS!$A5109),MINUTE(TRANSACTIONS!$A5109),SECOND(TRANSACTIONS!$A5109)),"")</f>
        <v>0.42068287037037039</v>
      </c>
      <c r="D5109" s="82" t="s">
        <v>25</v>
      </c>
      <c r="E5109" s="82" t="s">
        <v>6</v>
      </c>
      <c r="F5109" s="88">
        <v>3500</v>
      </c>
      <c r="G5109" s="46"/>
      <c r="H5109" s="46">
        <f>IFERROR(TRANSACTIONS!$F5109+TRANSACTIONS!$G5109,"")</f>
        <v>3500</v>
      </c>
      <c r="I5109" s="40" t="s">
        <v>41</v>
      </c>
    </row>
    <row r="5110" spans="1:9" x14ac:dyDescent="0.25">
      <c r="A5110" s="41">
        <v>45384.420687731479</v>
      </c>
      <c r="B5110" s="48">
        <f>IF(A5110&lt;&gt;"",DATE(YEAR(TRANSACTIONS!$A5110),MONTH(TRANSACTIONS!$A5110),DAY(TRANSACTIONS!$A5110)),"")</f>
        <v>45384</v>
      </c>
      <c r="C5110" s="49">
        <f>IF(A5110&lt;&gt;"",TIME(HOUR(TRANSACTIONS!$A5110),MINUTE(TRANSACTIONS!$A5110),SECOND(TRANSACTIONS!$A5110)),"")</f>
        <v>0.42068287037037039</v>
      </c>
      <c r="D5110" s="82" t="s">
        <v>25</v>
      </c>
      <c r="E5110" s="82" t="s">
        <v>6</v>
      </c>
      <c r="F5110" s="88">
        <v>13000</v>
      </c>
      <c r="G5110" s="46"/>
      <c r="H5110" s="46">
        <f>IFERROR(TRANSACTIONS!$F5110+TRANSACTIONS!$G5110,"")</f>
        <v>13000</v>
      </c>
      <c r="I5110" s="40" t="s">
        <v>41</v>
      </c>
    </row>
    <row r="5111" spans="1:9" x14ac:dyDescent="0.25">
      <c r="A5111" s="41">
        <v>45384.420709259262</v>
      </c>
      <c r="B5111" s="48">
        <f>IF(A5111&lt;&gt;"",DATE(YEAR(TRANSACTIONS!$A5111),MONTH(TRANSACTIONS!$A5111),DAY(TRANSACTIONS!$A5111)),"")</f>
        <v>45384</v>
      </c>
      <c r="C5111" s="49">
        <f>IF(A5111&lt;&gt;"",TIME(HOUR(TRANSACTIONS!$A5111),MINUTE(TRANSACTIONS!$A5111),SECOND(TRANSACTIONS!$A5111)),"")</f>
        <v>0.42070601851851852</v>
      </c>
      <c r="D5111" s="82" t="s">
        <v>25</v>
      </c>
      <c r="E5111" s="82" t="s">
        <v>6</v>
      </c>
      <c r="F5111" s="88">
        <v>3000</v>
      </c>
      <c r="G5111" s="46"/>
      <c r="H5111" s="46">
        <f>IFERROR(TRANSACTIONS!$F5111+TRANSACTIONS!$G5111,"")</f>
        <v>3000</v>
      </c>
      <c r="I5111" s="40" t="s">
        <v>41</v>
      </c>
    </row>
    <row r="5112" spans="1:9" x14ac:dyDescent="0.25">
      <c r="A5112" s="41">
        <v>45384.535893865737</v>
      </c>
      <c r="B5112" s="48">
        <f>IF(A5112&lt;&gt;"",DATE(YEAR(TRANSACTIONS!$A5112),MONTH(TRANSACTIONS!$A5112),DAY(TRANSACTIONS!$A5112)),"")</f>
        <v>45384</v>
      </c>
      <c r="C5112" s="49">
        <f>IF(A5112&lt;&gt;"",TIME(HOUR(TRANSACTIONS!$A5112),MINUTE(TRANSACTIONS!$A5112),SECOND(TRANSACTIONS!$A5112)),"")</f>
        <v>0.53589120370370369</v>
      </c>
      <c r="D5112" s="82" t="s">
        <v>62</v>
      </c>
      <c r="E5112" s="82" t="s">
        <v>7</v>
      </c>
      <c r="F5112" s="88">
        <v>11000</v>
      </c>
      <c r="G5112" s="46"/>
      <c r="H5112" s="46">
        <f>IFERROR(TRANSACTIONS!$F5112+TRANSACTIONS!$G5112,"")</f>
        <v>11000</v>
      </c>
      <c r="I5112" s="40" t="s">
        <v>41</v>
      </c>
    </row>
    <row r="5113" spans="1:9" x14ac:dyDescent="0.25">
      <c r="A5113" s="113">
        <v>45384.535908333331</v>
      </c>
      <c r="B5113" s="114">
        <f>IF(A5113&lt;&gt;"",DATE(YEAR(TRANSACTIONS!$A5113),MONTH(TRANSACTIONS!$A5113),DAY(TRANSACTIONS!$A5113)),"")</f>
        <v>45384</v>
      </c>
      <c r="C5113" s="115">
        <f>IF(A5113&lt;&gt;"",TIME(HOUR(TRANSACTIONS!$A5113),MINUTE(TRANSACTIONS!$A5113),SECOND(TRANSACTIONS!$A5113)),"")</f>
        <v>0.53590277777777773</v>
      </c>
      <c r="D5113" s="82" t="s">
        <v>62</v>
      </c>
      <c r="E5113" s="82" t="s">
        <v>7</v>
      </c>
      <c r="F5113" s="88">
        <v>15500</v>
      </c>
      <c r="G5113" s="117"/>
      <c r="H5113" s="117">
        <f>IFERROR(TRANSACTIONS!$F5113+TRANSACTIONS!$G5113,"")</f>
        <v>15500</v>
      </c>
      <c r="I5113" s="118" t="s">
        <v>41</v>
      </c>
    </row>
    <row r="5114" spans="1:9" x14ac:dyDescent="0.25">
      <c r="A5114" s="81">
        <v>45384.535917013891</v>
      </c>
      <c r="B5114" s="83">
        <f>IF(A5114&lt;&gt;"",DATE(YEAR(TRANSACTIONS!$A5114),MONTH(TRANSACTIONS!$A5114),DAY(TRANSACTIONS!$A5114)),"")</f>
        <v>45384</v>
      </c>
      <c r="C5114" s="84">
        <f>IF(A5114&lt;&gt;"",TIME(HOUR(TRANSACTIONS!$A5114),MINUTE(TRANSACTIONS!$A5114),SECOND(TRANSACTIONS!$A5114)),"")</f>
        <v>0.53591435185185188</v>
      </c>
      <c r="D5114" s="82" t="s">
        <v>62</v>
      </c>
      <c r="E5114" s="82" t="s">
        <v>7</v>
      </c>
      <c r="F5114" s="88">
        <v>20000</v>
      </c>
      <c r="G5114" s="86"/>
      <c r="H5114" s="86">
        <f>IFERROR(TRANSACTIONS!$F5114+TRANSACTIONS!$G5114,"")</f>
        <v>20000</v>
      </c>
      <c r="I5114" s="88" t="s">
        <v>41</v>
      </c>
    </row>
    <row r="5115" spans="1:9" x14ac:dyDescent="0.25">
      <c r="A5115" s="41">
        <v>45384.535924189811</v>
      </c>
      <c r="B5115" s="48">
        <f>IF(A5115&lt;&gt;"",DATE(YEAR(TRANSACTIONS!$A5115),MONTH(TRANSACTIONS!$A5115),DAY(TRANSACTIONS!$A5115)),"")</f>
        <v>45384</v>
      </c>
      <c r="C5115" s="49">
        <f>IF(A5115&lt;&gt;"",TIME(HOUR(TRANSACTIONS!$A5115),MINUTE(TRANSACTIONS!$A5115),SECOND(TRANSACTIONS!$A5115)),"")</f>
        <v>0.53592592592592592</v>
      </c>
      <c r="D5115" s="82" t="s">
        <v>62</v>
      </c>
      <c r="E5115" s="82" t="s">
        <v>7</v>
      </c>
      <c r="F5115" s="88">
        <v>3000</v>
      </c>
      <c r="G5115" s="46"/>
      <c r="H5115" s="46">
        <f>IFERROR(TRANSACTIONS!$F5115+TRANSACTIONS!$G5115,"")</f>
        <v>3000</v>
      </c>
      <c r="I5115" s="40" t="s">
        <v>41</v>
      </c>
    </row>
    <row r="5116" spans="1:9" x14ac:dyDescent="0.25">
      <c r="A5116" s="41">
        <v>45384.535931134262</v>
      </c>
      <c r="B5116" s="48">
        <f>IF(A5116&lt;&gt;"",DATE(YEAR(TRANSACTIONS!$A5116),MONTH(TRANSACTIONS!$A5116),DAY(TRANSACTIONS!$A5116)),"")</f>
        <v>45384</v>
      </c>
      <c r="C5116" s="49">
        <f>IF(A5116&lt;&gt;"",TIME(HOUR(TRANSACTIONS!$A5116),MINUTE(TRANSACTIONS!$A5116),SECOND(TRANSACTIONS!$A5116)),"")</f>
        <v>0.53592592592592592</v>
      </c>
      <c r="D5116" s="82" t="s">
        <v>62</v>
      </c>
      <c r="E5116" s="82" t="s">
        <v>7</v>
      </c>
      <c r="F5116" s="88">
        <v>500</v>
      </c>
      <c r="G5116" s="46"/>
      <c r="H5116" s="46">
        <f>IFERROR(TRANSACTIONS!$F5116+TRANSACTIONS!$G5116,"")</f>
        <v>500</v>
      </c>
      <c r="I5116" s="40" t="s">
        <v>41</v>
      </c>
    </row>
    <row r="5117" spans="1:9" x14ac:dyDescent="0.25">
      <c r="A5117" s="41">
        <v>45384.53593784722</v>
      </c>
      <c r="B5117" s="48">
        <f>IF(A5117&lt;&gt;"",DATE(YEAR(TRANSACTIONS!$A5117),MONTH(TRANSACTIONS!$A5117),DAY(TRANSACTIONS!$A5117)),"")</f>
        <v>45384</v>
      </c>
      <c r="C5117" s="49">
        <f>IF(A5117&lt;&gt;"",TIME(HOUR(TRANSACTIONS!$A5117),MINUTE(TRANSACTIONS!$A5117),SECOND(TRANSACTIONS!$A5117)),"")</f>
        <v>0.53593750000000007</v>
      </c>
      <c r="D5117" s="82" t="s">
        <v>62</v>
      </c>
      <c r="E5117" s="82" t="s">
        <v>6</v>
      </c>
      <c r="F5117" s="88">
        <v>1100</v>
      </c>
      <c r="G5117" s="46"/>
      <c r="H5117" s="46">
        <f>IFERROR(TRANSACTIONS!$F5117+TRANSACTIONS!$G5117,"")</f>
        <v>1100</v>
      </c>
      <c r="I5117" s="40" t="s">
        <v>41</v>
      </c>
    </row>
    <row r="5118" spans="1:9" x14ac:dyDescent="0.25">
      <c r="A5118" s="41">
        <v>45384.535944791663</v>
      </c>
      <c r="B5118" s="48">
        <f>IF(A5118&lt;&gt;"",DATE(YEAR(TRANSACTIONS!$A5118),MONTH(TRANSACTIONS!$A5118),DAY(TRANSACTIONS!$A5118)),"")</f>
        <v>45384</v>
      </c>
      <c r="C5118" s="49">
        <f>IF(A5118&lt;&gt;"",TIME(HOUR(TRANSACTIONS!$A5118),MINUTE(TRANSACTIONS!$A5118),SECOND(TRANSACTIONS!$A5118)),"")</f>
        <v>0.53594907407407411</v>
      </c>
      <c r="D5118" s="82" t="s">
        <v>62</v>
      </c>
      <c r="E5118" s="82" t="s">
        <v>6</v>
      </c>
      <c r="F5118" s="88">
        <v>7500</v>
      </c>
      <c r="G5118" s="46"/>
      <c r="H5118" s="46">
        <f>IFERROR(TRANSACTIONS!$F5118+TRANSACTIONS!$G5118,"")</f>
        <v>7500</v>
      </c>
      <c r="I5118" s="40" t="s">
        <v>41</v>
      </c>
    </row>
    <row r="5119" spans="1:9" x14ac:dyDescent="0.25">
      <c r="A5119" s="41">
        <v>45384.535952199076</v>
      </c>
      <c r="B5119" s="48">
        <f>IF(A5119&lt;&gt;"",DATE(YEAR(TRANSACTIONS!$A5119),MONTH(TRANSACTIONS!$A5119),DAY(TRANSACTIONS!$A5119)),"")</f>
        <v>45384</v>
      </c>
      <c r="C5119" s="49">
        <f>IF(A5119&lt;&gt;"",TIME(HOUR(TRANSACTIONS!$A5119),MINUTE(TRANSACTIONS!$A5119),SECOND(TRANSACTIONS!$A5119)),"")</f>
        <v>0.53594907407407411</v>
      </c>
      <c r="D5119" s="82" t="s">
        <v>62</v>
      </c>
      <c r="E5119" s="82" t="s">
        <v>7</v>
      </c>
      <c r="F5119" s="88">
        <v>5000</v>
      </c>
      <c r="G5119" s="46"/>
      <c r="H5119" s="46">
        <f>IFERROR(TRANSACTIONS!$F5119+TRANSACTIONS!$G5119,"")</f>
        <v>5000</v>
      </c>
      <c r="I5119" s="40" t="s">
        <v>41</v>
      </c>
    </row>
    <row r="5120" spans="1:9" x14ac:dyDescent="0.25">
      <c r="A5120" s="41">
        <v>45384.535958912034</v>
      </c>
      <c r="B5120" s="48">
        <f>IF(A5120&lt;&gt;"",DATE(YEAR(TRANSACTIONS!$A5120),MONTH(TRANSACTIONS!$A5120),DAY(TRANSACTIONS!$A5120)),"")</f>
        <v>45384</v>
      </c>
      <c r="C5120" s="49">
        <f>IF(A5120&lt;&gt;"",TIME(HOUR(TRANSACTIONS!$A5120),MINUTE(TRANSACTIONS!$A5120),SECOND(TRANSACTIONS!$A5120)),"")</f>
        <v>0.53596064814814814</v>
      </c>
      <c r="D5120" s="82" t="s">
        <v>62</v>
      </c>
      <c r="E5120" s="82" t="s">
        <v>6</v>
      </c>
      <c r="F5120" s="88">
        <v>5000</v>
      </c>
      <c r="G5120" s="46"/>
      <c r="H5120" s="46">
        <f>IFERROR(TRANSACTIONS!$F5120+TRANSACTIONS!$G5120,"")</f>
        <v>5000</v>
      </c>
      <c r="I5120" s="40" t="s">
        <v>41</v>
      </c>
    </row>
    <row r="5121" spans="1:9" x14ac:dyDescent="0.25">
      <c r="A5121" s="41">
        <v>45384.538077199075</v>
      </c>
      <c r="B5121" s="48">
        <f>IF(A5121&lt;&gt;"",DATE(YEAR(TRANSACTIONS!$A5121),MONTH(TRANSACTIONS!$A5121),DAY(TRANSACTIONS!$A5121)),"")</f>
        <v>45384</v>
      </c>
      <c r="C5121" s="49">
        <f>IF(A5121&lt;&gt;"",TIME(HOUR(TRANSACTIONS!$A5121),MINUTE(TRANSACTIONS!$A5121),SECOND(TRANSACTIONS!$A5121)),"")</f>
        <v>0.5380787037037037</v>
      </c>
      <c r="D5121" s="82" t="s">
        <v>62</v>
      </c>
      <c r="E5121" s="82" t="s">
        <v>6</v>
      </c>
      <c r="F5121" s="88">
        <v>5000</v>
      </c>
      <c r="G5121" s="46"/>
      <c r="H5121" s="46">
        <f>IFERROR(TRANSACTIONS!$F5121+TRANSACTIONS!$G5121,"")</f>
        <v>5000</v>
      </c>
      <c r="I5121" s="40" t="s">
        <v>41</v>
      </c>
    </row>
    <row r="5122" spans="1:9" x14ac:dyDescent="0.25">
      <c r="A5122" s="41">
        <v>45384.538109953704</v>
      </c>
      <c r="B5122" s="48">
        <f>IF(A5122&lt;&gt;"",DATE(YEAR(TRANSACTIONS!$A5122),MONTH(TRANSACTIONS!$A5122),DAY(TRANSACTIONS!$A5122)),"")</f>
        <v>45384</v>
      </c>
      <c r="C5122" s="49">
        <f>IF(A5122&lt;&gt;"",TIME(HOUR(TRANSACTIONS!$A5122),MINUTE(TRANSACTIONS!$A5122),SECOND(TRANSACTIONS!$A5122)),"")</f>
        <v>0.53811342592592593</v>
      </c>
      <c r="D5122" s="82" t="s">
        <v>62</v>
      </c>
      <c r="E5122" s="82" t="s">
        <v>7</v>
      </c>
      <c r="F5122" s="88">
        <v>1000</v>
      </c>
      <c r="G5122" s="46"/>
      <c r="H5122" s="46">
        <f>IFERROR(TRANSACTIONS!$F5122+TRANSACTIONS!$G5122,"")</f>
        <v>1000</v>
      </c>
      <c r="I5122" s="40" t="s">
        <v>41</v>
      </c>
    </row>
    <row r="5123" spans="1:9" x14ac:dyDescent="0.25">
      <c r="A5123" s="41">
        <v>45384.538118750002</v>
      </c>
      <c r="B5123" s="48">
        <f>IF(A5123&lt;&gt;"",DATE(YEAR(TRANSACTIONS!$A5123),MONTH(TRANSACTIONS!$A5123),DAY(TRANSACTIONS!$A5123)),"")</f>
        <v>45384</v>
      </c>
      <c r="C5123" s="49">
        <f>IF(A5123&lt;&gt;"",TIME(HOUR(TRANSACTIONS!$A5123),MINUTE(TRANSACTIONS!$A5123),SECOND(TRANSACTIONS!$A5123)),"")</f>
        <v>0.53811342592592593</v>
      </c>
      <c r="D5123" s="82" t="s">
        <v>62</v>
      </c>
      <c r="E5123" s="82" t="s">
        <v>7</v>
      </c>
      <c r="F5123" s="88">
        <v>10000</v>
      </c>
      <c r="G5123" s="46"/>
      <c r="H5123" s="46">
        <f>IFERROR(TRANSACTIONS!$F5123+TRANSACTIONS!$G5123,"")</f>
        <v>10000</v>
      </c>
      <c r="I5123" s="40" t="s">
        <v>41</v>
      </c>
    </row>
    <row r="5124" spans="1:9" x14ac:dyDescent="0.25">
      <c r="A5124" s="41">
        <v>45384.538126157408</v>
      </c>
      <c r="B5124" s="48">
        <f>IF(A5124&lt;&gt;"",DATE(YEAR(TRANSACTIONS!$A5124),MONTH(TRANSACTIONS!$A5124),DAY(TRANSACTIONS!$A5124)),"")</f>
        <v>45384</v>
      </c>
      <c r="C5124" s="49">
        <f>IF(A5124&lt;&gt;"",TIME(HOUR(TRANSACTIONS!$A5124),MINUTE(TRANSACTIONS!$A5124),SECOND(TRANSACTIONS!$A5124)),"")</f>
        <v>0.53812499999999996</v>
      </c>
      <c r="D5124" s="82" t="s">
        <v>62</v>
      </c>
      <c r="E5124" s="82" t="s">
        <v>7</v>
      </c>
      <c r="F5124" s="88">
        <v>10000</v>
      </c>
      <c r="G5124" s="46"/>
      <c r="H5124" s="46">
        <f>IFERROR(TRANSACTIONS!$F5124+TRANSACTIONS!$G5124,"")</f>
        <v>10000</v>
      </c>
      <c r="I5124" s="40" t="s">
        <v>41</v>
      </c>
    </row>
    <row r="5125" spans="1:9" x14ac:dyDescent="0.25">
      <c r="A5125" s="41">
        <v>45384.538133449074</v>
      </c>
      <c r="B5125" s="48">
        <f>IF(A5125&lt;&gt;"",DATE(YEAR(TRANSACTIONS!$A5125),MONTH(TRANSACTIONS!$A5125),DAY(TRANSACTIONS!$A5125)),"")</f>
        <v>45384</v>
      </c>
      <c r="C5125" s="49">
        <f>IF(A5125&lt;&gt;"",TIME(HOUR(TRANSACTIONS!$A5125),MINUTE(TRANSACTIONS!$A5125),SECOND(TRANSACTIONS!$A5125)),"")</f>
        <v>0.53813657407407411</v>
      </c>
      <c r="D5125" s="82" t="s">
        <v>62</v>
      </c>
      <c r="E5125" s="82" t="s">
        <v>7</v>
      </c>
      <c r="F5125" s="88">
        <v>2000</v>
      </c>
      <c r="G5125" s="46"/>
      <c r="H5125" s="46">
        <f>IFERROR(TRANSACTIONS!$F5125+TRANSACTIONS!$G5125,"")</f>
        <v>2000</v>
      </c>
      <c r="I5125" s="40" t="s">
        <v>41</v>
      </c>
    </row>
    <row r="5126" spans="1:9" x14ac:dyDescent="0.25">
      <c r="A5126" s="41">
        <v>45384.538142245372</v>
      </c>
      <c r="B5126" s="48">
        <f>IF(A5126&lt;&gt;"",DATE(YEAR(TRANSACTIONS!$A5126),MONTH(TRANSACTIONS!$A5126),DAY(TRANSACTIONS!$A5126)),"")</f>
        <v>45384</v>
      </c>
      <c r="C5126" s="49">
        <f>IF(A5126&lt;&gt;"",TIME(HOUR(TRANSACTIONS!$A5126),MINUTE(TRANSACTIONS!$A5126),SECOND(TRANSACTIONS!$A5126)),"")</f>
        <v>0.53813657407407411</v>
      </c>
      <c r="D5126" s="82" t="s">
        <v>62</v>
      </c>
      <c r="E5126" s="82" t="s">
        <v>7</v>
      </c>
      <c r="F5126" s="88">
        <v>5000</v>
      </c>
      <c r="G5126" s="46"/>
      <c r="H5126" s="46">
        <f>IFERROR(TRANSACTIONS!$F5126+TRANSACTIONS!$G5126,"")</f>
        <v>5000</v>
      </c>
      <c r="I5126" s="40" t="s">
        <v>41</v>
      </c>
    </row>
    <row r="5127" spans="1:9" x14ac:dyDescent="0.25">
      <c r="A5127" s="41">
        <v>45384.538149884262</v>
      </c>
      <c r="B5127" s="48">
        <f>IF(A5127&lt;&gt;"",DATE(YEAR(TRANSACTIONS!$A5127),MONTH(TRANSACTIONS!$A5127),DAY(TRANSACTIONS!$A5127)),"")</f>
        <v>45384</v>
      </c>
      <c r="C5127" s="49">
        <f>IF(A5127&lt;&gt;"",TIME(HOUR(TRANSACTIONS!$A5127),MINUTE(TRANSACTIONS!$A5127),SECOND(TRANSACTIONS!$A5127)),"")</f>
        <v>0.53814814814814815</v>
      </c>
      <c r="D5127" s="82" t="s">
        <v>62</v>
      </c>
      <c r="E5127" s="82" t="s">
        <v>7</v>
      </c>
      <c r="F5127" s="88">
        <v>5000</v>
      </c>
      <c r="G5127" s="46"/>
      <c r="H5127" s="46">
        <f>IFERROR(TRANSACTIONS!$F5127+TRANSACTIONS!$G5127,"")</f>
        <v>5000</v>
      </c>
      <c r="I5127" s="40" t="s">
        <v>41</v>
      </c>
    </row>
    <row r="5128" spans="1:9" x14ac:dyDescent="0.25">
      <c r="A5128" s="41">
        <v>45384.53815763889</v>
      </c>
      <c r="B5128" s="48">
        <f>IF(A5128&lt;&gt;"",DATE(YEAR(TRANSACTIONS!$A5128),MONTH(TRANSACTIONS!$A5128),DAY(TRANSACTIONS!$A5128)),"")</f>
        <v>45384</v>
      </c>
      <c r="C5128" s="49">
        <f>IF(A5128&lt;&gt;"",TIME(HOUR(TRANSACTIONS!$A5128),MINUTE(TRANSACTIONS!$A5128),SECOND(TRANSACTIONS!$A5128)),"")</f>
        <v>0.53815972222222219</v>
      </c>
      <c r="D5128" s="82" t="s">
        <v>62</v>
      </c>
      <c r="E5128" s="82" t="s">
        <v>7</v>
      </c>
      <c r="F5128" s="88">
        <v>100000</v>
      </c>
      <c r="G5128" s="46"/>
      <c r="H5128" s="46">
        <f>IFERROR(TRANSACTIONS!$F5128+TRANSACTIONS!$G5128,"")</f>
        <v>100000</v>
      </c>
      <c r="I5128" s="40" t="s">
        <v>41</v>
      </c>
    </row>
    <row r="5129" spans="1:9" x14ac:dyDescent="0.25">
      <c r="A5129" s="41">
        <v>45384.538165625003</v>
      </c>
      <c r="B5129" s="48">
        <f>IF(A5129&lt;&gt;"",DATE(YEAR(TRANSACTIONS!$A5129),MONTH(TRANSACTIONS!$A5129),DAY(TRANSACTIONS!$A5129)),"")</f>
        <v>45384</v>
      </c>
      <c r="C5129" s="49">
        <f>IF(A5129&lt;&gt;"",TIME(HOUR(TRANSACTIONS!$A5129),MINUTE(TRANSACTIONS!$A5129),SECOND(TRANSACTIONS!$A5129)),"")</f>
        <v>0.53817129629629623</v>
      </c>
      <c r="D5129" s="82" t="s">
        <v>62</v>
      </c>
      <c r="E5129" s="82" t="s">
        <v>6</v>
      </c>
      <c r="F5129" s="88">
        <v>14000</v>
      </c>
      <c r="G5129" s="46"/>
      <c r="H5129" s="46">
        <f>IFERROR(TRANSACTIONS!$F5129+TRANSACTIONS!$G5129,"")</f>
        <v>14000</v>
      </c>
      <c r="I5129" s="40" t="s">
        <v>41</v>
      </c>
    </row>
    <row r="5130" spans="1:9" x14ac:dyDescent="0.25">
      <c r="A5130" s="41">
        <v>45384.538173611109</v>
      </c>
      <c r="B5130" s="48">
        <f>IF(A5130&lt;&gt;"",DATE(YEAR(TRANSACTIONS!$A5130),MONTH(TRANSACTIONS!$A5130),DAY(TRANSACTIONS!$A5130)),"")</f>
        <v>45384</v>
      </c>
      <c r="C5130" s="49">
        <f>IF(A5130&lt;&gt;"",TIME(HOUR(TRANSACTIONS!$A5130),MINUTE(TRANSACTIONS!$A5130),SECOND(TRANSACTIONS!$A5130)),"")</f>
        <v>0.53817129629629623</v>
      </c>
      <c r="D5130" s="82" t="s">
        <v>62</v>
      </c>
      <c r="E5130" s="82" t="s">
        <v>7</v>
      </c>
      <c r="F5130" s="88">
        <v>20000</v>
      </c>
      <c r="G5130" s="46"/>
      <c r="H5130" s="46">
        <f>IFERROR(TRANSACTIONS!$F5130+TRANSACTIONS!$G5130,"")</f>
        <v>20000</v>
      </c>
      <c r="I5130" s="40" t="s">
        <v>41</v>
      </c>
    </row>
    <row r="5131" spans="1:9" x14ac:dyDescent="0.25">
      <c r="A5131" s="41">
        <v>45384.538181597221</v>
      </c>
      <c r="B5131" s="48">
        <f>IF(A5131&lt;&gt;"",DATE(YEAR(TRANSACTIONS!$A5131),MONTH(TRANSACTIONS!$A5131),DAY(TRANSACTIONS!$A5131)),"")</f>
        <v>45384</v>
      </c>
      <c r="C5131" s="49">
        <f>IF(A5131&lt;&gt;"",TIME(HOUR(TRANSACTIONS!$A5131),MINUTE(TRANSACTIONS!$A5131),SECOND(TRANSACTIONS!$A5131)),"")</f>
        <v>0.53818287037037038</v>
      </c>
      <c r="D5131" s="82" t="s">
        <v>62</v>
      </c>
      <c r="E5131" s="82" t="s">
        <v>6</v>
      </c>
      <c r="F5131" s="88">
        <v>11000</v>
      </c>
      <c r="G5131" s="46"/>
      <c r="H5131" s="46">
        <f>IFERROR(TRANSACTIONS!$F5131+TRANSACTIONS!$G5131,"")</f>
        <v>11000</v>
      </c>
      <c r="I5131" s="40" t="s">
        <v>41</v>
      </c>
    </row>
    <row r="5132" spans="1:9" x14ac:dyDescent="0.25">
      <c r="A5132" s="41">
        <v>45384.538189583334</v>
      </c>
      <c r="B5132" s="48">
        <f>IF(A5132&lt;&gt;"",DATE(YEAR(TRANSACTIONS!$A5132),MONTH(TRANSACTIONS!$A5132),DAY(TRANSACTIONS!$A5132)),"")</f>
        <v>45384</v>
      </c>
      <c r="C5132" s="49">
        <f>IF(A5132&lt;&gt;"",TIME(HOUR(TRANSACTIONS!$A5132),MINUTE(TRANSACTIONS!$A5132),SECOND(TRANSACTIONS!$A5132)),"")</f>
        <v>0.53819444444444442</v>
      </c>
      <c r="D5132" s="82" t="s">
        <v>62</v>
      </c>
      <c r="E5132" s="82" t="s">
        <v>7</v>
      </c>
      <c r="F5132" s="88">
        <v>10000</v>
      </c>
      <c r="G5132" s="46"/>
      <c r="H5132" s="46">
        <f>IFERROR(TRANSACTIONS!$F5132+TRANSACTIONS!$G5132,"")</f>
        <v>10000</v>
      </c>
      <c r="I5132" s="40" t="s">
        <v>41</v>
      </c>
    </row>
    <row r="5133" spans="1:9" x14ac:dyDescent="0.25">
      <c r="A5133" s="41">
        <v>45384.538216435183</v>
      </c>
      <c r="B5133" s="48">
        <f>IF(A5133&lt;&gt;"",DATE(YEAR(TRANSACTIONS!$A5133),MONTH(TRANSACTIONS!$A5133),DAY(TRANSACTIONS!$A5133)),"")</f>
        <v>45384</v>
      </c>
      <c r="C5133" s="49">
        <f>IF(A5133&lt;&gt;"",TIME(HOUR(TRANSACTIONS!$A5133),MINUTE(TRANSACTIONS!$A5133),SECOND(TRANSACTIONS!$A5133)),"")</f>
        <v>0.53821759259259261</v>
      </c>
      <c r="D5133" s="82" t="s">
        <v>62</v>
      </c>
      <c r="E5133" s="82" t="s">
        <v>7</v>
      </c>
      <c r="F5133" s="88">
        <v>13000</v>
      </c>
      <c r="G5133" s="46"/>
      <c r="H5133" s="46">
        <f>IFERROR(TRANSACTIONS!$F5133+TRANSACTIONS!$G5133,"")</f>
        <v>13000</v>
      </c>
      <c r="I5133" s="40" t="s">
        <v>41</v>
      </c>
    </row>
    <row r="5134" spans="1:9" x14ac:dyDescent="0.25">
      <c r="A5134" s="41">
        <v>45384.53822534722</v>
      </c>
      <c r="B5134" s="48">
        <f>IF(A5134&lt;&gt;"",DATE(YEAR(TRANSACTIONS!$A5134),MONTH(TRANSACTIONS!$A5134),DAY(TRANSACTIONS!$A5134)),"")</f>
        <v>45384</v>
      </c>
      <c r="C5134" s="49">
        <f>IF(A5134&lt;&gt;"",TIME(HOUR(TRANSACTIONS!$A5134),MINUTE(TRANSACTIONS!$A5134),SECOND(TRANSACTIONS!$A5134)),"")</f>
        <v>0.53822916666666665</v>
      </c>
      <c r="D5134" s="82" t="s">
        <v>62</v>
      </c>
      <c r="E5134" s="82" t="s">
        <v>6</v>
      </c>
      <c r="F5134" s="88">
        <v>200000</v>
      </c>
      <c r="G5134" s="46"/>
      <c r="H5134" s="46">
        <f>IFERROR(TRANSACTIONS!$F5134+TRANSACTIONS!$G5134,"")</f>
        <v>200000</v>
      </c>
      <c r="I5134" s="40" t="s">
        <v>41</v>
      </c>
    </row>
    <row r="5135" spans="1:9" x14ac:dyDescent="0.25">
      <c r="A5135" s="41">
        <v>45384.538233680556</v>
      </c>
      <c r="B5135" s="48">
        <f>IF(A5135&lt;&gt;"",DATE(YEAR(TRANSACTIONS!$A5135),MONTH(TRANSACTIONS!$A5135),DAY(TRANSACTIONS!$A5135)),"")</f>
        <v>45384</v>
      </c>
      <c r="C5135" s="49">
        <f>IF(A5135&lt;&gt;"",TIME(HOUR(TRANSACTIONS!$A5135),MINUTE(TRANSACTIONS!$A5135),SECOND(TRANSACTIONS!$A5135)),"")</f>
        <v>0.53822916666666665</v>
      </c>
      <c r="D5135" s="82" t="s">
        <v>62</v>
      </c>
      <c r="E5135" s="82" t="s">
        <v>6</v>
      </c>
      <c r="F5135" s="88">
        <v>9100</v>
      </c>
      <c r="G5135" s="46"/>
      <c r="H5135" s="46">
        <f>IFERROR(TRANSACTIONS!$F5135+TRANSACTIONS!$G5135,"")</f>
        <v>9100</v>
      </c>
      <c r="I5135" s="40" t="s">
        <v>41</v>
      </c>
    </row>
    <row r="5136" spans="1:9" x14ac:dyDescent="0.25">
      <c r="A5136" s="41">
        <v>45384.538241203707</v>
      </c>
      <c r="B5136" s="48">
        <f>IF(A5136&lt;&gt;"",DATE(YEAR(TRANSACTIONS!$A5136),MONTH(TRANSACTIONS!$A5136),DAY(TRANSACTIONS!$A5136)),"")</f>
        <v>45384</v>
      </c>
      <c r="C5136" s="49">
        <f>IF(A5136&lt;&gt;"",TIME(HOUR(TRANSACTIONS!$A5136),MINUTE(TRANSACTIONS!$A5136),SECOND(TRANSACTIONS!$A5136)),"")</f>
        <v>0.53824074074074069</v>
      </c>
      <c r="D5136" s="82" t="s">
        <v>62</v>
      </c>
      <c r="E5136" s="82" t="s">
        <v>6</v>
      </c>
      <c r="F5136" s="88">
        <v>2000</v>
      </c>
      <c r="G5136" s="46"/>
      <c r="H5136" s="46">
        <f>IFERROR(TRANSACTIONS!$F5136+TRANSACTIONS!$G5136,"")</f>
        <v>2000</v>
      </c>
      <c r="I5136" s="40" t="s">
        <v>41</v>
      </c>
    </row>
    <row r="5137" spans="1:9" x14ac:dyDescent="0.25">
      <c r="A5137" s="41">
        <v>45384.538249189813</v>
      </c>
      <c r="B5137" s="48">
        <f>IF(A5137&lt;&gt;"",DATE(YEAR(TRANSACTIONS!$A5137),MONTH(TRANSACTIONS!$A5137),DAY(TRANSACTIONS!$A5137)),"")</f>
        <v>45384</v>
      </c>
      <c r="C5137" s="49">
        <f>IF(A5137&lt;&gt;"",TIME(HOUR(TRANSACTIONS!$A5137),MINUTE(TRANSACTIONS!$A5137),SECOND(TRANSACTIONS!$A5137)),"")</f>
        <v>0.53825231481481484</v>
      </c>
      <c r="D5137" s="82" t="s">
        <v>62</v>
      </c>
      <c r="E5137" s="82" t="s">
        <v>6</v>
      </c>
      <c r="F5137" s="88">
        <v>2000</v>
      </c>
      <c r="G5137" s="46"/>
      <c r="H5137" s="46">
        <f>IFERROR(TRANSACTIONS!$F5137+TRANSACTIONS!$G5137,"")</f>
        <v>2000</v>
      </c>
      <c r="I5137" s="40" t="s">
        <v>41</v>
      </c>
    </row>
    <row r="5138" spans="1:9" x14ac:dyDescent="0.25">
      <c r="A5138" s="41">
        <v>45384.538260185182</v>
      </c>
      <c r="B5138" s="48">
        <f>IF(A5138&lt;&gt;"",DATE(YEAR(TRANSACTIONS!$A5138),MONTH(TRANSACTIONS!$A5138),DAY(TRANSACTIONS!$A5138)),"")</f>
        <v>45384</v>
      </c>
      <c r="C5138" s="49">
        <f>IF(A5138&lt;&gt;"",TIME(HOUR(TRANSACTIONS!$A5138),MINUTE(TRANSACTIONS!$A5138),SECOND(TRANSACTIONS!$A5138)),"")</f>
        <v>0.53826388888888888</v>
      </c>
      <c r="D5138" s="82" t="s">
        <v>62</v>
      </c>
      <c r="E5138" s="82" t="s">
        <v>7</v>
      </c>
      <c r="F5138" s="88">
        <v>3000</v>
      </c>
      <c r="G5138" s="46"/>
      <c r="H5138" s="46">
        <f>IFERROR(TRANSACTIONS!$F5138+TRANSACTIONS!$G5138,"")</f>
        <v>3000</v>
      </c>
      <c r="I5138" s="40" t="s">
        <v>41</v>
      </c>
    </row>
    <row r="5139" spans="1:9" x14ac:dyDescent="0.25">
      <c r="A5139" s="41">
        <v>45384.538268171294</v>
      </c>
      <c r="B5139" s="48">
        <f>IF(A5139&lt;&gt;"",DATE(YEAR(TRANSACTIONS!$A5139),MONTH(TRANSACTIONS!$A5139),DAY(TRANSACTIONS!$A5139)),"")</f>
        <v>45384</v>
      </c>
      <c r="C5139" s="49">
        <f>IF(A5139&lt;&gt;"",TIME(HOUR(TRANSACTIONS!$A5139),MINUTE(TRANSACTIONS!$A5139),SECOND(TRANSACTIONS!$A5139)),"")</f>
        <v>0.53826388888888888</v>
      </c>
      <c r="D5139" s="82" t="s">
        <v>62</v>
      </c>
      <c r="E5139" s="82" t="s">
        <v>7</v>
      </c>
      <c r="F5139" s="88">
        <v>2500</v>
      </c>
      <c r="G5139" s="46"/>
      <c r="H5139" s="46">
        <f>IFERROR(TRANSACTIONS!$F5139+TRANSACTIONS!$G5139,"")</f>
        <v>2500</v>
      </c>
      <c r="I5139" s="40" t="s">
        <v>41</v>
      </c>
    </row>
    <row r="5140" spans="1:9" x14ac:dyDescent="0.25">
      <c r="A5140" s="41">
        <v>45384.538276273146</v>
      </c>
      <c r="B5140" s="48">
        <f>IF(A5140&lt;&gt;"",DATE(YEAR(TRANSACTIONS!$A5140),MONTH(TRANSACTIONS!$A5140),DAY(TRANSACTIONS!$A5140)),"")</f>
        <v>45384</v>
      </c>
      <c r="C5140" s="49">
        <f>IF(A5140&lt;&gt;"",TIME(HOUR(TRANSACTIONS!$A5140),MINUTE(TRANSACTIONS!$A5140),SECOND(TRANSACTIONS!$A5140)),"")</f>
        <v>0.53827546296296302</v>
      </c>
      <c r="D5140" s="82" t="s">
        <v>62</v>
      </c>
      <c r="E5140" s="82" t="s">
        <v>7</v>
      </c>
      <c r="F5140" s="88">
        <v>1000</v>
      </c>
      <c r="G5140" s="46"/>
      <c r="H5140" s="46">
        <f>IFERROR(TRANSACTIONS!$F5140+TRANSACTIONS!$G5140,"")</f>
        <v>1000</v>
      </c>
      <c r="I5140" s="40" t="s">
        <v>41</v>
      </c>
    </row>
    <row r="5141" spans="1:9" x14ac:dyDescent="0.25">
      <c r="A5141" s="41">
        <v>45384.538287384261</v>
      </c>
      <c r="B5141" s="48">
        <f>IF(A5141&lt;&gt;"",DATE(YEAR(TRANSACTIONS!$A5141),MONTH(TRANSACTIONS!$A5141),DAY(TRANSACTIONS!$A5141)),"")</f>
        <v>45384</v>
      </c>
      <c r="C5141" s="49">
        <f>IF(A5141&lt;&gt;"",TIME(HOUR(TRANSACTIONS!$A5141),MINUTE(TRANSACTIONS!$A5141),SECOND(TRANSACTIONS!$A5141)),"")</f>
        <v>0.53828703703703706</v>
      </c>
      <c r="D5141" s="82" t="s">
        <v>62</v>
      </c>
      <c r="E5141" s="82" t="s">
        <v>6</v>
      </c>
      <c r="F5141" s="88">
        <v>20000</v>
      </c>
      <c r="G5141" s="46"/>
      <c r="H5141" s="46">
        <f>IFERROR(TRANSACTIONS!$F5141+TRANSACTIONS!$G5141,"")</f>
        <v>20000</v>
      </c>
      <c r="I5141" s="40" t="s">
        <v>41</v>
      </c>
    </row>
    <row r="5142" spans="1:9" x14ac:dyDescent="0.25">
      <c r="A5142" s="41">
        <v>45384.538295833336</v>
      </c>
      <c r="B5142" s="48">
        <f>IF(A5142&lt;&gt;"",DATE(YEAR(TRANSACTIONS!$A5142),MONTH(TRANSACTIONS!$A5142),DAY(TRANSACTIONS!$A5142)),"")</f>
        <v>45384</v>
      </c>
      <c r="C5142" s="49">
        <f>IF(A5142&lt;&gt;"",TIME(HOUR(TRANSACTIONS!$A5142),MINUTE(TRANSACTIONS!$A5142),SECOND(TRANSACTIONS!$A5142)),"")</f>
        <v>0.5382986111111111</v>
      </c>
      <c r="D5142" s="82" t="s">
        <v>62</v>
      </c>
      <c r="E5142" s="82" t="s">
        <v>7</v>
      </c>
      <c r="F5142" s="88">
        <v>40000</v>
      </c>
      <c r="G5142" s="46"/>
      <c r="H5142" s="46">
        <f>IFERROR(TRANSACTIONS!$F5142+TRANSACTIONS!$G5142,"")</f>
        <v>40000</v>
      </c>
      <c r="I5142" s="40" t="s">
        <v>41</v>
      </c>
    </row>
    <row r="5143" spans="1:9" x14ac:dyDescent="0.25">
      <c r="A5143" s="41">
        <v>45384.677965162038</v>
      </c>
      <c r="B5143" s="48">
        <f>IF(A5143&lt;&gt;"",DATE(YEAR(TRANSACTIONS!$A5143),MONTH(TRANSACTIONS!$A5143),DAY(TRANSACTIONS!$A5143)),"")</f>
        <v>45384</v>
      </c>
      <c r="C5143" s="49">
        <f>IF(A5143&lt;&gt;"",TIME(HOUR(TRANSACTIONS!$A5143),MINUTE(TRANSACTIONS!$A5143),SECOND(TRANSACTIONS!$A5143)),"")</f>
        <v>0.67796296296296299</v>
      </c>
      <c r="D5143" s="82" t="s">
        <v>62</v>
      </c>
      <c r="E5143" s="82" t="s">
        <v>7</v>
      </c>
      <c r="F5143" s="88">
        <v>10000</v>
      </c>
      <c r="G5143" s="46"/>
      <c r="H5143" s="46">
        <f>IFERROR(TRANSACTIONS!$F5143+TRANSACTIONS!$G5143,"")</f>
        <v>10000</v>
      </c>
      <c r="I5143" s="40" t="s">
        <v>41</v>
      </c>
    </row>
    <row r="5144" spans="1:9" x14ac:dyDescent="0.25">
      <c r="A5144" s="41">
        <v>45384.678081365739</v>
      </c>
      <c r="B5144" s="48">
        <f>IF(A5144&lt;&gt;"",DATE(YEAR(TRANSACTIONS!$A5144),MONTH(TRANSACTIONS!$A5144),DAY(TRANSACTIONS!$A5144)),"")</f>
        <v>45384</v>
      </c>
      <c r="C5144" s="49">
        <f>IF(A5144&lt;&gt;"",TIME(HOUR(TRANSACTIONS!$A5144),MINUTE(TRANSACTIONS!$A5144),SECOND(TRANSACTIONS!$A5144)),"")</f>
        <v>0.6780787037037036</v>
      </c>
      <c r="D5144" s="82" t="s">
        <v>62</v>
      </c>
      <c r="E5144" s="82" t="s">
        <v>7</v>
      </c>
      <c r="F5144" s="88">
        <v>7000</v>
      </c>
      <c r="G5144" s="46"/>
      <c r="H5144" s="46">
        <f>IFERROR(TRANSACTIONS!$F5144+TRANSACTIONS!$G5144,"")</f>
        <v>7000</v>
      </c>
      <c r="I5144" s="40" t="s">
        <v>41</v>
      </c>
    </row>
    <row r="5145" spans="1:9" x14ac:dyDescent="0.25">
      <c r="A5145" s="41">
        <v>45384.678090277775</v>
      </c>
      <c r="B5145" s="48">
        <f>IF(A5145&lt;&gt;"",DATE(YEAR(TRANSACTIONS!$A5145),MONTH(TRANSACTIONS!$A5145),DAY(TRANSACTIONS!$A5145)),"")</f>
        <v>45384</v>
      </c>
      <c r="C5145" s="49">
        <f>IF(A5145&lt;&gt;"",TIME(HOUR(TRANSACTIONS!$A5145),MINUTE(TRANSACTIONS!$A5145),SECOND(TRANSACTIONS!$A5145)),"")</f>
        <v>0.67809027777777775</v>
      </c>
      <c r="D5145" s="82" t="s">
        <v>62</v>
      </c>
      <c r="E5145" s="82" t="s">
        <v>6</v>
      </c>
      <c r="F5145" s="88">
        <v>170000</v>
      </c>
      <c r="G5145" s="46"/>
      <c r="H5145" s="46">
        <f>IFERROR(TRANSACTIONS!$F5145+TRANSACTIONS!$G5145,"")</f>
        <v>170000</v>
      </c>
      <c r="I5145" s="40" t="s">
        <v>41</v>
      </c>
    </row>
    <row r="5146" spans="1:9" x14ac:dyDescent="0.25">
      <c r="A5146" s="41">
        <v>45384.678098263888</v>
      </c>
      <c r="B5146" s="48">
        <f>IF(A5146&lt;&gt;"",DATE(YEAR(TRANSACTIONS!$A5146),MONTH(TRANSACTIONS!$A5146),DAY(TRANSACTIONS!$A5146)),"")</f>
        <v>45384</v>
      </c>
      <c r="C5146" s="49">
        <f>IF(A5146&lt;&gt;"",TIME(HOUR(TRANSACTIONS!$A5146),MINUTE(TRANSACTIONS!$A5146),SECOND(TRANSACTIONS!$A5146)),"")</f>
        <v>0.6781018518518519</v>
      </c>
      <c r="D5146" s="82" t="s">
        <v>62</v>
      </c>
      <c r="E5146" s="82" t="s">
        <v>7</v>
      </c>
      <c r="F5146" s="88">
        <v>5000</v>
      </c>
      <c r="G5146" s="46"/>
      <c r="H5146" s="46">
        <f>IFERROR(TRANSACTIONS!$F5146+TRANSACTIONS!$G5146,"")</f>
        <v>5000</v>
      </c>
      <c r="I5146" s="40" t="s">
        <v>41</v>
      </c>
    </row>
    <row r="5147" spans="1:9" x14ac:dyDescent="0.25">
      <c r="A5147" s="41">
        <v>45384.678105671293</v>
      </c>
      <c r="B5147" s="48">
        <f>IF(A5147&lt;&gt;"",DATE(YEAR(TRANSACTIONS!$A5147),MONTH(TRANSACTIONS!$A5147),DAY(TRANSACTIONS!$A5147)),"")</f>
        <v>45384</v>
      </c>
      <c r="C5147" s="49">
        <f>IF(A5147&lt;&gt;"",TIME(HOUR(TRANSACTIONS!$A5147),MINUTE(TRANSACTIONS!$A5147),SECOND(TRANSACTIONS!$A5147)),"")</f>
        <v>0.6781018518518519</v>
      </c>
      <c r="D5147" s="82" t="s">
        <v>62</v>
      </c>
      <c r="E5147" s="82" t="s">
        <v>6</v>
      </c>
      <c r="F5147" s="88">
        <v>100000</v>
      </c>
      <c r="G5147" s="46"/>
      <c r="H5147" s="46">
        <f>IFERROR(TRANSACTIONS!$F5147+TRANSACTIONS!$G5147,"")</f>
        <v>100000</v>
      </c>
      <c r="I5147" s="40" t="s">
        <v>41</v>
      </c>
    </row>
    <row r="5148" spans="1:9" x14ac:dyDescent="0.25">
      <c r="A5148" s="41">
        <v>45384.678113657406</v>
      </c>
      <c r="B5148" s="48">
        <f>IF(A5148&lt;&gt;"",DATE(YEAR(TRANSACTIONS!$A5148),MONTH(TRANSACTIONS!$A5148),DAY(TRANSACTIONS!$A5148)),"")</f>
        <v>45384</v>
      </c>
      <c r="C5148" s="49">
        <f>IF(A5148&lt;&gt;"",TIME(HOUR(TRANSACTIONS!$A5148),MINUTE(TRANSACTIONS!$A5148),SECOND(TRANSACTIONS!$A5148)),"")</f>
        <v>0.67811342592592594</v>
      </c>
      <c r="D5148" s="82" t="s">
        <v>62</v>
      </c>
      <c r="E5148" s="82" t="s">
        <v>6</v>
      </c>
      <c r="F5148" s="88">
        <v>3000</v>
      </c>
      <c r="G5148" s="46"/>
      <c r="H5148" s="46">
        <f>IFERROR(TRANSACTIONS!$F5148+TRANSACTIONS!$G5148,"")</f>
        <v>3000</v>
      </c>
      <c r="I5148" s="40" t="s">
        <v>41</v>
      </c>
    </row>
    <row r="5149" spans="1:9" x14ac:dyDescent="0.25">
      <c r="A5149" s="41">
        <v>45384.678120370372</v>
      </c>
      <c r="B5149" s="48">
        <f>IF(A5149&lt;&gt;"",DATE(YEAR(TRANSACTIONS!$A5149),MONTH(TRANSACTIONS!$A5149),DAY(TRANSACTIONS!$A5149)),"")</f>
        <v>45384</v>
      </c>
      <c r="C5149" s="49">
        <f>IF(A5149&lt;&gt;"",TIME(HOUR(TRANSACTIONS!$A5149),MINUTE(TRANSACTIONS!$A5149),SECOND(TRANSACTIONS!$A5149)),"")</f>
        <v>0.67812499999999998</v>
      </c>
      <c r="D5149" s="82" t="s">
        <v>62</v>
      </c>
      <c r="E5149" s="82" t="s">
        <v>6</v>
      </c>
      <c r="F5149" s="88">
        <v>5000</v>
      </c>
      <c r="G5149" s="46"/>
      <c r="H5149" s="46">
        <f>IFERROR(TRANSACTIONS!$F5149+TRANSACTIONS!$G5149,"")</f>
        <v>5000</v>
      </c>
      <c r="I5149" s="40" t="s">
        <v>41</v>
      </c>
    </row>
    <row r="5150" spans="1:9" x14ac:dyDescent="0.25">
      <c r="A5150" s="41">
        <v>45384.678126967592</v>
      </c>
      <c r="B5150" s="48">
        <f>IF(A5150&lt;&gt;"",DATE(YEAR(TRANSACTIONS!$A5150),MONTH(TRANSACTIONS!$A5150),DAY(TRANSACTIONS!$A5150)),"")</f>
        <v>45384</v>
      </c>
      <c r="C5150" s="49">
        <f>IF(A5150&lt;&gt;"",TIME(HOUR(TRANSACTIONS!$A5150),MINUTE(TRANSACTIONS!$A5150),SECOND(TRANSACTIONS!$A5150)),"")</f>
        <v>0.67812499999999998</v>
      </c>
      <c r="D5150" s="82" t="s">
        <v>62</v>
      </c>
      <c r="E5150" s="82" t="s">
        <v>7</v>
      </c>
      <c r="F5150" s="88">
        <v>10000</v>
      </c>
      <c r="G5150" s="46"/>
      <c r="H5150" s="46">
        <f>IFERROR(TRANSACTIONS!$F5150+TRANSACTIONS!$G5150,"")</f>
        <v>10000</v>
      </c>
      <c r="I5150" s="40" t="s">
        <v>41</v>
      </c>
    </row>
    <row r="5151" spans="1:9" x14ac:dyDescent="0.25">
      <c r="A5151" s="41">
        <v>45384.678133217596</v>
      </c>
      <c r="B5151" s="48">
        <f>IF(A5151&lt;&gt;"",DATE(YEAR(TRANSACTIONS!$A5151),MONTH(TRANSACTIONS!$A5151),DAY(TRANSACTIONS!$A5151)),"")</f>
        <v>45384</v>
      </c>
      <c r="C5151" s="49">
        <f>IF(A5151&lt;&gt;"",TIME(HOUR(TRANSACTIONS!$A5151),MINUTE(TRANSACTIONS!$A5151),SECOND(TRANSACTIONS!$A5151)),"")</f>
        <v>0.67813657407407402</v>
      </c>
      <c r="D5151" s="82" t="s">
        <v>62</v>
      </c>
      <c r="E5151" s="82" t="s">
        <v>7</v>
      </c>
      <c r="F5151" s="88">
        <v>10000</v>
      </c>
      <c r="G5151" s="46"/>
      <c r="H5151" s="46">
        <f>IFERROR(TRANSACTIONS!$F5151+TRANSACTIONS!$G5151,"")</f>
        <v>10000</v>
      </c>
      <c r="I5151" s="40" t="s">
        <v>41</v>
      </c>
    </row>
    <row r="5152" spans="1:9" x14ac:dyDescent="0.25">
      <c r="A5152" s="41">
        <v>45384.678140972224</v>
      </c>
      <c r="B5152" s="48">
        <f>IF(A5152&lt;&gt;"",DATE(YEAR(TRANSACTIONS!$A5152),MONTH(TRANSACTIONS!$A5152),DAY(TRANSACTIONS!$A5152)),"")</f>
        <v>45384</v>
      </c>
      <c r="C5152" s="49">
        <f>IF(A5152&lt;&gt;"",TIME(HOUR(TRANSACTIONS!$A5152),MINUTE(TRANSACTIONS!$A5152),SECOND(TRANSACTIONS!$A5152)),"")</f>
        <v>0.67813657407407402</v>
      </c>
      <c r="D5152" s="82" t="s">
        <v>62</v>
      </c>
      <c r="E5152" s="82" t="s">
        <v>6</v>
      </c>
      <c r="F5152" s="88">
        <v>50</v>
      </c>
      <c r="G5152" s="46"/>
      <c r="H5152" s="46">
        <f>IFERROR(TRANSACTIONS!$F5152+TRANSACTIONS!$G5152,"")</f>
        <v>50</v>
      </c>
      <c r="I5152" s="40" t="s">
        <v>41</v>
      </c>
    </row>
    <row r="5153" spans="1:10" x14ac:dyDescent="0.25">
      <c r="A5153" s="41">
        <v>45384.678165277779</v>
      </c>
      <c r="B5153" s="83">
        <f>IF(A5153&lt;&gt;"",DATE(YEAR(TRANSACTIONS!$A5153),MONTH(TRANSACTIONS!$A5153),DAY(TRANSACTIONS!$A5153)),"")</f>
        <v>45384</v>
      </c>
      <c r="C5153" s="84">
        <f>IF(A5153&lt;&gt;"",TIME(HOUR(TRANSACTIONS!$A5153),MINUTE(TRANSACTIONS!$A5153),SECOND(TRANSACTIONS!$A5153)),"")</f>
        <v>0.67815972222222232</v>
      </c>
      <c r="D5153" s="82" t="s">
        <v>62</v>
      </c>
      <c r="E5153" s="82" t="s">
        <v>6</v>
      </c>
      <c r="F5153" s="88">
        <v>30000</v>
      </c>
      <c r="G5153" s="86"/>
      <c r="H5153" s="86">
        <f>IFERROR(TRANSACTIONS!$F5153+TRANSACTIONS!$G5153,"")</f>
        <v>30000</v>
      </c>
      <c r="I5153" s="88" t="s">
        <v>41</v>
      </c>
    </row>
    <row r="5154" spans="1:10" x14ac:dyDescent="0.25">
      <c r="A5154" s="41">
        <v>45384.678148611114</v>
      </c>
      <c r="B5154" s="83">
        <f>IF(A5154&lt;&gt;"",DATE(YEAR(TRANSACTIONS!$A5154),MONTH(TRANSACTIONS!$A5154),DAY(TRANSACTIONS!$A5154)),"")</f>
        <v>45384</v>
      </c>
      <c r="C5154" s="84">
        <f>IF(A5154&lt;&gt;"",TIME(HOUR(TRANSACTIONS!$A5154),MINUTE(TRANSACTIONS!$A5154),SECOND(TRANSACTIONS!$A5154)),"")</f>
        <v>0.67814814814814817</v>
      </c>
      <c r="D5154" s="82" t="s">
        <v>62</v>
      </c>
      <c r="E5154" s="82" t="s">
        <v>7</v>
      </c>
      <c r="F5154" s="88">
        <v>100000</v>
      </c>
      <c r="G5154" s="86"/>
      <c r="H5154" s="86">
        <f>IFERROR(TRANSACTIONS!$F5154+TRANSACTIONS!$G5154,"")</f>
        <v>100000</v>
      </c>
      <c r="I5154" s="88" t="s">
        <v>41</v>
      </c>
    </row>
    <row r="5155" spans="1:10" x14ac:dyDescent="0.25">
      <c r="A5155" s="41">
        <v>45384.678658217592</v>
      </c>
      <c r="B5155" s="48">
        <f>IF(A5155&lt;&gt;"",DATE(YEAR(TRANSACTIONS!$A5155),MONTH(TRANSACTIONS!$A5155),DAY(TRANSACTIONS!$A5155)),"")</f>
        <v>45384</v>
      </c>
      <c r="C5155" s="49">
        <f>IF(A5155&lt;&gt;"",TIME(HOUR(TRANSACTIONS!$A5155),MINUTE(TRANSACTIONS!$A5155),SECOND(TRANSACTIONS!$A5155)),"")</f>
        <v>0.67865740740740732</v>
      </c>
      <c r="D5155" s="82" t="s">
        <v>62</v>
      </c>
      <c r="E5155" s="82" t="s">
        <v>6</v>
      </c>
      <c r="F5155" s="88">
        <v>9000</v>
      </c>
      <c r="G5155" s="46"/>
      <c r="H5155" s="46">
        <f>IFERROR(TRANSACTIONS!$F5155+TRANSACTIONS!$G5155,"")</f>
        <v>9000</v>
      </c>
      <c r="I5155" s="40" t="s">
        <v>41</v>
      </c>
    </row>
    <row r="5156" spans="1:10" x14ac:dyDescent="0.25">
      <c r="A5156" s="41">
        <v>45384.678174768516</v>
      </c>
      <c r="B5156" s="48">
        <f>IF(A5156&lt;&gt;"",DATE(YEAR(TRANSACTIONS!$A5156),MONTH(TRANSACTIONS!$A5156),DAY(TRANSACTIONS!$A5156)),"")</f>
        <v>45384</v>
      </c>
      <c r="C5156" s="49">
        <f>IF(A5156&lt;&gt;"",TIME(HOUR(TRANSACTIONS!$A5156),MINUTE(TRANSACTIONS!$A5156),SECOND(TRANSACTIONS!$A5156)),"")</f>
        <v>0.67817129629629624</v>
      </c>
      <c r="D5156" s="82" t="s">
        <v>62</v>
      </c>
      <c r="E5156" s="82" t="s">
        <v>7</v>
      </c>
      <c r="F5156" s="88">
        <v>28000</v>
      </c>
      <c r="G5156" s="46"/>
      <c r="H5156" s="46">
        <f>IFERROR(TRANSACTIONS!$F5156+TRANSACTIONS!$G5156,"")</f>
        <v>28000</v>
      </c>
      <c r="I5156" s="40" t="s">
        <v>41</v>
      </c>
    </row>
    <row r="5157" spans="1:10" x14ac:dyDescent="0.25">
      <c r="A5157" s="41">
        <v>45384.678667129629</v>
      </c>
      <c r="B5157" s="48">
        <f>IF(A5157&lt;&gt;"",DATE(YEAR(TRANSACTIONS!$A5157),MONTH(TRANSACTIONS!$A5157),DAY(TRANSACTIONS!$A5157)),"")</f>
        <v>45384</v>
      </c>
      <c r="C5157" s="49">
        <f>IF(A5157&lt;&gt;"",TIME(HOUR(TRANSACTIONS!$A5157),MINUTE(TRANSACTIONS!$A5157),SECOND(TRANSACTIONS!$A5157)),"")</f>
        <v>0.67866898148148147</v>
      </c>
      <c r="D5157" s="82" t="s">
        <v>62</v>
      </c>
      <c r="E5157" s="82" t="s">
        <v>6</v>
      </c>
      <c r="F5157" s="88">
        <v>60000</v>
      </c>
      <c r="G5157" s="46"/>
      <c r="H5157" s="46">
        <f>IFERROR(TRANSACTIONS!$F5157+TRANSACTIONS!$G5157,"")</f>
        <v>60000</v>
      </c>
      <c r="I5157" s="40" t="s">
        <v>41</v>
      </c>
    </row>
    <row r="5158" spans="1:10" x14ac:dyDescent="0.25">
      <c r="A5158" s="41">
        <v>45384.678676736112</v>
      </c>
      <c r="B5158" s="114">
        <f>IF(A5158&lt;&gt;"",DATE(YEAR(TRANSACTIONS!$A5158),MONTH(TRANSACTIONS!$A5158),DAY(TRANSACTIONS!$A5158)),"")</f>
        <v>45384</v>
      </c>
      <c r="C5158" s="115">
        <f>IF(A5158&lt;&gt;"",TIME(HOUR(TRANSACTIONS!$A5158),MINUTE(TRANSACTIONS!$A5158),SECOND(TRANSACTIONS!$A5158)),"")</f>
        <v>0.67868055555555562</v>
      </c>
      <c r="D5158" s="82" t="s">
        <v>62</v>
      </c>
      <c r="E5158" s="82" t="s">
        <v>6</v>
      </c>
      <c r="F5158" s="88">
        <v>500</v>
      </c>
      <c r="G5158" s="117"/>
      <c r="H5158" s="117">
        <f>IFERROR(TRANSACTIONS!$F5158+TRANSACTIONS!$G5158,"")</f>
        <v>500</v>
      </c>
      <c r="I5158" s="118" t="s">
        <v>41</v>
      </c>
    </row>
    <row r="5159" spans="1:10" x14ac:dyDescent="0.25">
      <c r="A5159" s="41">
        <v>45384.678683680555</v>
      </c>
      <c r="B5159" s="48">
        <f>IF(A5159&lt;&gt;"",DATE(YEAR(TRANSACTIONS!$A5159),MONTH(TRANSACTIONS!$A5159),DAY(TRANSACTIONS!$A5159)),"")</f>
        <v>45384</v>
      </c>
      <c r="C5159" s="49">
        <f>IF(A5159&lt;&gt;"",TIME(HOUR(TRANSACTIONS!$A5159),MINUTE(TRANSACTIONS!$A5159),SECOND(TRANSACTIONS!$A5159)),"")</f>
        <v>0.67868055555555562</v>
      </c>
      <c r="D5159" s="82" t="s">
        <v>62</v>
      </c>
      <c r="E5159" s="82" t="s">
        <v>6</v>
      </c>
      <c r="F5159" s="88">
        <v>10000</v>
      </c>
      <c r="G5159" s="46"/>
      <c r="H5159" s="46">
        <f>IFERROR(TRANSACTIONS!$F5159+TRANSACTIONS!$G5159,"")</f>
        <v>10000</v>
      </c>
      <c r="I5159" s="40" t="s">
        <v>41</v>
      </c>
    </row>
    <row r="5160" spans="1:10" x14ac:dyDescent="0.25">
      <c r="A5160" s="41">
        <v>45384.678691319445</v>
      </c>
      <c r="B5160" s="48">
        <f>IF(A5160&lt;&gt;"",DATE(YEAR(TRANSACTIONS!$A5160),MONTH(TRANSACTIONS!$A5160),DAY(TRANSACTIONS!$A5160)),"")</f>
        <v>45384</v>
      </c>
      <c r="C5160" s="49">
        <f>IF(A5160&lt;&gt;"",TIME(HOUR(TRANSACTIONS!$A5160),MINUTE(TRANSACTIONS!$A5160),SECOND(TRANSACTIONS!$A5160)),"")</f>
        <v>0.67869212962962966</v>
      </c>
      <c r="D5160" s="82" t="s">
        <v>62</v>
      </c>
      <c r="E5160" s="82" t="s">
        <v>7</v>
      </c>
      <c r="F5160" s="88">
        <v>10000</v>
      </c>
      <c r="G5160" s="46"/>
      <c r="H5160" s="46">
        <f>IFERROR(TRANSACTIONS!$F5160+TRANSACTIONS!$G5160,"")</f>
        <v>10000</v>
      </c>
      <c r="I5160" s="40" t="s">
        <v>41</v>
      </c>
    </row>
    <row r="5161" spans="1:10" x14ac:dyDescent="0.25">
      <c r="A5161" s="41">
        <v>45384.67996666667</v>
      </c>
      <c r="B5161" s="48">
        <f>IF(A5161&lt;&gt;"",DATE(YEAR(TRANSACTIONS!$A5161),MONTH(TRANSACTIONS!$A5161),DAY(TRANSACTIONS!$A5161)),"")</f>
        <v>45384</v>
      </c>
      <c r="C5161" s="49">
        <f>IF(A5161&lt;&gt;"",TIME(HOUR(TRANSACTIONS!$A5161),MINUTE(TRANSACTIONS!$A5161),SECOND(TRANSACTIONS!$A5161)),"")</f>
        <v>0.67996527777777782</v>
      </c>
      <c r="D5161" s="82" t="s">
        <v>62</v>
      </c>
      <c r="E5161" s="82" t="s">
        <v>7</v>
      </c>
      <c r="F5161" s="88">
        <v>15000</v>
      </c>
      <c r="G5161" s="46"/>
      <c r="H5161" s="46">
        <f>IFERROR(TRANSACTIONS!$F5161+TRANSACTIONS!$G5161,"")</f>
        <v>15000</v>
      </c>
      <c r="I5161" s="40" t="s">
        <v>41</v>
      </c>
    </row>
    <row r="5162" spans="1:10" x14ac:dyDescent="0.25">
      <c r="A5162" s="41">
        <v>45384.679970717596</v>
      </c>
      <c r="B5162" s="48">
        <f>IF(A5162&lt;&gt;"",DATE(YEAR(TRANSACTIONS!$A5162),MONTH(TRANSACTIONS!$A5162),DAY(TRANSACTIONS!$A5162)),"")</f>
        <v>45384</v>
      </c>
      <c r="C5162" s="49">
        <f>IF(A5162&lt;&gt;"",TIME(HOUR(TRANSACTIONS!$A5162),MINUTE(TRANSACTIONS!$A5162),SECOND(TRANSACTIONS!$A5162)),"")</f>
        <v>0.67996527777777782</v>
      </c>
      <c r="D5162" s="82" t="s">
        <v>62</v>
      </c>
      <c r="E5162" s="82" t="s">
        <v>7</v>
      </c>
      <c r="F5162" s="88">
        <v>22500</v>
      </c>
      <c r="G5162" s="46"/>
      <c r="H5162" s="46">
        <f>IFERROR(TRANSACTIONS!$F5162+TRANSACTIONS!$G5162,"")</f>
        <v>22500</v>
      </c>
      <c r="I5162" s="40" t="s">
        <v>41</v>
      </c>
    </row>
    <row r="5163" spans="1:10" x14ac:dyDescent="0.25">
      <c r="A5163" s="41">
        <v>45384.680061226849</v>
      </c>
      <c r="B5163" s="48">
        <f>IF(A5163&lt;&gt;"",DATE(YEAR(TRANSACTIONS!$A5163),MONTH(TRANSACTIONS!$A5163),DAY(TRANSACTIONS!$A5163)),"")</f>
        <v>45384</v>
      </c>
      <c r="C5163" s="49">
        <f>IF(A5163&lt;&gt;"",TIME(HOUR(TRANSACTIONS!$A5163),MINUTE(TRANSACTIONS!$A5163),SECOND(TRANSACTIONS!$A5163)),"")</f>
        <v>0.68005787037037047</v>
      </c>
      <c r="D5163" s="82" t="s">
        <v>62</v>
      </c>
      <c r="E5163" s="82" t="s">
        <v>7</v>
      </c>
      <c r="F5163" s="88">
        <v>20000</v>
      </c>
      <c r="G5163" s="46"/>
      <c r="H5163" s="46">
        <f>IFERROR(TRANSACTIONS!$F5163+TRANSACTIONS!$G5163,"")</f>
        <v>20000</v>
      </c>
      <c r="I5163" s="40" t="s">
        <v>41</v>
      </c>
    </row>
    <row r="5164" spans="1:10" x14ac:dyDescent="0.25">
      <c r="A5164" s="41">
        <v>45384.680070254632</v>
      </c>
      <c r="B5164" s="48">
        <f>IF(A5164&lt;&gt;"",DATE(YEAR(TRANSACTIONS!$A5164),MONTH(TRANSACTIONS!$A5164),DAY(TRANSACTIONS!$A5164)),"")</f>
        <v>45384</v>
      </c>
      <c r="C5164" s="49">
        <f>IF(A5164&lt;&gt;"",TIME(HOUR(TRANSACTIONS!$A5164),MINUTE(TRANSACTIONS!$A5164),SECOND(TRANSACTIONS!$A5164)),"")</f>
        <v>0.68006944444444439</v>
      </c>
      <c r="D5164" s="82" t="s">
        <v>62</v>
      </c>
      <c r="E5164" s="82" t="s">
        <v>7</v>
      </c>
      <c r="F5164" s="88">
        <v>2000</v>
      </c>
      <c r="G5164" s="46"/>
      <c r="H5164" s="46">
        <f>IFERROR(TRANSACTIONS!$F5164+TRANSACTIONS!$G5164,"")</f>
        <v>2000</v>
      </c>
      <c r="I5164" s="40" t="s">
        <v>41</v>
      </c>
    </row>
    <row r="5165" spans="1:10" x14ac:dyDescent="0.25">
      <c r="A5165" s="41">
        <v>45384.680077893521</v>
      </c>
      <c r="B5165" s="48">
        <f>IF(A5165&lt;&gt;"",DATE(YEAR(TRANSACTIONS!$A5165),MONTH(TRANSACTIONS!$A5165),DAY(TRANSACTIONS!$A5165)),"")</f>
        <v>45384</v>
      </c>
      <c r="C5165" s="49">
        <f>IF(A5165&lt;&gt;"",TIME(HOUR(TRANSACTIONS!$A5165),MINUTE(TRANSACTIONS!$A5165),SECOND(TRANSACTIONS!$A5165)),"")</f>
        <v>0.68008101851851854</v>
      </c>
      <c r="D5165" s="82" t="s">
        <v>62</v>
      </c>
      <c r="E5165" s="82" t="s">
        <v>7</v>
      </c>
      <c r="F5165" s="88">
        <v>95000</v>
      </c>
      <c r="G5165" s="46"/>
      <c r="H5165" s="46">
        <f>IFERROR(TRANSACTIONS!$F5165+TRANSACTIONS!$G5165,"")</f>
        <v>95000</v>
      </c>
      <c r="I5165" s="40" t="s">
        <v>41</v>
      </c>
    </row>
    <row r="5166" spans="1:10" x14ac:dyDescent="0.25">
      <c r="A5166" s="81">
        <v>45384.680086689812</v>
      </c>
      <c r="B5166" s="83">
        <f>IF(A5166&lt;&gt;"",DATE(YEAR(TRANSACTIONS!$A5166),MONTH(TRANSACTIONS!$A5166),DAY(TRANSACTIONS!$A5166)),"")</f>
        <v>45384</v>
      </c>
      <c r="C5166" s="84">
        <f>IF(A5166&lt;&gt;"",TIME(HOUR(TRANSACTIONS!$A5166),MINUTE(TRANSACTIONS!$A5166),SECOND(TRANSACTIONS!$A5166)),"")</f>
        <v>0.68008101851851854</v>
      </c>
      <c r="D5166" s="82" t="s">
        <v>62</v>
      </c>
      <c r="E5166" s="82" t="s">
        <v>7</v>
      </c>
      <c r="F5166" s="88">
        <v>25000</v>
      </c>
      <c r="G5166" s="46"/>
      <c r="H5166" s="46">
        <f>IFERROR(TRANSACTIONS!$F5166+TRANSACTIONS!$G5166,"")</f>
        <v>25000</v>
      </c>
      <c r="I5166" s="40" t="s">
        <v>41</v>
      </c>
    </row>
    <row r="5167" spans="1:10" x14ac:dyDescent="0.25">
      <c r="A5167" s="81">
        <v>45384.680094560186</v>
      </c>
      <c r="B5167" s="83">
        <f>IF(A5167&lt;&gt;"",DATE(YEAR(TRANSACTIONS!$A5167),MONTH(TRANSACTIONS!$A5167),DAY(TRANSACTIONS!$A5167)),"")</f>
        <v>45384</v>
      </c>
      <c r="C5167" s="84">
        <f>IF(A5167&lt;&gt;"",TIME(HOUR(TRANSACTIONS!$A5167),MINUTE(TRANSACTIONS!$A5167),SECOND(TRANSACTIONS!$A5167)),"")</f>
        <v>0.68009259259259258</v>
      </c>
      <c r="D5167" s="82" t="s">
        <v>62</v>
      </c>
      <c r="E5167" s="82" t="s">
        <v>7</v>
      </c>
      <c r="F5167" s="88">
        <v>10000</v>
      </c>
      <c r="G5167" s="86"/>
      <c r="H5167" s="86">
        <f>IFERROR(TRANSACTIONS!$F5167+TRANSACTIONS!$G5167,"")</f>
        <v>10000</v>
      </c>
      <c r="I5167" s="88" t="s">
        <v>41</v>
      </c>
      <c r="J5167" s="88"/>
    </row>
    <row r="5168" spans="1:10" x14ac:dyDescent="0.25">
      <c r="A5168" s="81">
        <v>45384.680103356484</v>
      </c>
      <c r="B5168" s="83">
        <f>IF(A5168&lt;&gt;"",DATE(YEAR(TRANSACTIONS!$A5168),MONTH(TRANSACTIONS!$A5168),DAY(TRANSACTIONS!$A5168)),"")</f>
        <v>45384</v>
      </c>
      <c r="C5168" s="84">
        <f>IF(A5168&lt;&gt;"",TIME(HOUR(TRANSACTIONS!$A5168),MINUTE(TRANSACTIONS!$A5168),SECOND(TRANSACTIONS!$A5168)),"")</f>
        <v>0.68010416666666673</v>
      </c>
      <c r="D5168" s="82" t="s">
        <v>25</v>
      </c>
      <c r="E5168" s="82" t="s">
        <v>6</v>
      </c>
      <c r="F5168" s="88">
        <v>1000</v>
      </c>
      <c r="G5168" s="86"/>
      <c r="H5168" s="86">
        <f>IFERROR(TRANSACTIONS!$F5168+TRANSACTIONS!$G5168,"")</f>
        <v>1000</v>
      </c>
      <c r="I5168" s="88" t="s">
        <v>41</v>
      </c>
      <c r="J5168" s="88"/>
    </row>
    <row r="5169" spans="1:11" x14ac:dyDescent="0.25">
      <c r="A5169" s="81">
        <v>45384.680114236115</v>
      </c>
      <c r="B5169" s="83">
        <f>IF(A5169&lt;&gt;"",DATE(YEAR(TRANSACTIONS!$A5169),MONTH(TRANSACTIONS!$A5169),DAY(TRANSACTIONS!$A5169)),"")</f>
        <v>45384</v>
      </c>
      <c r="C5169" s="84">
        <f>IF(A5169&lt;&gt;"",TIME(HOUR(TRANSACTIONS!$A5169),MINUTE(TRANSACTIONS!$A5169),SECOND(TRANSACTIONS!$A5169)),"")</f>
        <v>0.68011574074074066</v>
      </c>
      <c r="D5169" s="82" t="s">
        <v>25</v>
      </c>
      <c r="E5169" s="82" t="s">
        <v>7</v>
      </c>
      <c r="F5169" s="88">
        <v>4000</v>
      </c>
      <c r="G5169" s="46"/>
      <c r="H5169" s="46">
        <f>IFERROR(TRANSACTIONS!$F5169+TRANSACTIONS!$G5169,"")</f>
        <v>4000</v>
      </c>
      <c r="I5169" s="40" t="s">
        <v>41</v>
      </c>
    </row>
    <row r="5170" spans="1:11" x14ac:dyDescent="0.25">
      <c r="A5170" s="81">
        <v>45384.680124768522</v>
      </c>
      <c r="B5170" s="83">
        <f>IF(A5170&lt;&gt;"",DATE(YEAR(TRANSACTIONS!$A5170),MONTH(TRANSACTIONS!$A5170),DAY(TRANSACTIONS!$A5170)),"")</f>
        <v>45384</v>
      </c>
      <c r="C5170" s="84">
        <f>IF(A5170&lt;&gt;"",TIME(HOUR(TRANSACTIONS!$A5170),MINUTE(TRANSACTIONS!$A5170),SECOND(TRANSACTIONS!$A5170)),"")</f>
        <v>0.68012731481481481</v>
      </c>
      <c r="D5170" s="82" t="s">
        <v>25</v>
      </c>
      <c r="E5170" s="82" t="s">
        <v>7</v>
      </c>
      <c r="F5170" s="88">
        <v>3000</v>
      </c>
      <c r="G5170" s="46"/>
      <c r="H5170" s="46">
        <f>IFERROR(TRANSACTIONS!$F5170+TRANSACTIONS!$G5170,"")</f>
        <v>3000</v>
      </c>
      <c r="I5170" s="40" t="s">
        <v>41</v>
      </c>
    </row>
    <row r="5171" spans="1:11" x14ac:dyDescent="0.25">
      <c r="A5171" s="81">
        <v>45384.680159027776</v>
      </c>
      <c r="B5171" s="83">
        <f>IF(A5171&lt;&gt;"",DATE(YEAR(TRANSACTIONS!$A5171),MONTH(TRANSACTIONS!$A5171),DAY(TRANSACTIONS!$A5171)),"")</f>
        <v>45384</v>
      </c>
      <c r="C5171" s="84">
        <f>IF(A5171&lt;&gt;"",TIME(HOUR(TRANSACTIONS!$A5171),MINUTE(TRANSACTIONS!$A5171),SECOND(TRANSACTIONS!$A5171)),"")</f>
        <v>0.68016203703703704</v>
      </c>
      <c r="D5171" s="82" t="s">
        <v>25</v>
      </c>
      <c r="E5171" s="82" t="s">
        <v>6</v>
      </c>
      <c r="F5171" s="88">
        <v>100000</v>
      </c>
      <c r="G5171" s="46"/>
      <c r="H5171" s="46">
        <f>IFERROR(TRANSACTIONS!$F5171+TRANSACTIONS!$G5171,"")</f>
        <v>100000</v>
      </c>
      <c r="I5171" s="40" t="s">
        <v>41</v>
      </c>
      <c r="K5171" s="88"/>
    </row>
    <row r="5172" spans="1:11" x14ac:dyDescent="0.25">
      <c r="A5172" s="41">
        <v>45384.680171412037</v>
      </c>
      <c r="B5172" s="48">
        <f>IF(A5172&lt;&gt;"",DATE(YEAR(TRANSACTIONS!$A5172),MONTH(TRANSACTIONS!$A5172),DAY(TRANSACTIONS!$A5172)),"")</f>
        <v>45384</v>
      </c>
      <c r="C5172" s="49">
        <f>IF(A5172&lt;&gt;"",TIME(HOUR(TRANSACTIONS!$A5172),MINUTE(TRANSACTIONS!$A5172),SECOND(TRANSACTIONS!$A5172)),"")</f>
        <v>0.68017361111111108</v>
      </c>
      <c r="D5172" s="82" t="s">
        <v>25</v>
      </c>
      <c r="E5172" s="82" t="s">
        <v>6</v>
      </c>
      <c r="F5172" s="88">
        <v>60000</v>
      </c>
      <c r="G5172" s="46"/>
      <c r="H5172" s="46">
        <f>IFERROR(TRANSACTIONS!$F5172+TRANSACTIONS!$G5172,"")</f>
        <v>60000</v>
      </c>
      <c r="I5172" s="40" t="s">
        <v>41</v>
      </c>
    </row>
    <row r="5173" spans="1:11" x14ac:dyDescent="0.25">
      <c r="A5173" s="41">
        <v>45384.680179513889</v>
      </c>
      <c r="B5173" s="48">
        <f>IF(A5173&lt;&gt;"",DATE(YEAR(TRANSACTIONS!$A5173),MONTH(TRANSACTIONS!$A5173),DAY(TRANSACTIONS!$A5173)),"")</f>
        <v>45384</v>
      </c>
      <c r="C5173" s="49">
        <f>IF(A5173&lt;&gt;"",TIME(HOUR(TRANSACTIONS!$A5173),MINUTE(TRANSACTIONS!$A5173),SECOND(TRANSACTIONS!$A5173)),"")</f>
        <v>0.68018518518518523</v>
      </c>
      <c r="D5173" s="82" t="s">
        <v>25</v>
      </c>
      <c r="E5173" s="82" t="s">
        <v>7</v>
      </c>
      <c r="F5173" s="88">
        <v>80000</v>
      </c>
      <c r="G5173" s="46"/>
      <c r="H5173" s="46">
        <f>IFERROR(TRANSACTIONS!$F5173+TRANSACTIONS!$G5173,"")</f>
        <v>80000</v>
      </c>
      <c r="I5173" s="40" t="s">
        <v>41</v>
      </c>
    </row>
    <row r="5174" spans="1:11" x14ac:dyDescent="0.25">
      <c r="A5174" s="41">
        <v>45384.680187384256</v>
      </c>
      <c r="B5174" s="48">
        <f>IF(A5174&lt;&gt;"",DATE(YEAR(TRANSACTIONS!$A5174),MONTH(TRANSACTIONS!$A5174),DAY(TRANSACTIONS!$A5174)),"")</f>
        <v>45384</v>
      </c>
      <c r="C5174" s="49">
        <f>IF(A5174&lt;&gt;"",TIME(HOUR(TRANSACTIONS!$A5174),MINUTE(TRANSACTIONS!$A5174),SECOND(TRANSACTIONS!$A5174)),"")</f>
        <v>0.68018518518518523</v>
      </c>
      <c r="D5174" s="82" t="s">
        <v>25</v>
      </c>
      <c r="E5174" s="82" t="s">
        <v>7</v>
      </c>
      <c r="F5174" s="88">
        <v>20000</v>
      </c>
      <c r="G5174" s="46"/>
      <c r="H5174" s="46">
        <f>IFERROR(TRANSACTIONS!$F5174+TRANSACTIONS!$G5174,"")</f>
        <v>20000</v>
      </c>
      <c r="I5174" s="40" t="s">
        <v>41</v>
      </c>
    </row>
    <row r="5175" spans="1:11" x14ac:dyDescent="0.25">
      <c r="A5175" s="41">
        <v>45384.680196643516</v>
      </c>
      <c r="B5175" s="48">
        <f>IF(A5175&lt;&gt;"",DATE(YEAR(TRANSACTIONS!$A5175),MONTH(TRANSACTIONS!$A5175),DAY(TRANSACTIONS!$A5175)),"")</f>
        <v>45384</v>
      </c>
      <c r="C5175" s="49">
        <f>IF(A5175&lt;&gt;"",TIME(HOUR(TRANSACTIONS!$A5175),MINUTE(TRANSACTIONS!$A5175),SECOND(TRANSACTIONS!$A5175)),"")</f>
        <v>0.68019675925925915</v>
      </c>
      <c r="D5175" s="82" t="s">
        <v>25</v>
      </c>
      <c r="E5175" s="82" t="s">
        <v>6</v>
      </c>
      <c r="F5175" s="88">
        <v>700</v>
      </c>
      <c r="G5175" s="46"/>
      <c r="H5175" s="46">
        <f>IFERROR(TRANSACTIONS!$F5175+TRANSACTIONS!$G5175,"")</f>
        <v>700</v>
      </c>
      <c r="I5175" s="40" t="s">
        <v>41</v>
      </c>
    </row>
    <row r="5176" spans="1:11" x14ac:dyDescent="0.25">
      <c r="A5176" s="41">
        <v>45384.680205092591</v>
      </c>
      <c r="B5176" s="48">
        <f>IF(A5176&lt;&gt;"",DATE(YEAR(TRANSACTIONS!$A5176),MONTH(TRANSACTIONS!$A5176),DAY(TRANSACTIONS!$A5176)),"")</f>
        <v>45384</v>
      </c>
      <c r="C5176" s="49">
        <f>IF(A5176&lt;&gt;"",TIME(HOUR(TRANSACTIONS!$A5176),MINUTE(TRANSACTIONS!$A5176),SECOND(TRANSACTIONS!$A5176)),"")</f>
        <v>0.6802083333333333</v>
      </c>
      <c r="D5176" s="82" t="s">
        <v>25</v>
      </c>
      <c r="E5176" s="82" t="s">
        <v>7</v>
      </c>
      <c r="F5176" s="88">
        <v>3000</v>
      </c>
      <c r="G5176" s="46"/>
      <c r="H5176" s="46">
        <f>IFERROR(TRANSACTIONS!$F5176+TRANSACTIONS!$G5176,"")</f>
        <v>3000</v>
      </c>
      <c r="I5176" s="40" t="s">
        <v>41</v>
      </c>
    </row>
    <row r="5177" spans="1:11" x14ac:dyDescent="0.25">
      <c r="A5177" s="41">
        <v>45384.680224768519</v>
      </c>
      <c r="B5177" s="48">
        <f>IF(A5177&lt;&gt;"",DATE(YEAR(TRANSACTIONS!$A5177),MONTH(TRANSACTIONS!$A5177),DAY(TRANSACTIONS!$A5177)),"")</f>
        <v>45384</v>
      </c>
      <c r="C5177" s="49">
        <f>IF(A5177&lt;&gt;"",TIME(HOUR(TRANSACTIONS!$A5177),MINUTE(TRANSACTIONS!$A5177),SECOND(TRANSACTIONS!$A5177)),"")</f>
        <v>0.68021990740740745</v>
      </c>
      <c r="D5177" s="82" t="s">
        <v>62</v>
      </c>
      <c r="E5177" s="82" t="s">
        <v>7</v>
      </c>
      <c r="F5177" s="88">
        <v>1000</v>
      </c>
      <c r="G5177" s="46"/>
      <c r="H5177" s="46">
        <f>IFERROR(TRANSACTIONS!$F5177+TRANSACTIONS!$G5177,"")</f>
        <v>1000</v>
      </c>
      <c r="I5177" s="40" t="s">
        <v>41</v>
      </c>
    </row>
    <row r="5178" spans="1:11" x14ac:dyDescent="0.25">
      <c r="A5178" s="41">
        <v>45384.682362731481</v>
      </c>
      <c r="B5178" s="48">
        <f>IF(A5178&lt;&gt;"",DATE(YEAR(TRANSACTIONS!$A5178),MONTH(TRANSACTIONS!$A5178),DAY(TRANSACTIONS!$A5178)),"")</f>
        <v>45384</v>
      </c>
      <c r="C5178" s="49">
        <f>IF(A5178&lt;&gt;"",TIME(HOUR(TRANSACTIONS!$A5178),MINUTE(TRANSACTIONS!$A5178),SECOND(TRANSACTIONS!$A5178)),"")</f>
        <v>0.68236111111111108</v>
      </c>
      <c r="D5178" s="82" t="s">
        <v>62</v>
      </c>
      <c r="E5178" s="82" t="s">
        <v>7</v>
      </c>
      <c r="F5178" s="88">
        <v>1500</v>
      </c>
      <c r="G5178" s="46"/>
      <c r="H5178" s="46">
        <f>IFERROR(TRANSACTIONS!$F5178+TRANSACTIONS!$G5178,"")</f>
        <v>1500</v>
      </c>
      <c r="I5178" s="40" t="s">
        <v>41</v>
      </c>
    </row>
    <row r="5179" spans="1:11" x14ac:dyDescent="0.25">
      <c r="A5179" s="41">
        <v>45384.682365740744</v>
      </c>
      <c r="B5179" s="48">
        <f>IF(A5179&lt;&gt;"",DATE(YEAR(TRANSACTIONS!$A5179),MONTH(TRANSACTIONS!$A5179),DAY(TRANSACTIONS!$A5179)),"")</f>
        <v>45384</v>
      </c>
      <c r="C5179" s="49">
        <f>IF(A5179&lt;&gt;"",TIME(HOUR(TRANSACTIONS!$A5179),MINUTE(TRANSACTIONS!$A5179),SECOND(TRANSACTIONS!$A5179)),"")</f>
        <v>0.68236111111111108</v>
      </c>
      <c r="D5179" s="82" t="s">
        <v>62</v>
      </c>
      <c r="E5179" s="82" t="s">
        <v>6</v>
      </c>
      <c r="F5179" s="88">
        <v>200</v>
      </c>
      <c r="G5179" s="46"/>
      <c r="H5179" s="46">
        <f>IFERROR(TRANSACTIONS!$F5179+TRANSACTIONS!$G5179,"")</f>
        <v>200</v>
      </c>
      <c r="I5179" s="40" t="s">
        <v>41</v>
      </c>
    </row>
    <row r="5180" spans="1:11" x14ac:dyDescent="0.25">
      <c r="A5180" s="41">
        <v>45384.68240046296</v>
      </c>
      <c r="B5180" s="48">
        <f>IF(A5180&lt;&gt;"",DATE(YEAR(TRANSACTIONS!$A5180),MONTH(TRANSACTIONS!$A5180),DAY(TRANSACTIONS!$A5180)),"")</f>
        <v>45384</v>
      </c>
      <c r="C5180" s="49">
        <f>IF(A5180&lt;&gt;"",TIME(HOUR(TRANSACTIONS!$A5180),MINUTE(TRANSACTIONS!$A5180),SECOND(TRANSACTIONS!$A5180)),"")</f>
        <v>0.68239583333333342</v>
      </c>
      <c r="D5180" s="82" t="s">
        <v>62</v>
      </c>
      <c r="E5180" s="82" t="s">
        <v>6</v>
      </c>
      <c r="F5180" s="88">
        <v>3500</v>
      </c>
      <c r="G5180" s="46"/>
      <c r="H5180" s="46">
        <f>IFERROR(TRANSACTIONS!$F5180+TRANSACTIONS!$G5180,"")</f>
        <v>3500</v>
      </c>
      <c r="I5180" s="40" t="s">
        <v>41</v>
      </c>
    </row>
    <row r="5181" spans="1:11" x14ac:dyDescent="0.25">
      <c r="A5181" s="41">
        <v>45384.682408796296</v>
      </c>
      <c r="B5181" s="48">
        <f>IF(A5181&lt;&gt;"",DATE(YEAR(TRANSACTIONS!$A5181),MONTH(TRANSACTIONS!$A5181),DAY(TRANSACTIONS!$A5181)),"")</f>
        <v>45384</v>
      </c>
      <c r="C5181" s="49">
        <f>IF(A5181&lt;&gt;"",TIME(HOUR(TRANSACTIONS!$A5181),MINUTE(TRANSACTIONS!$A5181),SECOND(TRANSACTIONS!$A5181)),"")</f>
        <v>0.68240740740740735</v>
      </c>
      <c r="D5181" s="82" t="s">
        <v>25</v>
      </c>
      <c r="E5181" s="82" t="s">
        <v>7</v>
      </c>
      <c r="F5181" s="88">
        <v>5000</v>
      </c>
      <c r="G5181" s="46"/>
      <c r="H5181" s="46">
        <f>IFERROR(TRANSACTIONS!$F5181+TRANSACTIONS!$G5181,"")</f>
        <v>5000</v>
      </c>
      <c r="I5181" s="40" t="s">
        <v>41</v>
      </c>
    </row>
    <row r="5182" spans="1:11" x14ac:dyDescent="0.25">
      <c r="A5182" s="41">
        <v>45384.688822916665</v>
      </c>
      <c r="B5182" s="48">
        <f>IF(A5182&lt;&gt;"",DATE(YEAR(TRANSACTIONS!$A5182),MONTH(TRANSACTIONS!$A5182),DAY(TRANSACTIONS!$A5182)),"")</f>
        <v>45384</v>
      </c>
      <c r="C5182" s="49">
        <f>IF(A5182&lt;&gt;"",TIME(HOUR(TRANSACTIONS!$A5182),MINUTE(TRANSACTIONS!$A5182),SECOND(TRANSACTIONS!$A5182)),"")</f>
        <v>0.68881944444444443</v>
      </c>
      <c r="D5182" s="82" t="s">
        <v>25</v>
      </c>
      <c r="E5182" s="82" t="s">
        <v>7</v>
      </c>
      <c r="F5182" s="88">
        <v>700000</v>
      </c>
      <c r="G5182" s="46"/>
      <c r="H5182" s="46">
        <f>IFERROR(TRANSACTIONS!$F5182+TRANSACTIONS!$G5182,"")</f>
        <v>700000</v>
      </c>
      <c r="I5182" s="40" t="s">
        <v>41</v>
      </c>
    </row>
    <row r="5183" spans="1:11" x14ac:dyDescent="0.25">
      <c r="A5183" s="41">
        <v>45384.691188078701</v>
      </c>
      <c r="B5183" s="48">
        <f>IF(A5183&lt;&gt;"",DATE(YEAR(TRANSACTIONS!$A5183),MONTH(TRANSACTIONS!$A5183),DAY(TRANSACTIONS!$A5183)),"")</f>
        <v>45384</v>
      </c>
      <c r="C5183" s="49">
        <f>IF(A5183&lt;&gt;"",TIME(HOUR(TRANSACTIONS!$A5183),MINUTE(TRANSACTIONS!$A5183),SECOND(TRANSACTIONS!$A5183)),"")</f>
        <v>0.69119212962962961</v>
      </c>
      <c r="D5183" s="82" t="s">
        <v>25</v>
      </c>
      <c r="E5183" s="82" t="s">
        <v>6</v>
      </c>
      <c r="F5183" s="88">
        <v>1040000</v>
      </c>
      <c r="G5183" s="46"/>
      <c r="H5183" s="46">
        <f>IFERROR(TRANSACTIONS!$F5183+TRANSACTIONS!$G5183,"")</f>
        <v>1040000</v>
      </c>
      <c r="I5183" s="40" t="s">
        <v>41</v>
      </c>
    </row>
    <row r="5184" spans="1:11" x14ac:dyDescent="0.25">
      <c r="A5184" s="41">
        <v>45384.691196412037</v>
      </c>
      <c r="B5184" s="48">
        <f>IF(A5184&lt;&gt;"",DATE(YEAR(TRANSACTIONS!$A5184),MONTH(TRANSACTIONS!$A5184),DAY(TRANSACTIONS!$A5184)),"")</f>
        <v>45384</v>
      </c>
      <c r="C5184" s="49">
        <f>IF(A5184&lt;&gt;"",TIME(HOUR(TRANSACTIONS!$A5184),MINUTE(TRANSACTIONS!$A5184),SECOND(TRANSACTIONS!$A5184)),"")</f>
        <v>0.69119212962962961</v>
      </c>
      <c r="D5184" s="82" t="s">
        <v>62</v>
      </c>
      <c r="E5184" s="82" t="s">
        <v>7</v>
      </c>
      <c r="F5184" s="88">
        <v>20000</v>
      </c>
      <c r="G5184" s="46"/>
      <c r="H5184" s="46">
        <f>IFERROR(TRANSACTIONS!$F5184+TRANSACTIONS!$G5184,"")</f>
        <v>20000</v>
      </c>
      <c r="I5184" s="40" t="s">
        <v>41</v>
      </c>
    </row>
    <row r="5185" spans="1:9" x14ac:dyDescent="0.25">
      <c r="A5185" s="41">
        <v>45384.709171180555</v>
      </c>
      <c r="B5185" s="48">
        <f>IF(A5185&lt;&gt;"",DATE(YEAR(TRANSACTIONS!$A5185),MONTH(TRANSACTIONS!$A5185),DAY(TRANSACTIONS!$A5185)),"")</f>
        <v>45384</v>
      </c>
      <c r="C5185" s="49">
        <f>IF(A5185&lt;&gt;"",TIME(HOUR(TRANSACTIONS!$A5185),MINUTE(TRANSACTIONS!$A5185),SECOND(TRANSACTIONS!$A5185)),"")</f>
        <v>0.70916666666666661</v>
      </c>
      <c r="D5185" s="82" t="s">
        <v>62</v>
      </c>
      <c r="E5185" s="82" t="s">
        <v>7</v>
      </c>
      <c r="F5185" s="88">
        <v>500000</v>
      </c>
      <c r="G5185" s="46"/>
      <c r="H5185" s="46">
        <f>IFERROR(TRANSACTIONS!$F5185+TRANSACTIONS!$G5185,"")</f>
        <v>500000</v>
      </c>
      <c r="I5185" s="40" t="s">
        <v>41</v>
      </c>
    </row>
    <row r="5186" spans="1:9" x14ac:dyDescent="0.25">
      <c r="A5186" s="41">
        <v>45384.709174189818</v>
      </c>
      <c r="B5186" s="48">
        <f>IF(A5186&lt;&gt;"",DATE(YEAR(TRANSACTIONS!$A5186),MONTH(TRANSACTIONS!$A5186),DAY(TRANSACTIONS!$A5186)),"")</f>
        <v>45384</v>
      </c>
      <c r="C5186" s="49">
        <f>IF(A5186&lt;&gt;"",TIME(HOUR(TRANSACTIONS!$A5186),MINUTE(TRANSACTIONS!$A5186),SECOND(TRANSACTIONS!$A5186)),"")</f>
        <v>0.70917824074074076</v>
      </c>
      <c r="D5186" s="82" t="s">
        <v>62</v>
      </c>
      <c r="E5186" s="82" t="s">
        <v>7</v>
      </c>
      <c r="F5186" s="88">
        <v>1600</v>
      </c>
      <c r="G5186" s="46"/>
      <c r="H5186" s="46">
        <f>IFERROR(TRANSACTIONS!$F5186+TRANSACTIONS!$G5186,"")</f>
        <v>1600</v>
      </c>
      <c r="I5186" s="40" t="s">
        <v>41</v>
      </c>
    </row>
    <row r="5187" spans="1:9" x14ac:dyDescent="0.25">
      <c r="A5187" s="41">
        <v>45384.709226388892</v>
      </c>
      <c r="B5187" s="48">
        <f>IF(A5187&lt;&gt;"",DATE(YEAR(TRANSACTIONS!$A5187),MONTH(TRANSACTIONS!$A5187),DAY(TRANSACTIONS!$A5187)),"")</f>
        <v>45384</v>
      </c>
      <c r="C5187" s="49">
        <f>IF(A5187&lt;&gt;"",TIME(HOUR(TRANSACTIONS!$A5187),MINUTE(TRANSACTIONS!$A5187),SECOND(TRANSACTIONS!$A5187)),"")</f>
        <v>0.70922453703703703</v>
      </c>
      <c r="D5187" s="82" t="s">
        <v>62</v>
      </c>
      <c r="E5187" s="82" t="s">
        <v>7</v>
      </c>
      <c r="F5187" s="88">
        <v>2000</v>
      </c>
      <c r="G5187" s="46"/>
      <c r="H5187" s="46">
        <f>IFERROR(TRANSACTIONS!$F5187+TRANSACTIONS!$G5187,"")</f>
        <v>2000</v>
      </c>
      <c r="I5187" s="40" t="s">
        <v>41</v>
      </c>
    </row>
    <row r="5188" spans="1:9" x14ac:dyDescent="0.25">
      <c r="A5188" s="41">
        <v>45384.709234606482</v>
      </c>
      <c r="B5188" s="48">
        <f>IF(A5188&lt;&gt;"",DATE(YEAR(TRANSACTIONS!$A5188),MONTH(TRANSACTIONS!$A5188),DAY(TRANSACTIONS!$A5188)),"")</f>
        <v>45384</v>
      </c>
      <c r="C5188" s="49">
        <f>IF(A5188&lt;&gt;"",TIME(HOUR(TRANSACTIONS!$A5188),MINUTE(TRANSACTIONS!$A5188),SECOND(TRANSACTIONS!$A5188)),"")</f>
        <v>0.70923611111111118</v>
      </c>
      <c r="D5188" s="82" t="s">
        <v>62</v>
      </c>
      <c r="E5188" s="82" t="s">
        <v>7</v>
      </c>
      <c r="F5188" s="88">
        <v>5000</v>
      </c>
      <c r="G5188" s="46"/>
      <c r="H5188" s="46">
        <f>IFERROR(TRANSACTIONS!$F5188+TRANSACTIONS!$G5188,"")</f>
        <v>5000</v>
      </c>
      <c r="I5188" s="40" t="s">
        <v>41</v>
      </c>
    </row>
    <row r="5189" spans="1:9" x14ac:dyDescent="0.25">
      <c r="A5189" s="41">
        <v>45384.709253356479</v>
      </c>
      <c r="B5189" s="48">
        <f>IF(A5189&lt;&gt;"",DATE(YEAR(TRANSACTIONS!$A5189),MONTH(TRANSACTIONS!$A5189),DAY(TRANSACTIONS!$A5189)),"")</f>
        <v>45384</v>
      </c>
      <c r="C5189" s="49">
        <f>IF(A5189&lt;&gt;"",TIME(HOUR(TRANSACTIONS!$A5189),MINUTE(TRANSACTIONS!$A5189),SECOND(TRANSACTIONS!$A5189)),"")</f>
        <v>0.70924768518518511</v>
      </c>
      <c r="D5189" s="82" t="s">
        <v>62</v>
      </c>
      <c r="E5189" s="82" t="s">
        <v>6</v>
      </c>
      <c r="F5189" s="88">
        <v>3200</v>
      </c>
      <c r="G5189" s="46"/>
      <c r="H5189" s="46">
        <f>IFERROR(TRANSACTIONS!$F5189+TRANSACTIONS!$G5189,"")</f>
        <v>3200</v>
      </c>
      <c r="I5189" s="40" t="s">
        <v>41</v>
      </c>
    </row>
    <row r="5190" spans="1:9" x14ac:dyDescent="0.25">
      <c r="A5190" s="41">
        <v>45384.709262268516</v>
      </c>
      <c r="B5190" s="48">
        <f>IF(A5190&lt;&gt;"",DATE(YEAR(TRANSACTIONS!$A5190),MONTH(TRANSACTIONS!$A5190),DAY(TRANSACTIONS!$A5190)),"")</f>
        <v>45384</v>
      </c>
      <c r="C5190" s="49">
        <f>IF(A5190&lt;&gt;"",TIME(HOUR(TRANSACTIONS!$A5190),MINUTE(TRANSACTIONS!$A5190),SECOND(TRANSACTIONS!$A5190)),"")</f>
        <v>0.70925925925925926</v>
      </c>
      <c r="D5190" s="82" t="s">
        <v>62</v>
      </c>
      <c r="E5190" s="82" t="s">
        <v>7</v>
      </c>
      <c r="F5190" s="88">
        <v>5000</v>
      </c>
      <c r="G5190" s="46"/>
      <c r="H5190" s="46">
        <f>IFERROR(TRANSACTIONS!$F5190+TRANSACTIONS!$G5190,"")</f>
        <v>5000</v>
      </c>
      <c r="I5190" s="40" t="s">
        <v>41</v>
      </c>
    </row>
    <row r="5191" spans="1:9" x14ac:dyDescent="0.25">
      <c r="A5191" s="41">
        <v>45384.70926909722</v>
      </c>
      <c r="B5191" s="48">
        <f>IF(A5191&lt;&gt;"",DATE(YEAR(TRANSACTIONS!$A5191),MONTH(TRANSACTIONS!$A5191),DAY(TRANSACTIONS!$A5191)),"")</f>
        <v>45384</v>
      </c>
      <c r="C5191" s="49">
        <f>IF(A5191&lt;&gt;"",TIME(HOUR(TRANSACTIONS!$A5191),MINUTE(TRANSACTIONS!$A5191),SECOND(TRANSACTIONS!$A5191)),"")</f>
        <v>0.70927083333333341</v>
      </c>
      <c r="D5191" s="82" t="s">
        <v>62</v>
      </c>
      <c r="E5191" s="82"/>
      <c r="F5191" s="88">
        <v>500000</v>
      </c>
      <c r="G5191" s="46"/>
      <c r="H5191" s="46">
        <f>IFERROR(TRANSACTIONS!$F5199+TRANSACTIONS!$G5191,"")</f>
        <v>0</v>
      </c>
      <c r="I5191" s="40" t="s">
        <v>41</v>
      </c>
    </row>
    <row r="5192" spans="1:9" x14ac:dyDescent="0.25">
      <c r="A5192" s="41">
        <v>45384.70927673611</v>
      </c>
      <c r="B5192" s="48">
        <f>IF(A5192&lt;&gt;"",DATE(YEAR(TRANSACTIONS!$A5192),MONTH(TRANSACTIONS!$A5192),DAY(TRANSACTIONS!$A5192)),"")</f>
        <v>45384</v>
      </c>
      <c r="C5192" s="49">
        <f>IF(A5192&lt;&gt;"",TIME(HOUR(TRANSACTIONS!$A5192),MINUTE(TRANSACTIONS!$A5192),SECOND(TRANSACTIONS!$A5192)),"")</f>
        <v>0.70928240740740733</v>
      </c>
      <c r="D5192" s="82" t="s">
        <v>62</v>
      </c>
      <c r="E5192" s="82" t="s">
        <v>7</v>
      </c>
      <c r="F5192" s="88">
        <v>500000</v>
      </c>
      <c r="G5192" s="46"/>
      <c r="H5192" s="46">
        <f>IFERROR(TRANSACTIONS!$F5192+TRANSACTIONS!$G5192,"")</f>
        <v>500000</v>
      </c>
      <c r="I5192" s="40" t="s">
        <v>41</v>
      </c>
    </row>
    <row r="5193" spans="1:9" x14ac:dyDescent="0.25">
      <c r="A5193" s="41">
        <v>45384.731746412035</v>
      </c>
      <c r="B5193" s="48">
        <f>IF(A5193&lt;&gt;"",DATE(YEAR(TRANSACTIONS!$A5193),MONTH(TRANSACTIONS!$A5193),DAY(TRANSACTIONS!$A5193)),"")</f>
        <v>45384</v>
      </c>
      <c r="C5193" s="49">
        <f>IF(A5193&lt;&gt;"",TIME(HOUR(TRANSACTIONS!$A5193),MINUTE(TRANSACTIONS!$A5193),SECOND(TRANSACTIONS!$A5193)),"")</f>
        <v>0.73174768518518529</v>
      </c>
      <c r="D5193" s="82" t="s">
        <v>62</v>
      </c>
      <c r="E5193" s="82" t="s">
        <v>6</v>
      </c>
      <c r="F5193" s="88">
        <v>5000</v>
      </c>
      <c r="G5193" s="46"/>
      <c r="H5193" s="46">
        <f>IFERROR(TRANSACTIONS!$F5193+TRANSACTIONS!$G5193,"")</f>
        <v>5000</v>
      </c>
      <c r="I5193" s="40" t="s">
        <v>41</v>
      </c>
    </row>
    <row r="5194" spans="1:9" x14ac:dyDescent="0.25">
      <c r="A5194" s="41">
        <v>45384.731749537037</v>
      </c>
      <c r="B5194" s="48">
        <f>IF(A5194&lt;&gt;"",DATE(YEAR(TRANSACTIONS!$A5194),MONTH(TRANSACTIONS!$A5194),DAY(TRANSACTIONS!$A5194)),"")</f>
        <v>45384</v>
      </c>
      <c r="C5194" s="49">
        <f>IF(A5194&lt;&gt;"",TIME(HOUR(TRANSACTIONS!$A5194),MINUTE(TRANSACTIONS!$A5194),SECOND(TRANSACTIONS!$A5194)),"")</f>
        <v>0.73174768518518529</v>
      </c>
      <c r="D5194" s="82" t="s">
        <v>62</v>
      </c>
      <c r="E5194" s="82" t="s">
        <v>6</v>
      </c>
      <c r="F5194" s="88">
        <v>2000</v>
      </c>
      <c r="G5194" s="46"/>
      <c r="H5194" s="46">
        <f>IFERROR(TRANSACTIONS!$F5194+TRANSACTIONS!$G5194,"")</f>
        <v>2000</v>
      </c>
      <c r="I5194" s="40" t="s">
        <v>41</v>
      </c>
    </row>
    <row r="5195" spans="1:9" x14ac:dyDescent="0.25">
      <c r="A5195" s="41">
        <v>45384.731787268516</v>
      </c>
      <c r="B5195" s="48">
        <f>IF(A5195&lt;&gt;"",DATE(YEAR(TRANSACTIONS!$A5195),MONTH(TRANSACTIONS!$A5195),DAY(TRANSACTIONS!$A5195)),"")</f>
        <v>45384</v>
      </c>
      <c r="C5195" s="49">
        <f>IF(A5195&lt;&gt;"",TIME(HOUR(TRANSACTIONS!$A5195),MINUTE(TRANSACTIONS!$A5195),SECOND(TRANSACTIONS!$A5195)),"")</f>
        <v>0.73178240740740741</v>
      </c>
      <c r="D5195" s="82" t="s">
        <v>62</v>
      </c>
      <c r="E5195" s="82" t="s">
        <v>6</v>
      </c>
      <c r="F5195" s="88">
        <v>200000</v>
      </c>
      <c r="G5195" s="46"/>
      <c r="H5195" s="46">
        <f>IFERROR(TRANSACTIONS!$F5195+TRANSACTIONS!$G5195,"")</f>
        <v>200000</v>
      </c>
      <c r="I5195" s="40" t="s">
        <v>41</v>
      </c>
    </row>
    <row r="5196" spans="1:9" x14ac:dyDescent="0.25">
      <c r="A5196" s="41">
        <v>45384.731808449076</v>
      </c>
      <c r="B5196" s="48">
        <f>IF(A5196&lt;&gt;"",DATE(YEAR(TRANSACTIONS!$A5196),MONTH(TRANSACTIONS!$A5196),DAY(TRANSACTIONS!$A5196)),"")</f>
        <v>45384</v>
      </c>
      <c r="C5196" s="49">
        <f>IF(A5196&lt;&gt;"",TIME(HOUR(TRANSACTIONS!$A5196),MINUTE(TRANSACTIONS!$A5196),SECOND(TRANSACTIONS!$A5196)),"")</f>
        <v>0.73180555555555549</v>
      </c>
      <c r="D5196" s="82" t="s">
        <v>62</v>
      </c>
      <c r="E5196" s="82" t="s">
        <v>6</v>
      </c>
      <c r="F5196" s="88">
        <v>3000</v>
      </c>
      <c r="G5196" s="46"/>
      <c r="H5196" s="46">
        <f>IFERROR(TRANSACTIONS!$F5196+TRANSACTIONS!$G5196,"")</f>
        <v>3000</v>
      </c>
      <c r="I5196" s="40" t="s">
        <v>41</v>
      </c>
    </row>
    <row r="5197" spans="1:9" x14ac:dyDescent="0.25">
      <c r="A5197" s="41">
        <v>45384.73181597222</v>
      </c>
      <c r="B5197" s="48">
        <f>IF(A5197&lt;&gt;"",DATE(YEAR(TRANSACTIONS!$A5197),MONTH(TRANSACTIONS!$A5197),DAY(TRANSACTIONS!$A5197)),"")</f>
        <v>45384</v>
      </c>
      <c r="C5197" s="49">
        <f>IF(A5197&lt;&gt;"",TIME(HOUR(TRANSACTIONS!$A5197),MINUTE(TRANSACTIONS!$A5197),SECOND(TRANSACTIONS!$A5197)),"")</f>
        <v>0.73181712962962964</v>
      </c>
      <c r="D5197" s="82" t="s">
        <v>62</v>
      </c>
      <c r="E5197" s="82" t="s">
        <v>7</v>
      </c>
      <c r="F5197" s="88">
        <v>3000</v>
      </c>
      <c r="G5197" s="46"/>
      <c r="H5197" s="46">
        <f>IFERROR(TRANSACTIONS!$F5197+TRANSACTIONS!$G5197,"")</f>
        <v>3000</v>
      </c>
      <c r="I5197" s="40" t="s">
        <v>41</v>
      </c>
    </row>
    <row r="5198" spans="1:9" x14ac:dyDescent="0.25">
      <c r="A5198" s="41">
        <v>45384.731824189817</v>
      </c>
      <c r="B5198" s="48">
        <f>IF(A5198&lt;&gt;"",DATE(YEAR(TRANSACTIONS!$A5198),MONTH(TRANSACTIONS!$A5198),DAY(TRANSACTIONS!$A5198)),"")</f>
        <v>45384</v>
      </c>
      <c r="C5198" s="49">
        <f>IF(A5198&lt;&gt;"",TIME(HOUR(TRANSACTIONS!$A5198),MINUTE(TRANSACTIONS!$A5198),SECOND(TRANSACTIONS!$A5198)),"")</f>
        <v>0.73182870370370379</v>
      </c>
      <c r="D5198" s="82" t="s">
        <v>62</v>
      </c>
      <c r="E5198" s="82" t="s">
        <v>7</v>
      </c>
      <c r="F5198" s="88">
        <v>40000</v>
      </c>
      <c r="G5198" s="46"/>
      <c r="H5198" s="46">
        <f>IFERROR(TRANSACTIONS!$F5198+TRANSACTIONS!$G5198,"")</f>
        <v>40000</v>
      </c>
      <c r="I5198" s="40" t="s">
        <v>41</v>
      </c>
    </row>
    <row r="5199" spans="1:9" x14ac:dyDescent="0.25">
      <c r="A5199" s="41">
        <v>45384.731831712961</v>
      </c>
      <c r="B5199" s="48">
        <f>IF(A5199&lt;&gt;"",DATE(YEAR(TRANSACTIONS!$A5199),MONTH(TRANSACTIONS!$A5199),DAY(TRANSACTIONS!$A5199)),"")</f>
        <v>45384</v>
      </c>
      <c r="C5199" s="49">
        <f>IF(A5199&lt;&gt;"",TIME(HOUR(TRANSACTIONS!$A5199),MINUTE(TRANSACTIONS!$A5199),SECOND(TRANSACTIONS!$A5199)),"")</f>
        <v>0.73182870370370379</v>
      </c>
      <c r="D5199" s="82"/>
      <c r="E5199" s="82"/>
      <c r="F5199" s="88"/>
      <c r="G5199" s="46"/>
      <c r="H5199" s="46" t="str">
        <f>IFERROR(TRANSACTIONS!#REF!+TRANSACTIONS!$G5199,"")</f>
        <v/>
      </c>
      <c r="I5199" s="40" t="s">
        <v>41</v>
      </c>
    </row>
    <row r="5200" spans="1:9" x14ac:dyDescent="0.25">
      <c r="A5200" s="41">
        <v>45384.731839004628</v>
      </c>
      <c r="B5200" s="48">
        <f>IF(A5200&lt;&gt;"",DATE(YEAR(TRANSACTIONS!$A5200),MONTH(TRANSACTIONS!$A5200),DAY(TRANSACTIONS!$A5200)),"")</f>
        <v>45384</v>
      </c>
      <c r="C5200" s="49">
        <f>IF(A5200&lt;&gt;"",TIME(HOUR(TRANSACTIONS!$A5200),MINUTE(TRANSACTIONS!$A5200),SECOND(TRANSACTIONS!$A5200)),"")</f>
        <v>0.73184027777777771</v>
      </c>
      <c r="D5200" s="82" t="s">
        <v>25</v>
      </c>
      <c r="E5200" s="82" t="s">
        <v>6</v>
      </c>
      <c r="F5200" s="88">
        <v>50000</v>
      </c>
      <c r="G5200" s="46"/>
      <c r="H5200" s="46">
        <f>IFERROR(TRANSACTIONS!$F5200+TRANSACTIONS!$G5200,"")</f>
        <v>50000</v>
      </c>
      <c r="I5200" s="40" t="s">
        <v>41</v>
      </c>
    </row>
    <row r="5201" spans="1:9" x14ac:dyDescent="0.25">
      <c r="A5201" s="41">
        <v>45384.73184641204</v>
      </c>
      <c r="B5201" s="48">
        <f>IF(A5201&lt;&gt;"",DATE(YEAR(TRANSACTIONS!$A5201),MONTH(TRANSACTIONS!$A5201),DAY(TRANSACTIONS!$A5201)),"")</f>
        <v>45384</v>
      </c>
      <c r="C5201" s="49">
        <f>IF(A5201&lt;&gt;"",TIME(HOUR(TRANSACTIONS!$A5201),MINUTE(TRANSACTIONS!$A5201),SECOND(TRANSACTIONS!$A5201)),"")</f>
        <v>0.73185185185185186</v>
      </c>
      <c r="D5201" s="82" t="s">
        <v>25</v>
      </c>
      <c r="E5201" s="82" t="s">
        <v>7</v>
      </c>
      <c r="F5201" s="88">
        <v>10000</v>
      </c>
      <c r="G5201" s="46"/>
      <c r="H5201" s="46">
        <f>IFERROR(TRANSACTIONS!$F5201+TRANSACTIONS!$G5201,"")</f>
        <v>10000</v>
      </c>
      <c r="I5201" s="40" t="s">
        <v>41</v>
      </c>
    </row>
    <row r="5202" spans="1:9" x14ac:dyDescent="0.25">
      <c r="A5202" s="41">
        <v>45384.731854166668</v>
      </c>
      <c r="B5202" s="48">
        <f>IF(A5202&lt;&gt;"",DATE(YEAR(TRANSACTIONS!$A5202),MONTH(TRANSACTIONS!$A5202),DAY(TRANSACTIONS!$A5202)),"")</f>
        <v>45384</v>
      </c>
      <c r="C5202" s="49">
        <f>IF(A5202&lt;&gt;"",TIME(HOUR(TRANSACTIONS!$A5202),MINUTE(TRANSACTIONS!$A5202),SECOND(TRANSACTIONS!$A5202)),"")</f>
        <v>0.73185185185185186</v>
      </c>
      <c r="D5202" s="82" t="s">
        <v>62</v>
      </c>
      <c r="E5202" s="82" t="s">
        <v>7</v>
      </c>
      <c r="F5202" s="88">
        <v>5000</v>
      </c>
      <c r="G5202" s="46"/>
      <c r="H5202" s="46">
        <f>IFERROR(TRANSACTIONS!$F5202+TRANSACTIONS!$G5202,"")</f>
        <v>5000</v>
      </c>
      <c r="I5202" s="40" t="s">
        <v>41</v>
      </c>
    </row>
    <row r="5203" spans="1:9" x14ac:dyDescent="0.25">
      <c r="A5203" s="41">
        <v>45384.736595023147</v>
      </c>
      <c r="B5203" s="48">
        <f>IF(A5203&lt;&gt;"",DATE(YEAR(TRANSACTIONS!$A5203),MONTH(TRANSACTIONS!$A5203),DAY(TRANSACTIONS!$A5203)),"")</f>
        <v>45384</v>
      </c>
      <c r="C5203" s="49">
        <f>IF(A5203&lt;&gt;"",TIME(HOUR(TRANSACTIONS!$A5203),MINUTE(TRANSACTIONS!$A5203),SECOND(TRANSACTIONS!$A5203)),"")</f>
        <v>0.73659722222222224</v>
      </c>
      <c r="D5203" s="82" t="s">
        <v>62</v>
      </c>
      <c r="E5203" s="82" t="s">
        <v>6</v>
      </c>
      <c r="F5203" s="88">
        <v>1000</v>
      </c>
      <c r="G5203" s="46"/>
      <c r="H5203" s="46">
        <f>IFERROR(TRANSACTIONS!$F5203+TRANSACTIONS!$G5203,"")</f>
        <v>1000</v>
      </c>
      <c r="I5203" s="40" t="s">
        <v>41</v>
      </c>
    </row>
    <row r="5204" spans="1:9" x14ac:dyDescent="0.25">
      <c r="A5204" s="172">
        <v>45384.736608796295</v>
      </c>
      <c r="B5204" s="48">
        <f>IF(A5204&lt;&gt;"",DATE(YEAR(TRANSACTIONS!$A5204),MONTH(TRANSACTIONS!$A5204),DAY(TRANSACTIONS!$A5204)),"")</f>
        <v>45384</v>
      </c>
      <c r="C5204" s="49">
        <f>IF(A5204&lt;&gt;"",TIME(HOUR(TRANSACTIONS!$A5204),MINUTE(TRANSACTIONS!$A5204),SECOND(TRANSACTIONS!$A5204)),"")</f>
        <v>0.73660879629629628</v>
      </c>
      <c r="D5204" s="82" t="s">
        <v>62</v>
      </c>
      <c r="E5204" s="82" t="s">
        <v>6</v>
      </c>
      <c r="F5204" s="88">
        <v>5000</v>
      </c>
      <c r="G5204" s="46"/>
      <c r="H5204" s="46">
        <f>IFERROR(TRANSACTIONS!$F5204+TRANSACTIONS!$G5204,"")</f>
        <v>5000</v>
      </c>
      <c r="I5204" s="40" t="s">
        <v>41</v>
      </c>
    </row>
    <row r="5205" spans="1:9" x14ac:dyDescent="0.25">
      <c r="A5205" s="41">
        <v>45384.736650810184</v>
      </c>
      <c r="B5205" s="48">
        <f>IF(A5205&lt;&gt;"",DATE(YEAR(TRANSACTIONS!$A5205),MONTH(TRANSACTIONS!$A5205),DAY(TRANSACTIONS!$A5205)),"")</f>
        <v>45384</v>
      </c>
      <c r="C5205" s="49">
        <f>IF(A5205&lt;&gt;"",TIME(HOUR(TRANSACTIONS!$A5205),MINUTE(TRANSACTIONS!$A5205),SECOND(TRANSACTIONS!$A5205)),"")</f>
        <v>0.73665509259259254</v>
      </c>
      <c r="D5205" s="82" t="s">
        <v>62</v>
      </c>
      <c r="E5205" s="82" t="s">
        <v>6</v>
      </c>
      <c r="F5205" s="88">
        <v>20000</v>
      </c>
      <c r="G5205" s="46"/>
      <c r="H5205" s="46">
        <f>IFERROR(TRANSACTIONS!$F5205+TRANSACTIONS!$G5205,"")</f>
        <v>20000</v>
      </c>
      <c r="I5205" s="40" t="s">
        <v>41</v>
      </c>
    </row>
    <row r="5206" spans="1:9" x14ac:dyDescent="0.25">
      <c r="A5206" s="41">
        <v>45384.736658796297</v>
      </c>
      <c r="B5206" s="48">
        <f>IF(A5206&lt;&gt;"",DATE(YEAR(TRANSACTIONS!$A5206),MONTH(TRANSACTIONS!$A5206),DAY(TRANSACTIONS!$A5206)),"")</f>
        <v>45384</v>
      </c>
      <c r="C5206" s="49">
        <f>IF(A5206&lt;&gt;"",TIME(HOUR(TRANSACTIONS!$A5206),MINUTE(TRANSACTIONS!$A5206),SECOND(TRANSACTIONS!$A5206)),"")</f>
        <v>0.73665509259259254</v>
      </c>
      <c r="D5206" s="82" t="s">
        <v>25</v>
      </c>
      <c r="E5206" s="82" t="s">
        <v>6</v>
      </c>
      <c r="F5206" s="88">
        <v>10100</v>
      </c>
      <c r="G5206" s="46"/>
      <c r="H5206" s="46">
        <f>IFERROR(TRANSACTIONS!$F5206+TRANSACTIONS!$G5206,"")</f>
        <v>10100</v>
      </c>
      <c r="I5206" s="40" t="s">
        <v>41</v>
      </c>
    </row>
    <row r="5207" spans="1:9" x14ac:dyDescent="0.25">
      <c r="A5207" s="41">
        <v>45384.736665856479</v>
      </c>
      <c r="B5207" s="48">
        <f>IF(A5207&lt;&gt;"",DATE(YEAR(TRANSACTIONS!$A5207),MONTH(TRANSACTIONS!$A5207),DAY(TRANSACTIONS!$A5207)),"")</f>
        <v>45384</v>
      </c>
      <c r="C5207" s="49">
        <f>IF(A5207&lt;&gt;"",TIME(HOUR(TRANSACTIONS!$A5207),MINUTE(TRANSACTIONS!$A5207),SECOND(TRANSACTIONS!$A5207)),"")</f>
        <v>0.73666666666666669</v>
      </c>
      <c r="D5207" s="82" t="s">
        <v>63</v>
      </c>
      <c r="E5207" s="82" t="s">
        <v>6</v>
      </c>
      <c r="F5207" s="88">
        <v>1000</v>
      </c>
      <c r="G5207" s="46"/>
      <c r="H5207" s="46">
        <f>IFERROR(TRANSACTIONS!$F5207+TRANSACTIONS!$G5207,"")</f>
        <v>1000</v>
      </c>
      <c r="I5207" s="40" t="s">
        <v>41</v>
      </c>
    </row>
    <row r="5208" spans="1:9" x14ac:dyDescent="0.25">
      <c r="A5208" s="41"/>
      <c r="B5208" s="48" t="str">
        <f>IF(A5208&lt;&gt;"",DATE(YEAR(TRANSACTIONS!$A5208),MONTH(TRANSACTIONS!$A5208),DAY(TRANSACTIONS!$A5208)),"")</f>
        <v/>
      </c>
      <c r="C5208" s="49" t="str">
        <f>IF(A5208&lt;&gt;"",TIME(HOUR(TRANSACTIONS!$A5208),MINUTE(TRANSACTIONS!$A5208),SECOND(TRANSACTIONS!$A5208)),"")</f>
        <v/>
      </c>
      <c r="D5208" s="82"/>
      <c r="E5208" s="82"/>
      <c r="F5208" s="88"/>
      <c r="G5208" s="46"/>
      <c r="H5208" s="46">
        <f>IFERROR(TRANSACTIONS!$F5208+TRANSACTIONS!$G5208,"")</f>
        <v>0</v>
      </c>
      <c r="I5208" s="40" t="s">
        <v>41</v>
      </c>
    </row>
    <row r="5209" spans="1:9" x14ac:dyDescent="0.25">
      <c r="A5209" s="41">
        <v>45385.382831481482</v>
      </c>
      <c r="B5209" s="48">
        <f>IF(A5209&lt;&gt;"",DATE(YEAR(TRANSACTIONS!$A5209),MONTH(TRANSACTIONS!$A5209),DAY(TRANSACTIONS!$A5209)),"")</f>
        <v>45385</v>
      </c>
      <c r="C5209" s="49">
        <f>IF(A5209&lt;&gt;"",TIME(HOUR(TRANSACTIONS!$A5209),MINUTE(TRANSACTIONS!$A5209),SECOND(TRANSACTIONS!$A5209)),"")</f>
        <v>0.38283564814814813</v>
      </c>
      <c r="D5209" s="82" t="s">
        <v>62</v>
      </c>
      <c r="E5209" s="82" t="s">
        <v>6</v>
      </c>
      <c r="F5209" s="88">
        <v>4000</v>
      </c>
      <c r="G5209" s="46"/>
      <c r="H5209" s="46">
        <f>IFERROR(TRANSACTIONS!$F5209+TRANSACTIONS!$G5209,"")</f>
        <v>4000</v>
      </c>
      <c r="I5209" s="40" t="s">
        <v>41</v>
      </c>
    </row>
    <row r="5210" spans="1:9" x14ac:dyDescent="0.25">
      <c r="A5210" s="41">
        <v>45385.451915393518</v>
      </c>
      <c r="B5210" s="48">
        <f>IF(A5210&lt;&gt;"",DATE(YEAR(TRANSACTIONS!$A5210),MONTH(TRANSACTIONS!$A5210),DAY(TRANSACTIONS!$A5210)),"")</f>
        <v>45385</v>
      </c>
      <c r="C5210" s="49">
        <f>IF(A5210&lt;&gt;"",TIME(HOUR(TRANSACTIONS!$A5210),MINUTE(TRANSACTIONS!$A5210),SECOND(TRANSACTIONS!$A5210)),"")</f>
        <v>0.4519097222222222</v>
      </c>
      <c r="D5210" s="82" t="s">
        <v>62</v>
      </c>
      <c r="E5210" s="82" t="s">
        <v>6</v>
      </c>
      <c r="F5210" s="88">
        <v>18000</v>
      </c>
      <c r="G5210" s="46"/>
      <c r="H5210" s="46">
        <f>IFERROR(TRANSACTIONS!$F5210+TRANSACTIONS!$G5210,"")</f>
        <v>18000</v>
      </c>
      <c r="I5210" s="40" t="s">
        <v>41</v>
      </c>
    </row>
    <row r="5211" spans="1:9" x14ac:dyDescent="0.25">
      <c r="A5211" s="41">
        <v>45385.45192777778</v>
      </c>
      <c r="B5211" s="48">
        <f>IF(A5211&lt;&gt;"",DATE(YEAR(TRANSACTIONS!$A5211),MONTH(TRANSACTIONS!$A5211),DAY(TRANSACTIONS!$A5211)),"")</f>
        <v>45385</v>
      </c>
      <c r="C5211" s="49">
        <f>IF(A5211&lt;&gt;"",TIME(HOUR(TRANSACTIONS!$A5211),MINUTE(TRANSACTIONS!$A5211),SECOND(TRANSACTIONS!$A5211)),"")</f>
        <v>0.45193287037037039</v>
      </c>
      <c r="D5211" s="82" t="s">
        <v>62</v>
      </c>
      <c r="E5211" s="82" t="s">
        <v>7</v>
      </c>
      <c r="F5211" s="88">
        <v>5000</v>
      </c>
      <c r="G5211" s="46"/>
      <c r="H5211" s="46">
        <f>IFERROR(TRANSACTIONS!$F5211+TRANSACTIONS!$G5211,"")</f>
        <v>5000</v>
      </c>
      <c r="I5211" s="40" t="s">
        <v>41</v>
      </c>
    </row>
    <row r="5212" spans="1:9" x14ac:dyDescent="0.25">
      <c r="A5212" s="41">
        <v>45385.451959953702</v>
      </c>
      <c r="B5212" s="48">
        <f>IF(A5212&lt;&gt;"",DATE(YEAR(TRANSACTIONS!$A5212),MONTH(TRANSACTIONS!$A5212),DAY(TRANSACTIONS!$A5212)),"")</f>
        <v>45385</v>
      </c>
      <c r="C5212" s="49">
        <f>IF(A5212&lt;&gt;"",TIME(HOUR(TRANSACTIONS!$A5212),MINUTE(TRANSACTIONS!$A5212),SECOND(TRANSACTIONS!$A5212)),"")</f>
        <v>0.45195601851851852</v>
      </c>
      <c r="D5212" s="82" t="s">
        <v>62</v>
      </c>
      <c r="E5212" s="82" t="s">
        <v>6</v>
      </c>
      <c r="F5212" s="88">
        <v>15000</v>
      </c>
      <c r="G5212" s="46"/>
      <c r="H5212" s="46">
        <f>IFERROR(TRANSACTIONS!$F5212+TRANSACTIONS!$G5212,"")</f>
        <v>15000</v>
      </c>
      <c r="I5212" s="40" t="s">
        <v>41</v>
      </c>
    </row>
    <row r="5213" spans="1:9" x14ac:dyDescent="0.25">
      <c r="A5213" s="41">
        <v>45385.451967245368</v>
      </c>
      <c r="B5213" s="48">
        <f>IF(A5213&lt;&gt;"",DATE(YEAR(TRANSACTIONS!$A5213),MONTH(TRANSACTIONS!$A5213),DAY(TRANSACTIONS!$A5213)),"")</f>
        <v>45385</v>
      </c>
      <c r="C5213" s="49">
        <f>IF(A5213&lt;&gt;"",TIME(HOUR(TRANSACTIONS!$A5213),MINUTE(TRANSACTIONS!$A5213),SECOND(TRANSACTIONS!$A5213)),"")</f>
        <v>0.45196759259259256</v>
      </c>
      <c r="D5213" s="82" t="s">
        <v>62</v>
      </c>
      <c r="E5213" s="82" t="s">
        <v>7</v>
      </c>
      <c r="F5213" s="88">
        <v>5000</v>
      </c>
      <c r="G5213" s="46"/>
      <c r="H5213" s="46">
        <f>IFERROR(TRANSACTIONS!$F5213+TRANSACTIONS!$G5213,"")</f>
        <v>5000</v>
      </c>
      <c r="I5213" s="40" t="s">
        <v>41</v>
      </c>
    </row>
    <row r="5214" spans="1:9" x14ac:dyDescent="0.25">
      <c r="A5214" s="41">
        <v>45385.451974305557</v>
      </c>
      <c r="B5214" s="48">
        <f>IF(A5214&lt;&gt;"",DATE(YEAR(TRANSACTIONS!$A5214),MONTH(TRANSACTIONS!$A5214),DAY(TRANSACTIONS!$A5214)),"")</f>
        <v>45385</v>
      </c>
      <c r="C5214" s="49">
        <f>IF(A5214&lt;&gt;"",TIME(HOUR(TRANSACTIONS!$A5214),MINUTE(TRANSACTIONS!$A5214),SECOND(TRANSACTIONS!$A5214)),"")</f>
        <v>0.45197916666666665</v>
      </c>
      <c r="D5214" s="82" t="s">
        <v>62</v>
      </c>
      <c r="E5214" s="82" t="s">
        <v>7</v>
      </c>
      <c r="F5214" s="88">
        <v>66000</v>
      </c>
      <c r="G5214" s="46"/>
      <c r="H5214" s="46">
        <f>IFERROR(TRANSACTIONS!$F5214+TRANSACTIONS!$G5214,"")</f>
        <v>66000</v>
      </c>
      <c r="I5214" s="40" t="s">
        <v>41</v>
      </c>
    </row>
    <row r="5215" spans="1:9" x14ac:dyDescent="0.25">
      <c r="A5215" s="41">
        <v>45385.451981481485</v>
      </c>
      <c r="B5215" s="48">
        <f>IF(A5215&lt;&gt;"",DATE(YEAR(TRANSACTIONS!$A5215),MONTH(TRANSACTIONS!$A5215),DAY(TRANSACTIONS!$A5215)),"")</f>
        <v>45385</v>
      </c>
      <c r="C5215" s="49">
        <f>IF(A5215&lt;&gt;"",TIME(HOUR(TRANSACTIONS!$A5215),MINUTE(TRANSACTIONS!$A5215),SECOND(TRANSACTIONS!$A5215)),"")</f>
        <v>0.45197916666666665</v>
      </c>
      <c r="D5215" s="82" t="s">
        <v>62</v>
      </c>
      <c r="E5215" s="82" t="s">
        <v>7</v>
      </c>
      <c r="F5215" s="88">
        <v>4000</v>
      </c>
      <c r="G5215" s="46"/>
      <c r="H5215" s="46">
        <f>IFERROR(TRANSACTIONS!$F5215+TRANSACTIONS!$G5215,"")</f>
        <v>4000</v>
      </c>
      <c r="I5215" s="40" t="s">
        <v>41</v>
      </c>
    </row>
    <row r="5216" spans="1:9" x14ac:dyDescent="0.25">
      <c r="A5216" s="41">
        <v>45385.451988194443</v>
      </c>
      <c r="B5216" s="48">
        <f>IF(A5216&lt;&gt;"",DATE(YEAR(TRANSACTIONS!$A5216),MONTH(TRANSACTIONS!$A5216),DAY(TRANSACTIONS!$A5216)),"")</f>
        <v>45385</v>
      </c>
      <c r="C5216" s="49">
        <f>IF(A5216&lt;&gt;"",TIME(HOUR(TRANSACTIONS!$A5216),MINUTE(TRANSACTIONS!$A5216),SECOND(TRANSACTIONS!$A5216)),"")</f>
        <v>0.45199074074074069</v>
      </c>
      <c r="D5216" s="82" t="s">
        <v>62</v>
      </c>
      <c r="E5216" s="82" t="s">
        <v>6</v>
      </c>
      <c r="F5216" s="88">
        <v>59200</v>
      </c>
      <c r="G5216" s="46"/>
      <c r="H5216" s="46">
        <f>IFERROR(TRANSACTIONS!$F5216+TRANSACTIONS!$G5216,"")</f>
        <v>59200</v>
      </c>
      <c r="I5216" s="40" t="s">
        <v>41</v>
      </c>
    </row>
    <row r="5217" spans="1:9" x14ac:dyDescent="0.25">
      <c r="A5217" s="41">
        <v>45385.451995601848</v>
      </c>
      <c r="B5217" s="48">
        <f>IF(A5217&lt;&gt;"",DATE(YEAR(TRANSACTIONS!$A5217),MONTH(TRANSACTIONS!$A5217),DAY(TRANSACTIONS!$A5217)),"")</f>
        <v>45385</v>
      </c>
      <c r="C5217" s="49">
        <f>IF(A5217&lt;&gt;"",TIME(HOUR(TRANSACTIONS!$A5217),MINUTE(TRANSACTIONS!$A5217),SECOND(TRANSACTIONS!$A5217)),"")</f>
        <v>0.45199074074074069</v>
      </c>
      <c r="D5217" s="82" t="s">
        <v>62</v>
      </c>
      <c r="E5217" s="82" t="s">
        <v>6</v>
      </c>
      <c r="F5217" s="88">
        <v>2000</v>
      </c>
      <c r="G5217" s="46"/>
      <c r="H5217" s="46">
        <f>IFERROR(TRANSACTIONS!$F5217+TRANSACTIONS!$G5217,"")</f>
        <v>2000</v>
      </c>
      <c r="I5217" s="40" t="s">
        <v>41</v>
      </c>
    </row>
    <row r="5218" spans="1:9" x14ac:dyDescent="0.25">
      <c r="A5218" s="41">
        <v>45385.452012615744</v>
      </c>
      <c r="B5218" s="48">
        <f>IF(A5218&lt;&gt;"",DATE(YEAR(TRANSACTIONS!$A5218),MONTH(TRANSACTIONS!$A5218),DAY(TRANSACTIONS!$A5218)),"")</f>
        <v>45385</v>
      </c>
      <c r="C5218" s="49">
        <f>IF(A5218&lt;&gt;"",TIME(HOUR(TRANSACTIONS!$A5218),MINUTE(TRANSACTIONS!$A5218),SECOND(TRANSACTIONS!$A5218)),"")</f>
        <v>0.45201388888888888</v>
      </c>
      <c r="D5218" s="82" t="s">
        <v>62</v>
      </c>
      <c r="E5218" s="82" t="s">
        <v>7</v>
      </c>
      <c r="F5218" s="88">
        <v>10000</v>
      </c>
      <c r="G5218" s="46"/>
      <c r="H5218" s="46">
        <f>IFERROR(TRANSACTIONS!$F5218+TRANSACTIONS!$G5218,"")</f>
        <v>10000</v>
      </c>
      <c r="I5218" s="40" t="s">
        <v>41</v>
      </c>
    </row>
    <row r="5219" spans="1:9" x14ac:dyDescent="0.25">
      <c r="A5219" s="41">
        <v>45385.452042245372</v>
      </c>
      <c r="B5219" s="48">
        <f>IF(A5219&lt;&gt;"",DATE(YEAR(TRANSACTIONS!$A5219),MONTH(TRANSACTIONS!$A5219),DAY(TRANSACTIONS!$A5219)),"")</f>
        <v>45385</v>
      </c>
      <c r="C5219" s="49">
        <f>IF(A5219&lt;&gt;"",TIME(HOUR(TRANSACTIONS!$A5219),MINUTE(TRANSACTIONS!$A5219),SECOND(TRANSACTIONS!$A5219)),"")</f>
        <v>0.45203703703703701</v>
      </c>
      <c r="D5219" s="82" t="s">
        <v>62</v>
      </c>
      <c r="E5219" s="82"/>
      <c r="F5219" s="88">
        <v>2000</v>
      </c>
      <c r="G5219" s="46"/>
      <c r="H5219" s="46">
        <f>IFERROR(TRANSACTIONS!$F5219+TRANSACTIONS!$G5219,"")</f>
        <v>2000</v>
      </c>
      <c r="I5219" s="40" t="s">
        <v>41</v>
      </c>
    </row>
    <row r="5220" spans="1:9" x14ac:dyDescent="0.25">
      <c r="A5220" s="41">
        <v>45385.452054861111</v>
      </c>
      <c r="B5220" s="48">
        <f>IF(A5220&lt;&gt;"",DATE(YEAR(TRANSACTIONS!$A5220),MONTH(TRANSACTIONS!$A5220),DAY(TRANSACTIONS!$A5220)),"")</f>
        <v>45385</v>
      </c>
      <c r="C5220" s="49">
        <f>IF(A5220&lt;&gt;"",TIME(HOUR(TRANSACTIONS!$A5220),MINUTE(TRANSACTIONS!$A5220),SECOND(TRANSACTIONS!$A5220)),"")</f>
        <v>0.45206018518518515</v>
      </c>
      <c r="D5220" s="82" t="s">
        <v>62</v>
      </c>
      <c r="E5220" s="82" t="s">
        <v>7</v>
      </c>
      <c r="F5220" s="88">
        <v>5000</v>
      </c>
      <c r="G5220" s="46"/>
      <c r="H5220" s="46">
        <f>IFERROR(TRANSACTIONS!$F5220+TRANSACTIONS!$G5220,"")</f>
        <v>5000</v>
      </c>
      <c r="I5220" s="40" t="s">
        <v>41</v>
      </c>
    </row>
    <row r="5221" spans="1:9" x14ac:dyDescent="0.25">
      <c r="A5221" s="41">
        <v>45385.452064236109</v>
      </c>
      <c r="B5221" s="48">
        <f>IF(A5221&lt;&gt;"",DATE(YEAR(TRANSACTIONS!$A5221),MONTH(TRANSACTIONS!$A5221),DAY(TRANSACTIONS!$A5221)),"")</f>
        <v>45385</v>
      </c>
      <c r="C5221" s="49">
        <f>IF(A5221&lt;&gt;"",TIME(HOUR(TRANSACTIONS!$A5221),MINUTE(TRANSACTIONS!$A5221),SECOND(TRANSACTIONS!$A5221)),"")</f>
        <v>0.45206018518518515</v>
      </c>
      <c r="D5221" s="82" t="s">
        <v>62</v>
      </c>
      <c r="E5221" s="82" t="s">
        <v>7</v>
      </c>
      <c r="F5221" s="88">
        <v>5000</v>
      </c>
      <c r="G5221" s="46"/>
      <c r="H5221" s="46">
        <f>IFERROR(TRANSACTIONS!$F5221+TRANSACTIONS!$G5221,"")</f>
        <v>5000</v>
      </c>
      <c r="I5221" s="40" t="s">
        <v>41</v>
      </c>
    </row>
    <row r="5222" spans="1:9" x14ac:dyDescent="0.25">
      <c r="A5222" s="41">
        <v>45385.452071296299</v>
      </c>
      <c r="B5222" s="48">
        <f>IF(A5222&lt;&gt;"",DATE(YEAR(TRANSACTIONS!$A5222),MONTH(TRANSACTIONS!$A5222),DAY(TRANSACTIONS!$A5222)),"")</f>
        <v>45385</v>
      </c>
      <c r="C5222" s="49">
        <f>IF(A5222&lt;&gt;"",TIME(HOUR(TRANSACTIONS!$A5222),MINUTE(TRANSACTIONS!$A5222),SECOND(TRANSACTIONS!$A5222)),"")</f>
        <v>0.4520717592592593</v>
      </c>
      <c r="D5222" s="82" t="s">
        <v>62</v>
      </c>
      <c r="E5222" s="82" t="s">
        <v>7</v>
      </c>
      <c r="F5222" s="88">
        <v>5000</v>
      </c>
      <c r="G5222" s="46"/>
      <c r="H5222" s="46">
        <f>IFERROR(TRANSACTIONS!$F5222+TRANSACTIONS!$G5222,"")</f>
        <v>5000</v>
      </c>
      <c r="I5222" s="40" t="s">
        <v>41</v>
      </c>
    </row>
    <row r="5223" spans="1:9" x14ac:dyDescent="0.25">
      <c r="A5223" s="41">
        <v>45385.452084027776</v>
      </c>
      <c r="B5223" s="48">
        <f>IF(A5223&lt;&gt;"",DATE(YEAR(TRANSACTIONS!$A5223),MONTH(TRANSACTIONS!$A5223),DAY(TRANSACTIONS!$A5223)),"")</f>
        <v>45385</v>
      </c>
      <c r="C5223" s="49">
        <f>IF(A5223&lt;&gt;"",TIME(HOUR(TRANSACTIONS!$A5223),MINUTE(TRANSACTIONS!$A5223),SECOND(TRANSACTIONS!$A5223)),"")</f>
        <v>0.45208333333333334</v>
      </c>
      <c r="D5223" s="82" t="s">
        <v>62</v>
      </c>
      <c r="E5223" s="82" t="s">
        <v>7</v>
      </c>
      <c r="F5223" s="88">
        <v>7000</v>
      </c>
      <c r="G5223" s="46"/>
      <c r="H5223" s="46">
        <f>IFERROR(TRANSACTIONS!$F5223+TRANSACTIONS!$G5223,"")</f>
        <v>7000</v>
      </c>
      <c r="I5223" s="40" t="s">
        <v>41</v>
      </c>
    </row>
    <row r="5224" spans="1:9" x14ac:dyDescent="0.25">
      <c r="A5224" s="41">
        <v>45385.452091550927</v>
      </c>
      <c r="B5224" s="48">
        <f>IF(A5224&lt;&gt;"",DATE(YEAR(TRANSACTIONS!$A5224),MONTH(TRANSACTIONS!$A5224),DAY(TRANSACTIONS!$A5224)),"")</f>
        <v>45385</v>
      </c>
      <c r="C5224" s="49">
        <f>IF(A5224&lt;&gt;"",TIME(HOUR(TRANSACTIONS!$A5224),MINUTE(TRANSACTIONS!$A5224),SECOND(TRANSACTIONS!$A5224)),"")</f>
        <v>0.45209490740740743</v>
      </c>
      <c r="D5224" s="82" t="s">
        <v>62</v>
      </c>
      <c r="E5224" s="82" t="s">
        <v>7</v>
      </c>
      <c r="F5224" s="88">
        <v>5000</v>
      </c>
      <c r="G5224" s="46"/>
      <c r="H5224" s="46">
        <f>IFERROR(TRANSACTIONS!$F5224+TRANSACTIONS!$G5224,"")</f>
        <v>5000</v>
      </c>
      <c r="I5224" s="40" t="s">
        <v>41</v>
      </c>
    </row>
    <row r="5225" spans="1:9" x14ac:dyDescent="0.25">
      <c r="A5225" s="41">
        <v>45385.452098842594</v>
      </c>
      <c r="B5225" s="48">
        <f>IF(A5225&lt;&gt;"",DATE(YEAR(TRANSACTIONS!$A5225),MONTH(TRANSACTIONS!$A5225),DAY(TRANSACTIONS!$A5225)),"")</f>
        <v>45385</v>
      </c>
      <c r="C5225" s="49">
        <f>IF(A5225&lt;&gt;"",TIME(HOUR(TRANSACTIONS!$A5225),MINUTE(TRANSACTIONS!$A5225),SECOND(TRANSACTIONS!$A5225)),"")</f>
        <v>0.45209490740740743</v>
      </c>
      <c r="D5225" s="82" t="s">
        <v>62</v>
      </c>
      <c r="E5225" s="82" t="s">
        <v>6</v>
      </c>
      <c r="F5225" s="88">
        <v>2000</v>
      </c>
      <c r="G5225" s="46"/>
      <c r="H5225" s="46">
        <f>IFERROR(TRANSACTIONS!$F5225+TRANSACTIONS!$G5225,"")</f>
        <v>2000</v>
      </c>
      <c r="I5225" s="40" t="s">
        <v>41</v>
      </c>
    </row>
    <row r="5226" spans="1:9" x14ac:dyDescent="0.25">
      <c r="A5226" s="41">
        <v>45385.452106828707</v>
      </c>
      <c r="B5226" s="48">
        <f>IF(A5226&lt;&gt;"",DATE(YEAR(TRANSACTIONS!$A5226),MONTH(TRANSACTIONS!$A5226),DAY(TRANSACTIONS!$A5226)),"")</f>
        <v>45385</v>
      </c>
      <c r="C5226" s="49">
        <f>IF(A5226&lt;&gt;"",TIME(HOUR(TRANSACTIONS!$A5226),MINUTE(TRANSACTIONS!$A5226),SECOND(TRANSACTIONS!$A5226)),"")</f>
        <v>0.45210648148148147</v>
      </c>
      <c r="D5226" s="82" t="s">
        <v>62</v>
      </c>
      <c r="E5226" s="82" t="s">
        <v>6</v>
      </c>
      <c r="F5226" s="88">
        <v>25500</v>
      </c>
      <c r="G5226" s="46"/>
      <c r="H5226" s="46">
        <f>IFERROR(TRANSACTIONS!$F5226+TRANSACTIONS!$G5226,"")</f>
        <v>25500</v>
      </c>
      <c r="I5226" s="40" t="s">
        <v>41</v>
      </c>
    </row>
    <row r="5227" spans="1:9" x14ac:dyDescent="0.25">
      <c r="A5227" s="113">
        <v>45385.452116898145</v>
      </c>
      <c r="B5227" s="114">
        <f>IF(A5227&lt;&gt;"",DATE(YEAR(TRANSACTIONS!$A5227),MONTH(TRANSACTIONS!$A5227),DAY(TRANSACTIONS!$A5227)),"")</f>
        <v>45385</v>
      </c>
      <c r="C5227" s="115">
        <f>IF(A5227&lt;&gt;"",TIME(HOUR(TRANSACTIONS!$A5227),MINUTE(TRANSACTIONS!$A5227),SECOND(TRANSACTIONS!$A5227)),"")</f>
        <v>0.45211805555555556</v>
      </c>
      <c r="D5227" s="82" t="s">
        <v>25</v>
      </c>
      <c r="E5227" s="82" t="s">
        <v>6</v>
      </c>
      <c r="F5227" s="88">
        <v>500</v>
      </c>
      <c r="G5227" s="117"/>
      <c r="H5227" s="117">
        <f>IFERROR(TRANSACTIONS!$F5227+TRANSACTIONS!$G5227,"")</f>
        <v>500</v>
      </c>
      <c r="I5227" s="118" t="s">
        <v>41</v>
      </c>
    </row>
    <row r="5228" spans="1:9" x14ac:dyDescent="0.25">
      <c r="A5228" s="41">
        <v>45385.452128240744</v>
      </c>
      <c r="B5228" s="48">
        <f>IF(A5228&lt;&gt;"",DATE(YEAR(TRANSACTIONS!$A5228),MONTH(TRANSACTIONS!$A5228),DAY(TRANSACTIONS!$A5228)),"")</f>
        <v>45385</v>
      </c>
      <c r="C5228" s="49">
        <f>IF(A5228&lt;&gt;"",TIME(HOUR(TRANSACTIONS!$A5228),MINUTE(TRANSACTIONS!$A5228),SECOND(TRANSACTIONS!$A5228)),"")</f>
        <v>0.4521296296296296</v>
      </c>
      <c r="D5228" s="82" t="s">
        <v>25</v>
      </c>
      <c r="E5228" s="82" t="s">
        <v>7</v>
      </c>
      <c r="F5228" s="88">
        <v>15000</v>
      </c>
      <c r="G5228" s="46"/>
      <c r="H5228" s="46">
        <f>IFERROR(TRANSACTIONS!$F5228+TRANSACTIONS!$G5228,"")</f>
        <v>15000</v>
      </c>
      <c r="I5228" s="40" t="s">
        <v>41</v>
      </c>
    </row>
    <row r="5229" spans="1:9" x14ac:dyDescent="0.25">
      <c r="A5229" s="41">
        <v>45385.452135648149</v>
      </c>
      <c r="B5229" s="48">
        <f>IF(A5229&lt;&gt;"",DATE(YEAR(TRANSACTIONS!$A5229),MONTH(TRANSACTIONS!$A5229),DAY(TRANSACTIONS!$A5229)),"")</f>
        <v>45385</v>
      </c>
      <c r="C5229" s="49">
        <f>IF(A5229&lt;&gt;"",TIME(HOUR(TRANSACTIONS!$A5229),MINUTE(TRANSACTIONS!$A5229),SECOND(TRANSACTIONS!$A5229)),"")</f>
        <v>0.45214120370370375</v>
      </c>
      <c r="D5229" s="82" t="s">
        <v>25</v>
      </c>
      <c r="E5229" s="82" t="s">
        <v>7</v>
      </c>
      <c r="F5229" s="88">
        <v>500</v>
      </c>
      <c r="G5229" s="46"/>
      <c r="H5229" s="46">
        <f>IFERROR(TRANSACTIONS!$F5229+TRANSACTIONS!$G5229,"")</f>
        <v>500</v>
      </c>
      <c r="I5229" s="40" t="s">
        <v>41</v>
      </c>
    </row>
    <row r="5230" spans="1:9" x14ac:dyDescent="0.25">
      <c r="A5230" s="41">
        <v>45385.45305960648</v>
      </c>
      <c r="B5230" s="48">
        <f>IF(A5230&lt;&gt;"",DATE(YEAR(TRANSACTIONS!$A5230),MONTH(TRANSACTIONS!$A5230),DAY(TRANSACTIONS!$A5230)),"")</f>
        <v>45385</v>
      </c>
      <c r="C5230" s="49">
        <f>IF(A5230&lt;&gt;"",TIME(HOUR(TRANSACTIONS!$A5230),MINUTE(TRANSACTIONS!$A5230),SECOND(TRANSACTIONS!$A5230)),"")</f>
        <v>0.45305555555555554</v>
      </c>
      <c r="D5230" s="82" t="s">
        <v>25</v>
      </c>
      <c r="E5230" s="82" t="s">
        <v>6</v>
      </c>
      <c r="F5230" s="88">
        <v>13650</v>
      </c>
      <c r="G5230" s="46"/>
      <c r="H5230" s="46">
        <f>IFERROR(TRANSACTIONS!$F5230+TRANSACTIONS!$G5230,"")</f>
        <v>13650</v>
      </c>
      <c r="I5230" s="40" t="s">
        <v>41</v>
      </c>
    </row>
    <row r="5231" spans="1:9" x14ac:dyDescent="0.25">
      <c r="A5231" s="41">
        <v>45385.453063078705</v>
      </c>
      <c r="B5231" s="48">
        <f>IF(A5231&lt;&gt;"",DATE(YEAR(TRANSACTIONS!$A5231),MONTH(TRANSACTIONS!$A5231),DAY(TRANSACTIONS!$A5231)),"")</f>
        <v>45385</v>
      </c>
      <c r="C5231" s="49">
        <f>IF(A5231&lt;&gt;"",TIME(HOUR(TRANSACTIONS!$A5231),MINUTE(TRANSACTIONS!$A5231),SECOND(TRANSACTIONS!$A5231)),"")</f>
        <v>0.45306712962962964</v>
      </c>
      <c r="D5231" s="82" t="s">
        <v>25</v>
      </c>
      <c r="E5231" s="82" t="s">
        <v>7</v>
      </c>
      <c r="F5231" s="88">
        <v>2500</v>
      </c>
      <c r="G5231" s="46"/>
      <c r="H5231" s="46">
        <f>IFERROR(TRANSACTIONS!$F5231+TRANSACTIONS!$G5231,"")</f>
        <v>2500</v>
      </c>
      <c r="I5231" s="40" t="s">
        <v>41</v>
      </c>
    </row>
    <row r="5232" spans="1:9" x14ac:dyDescent="0.25">
      <c r="A5232" s="41">
        <v>45385.453101388892</v>
      </c>
      <c r="B5232" s="48">
        <f>IF(A5232&lt;&gt;"",DATE(YEAR(TRANSACTIONS!$A5232),MONTH(TRANSACTIONS!$A5232),DAY(TRANSACTIONS!$A5232)),"")</f>
        <v>45385</v>
      </c>
      <c r="C5232" s="49">
        <f>IF(A5232&lt;&gt;"",TIME(HOUR(TRANSACTIONS!$A5232),MINUTE(TRANSACTIONS!$A5232),SECOND(TRANSACTIONS!$A5232)),"")</f>
        <v>0.45310185185185187</v>
      </c>
      <c r="D5232" s="82" t="s">
        <v>25</v>
      </c>
      <c r="E5232" s="82" t="s">
        <v>6</v>
      </c>
      <c r="F5232" s="88">
        <v>5000</v>
      </c>
      <c r="G5232" s="46"/>
      <c r="H5232" s="46">
        <f>IFERROR(TRANSACTIONS!$F5232+TRANSACTIONS!$G5232,"")</f>
        <v>5000</v>
      </c>
      <c r="I5232" s="40" t="s">
        <v>41</v>
      </c>
    </row>
    <row r="5233" spans="1:10" x14ac:dyDescent="0.25">
      <c r="A5233" s="41">
        <v>45385.453110300929</v>
      </c>
      <c r="B5233" s="48">
        <f>IF(A5233&lt;&gt;"",DATE(YEAR(TRANSACTIONS!$A5233),MONTH(TRANSACTIONS!$A5233),DAY(TRANSACTIONS!$A5233)),"")</f>
        <v>45385</v>
      </c>
      <c r="C5233" s="49">
        <f>IF(A5233&lt;&gt;"",TIME(HOUR(TRANSACTIONS!$A5233),MINUTE(TRANSACTIONS!$A5233),SECOND(TRANSACTIONS!$A5233)),"")</f>
        <v>0.45311342592592596</v>
      </c>
      <c r="D5233" s="82" t="s">
        <v>25</v>
      </c>
      <c r="E5233" s="82" t="s">
        <v>6</v>
      </c>
      <c r="F5233" s="88">
        <v>600</v>
      </c>
      <c r="G5233" s="46"/>
      <c r="H5233" s="46">
        <f>IFERROR(TRANSACTIONS!$F5233+TRANSACTIONS!$G5233,"")</f>
        <v>600</v>
      </c>
      <c r="I5233" s="40" t="s">
        <v>41</v>
      </c>
    </row>
    <row r="5234" spans="1:10" x14ac:dyDescent="0.25">
      <c r="A5234" s="41">
        <v>45385.45311736111</v>
      </c>
      <c r="B5234" s="48">
        <f>IF(A5234&lt;&gt;"",DATE(YEAR(TRANSACTIONS!$A5234),MONTH(TRANSACTIONS!$A5234),DAY(TRANSACTIONS!$A5234)),"")</f>
        <v>45385</v>
      </c>
      <c r="C5234" s="49">
        <f>IF(A5234&lt;&gt;"",TIME(HOUR(TRANSACTIONS!$A5234),MINUTE(TRANSACTIONS!$A5234),SECOND(TRANSACTIONS!$A5234)),"")</f>
        <v>0.45311342592592596</v>
      </c>
      <c r="D5234" s="82" t="s">
        <v>25</v>
      </c>
      <c r="E5234" s="82" t="s">
        <v>7</v>
      </c>
      <c r="F5234" s="88">
        <v>600000</v>
      </c>
      <c r="G5234" s="46"/>
      <c r="H5234" s="46">
        <f>IFERROR(TRANSACTIONS!$F5234+TRANSACTIONS!$G5234,"")</f>
        <v>600000</v>
      </c>
      <c r="I5234" s="40" t="s">
        <v>41</v>
      </c>
    </row>
    <row r="5235" spans="1:10" x14ac:dyDescent="0.25">
      <c r="A5235" s="41">
        <v>45385.453124884261</v>
      </c>
      <c r="B5235" s="48">
        <f>IF(A5235&lt;&gt;"",DATE(YEAR(TRANSACTIONS!$A5235),MONTH(TRANSACTIONS!$A5235),DAY(TRANSACTIONS!$A5235)),"")</f>
        <v>45385</v>
      </c>
      <c r="C5235" s="49">
        <f>IF(A5235&lt;&gt;"",TIME(HOUR(TRANSACTIONS!$A5235),MINUTE(TRANSACTIONS!$A5235),SECOND(TRANSACTIONS!$A5235)),"")</f>
        <v>0.453125</v>
      </c>
      <c r="D5235" s="82" t="s">
        <v>25</v>
      </c>
      <c r="E5235" s="82" t="s">
        <v>6</v>
      </c>
      <c r="F5235" s="88">
        <v>600000</v>
      </c>
      <c r="G5235" s="46"/>
      <c r="H5235" s="46">
        <f>IFERROR(TRANSACTIONS!$F5235+TRANSACTIONS!$G5235,"")</f>
        <v>600000</v>
      </c>
      <c r="I5235" s="40" t="s">
        <v>41</v>
      </c>
    </row>
    <row r="5236" spans="1:10" x14ac:dyDescent="0.25">
      <c r="A5236" s="41">
        <v>45385.453132754628</v>
      </c>
      <c r="B5236" s="48">
        <f>IF(A5236&lt;&gt;"",DATE(YEAR(TRANSACTIONS!$A5236),MONTH(TRANSACTIONS!$A5236),DAY(TRANSACTIONS!$A5236)),"")</f>
        <v>45385</v>
      </c>
      <c r="C5236" s="49">
        <f>IF(A5236&lt;&gt;"",TIME(HOUR(TRANSACTIONS!$A5236),MINUTE(TRANSACTIONS!$A5236),SECOND(TRANSACTIONS!$A5236)),"")</f>
        <v>0.45313657407407404</v>
      </c>
      <c r="D5236" s="82" t="s">
        <v>25</v>
      </c>
      <c r="E5236" s="82" t="s">
        <v>7</v>
      </c>
      <c r="F5236" s="88">
        <v>5000</v>
      </c>
      <c r="G5236" s="46"/>
      <c r="H5236" s="46">
        <f>IFERROR(TRANSACTIONS!$F5236+TRANSACTIONS!$G5236,"")</f>
        <v>5000</v>
      </c>
      <c r="I5236" s="40" t="s">
        <v>41</v>
      </c>
    </row>
    <row r="5237" spans="1:10" x14ac:dyDescent="0.25">
      <c r="A5237" s="41">
        <v>45385.453140162041</v>
      </c>
      <c r="B5237" s="48">
        <f>IF(A5237&lt;&gt;"",DATE(YEAR(TRANSACTIONS!$A5237),MONTH(TRANSACTIONS!$A5237),DAY(TRANSACTIONS!$A5237)),"")</f>
        <v>45385</v>
      </c>
      <c r="C5237" s="49">
        <f>IF(A5237&lt;&gt;"",TIME(HOUR(TRANSACTIONS!$A5237),MINUTE(TRANSACTIONS!$A5237),SECOND(TRANSACTIONS!$A5237)),"")</f>
        <v>0.45313657407407404</v>
      </c>
      <c r="D5237" s="82" t="s">
        <v>25</v>
      </c>
      <c r="E5237" s="82" t="s">
        <v>7</v>
      </c>
      <c r="F5237" s="88">
        <v>40000</v>
      </c>
      <c r="G5237" s="46"/>
      <c r="H5237" s="46">
        <f>IFERROR(TRANSACTIONS!$F5237+TRANSACTIONS!$G5237,"")</f>
        <v>40000</v>
      </c>
      <c r="I5237" s="40" t="s">
        <v>41</v>
      </c>
    </row>
    <row r="5238" spans="1:10" x14ac:dyDescent="0.25">
      <c r="A5238" s="41">
        <v>45385.453147685184</v>
      </c>
      <c r="B5238" s="48">
        <f>IF(A5238&lt;&gt;"",DATE(YEAR(TRANSACTIONS!$A5238),MONTH(TRANSACTIONS!$A5238),DAY(TRANSACTIONS!$A5238)),"")</f>
        <v>45385</v>
      </c>
      <c r="C5238" s="49">
        <f>IF(A5238&lt;&gt;"",TIME(HOUR(TRANSACTIONS!$A5238),MINUTE(TRANSACTIONS!$A5238),SECOND(TRANSACTIONS!$A5238)),"")</f>
        <v>0.45314814814814813</v>
      </c>
      <c r="D5238" s="82" t="s">
        <v>25</v>
      </c>
      <c r="E5238" s="82" t="s">
        <v>7</v>
      </c>
      <c r="F5238" s="88">
        <v>70000</v>
      </c>
      <c r="G5238" s="46"/>
      <c r="H5238" s="46">
        <f>IFERROR(TRANSACTIONS!$F5238+TRANSACTIONS!$G5238,"")</f>
        <v>70000</v>
      </c>
      <c r="I5238" s="40" t="s">
        <v>41</v>
      </c>
    </row>
    <row r="5239" spans="1:10" x14ac:dyDescent="0.25">
      <c r="A5239" s="41">
        <v>45385.555832407408</v>
      </c>
      <c r="B5239" s="48">
        <f>IF(A5239&lt;&gt;"",DATE(YEAR(TRANSACTIONS!$A5239),MONTH(TRANSACTIONS!$A5239),DAY(TRANSACTIONS!$A5239)),"")</f>
        <v>45385</v>
      </c>
      <c r="C5239" s="49">
        <f>IF(A5239&lt;&gt;"",TIME(HOUR(TRANSACTIONS!$A5239),MINUTE(TRANSACTIONS!$A5239),SECOND(TRANSACTIONS!$A5239)),"")</f>
        <v>0.55583333333333329</v>
      </c>
      <c r="D5239" s="82" t="s">
        <v>25</v>
      </c>
      <c r="E5239" s="82" t="s">
        <v>7</v>
      </c>
      <c r="F5239" s="88">
        <v>20000</v>
      </c>
      <c r="G5239" s="46"/>
      <c r="H5239" s="46">
        <f>IFERROR(TRANSACTIONS!$F5239+TRANSACTIONS!$G5239,"")</f>
        <v>20000</v>
      </c>
      <c r="I5239" s="40" t="s">
        <v>41</v>
      </c>
    </row>
    <row r="5240" spans="1:10" x14ac:dyDescent="0.25">
      <c r="A5240" s="41">
        <v>45385.555835416664</v>
      </c>
      <c r="B5240" s="48">
        <f>IF(A5240&lt;&gt;"",DATE(YEAR(TRANSACTIONS!$A5240),MONTH(TRANSACTIONS!$A5240),DAY(TRANSACTIONS!$A5240)),"")</f>
        <v>45385</v>
      </c>
      <c r="C5240" s="49">
        <f>IF(A5240&lt;&gt;"",TIME(HOUR(TRANSACTIONS!$A5240),MINUTE(TRANSACTIONS!$A5240),SECOND(TRANSACTIONS!$A5240)),"")</f>
        <v>0.55583333333333329</v>
      </c>
      <c r="D5240" s="82" t="s">
        <v>25</v>
      </c>
      <c r="E5240" s="82" t="s">
        <v>7</v>
      </c>
      <c r="F5240" s="88">
        <v>10000</v>
      </c>
      <c r="G5240" s="46"/>
      <c r="H5240" s="46">
        <f>IFERROR(TRANSACTIONS!$F5240+TRANSACTIONS!$G5240,"")</f>
        <v>10000</v>
      </c>
      <c r="I5240" s="40" t="s">
        <v>41</v>
      </c>
    </row>
    <row r="5241" spans="1:10" x14ac:dyDescent="0.25">
      <c r="A5241" s="41">
        <v>45385.555964236111</v>
      </c>
      <c r="B5241" s="48">
        <f>IF(A5241&lt;&gt;"",DATE(YEAR(TRANSACTIONS!$A5241),MONTH(TRANSACTIONS!$A5241),DAY(TRANSACTIONS!$A5241)),"")</f>
        <v>45385</v>
      </c>
      <c r="C5241" s="49">
        <f>IF(A5241&lt;&gt;"",TIME(HOUR(TRANSACTIONS!$A5241),MINUTE(TRANSACTIONS!$A5241),SECOND(TRANSACTIONS!$A5241)),"")</f>
        <v>0.55596064814814816</v>
      </c>
      <c r="D5241" s="82" t="s">
        <v>25</v>
      </c>
      <c r="E5241" s="82" t="s">
        <v>7</v>
      </c>
      <c r="F5241" s="88">
        <v>10000</v>
      </c>
      <c r="G5241" s="46"/>
      <c r="H5241" s="46">
        <f>IFERROR(TRANSACTIONS!$F5241+TRANSACTIONS!$G5241,"")</f>
        <v>10000</v>
      </c>
      <c r="I5241" s="40" t="s">
        <v>41</v>
      </c>
    </row>
    <row r="5242" spans="1:10" x14ac:dyDescent="0.25">
      <c r="A5242" s="41">
        <v>45385.555947337962</v>
      </c>
      <c r="B5242" s="48">
        <f>IF(A5242&lt;&gt;"",DATE(YEAR(TRANSACTIONS!$A5242),MONTH(TRANSACTIONS!$A5242),DAY(TRANSACTIONS!$A5242)),"")</f>
        <v>45385</v>
      </c>
      <c r="C5242" s="49">
        <f>IF(A5242&lt;&gt;"",TIME(HOUR(TRANSACTIONS!$A5242),MINUTE(TRANSACTIONS!$A5242),SECOND(TRANSACTIONS!$A5242)),"")</f>
        <v>0.55594907407407412</v>
      </c>
      <c r="D5242" s="82" t="s">
        <v>62</v>
      </c>
      <c r="E5242" s="82" t="s">
        <v>7</v>
      </c>
      <c r="F5242" s="88">
        <v>23500</v>
      </c>
      <c r="G5242" s="46"/>
      <c r="H5242" s="46">
        <f>IFERROR(TRANSACTIONS!$F5242+TRANSACTIONS!$G5242,"")</f>
        <v>23500</v>
      </c>
      <c r="I5242" s="40" t="s">
        <v>41</v>
      </c>
    </row>
    <row r="5243" spans="1:10" x14ac:dyDescent="0.25">
      <c r="A5243" s="81">
        <v>45385.555975347219</v>
      </c>
      <c r="B5243" s="83">
        <f>IF(A5243&lt;&gt;"",DATE(YEAR(TRANSACTIONS!$A5243),MONTH(TRANSACTIONS!$A5243),DAY(TRANSACTIONS!$A5243)),"")</f>
        <v>45385</v>
      </c>
      <c r="C5243" s="84">
        <f>IF(A5243&lt;&gt;"",TIME(HOUR(TRANSACTIONS!$A5243),MINUTE(TRANSACTIONS!$A5243),SECOND(TRANSACTIONS!$A5243)),"")</f>
        <v>0.5559722222222222</v>
      </c>
      <c r="D5243" s="82" t="s">
        <v>62</v>
      </c>
      <c r="E5243" s="82" t="s">
        <v>7</v>
      </c>
      <c r="F5243" s="88">
        <v>5500</v>
      </c>
      <c r="G5243" s="86"/>
      <c r="H5243" s="86">
        <f>IFERROR(TRANSACTIONS!$F5243+TRANSACTIONS!$G5243,"")</f>
        <v>5500</v>
      </c>
      <c r="I5243" s="88" t="s">
        <v>41</v>
      </c>
    </row>
    <row r="5244" spans="1:10" x14ac:dyDescent="0.25">
      <c r="A5244" s="81">
        <v>45385.556237500001</v>
      </c>
      <c r="B5244" s="83">
        <f>IF(A5244&lt;&gt;"",DATE(YEAR(TRANSACTIONS!$A5244),MONTH(TRANSACTIONS!$A5244),DAY(TRANSACTIONS!$A5244)),"")</f>
        <v>45385</v>
      </c>
      <c r="C5244" s="84">
        <f>IF(A5244&lt;&gt;"",TIME(HOUR(TRANSACTIONS!$A5244),MINUTE(TRANSACTIONS!$A5244),SECOND(TRANSACTIONS!$A5244)),"")</f>
        <v>0.55623842592592598</v>
      </c>
      <c r="D5244" s="82" t="s">
        <v>62</v>
      </c>
      <c r="E5244" s="82" t="s">
        <v>6</v>
      </c>
      <c r="F5244" s="88">
        <v>28000</v>
      </c>
      <c r="G5244" s="86"/>
      <c r="H5244" s="86">
        <f>IFERROR(TRANSACTIONS!$F5244+TRANSACTIONS!$G5244,"")</f>
        <v>28000</v>
      </c>
      <c r="I5244" s="88" t="s">
        <v>41</v>
      </c>
    </row>
    <row r="5245" spans="1:10" x14ac:dyDescent="0.25">
      <c r="A5245" s="41">
        <v>45385.556246874999</v>
      </c>
      <c r="B5245" s="48">
        <f>IF(A5245&lt;&gt;"",DATE(YEAR(TRANSACTIONS!$A5245),MONTH(TRANSACTIONS!$A5245),DAY(TRANSACTIONS!$A5245)),"")</f>
        <v>45385</v>
      </c>
      <c r="C5245" s="49">
        <f>IF(A5245&lt;&gt;"",TIME(HOUR(TRANSACTIONS!$A5245),MINUTE(TRANSACTIONS!$A5245),SECOND(TRANSACTIONS!$A5245)),"")</f>
        <v>0.55625000000000002</v>
      </c>
      <c r="D5245" s="82" t="s">
        <v>62</v>
      </c>
      <c r="E5245" s="82" t="s">
        <v>6</v>
      </c>
      <c r="F5245" s="88">
        <v>3000</v>
      </c>
      <c r="G5245" s="46"/>
      <c r="H5245" s="46">
        <f>IFERROR(TRANSACTIONS!$F5245+TRANSACTIONS!$G5245,"")</f>
        <v>3000</v>
      </c>
      <c r="I5245" s="40" t="s">
        <v>41</v>
      </c>
    </row>
    <row r="5246" spans="1:10" x14ac:dyDescent="0.25">
      <c r="A5246" s="41">
        <v>45385.55985972222</v>
      </c>
      <c r="B5246" s="48">
        <f>IF(A5246&lt;&gt;"",DATE(YEAR(TRANSACTIONS!$A5246),MONTH(TRANSACTIONS!$A5246),DAY(TRANSACTIONS!$A5246)),"")</f>
        <v>45385</v>
      </c>
      <c r="C5246" s="49">
        <f>IF(A5246&lt;&gt;"",TIME(HOUR(TRANSACTIONS!$A5246),MINUTE(TRANSACTIONS!$A5246),SECOND(TRANSACTIONS!$A5246)),"")</f>
        <v>0.55986111111111114</v>
      </c>
      <c r="D5246" s="82" t="s">
        <v>62</v>
      </c>
      <c r="E5246" s="82" t="s">
        <v>7</v>
      </c>
      <c r="F5246" s="88">
        <v>2000</v>
      </c>
      <c r="G5246" s="46"/>
      <c r="H5246" s="46">
        <f>IFERROR(TRANSACTIONS!$F5246+TRANSACTIONS!$G5246,"")</f>
        <v>2000</v>
      </c>
      <c r="I5246" s="40" t="s">
        <v>41</v>
      </c>
    </row>
    <row r="5247" spans="1:10" x14ac:dyDescent="0.25">
      <c r="A5247" s="113">
        <v>45385.559873726852</v>
      </c>
      <c r="B5247" s="114">
        <f>IF(A5247&lt;&gt;"",DATE(YEAR(TRANSACTIONS!$A5247),MONTH(TRANSACTIONS!$A5247),DAY(TRANSACTIONS!$A5247)),"")</f>
        <v>45385</v>
      </c>
      <c r="C5247" s="115">
        <f>IF(A5247&lt;&gt;"",TIME(HOUR(TRANSACTIONS!$A5247),MINUTE(TRANSACTIONS!$A5247),SECOND(TRANSACTIONS!$A5247)),"")</f>
        <v>0.55987268518518518</v>
      </c>
      <c r="D5247" s="82" t="s">
        <v>62</v>
      </c>
      <c r="E5247" s="82" t="s">
        <v>6</v>
      </c>
      <c r="F5247" s="88">
        <v>2000</v>
      </c>
      <c r="G5247" s="117"/>
      <c r="H5247" s="117">
        <f>IFERROR(TRANSACTIONS!$F5247+TRANSACTIONS!$G5247,"")</f>
        <v>2000</v>
      </c>
      <c r="I5247" s="118" t="s">
        <v>41</v>
      </c>
      <c r="J5247" s="118"/>
    </row>
    <row r="5248" spans="1:10" x14ac:dyDescent="0.25">
      <c r="A5248" s="41">
        <v>45385.559913888887</v>
      </c>
      <c r="B5248" s="48">
        <f>IF(A5248&lt;&gt;"",DATE(YEAR(TRANSACTIONS!$A5248),MONTH(TRANSACTIONS!$A5248),DAY(TRANSACTIONS!$A5248)),"")</f>
        <v>45385</v>
      </c>
      <c r="C5248" s="49">
        <f>IF(A5248&lt;&gt;"",TIME(HOUR(TRANSACTIONS!$A5248),MINUTE(TRANSACTIONS!$A5248),SECOND(TRANSACTIONS!$A5248)),"")</f>
        <v>0.55991898148148145</v>
      </c>
      <c r="D5248" s="82" t="s">
        <v>62</v>
      </c>
      <c r="E5248" s="82" t="s">
        <v>6</v>
      </c>
      <c r="F5248" s="88">
        <v>2500</v>
      </c>
      <c r="G5248" s="46"/>
      <c r="H5248" s="46">
        <f>IFERROR(TRANSACTIONS!$F5248+TRANSACTIONS!$G5248,"")</f>
        <v>2500</v>
      </c>
      <c r="I5248" s="40" t="s">
        <v>41</v>
      </c>
    </row>
    <row r="5249" spans="1:10" x14ac:dyDescent="0.25">
      <c r="A5249" s="41">
        <v>45385.559922222223</v>
      </c>
      <c r="B5249" s="48">
        <f>IF(A5249&lt;&gt;"",DATE(YEAR(TRANSACTIONS!$A5249),MONTH(TRANSACTIONS!$A5249),DAY(TRANSACTIONS!$A5249)),"")</f>
        <v>45385</v>
      </c>
      <c r="C5249" s="49">
        <f>IF(A5249&lt;&gt;"",TIME(HOUR(TRANSACTIONS!$A5249),MINUTE(TRANSACTIONS!$A5249),SECOND(TRANSACTIONS!$A5249)),"")</f>
        <v>0.55991898148148145</v>
      </c>
      <c r="D5249" s="82" t="s">
        <v>62</v>
      </c>
      <c r="E5249" s="82" t="s">
        <v>7</v>
      </c>
      <c r="F5249" s="88">
        <v>52500</v>
      </c>
      <c r="G5249" s="46"/>
      <c r="H5249" s="46">
        <f>IFERROR(TRANSACTIONS!$F5249+TRANSACTIONS!$G5249,"")</f>
        <v>52500</v>
      </c>
      <c r="I5249" s="40" t="s">
        <v>41</v>
      </c>
    </row>
    <row r="5250" spans="1:10" x14ac:dyDescent="0.25">
      <c r="A5250" s="41">
        <v>45385.559929861112</v>
      </c>
      <c r="B5250" s="48">
        <f>IF(A5250&lt;&gt;"",DATE(YEAR(TRANSACTIONS!$A5250),MONTH(TRANSACTIONS!$A5250),DAY(TRANSACTIONS!$A5250)),"")</f>
        <v>45385</v>
      </c>
      <c r="C5250" s="49">
        <f>IF(A5250&lt;&gt;"",TIME(HOUR(TRANSACTIONS!$A5250),MINUTE(TRANSACTIONS!$A5250),SECOND(TRANSACTIONS!$A5250)),"")</f>
        <v>0.55993055555555549</v>
      </c>
      <c r="D5250" s="82" t="s">
        <v>62</v>
      </c>
      <c r="E5250" s="82" t="s">
        <v>6</v>
      </c>
      <c r="F5250" s="88">
        <v>20000</v>
      </c>
      <c r="G5250" s="46"/>
      <c r="H5250" s="46">
        <f>IFERROR(TRANSACTIONS!$F5250+TRANSACTIONS!$G5250,"")</f>
        <v>20000</v>
      </c>
      <c r="I5250" s="40" t="s">
        <v>41</v>
      </c>
    </row>
    <row r="5251" spans="1:10" x14ac:dyDescent="0.25">
      <c r="A5251" s="41">
        <v>45385.559937500002</v>
      </c>
      <c r="B5251" s="48">
        <f>IF(A5251&lt;&gt;"",DATE(YEAR(TRANSACTIONS!$A5251),MONTH(TRANSACTIONS!$A5251),DAY(TRANSACTIONS!$A5251)),"")</f>
        <v>45385</v>
      </c>
      <c r="C5251" s="49">
        <f>IF(A5251&lt;&gt;"",TIME(HOUR(TRANSACTIONS!$A5251),MINUTE(TRANSACTIONS!$A5251),SECOND(TRANSACTIONS!$A5251)),"")</f>
        <v>0.55994212962962964</v>
      </c>
      <c r="D5251" s="82" t="s">
        <v>62</v>
      </c>
      <c r="E5251" s="82" t="s">
        <v>7</v>
      </c>
      <c r="F5251" s="88">
        <v>1000</v>
      </c>
      <c r="G5251" s="46"/>
      <c r="H5251" s="46">
        <f>IFERROR(TRANSACTIONS!$F5251+TRANSACTIONS!$G5251,"")</f>
        <v>1000</v>
      </c>
      <c r="I5251" s="40" t="s">
        <v>41</v>
      </c>
    </row>
    <row r="5252" spans="1:10" x14ac:dyDescent="0.25">
      <c r="A5252" s="41">
        <v>45385.559945023146</v>
      </c>
      <c r="B5252" s="48">
        <f>IF(A5252&lt;&gt;"",DATE(YEAR(TRANSACTIONS!$A5252),MONTH(TRANSACTIONS!$A5252),DAY(TRANSACTIONS!$A5252)),"")</f>
        <v>45385</v>
      </c>
      <c r="C5252" s="49">
        <f>IF(A5252&lt;&gt;"",TIME(HOUR(TRANSACTIONS!$A5252),MINUTE(TRANSACTIONS!$A5252),SECOND(TRANSACTIONS!$A5252)),"")</f>
        <v>0.55994212962962964</v>
      </c>
      <c r="D5252" s="82" t="s">
        <v>62</v>
      </c>
      <c r="E5252" s="82" t="s">
        <v>7</v>
      </c>
      <c r="F5252" s="88">
        <v>5000</v>
      </c>
      <c r="G5252" s="46"/>
      <c r="H5252" s="46">
        <f>IFERROR(TRANSACTIONS!$F5252+TRANSACTIONS!$G5252,"")</f>
        <v>5000</v>
      </c>
      <c r="I5252" s="40" t="s">
        <v>41</v>
      </c>
    </row>
    <row r="5253" spans="1:10" x14ac:dyDescent="0.25">
      <c r="A5253" s="41">
        <v>45385.559952199073</v>
      </c>
      <c r="B5253" s="48">
        <f>IF(A5253&lt;&gt;"",DATE(YEAR(TRANSACTIONS!$A5253),MONTH(TRANSACTIONS!$A5253),DAY(TRANSACTIONS!$A5253)),"")</f>
        <v>45385</v>
      </c>
      <c r="C5253" s="49">
        <f>IF(A5253&lt;&gt;"",TIME(HOUR(TRANSACTIONS!$A5253),MINUTE(TRANSACTIONS!$A5253),SECOND(TRANSACTIONS!$A5253)),"")</f>
        <v>0.55995370370370368</v>
      </c>
      <c r="D5253" s="82" t="s">
        <v>62</v>
      </c>
      <c r="E5253" s="82" t="s">
        <v>7</v>
      </c>
      <c r="F5253" s="88">
        <v>4000</v>
      </c>
      <c r="G5253" s="46"/>
      <c r="H5253" s="46">
        <f>IFERROR(TRANSACTIONS!$F5253+TRANSACTIONS!$G5253,"")</f>
        <v>4000</v>
      </c>
      <c r="I5253" s="40" t="s">
        <v>41</v>
      </c>
    </row>
    <row r="5254" spans="1:10" x14ac:dyDescent="0.25">
      <c r="A5254" s="41">
        <v>45385.559959606479</v>
      </c>
      <c r="B5254" s="48">
        <f>IF(A5254&lt;&gt;"",DATE(YEAR(TRANSACTIONS!$A5254),MONTH(TRANSACTIONS!$A5254),DAY(TRANSACTIONS!$A5254)),"")</f>
        <v>45385</v>
      </c>
      <c r="C5254" s="49">
        <f>IF(A5254&lt;&gt;"",TIME(HOUR(TRANSACTIONS!$A5254),MINUTE(TRANSACTIONS!$A5254),SECOND(TRANSACTIONS!$A5254)),"")</f>
        <v>0.55996527777777783</v>
      </c>
      <c r="D5254" s="82" t="s">
        <v>62</v>
      </c>
      <c r="E5254" s="82" t="s">
        <v>7</v>
      </c>
      <c r="F5254" s="88">
        <v>8500</v>
      </c>
      <c r="G5254" s="46"/>
      <c r="H5254" s="46">
        <f>IFERROR(TRANSACTIONS!$F5254+TRANSACTIONS!$G5254,"")</f>
        <v>8500</v>
      </c>
      <c r="I5254" s="40" t="s">
        <v>41</v>
      </c>
    </row>
    <row r="5255" spans="1:10" x14ac:dyDescent="0.25">
      <c r="A5255" s="41">
        <v>45385.55996712963</v>
      </c>
      <c r="B5255" s="48">
        <f>IF(A5255&lt;&gt;"",DATE(YEAR(TRANSACTIONS!$A5255),MONTH(TRANSACTIONS!$A5255),DAY(TRANSACTIONS!$A5255)),"")</f>
        <v>45385</v>
      </c>
      <c r="C5255" s="49">
        <f>IF(A5255&lt;&gt;"",TIME(HOUR(TRANSACTIONS!$A5255),MINUTE(TRANSACTIONS!$A5255),SECOND(TRANSACTIONS!$A5255)),"")</f>
        <v>0.55996527777777783</v>
      </c>
      <c r="D5255" s="116" t="s">
        <v>62</v>
      </c>
      <c r="E5255" s="118" t="s">
        <v>7</v>
      </c>
      <c r="F5255" s="40">
        <v>12000</v>
      </c>
      <c r="G5255" s="46"/>
      <c r="H5255" s="46">
        <f>IFERROR(TRANSACTIONS!$F5255+TRANSACTIONS!$G5255,"")</f>
        <v>12000</v>
      </c>
      <c r="I5255" s="40" t="s">
        <v>41</v>
      </c>
    </row>
    <row r="5256" spans="1:10" x14ac:dyDescent="0.25">
      <c r="A5256" s="41">
        <v>45385.559974421296</v>
      </c>
      <c r="B5256" s="48">
        <f>IF(A5256&lt;&gt;"",DATE(YEAR(TRANSACTIONS!$A5256),MONTH(TRANSACTIONS!$A5256),DAY(TRANSACTIONS!$A5256)),"")</f>
        <v>45385</v>
      </c>
      <c r="C5256" s="49">
        <f>IF(A5256&lt;&gt;"",TIME(HOUR(TRANSACTIONS!$A5256),MINUTE(TRANSACTIONS!$A5256),SECOND(TRANSACTIONS!$A5256)),"")</f>
        <v>0.55997685185185186</v>
      </c>
      <c r="D5256" s="116" t="s">
        <v>62</v>
      </c>
      <c r="E5256" s="118" t="s">
        <v>7</v>
      </c>
      <c r="F5256" s="40">
        <v>5000</v>
      </c>
      <c r="G5256" s="46"/>
      <c r="H5256" s="46">
        <f>IFERROR(TRANSACTIONS!$F5256+TRANSACTIONS!$G5256,"")</f>
        <v>5000</v>
      </c>
      <c r="I5256" s="40" t="s">
        <v>41</v>
      </c>
    </row>
    <row r="5257" spans="1:10" x14ac:dyDescent="0.25">
      <c r="A5257" s="113">
        <v>45385.559981712962</v>
      </c>
      <c r="B5257" s="114">
        <f>IF(A5257&lt;&gt;"",DATE(YEAR(TRANSACTIONS!$A5257),MONTH(TRANSACTIONS!$A5257),DAY(TRANSACTIONS!$A5257)),"")</f>
        <v>45385</v>
      </c>
      <c r="C5257" s="115">
        <f>IF(A5257&lt;&gt;"",TIME(HOUR(TRANSACTIONS!$A5257),MINUTE(TRANSACTIONS!$A5257),SECOND(TRANSACTIONS!$A5257)),"")</f>
        <v>0.55997685185185186</v>
      </c>
      <c r="D5257" s="116" t="s">
        <v>64</v>
      </c>
      <c r="E5257" s="118" t="s">
        <v>6</v>
      </c>
      <c r="F5257" s="118">
        <v>500000</v>
      </c>
      <c r="G5257" s="117"/>
      <c r="H5257" s="117">
        <f>IFERROR(TRANSACTIONS!$F5257+TRANSACTIONS!$G5257,"")</f>
        <v>500000</v>
      </c>
      <c r="I5257" s="118" t="s">
        <v>41</v>
      </c>
    </row>
    <row r="5258" spans="1:10" x14ac:dyDescent="0.25">
      <c r="A5258" s="41">
        <v>45385.559989814814</v>
      </c>
      <c r="B5258" s="48">
        <f>IF(A5258&lt;&gt;"",DATE(YEAR(TRANSACTIONS!$A5258),MONTH(TRANSACTIONS!$A5258),DAY(TRANSACTIONS!$A5258)),"")</f>
        <v>45385</v>
      </c>
      <c r="C5258" s="49">
        <f>IF(A5258&lt;&gt;"",TIME(HOUR(TRANSACTIONS!$A5258),MINUTE(TRANSACTIONS!$A5258),SECOND(TRANSACTIONS!$A5258)),"")</f>
        <v>0.5599884259259259</v>
      </c>
      <c r="D5258" s="116" t="s">
        <v>62</v>
      </c>
      <c r="E5258" s="118" t="s">
        <v>7</v>
      </c>
      <c r="F5258" s="40">
        <v>5000</v>
      </c>
      <c r="G5258" s="46"/>
      <c r="H5258" s="46">
        <f>IFERROR(TRANSACTIONS!$F5258+TRANSACTIONS!$G5258,"")</f>
        <v>5000</v>
      </c>
      <c r="I5258" s="40" t="s">
        <v>41</v>
      </c>
    </row>
    <row r="5259" spans="1:10" x14ac:dyDescent="0.25">
      <c r="A5259" s="191">
        <v>45385.559999421297</v>
      </c>
      <c r="B5259" s="192">
        <f>IF(A5259&lt;&gt;"",DATE(YEAR(TRANSACTIONS!$A5259),MONTH(TRANSACTIONS!$A5259),DAY(TRANSACTIONS!$A5259)),"")</f>
        <v>45385</v>
      </c>
      <c r="C5259" s="193">
        <f>IF(A5259&lt;&gt;"",TIME(HOUR(TRANSACTIONS!$A5259),MINUTE(TRANSACTIONS!$A5259),SECOND(TRANSACTIONS!$A5259)),"")</f>
        <v>0.55999999999999994</v>
      </c>
      <c r="D5259" s="194" t="s">
        <v>62</v>
      </c>
      <c r="E5259" s="195" t="s">
        <v>6</v>
      </c>
      <c r="F5259" s="195">
        <v>10000</v>
      </c>
      <c r="G5259" s="196"/>
      <c r="H5259" s="196">
        <f>IFERROR(TRANSACTIONS!$F5259+TRANSACTIONS!$G5259,"")</f>
        <v>10000</v>
      </c>
      <c r="I5259" s="195" t="s">
        <v>41</v>
      </c>
      <c r="J5259" s="195"/>
    </row>
    <row r="5260" spans="1:10" x14ac:dyDescent="0.25">
      <c r="A5260" s="191">
        <v>45385.561740509256</v>
      </c>
      <c r="B5260" s="192">
        <f>IF(A5260&lt;&gt;"",DATE(YEAR(TRANSACTIONS!$A5260),MONTH(TRANSACTIONS!$A5260),DAY(TRANSACTIONS!$A5260)),"")</f>
        <v>45385</v>
      </c>
      <c r="C5260" s="193">
        <f>IF(A5260&lt;&gt;"",TIME(HOUR(TRANSACTIONS!$A5260),MINUTE(TRANSACTIONS!$A5260),SECOND(TRANSACTIONS!$A5260)),"")</f>
        <v>0.5617361111111111</v>
      </c>
      <c r="D5260" s="194" t="s">
        <v>62</v>
      </c>
      <c r="E5260" s="195" t="s">
        <v>6</v>
      </c>
      <c r="F5260" s="195">
        <v>500</v>
      </c>
      <c r="G5260" s="196"/>
      <c r="H5260" s="196">
        <f>IFERROR(TRANSACTIONS!$F5260+TRANSACTIONS!$G5260,"")</f>
        <v>500</v>
      </c>
      <c r="I5260" s="195" t="s">
        <v>41</v>
      </c>
      <c r="J5260" s="195"/>
    </row>
    <row r="5261" spans="1:10" x14ac:dyDescent="0.25">
      <c r="A5261" s="41">
        <v>45385.686055439815</v>
      </c>
      <c r="B5261" s="48">
        <f>IF(A5261&lt;&gt;"",DATE(YEAR(TRANSACTIONS!$A5261),MONTH(TRANSACTIONS!$A5261),DAY(TRANSACTIONS!$A5261)),"")</f>
        <v>45385</v>
      </c>
      <c r="C5261" s="49">
        <f>IF(A5261&lt;&gt;"",TIME(HOUR(TRANSACTIONS!$A5261),MINUTE(TRANSACTIONS!$A5261),SECOND(TRANSACTIONS!$A5261)),"")</f>
        <v>0.68605324074074081</v>
      </c>
      <c r="D5261" s="116" t="s">
        <v>62</v>
      </c>
      <c r="E5261" s="118" t="s">
        <v>6</v>
      </c>
      <c r="F5261" s="40">
        <v>5000</v>
      </c>
      <c r="G5261" s="46"/>
      <c r="H5261" s="46">
        <f>IFERROR(TRANSACTIONS!$F5261+TRANSACTIONS!$G5261,"")</f>
        <v>5000</v>
      </c>
      <c r="I5261" s="40" t="s">
        <v>41</v>
      </c>
    </row>
    <row r="5262" spans="1:10" x14ac:dyDescent="0.25">
      <c r="A5262" s="41">
        <v>45385.686063657406</v>
      </c>
      <c r="B5262" s="48">
        <f>IF(A5262&lt;&gt;"",DATE(YEAR(TRANSACTIONS!$A5262),MONTH(TRANSACTIONS!$A5262),DAY(TRANSACTIONS!$A5262)),"")</f>
        <v>45385</v>
      </c>
      <c r="C5262" s="49">
        <f>IF(A5262&lt;&gt;"",TIME(HOUR(TRANSACTIONS!$A5262),MINUTE(TRANSACTIONS!$A5262),SECOND(TRANSACTIONS!$A5262)),"")</f>
        <v>0.68606481481481485</v>
      </c>
      <c r="D5262" s="116" t="s">
        <v>62</v>
      </c>
      <c r="E5262" s="118" t="s">
        <v>7</v>
      </c>
      <c r="F5262" s="40">
        <v>800</v>
      </c>
      <c r="G5262" s="46"/>
      <c r="H5262" s="46">
        <f>IFERROR(TRANSACTIONS!$F5262+TRANSACTIONS!$G5262,"")</f>
        <v>800</v>
      </c>
      <c r="I5262" s="40" t="s">
        <v>41</v>
      </c>
    </row>
    <row r="5263" spans="1:10" x14ac:dyDescent="0.25">
      <c r="A5263" s="41">
        <v>45385.686072453704</v>
      </c>
      <c r="B5263" s="48">
        <f>IF(A5263&lt;&gt;"",DATE(YEAR(TRANSACTIONS!$A5263),MONTH(TRANSACTIONS!$A5263),DAY(TRANSACTIONS!$A5263)),"")</f>
        <v>45385</v>
      </c>
      <c r="C5263" s="49">
        <f>IF(A5263&lt;&gt;"",TIME(HOUR(TRANSACTIONS!$A5263),MINUTE(TRANSACTIONS!$A5263),SECOND(TRANSACTIONS!$A5263)),"")</f>
        <v>0.68607638888888889</v>
      </c>
      <c r="D5263" s="116" t="s">
        <v>62</v>
      </c>
      <c r="E5263" s="118" t="s">
        <v>6</v>
      </c>
      <c r="F5263" s="40">
        <v>9000</v>
      </c>
      <c r="G5263" s="46"/>
      <c r="H5263" s="46">
        <f>IFERROR(TRANSACTIONS!$F5263+TRANSACTIONS!$G5263,"")</f>
        <v>9000</v>
      </c>
      <c r="I5263" s="40" t="s">
        <v>41</v>
      </c>
    </row>
    <row r="5264" spans="1:10" x14ac:dyDescent="0.25">
      <c r="A5264" s="41">
        <v>45385.687886805557</v>
      </c>
      <c r="B5264" s="48">
        <f>IF(A5264&lt;&gt;"",DATE(YEAR(TRANSACTIONS!$A5264),MONTH(TRANSACTIONS!$A5264),DAY(TRANSACTIONS!$A5264)),"")</f>
        <v>45385</v>
      </c>
      <c r="C5264" s="49">
        <f>IF(A5264&lt;&gt;"",TIME(HOUR(TRANSACTIONS!$A5264),MINUTE(TRANSACTIONS!$A5264),SECOND(TRANSACTIONS!$A5264)),"")</f>
        <v>0.68788194444444439</v>
      </c>
      <c r="D5264" s="116" t="s">
        <v>62</v>
      </c>
      <c r="E5264" s="118" t="s">
        <v>6</v>
      </c>
      <c r="F5264" s="40">
        <v>7000</v>
      </c>
      <c r="G5264" s="46"/>
      <c r="H5264" s="46">
        <f>IFERROR(TRANSACTIONS!$F5264+TRANSACTIONS!$G5264,"")</f>
        <v>7000</v>
      </c>
      <c r="I5264" s="40" t="s">
        <v>41</v>
      </c>
    </row>
    <row r="5265" spans="1:9" x14ac:dyDescent="0.25">
      <c r="A5265" s="113">
        <v>45385.687914120368</v>
      </c>
      <c r="B5265" s="114">
        <f>IF(A5265&lt;&gt;"",DATE(YEAR(TRANSACTIONS!$A5265),MONTH(TRANSACTIONS!$A5265),DAY(TRANSACTIONS!$A5265)),"")</f>
        <v>45385</v>
      </c>
      <c r="C5265" s="115">
        <f>IF(A5265&lt;&gt;"",TIME(HOUR(TRANSACTIONS!$A5265),MINUTE(TRANSACTIONS!$A5265),SECOND(TRANSACTIONS!$A5265)),"")</f>
        <v>0.68791666666666673</v>
      </c>
      <c r="D5265" s="116" t="s">
        <v>62</v>
      </c>
      <c r="E5265" s="118" t="s">
        <v>6</v>
      </c>
      <c r="F5265" s="118">
        <v>10100</v>
      </c>
      <c r="G5265" s="117"/>
      <c r="H5265" s="117">
        <f>IFERROR(TRANSACTIONS!$F5265+TRANSACTIONS!$G5265,"")</f>
        <v>10100</v>
      </c>
      <c r="I5265" s="118" t="s">
        <v>41</v>
      </c>
    </row>
    <row r="5266" spans="1:9" x14ac:dyDescent="0.25">
      <c r="A5266" s="113">
        <v>45385.687924999998</v>
      </c>
      <c r="B5266" s="114">
        <f>IF(A5266&lt;&gt;"",DATE(YEAR(TRANSACTIONS!$A5266),MONTH(TRANSACTIONS!$A5266),DAY(TRANSACTIONS!$A5266)),"")</f>
        <v>45385</v>
      </c>
      <c r="C5266" s="115">
        <f>IF(A5266&lt;&gt;"",TIME(HOUR(TRANSACTIONS!$A5266),MINUTE(TRANSACTIONS!$A5266),SECOND(TRANSACTIONS!$A5266)),"")</f>
        <v>0.68792824074074066</v>
      </c>
      <c r="D5266" s="116" t="s">
        <v>62</v>
      </c>
      <c r="E5266" s="118" t="s">
        <v>7</v>
      </c>
      <c r="F5266" s="118">
        <v>2500</v>
      </c>
      <c r="G5266" s="117"/>
      <c r="H5266" s="117">
        <f>IFERROR(TRANSACTIONS!$F5266+TRANSACTIONS!$G5266,"")</f>
        <v>2500</v>
      </c>
      <c r="I5266" s="118" t="s">
        <v>41</v>
      </c>
    </row>
    <row r="5267" spans="1:9" x14ac:dyDescent="0.25">
      <c r="A5267" s="41">
        <v>45385.687932986111</v>
      </c>
      <c r="B5267" s="48">
        <f>IF(A5267&lt;&gt;"",DATE(YEAR(TRANSACTIONS!$A5267),MONTH(TRANSACTIONS!$A5267),DAY(TRANSACTIONS!$A5267)),"")</f>
        <v>45385</v>
      </c>
      <c r="C5267" s="49">
        <f>IF(A5267&lt;&gt;"",TIME(HOUR(TRANSACTIONS!$A5267),MINUTE(TRANSACTIONS!$A5267),SECOND(TRANSACTIONS!$A5267)),"")</f>
        <v>0.68792824074074066</v>
      </c>
      <c r="D5267" s="116" t="s">
        <v>62</v>
      </c>
      <c r="E5267" s="118" t="s">
        <v>7</v>
      </c>
      <c r="F5267" s="40">
        <v>300000</v>
      </c>
      <c r="G5267" s="46"/>
      <c r="H5267" s="46">
        <f>IFERROR(TRANSACTIONS!$F5267+TRANSACTIONS!$G5267,"")</f>
        <v>300000</v>
      </c>
      <c r="I5267" s="40" t="s">
        <v>41</v>
      </c>
    </row>
    <row r="5268" spans="1:9" x14ac:dyDescent="0.25">
      <c r="A5268" s="41">
        <v>45385.687948726852</v>
      </c>
      <c r="B5268" s="48">
        <f>IF(A5268&lt;&gt;"",DATE(YEAR(TRANSACTIONS!$A5268),MONTH(TRANSACTIONS!$A5268),DAY(TRANSACTIONS!$A5268)),"")</f>
        <v>45385</v>
      </c>
      <c r="C5268" s="49">
        <f>IF(A5268&lt;&gt;"",TIME(HOUR(TRANSACTIONS!$A5268),MINUTE(TRANSACTIONS!$A5268),SECOND(TRANSACTIONS!$A5268)),"")</f>
        <v>0.68795138888888896</v>
      </c>
      <c r="D5268" s="116" t="s">
        <v>62</v>
      </c>
      <c r="E5268" s="118" t="s">
        <v>7</v>
      </c>
      <c r="F5268" s="40">
        <v>6000</v>
      </c>
      <c r="G5268" s="46"/>
      <c r="H5268" s="46">
        <f>IFERROR(TRANSACTIONS!$F5268+TRANSACTIONS!$G5268,"")</f>
        <v>6000</v>
      </c>
      <c r="I5268" s="40" t="s">
        <v>41</v>
      </c>
    </row>
    <row r="5269" spans="1:9" x14ac:dyDescent="0.25">
      <c r="A5269" s="41">
        <v>45385.687978935188</v>
      </c>
      <c r="B5269" s="48">
        <f>IF(A5269&lt;&gt;"",DATE(YEAR(TRANSACTIONS!$A5269),MONTH(TRANSACTIONS!$A5269),DAY(TRANSACTIONS!$A5269)),"")</f>
        <v>45385</v>
      </c>
      <c r="C5269" s="49">
        <f>IF(A5269&lt;&gt;"",TIME(HOUR(TRANSACTIONS!$A5269),MINUTE(TRANSACTIONS!$A5269),SECOND(TRANSACTIONS!$A5269)),"")</f>
        <v>0.68797453703703704</v>
      </c>
      <c r="D5269" s="116" t="s">
        <v>62</v>
      </c>
      <c r="E5269" s="195" t="s">
        <v>6</v>
      </c>
      <c r="F5269" s="40">
        <v>10000</v>
      </c>
      <c r="G5269" s="46"/>
      <c r="H5269" s="46">
        <f>IFERROR(TRANSACTIONS!$F5269+TRANSACTIONS!$G5269,"")</f>
        <v>10000</v>
      </c>
      <c r="I5269" s="40" t="s">
        <v>41</v>
      </c>
    </row>
    <row r="5270" spans="1:9" x14ac:dyDescent="0.25">
      <c r="A5270" s="41">
        <v>45385.688013425926</v>
      </c>
      <c r="B5270" s="48">
        <f>IF(A5270&lt;&gt;"",DATE(YEAR(TRANSACTIONS!$A5270),MONTH(TRANSACTIONS!$A5270),DAY(TRANSACTIONS!$A5270)),"")</f>
        <v>45385</v>
      </c>
      <c r="C5270" s="49">
        <f>IF(A5270&lt;&gt;"",TIME(HOUR(TRANSACTIONS!$A5270),MINUTE(TRANSACTIONS!$A5270),SECOND(TRANSACTIONS!$A5270)),"")</f>
        <v>0.68800925925925915</v>
      </c>
      <c r="D5270" s="116" t="s">
        <v>62</v>
      </c>
      <c r="E5270" s="118" t="s">
        <v>6</v>
      </c>
      <c r="F5270" s="40">
        <v>5050</v>
      </c>
      <c r="G5270" s="46"/>
      <c r="H5270" s="46">
        <f>IFERROR(TRANSACTIONS!$F5270+TRANSACTIONS!$G5270,"")</f>
        <v>5050</v>
      </c>
      <c r="I5270" s="40" t="s">
        <v>41</v>
      </c>
    </row>
    <row r="5271" spans="1:9" x14ac:dyDescent="0.25">
      <c r="A5271" s="41">
        <v>45385.688025000003</v>
      </c>
      <c r="B5271" s="48">
        <f>IF(A5271&lt;&gt;"",DATE(YEAR(TRANSACTIONS!$A5271),MONTH(TRANSACTIONS!$A5271),DAY(TRANSACTIONS!$A5271)),"")</f>
        <v>45385</v>
      </c>
      <c r="C5271" s="49">
        <f>IF(A5271&lt;&gt;"",TIME(HOUR(TRANSACTIONS!$A5271),MINUTE(TRANSACTIONS!$A5271),SECOND(TRANSACTIONS!$A5271)),"")</f>
        <v>0.6880208333333333</v>
      </c>
      <c r="D5271" s="116" t="s">
        <v>62</v>
      </c>
      <c r="E5271" s="118" t="s">
        <v>6</v>
      </c>
      <c r="F5271" s="40">
        <v>1000</v>
      </c>
      <c r="G5271" s="46"/>
      <c r="H5271" s="46">
        <f>IFERROR(TRANSACTIONS!$F5271+TRANSACTIONS!$G5271,"")</f>
        <v>1000</v>
      </c>
      <c r="I5271" s="40" t="s">
        <v>41</v>
      </c>
    </row>
    <row r="5272" spans="1:9" x14ac:dyDescent="0.25">
      <c r="A5272" s="41">
        <v>45385.68803229167</v>
      </c>
      <c r="B5272" s="48">
        <f>IF(A5272&lt;&gt;"",DATE(YEAR(TRANSACTIONS!$A5272),MONTH(TRANSACTIONS!$A5272),DAY(TRANSACTIONS!$A5272)),"")</f>
        <v>45385</v>
      </c>
      <c r="C5272" s="49">
        <f>IF(A5272&lt;&gt;"",TIME(HOUR(TRANSACTIONS!$A5272),MINUTE(TRANSACTIONS!$A5272),SECOND(TRANSACTIONS!$A5272)),"")</f>
        <v>0.68803240740740745</v>
      </c>
      <c r="D5272" s="116" t="s">
        <v>62</v>
      </c>
      <c r="E5272" s="118" t="s">
        <v>6</v>
      </c>
      <c r="F5272" s="40">
        <v>3000</v>
      </c>
      <c r="G5272" s="46"/>
      <c r="H5272" s="46">
        <f>IFERROR(TRANSACTIONS!$F5272+TRANSACTIONS!$G5272,"")</f>
        <v>3000</v>
      </c>
      <c r="I5272" s="40" t="s">
        <v>41</v>
      </c>
    </row>
    <row r="5273" spans="1:9" x14ac:dyDescent="0.25">
      <c r="A5273" s="41">
        <v>45385.688039699075</v>
      </c>
      <c r="B5273" s="48">
        <f>IF(A5273&lt;&gt;"",DATE(YEAR(TRANSACTIONS!$A5273),MONTH(TRANSACTIONS!$A5273),DAY(TRANSACTIONS!$A5273)),"")</f>
        <v>45385</v>
      </c>
      <c r="C5273" s="49">
        <f>IF(A5273&lt;&gt;"",TIME(HOUR(TRANSACTIONS!$A5273),MINUTE(TRANSACTIONS!$A5273),SECOND(TRANSACTIONS!$A5273)),"")</f>
        <v>0.68804398148148149</v>
      </c>
      <c r="D5273" s="116" t="s">
        <v>62</v>
      </c>
      <c r="E5273" s="118" t="s">
        <v>6</v>
      </c>
      <c r="F5273" s="40">
        <v>5000</v>
      </c>
      <c r="G5273" s="46"/>
      <c r="H5273" s="46">
        <f>IFERROR(TRANSACTIONS!$F5273+TRANSACTIONS!$G5273,"")</f>
        <v>5000</v>
      </c>
      <c r="I5273" s="40" t="s">
        <v>41</v>
      </c>
    </row>
    <row r="5274" spans="1:9" x14ac:dyDescent="0.25">
      <c r="A5274" s="41">
        <v>45385.688046643518</v>
      </c>
      <c r="B5274" s="48">
        <f>IF(A5274&lt;&gt;"",DATE(YEAR(TRANSACTIONS!$A5274),MONTH(TRANSACTIONS!$A5274),DAY(TRANSACTIONS!$A5274)),"")</f>
        <v>45385</v>
      </c>
      <c r="C5274" s="49">
        <f>IF(A5274&lt;&gt;"",TIME(HOUR(TRANSACTIONS!$A5274),MINUTE(TRANSACTIONS!$A5274),SECOND(TRANSACTIONS!$A5274)),"")</f>
        <v>0.68804398148148149</v>
      </c>
      <c r="D5274" s="116" t="s">
        <v>62</v>
      </c>
      <c r="E5274" s="118" t="s">
        <v>6</v>
      </c>
      <c r="F5274" s="40">
        <v>2025</v>
      </c>
      <c r="G5274" s="46"/>
      <c r="H5274" s="46">
        <f>IFERROR(TRANSACTIONS!$F5274+TRANSACTIONS!$G5274,"")</f>
        <v>2025</v>
      </c>
      <c r="I5274" s="40" t="s">
        <v>41</v>
      </c>
    </row>
    <row r="5275" spans="1:9" x14ac:dyDescent="0.25">
      <c r="A5275" s="41">
        <v>45385.688053703707</v>
      </c>
      <c r="B5275" s="48">
        <f>IF(A5275&lt;&gt;"",DATE(YEAR(TRANSACTIONS!$A5275),MONTH(TRANSACTIONS!$A5275),DAY(TRANSACTIONS!$A5275)),"")</f>
        <v>45385</v>
      </c>
      <c r="C5275" s="49">
        <f>IF(A5275&lt;&gt;"",TIME(HOUR(TRANSACTIONS!$A5275),MINUTE(TRANSACTIONS!$A5275),SECOND(TRANSACTIONS!$A5275)),"")</f>
        <v>0.68805555555555553</v>
      </c>
      <c r="D5275" s="116" t="s">
        <v>62</v>
      </c>
      <c r="E5275" s="118" t="s">
        <v>7</v>
      </c>
      <c r="F5275" s="40">
        <v>5000</v>
      </c>
      <c r="G5275" s="46"/>
      <c r="H5275" s="46">
        <f>IFERROR(TRANSACTIONS!$F5275+TRANSACTIONS!$G5275,"")</f>
        <v>5000</v>
      </c>
      <c r="I5275" s="40" t="s">
        <v>41</v>
      </c>
    </row>
    <row r="5276" spans="1:9" x14ac:dyDescent="0.25">
      <c r="A5276" s="41">
        <v>45385.688060879627</v>
      </c>
      <c r="B5276" s="48">
        <f>IF(A5276&lt;&gt;"",DATE(YEAR(TRANSACTIONS!$A5276),MONTH(TRANSACTIONS!$A5276),DAY(TRANSACTIONS!$A5276)),"")</f>
        <v>45385</v>
      </c>
      <c r="C5276" s="49">
        <f>IF(A5276&lt;&gt;"",TIME(HOUR(TRANSACTIONS!$A5276),MINUTE(TRANSACTIONS!$A5276),SECOND(TRANSACTIONS!$A5276)),"")</f>
        <v>0.68805555555555553</v>
      </c>
      <c r="D5276" s="116" t="s">
        <v>62</v>
      </c>
      <c r="E5276" s="118" t="s">
        <v>7</v>
      </c>
      <c r="F5276" s="40">
        <v>15000</v>
      </c>
      <c r="G5276" s="46"/>
      <c r="H5276" s="46">
        <f>IFERROR(TRANSACTIONS!$F5276+TRANSACTIONS!$G5276,"")</f>
        <v>15000</v>
      </c>
      <c r="I5276" s="40" t="s">
        <v>41</v>
      </c>
    </row>
    <row r="5277" spans="1:9" x14ac:dyDescent="0.25">
      <c r="A5277" s="41">
        <v>45385.688068981479</v>
      </c>
      <c r="B5277" s="48">
        <f>IF(A5277&lt;&gt;"",DATE(YEAR(TRANSACTIONS!$A5277),MONTH(TRANSACTIONS!$A5277),DAY(TRANSACTIONS!$A5277)),"")</f>
        <v>45385</v>
      </c>
      <c r="C5277" s="49">
        <f>IF(A5277&lt;&gt;"",TIME(HOUR(TRANSACTIONS!$A5277),MINUTE(TRANSACTIONS!$A5277),SECOND(TRANSACTIONS!$A5277)),"")</f>
        <v>0.68806712962962957</v>
      </c>
      <c r="D5277" s="116" t="s">
        <v>62</v>
      </c>
      <c r="E5277" s="118" t="s">
        <v>7</v>
      </c>
      <c r="F5277" s="40">
        <v>10000</v>
      </c>
      <c r="G5277" s="46"/>
      <c r="H5277" s="46">
        <f>IFERROR(TRANSACTIONS!$F5277+TRANSACTIONS!$G5277,"")</f>
        <v>10000</v>
      </c>
      <c r="I5277" s="40" t="s">
        <v>41</v>
      </c>
    </row>
    <row r="5278" spans="1:9" x14ac:dyDescent="0.25">
      <c r="A5278" s="41">
        <v>45385.688091203701</v>
      </c>
      <c r="B5278" s="48">
        <f>IF(A5278&lt;&gt;"",DATE(YEAR(TRANSACTIONS!$A5278),MONTH(TRANSACTIONS!$A5278),DAY(TRANSACTIONS!$A5278)),"")</f>
        <v>45385</v>
      </c>
      <c r="C5278" s="49">
        <f>IF(A5278&lt;&gt;"",TIME(HOUR(TRANSACTIONS!$A5278),MINUTE(TRANSACTIONS!$A5278),SECOND(TRANSACTIONS!$A5278)),"")</f>
        <v>0.68809027777777787</v>
      </c>
      <c r="D5278" s="116" t="s">
        <v>62</v>
      </c>
      <c r="E5278" s="118" t="s">
        <v>7</v>
      </c>
      <c r="F5278" s="40">
        <v>1000</v>
      </c>
      <c r="G5278" s="46"/>
      <c r="H5278" s="46">
        <f>IFERROR(TRANSACTIONS!$F5278+TRANSACTIONS!$G5278,"")</f>
        <v>1000</v>
      </c>
      <c r="I5278" s="40" t="s">
        <v>41</v>
      </c>
    </row>
    <row r="5279" spans="1:9" x14ac:dyDescent="0.25">
      <c r="A5279" s="113">
        <v>45385.688099537037</v>
      </c>
      <c r="B5279" s="114">
        <f>IF(A5279&lt;&gt;"",DATE(YEAR(TRANSACTIONS!$A5279),MONTH(TRANSACTIONS!$A5279),DAY(TRANSACTIONS!$A5279)),"")</f>
        <v>45385</v>
      </c>
      <c r="C5279" s="115">
        <f>IF(A5279&lt;&gt;"",TIME(HOUR(TRANSACTIONS!$A5279),MINUTE(TRANSACTIONS!$A5279),SECOND(TRANSACTIONS!$A5279)),"")</f>
        <v>0.6881018518518518</v>
      </c>
      <c r="D5279" s="116" t="s">
        <v>62</v>
      </c>
      <c r="E5279" s="118" t="s">
        <v>6</v>
      </c>
      <c r="F5279" s="118">
        <v>100000</v>
      </c>
      <c r="G5279" s="117"/>
      <c r="H5279" s="117">
        <f>IFERROR(TRANSACTIONS!$F5279+TRANSACTIONS!$G5279,"")</f>
        <v>100000</v>
      </c>
      <c r="I5279" s="118" t="s">
        <v>41</v>
      </c>
    </row>
    <row r="5280" spans="1:9" x14ac:dyDescent="0.25">
      <c r="A5280" s="41">
        <v>45385.688107175927</v>
      </c>
      <c r="B5280" s="48">
        <f>IF(A5280&lt;&gt;"",DATE(YEAR(TRANSACTIONS!$A5280),MONTH(TRANSACTIONS!$A5280),DAY(TRANSACTIONS!$A5280)),"")</f>
        <v>45385</v>
      </c>
      <c r="C5280" s="49">
        <f>IF(A5280&lt;&gt;"",TIME(HOUR(TRANSACTIONS!$A5280),MINUTE(TRANSACTIONS!$A5280),SECOND(TRANSACTIONS!$A5280)),"")</f>
        <v>0.6881018518518518</v>
      </c>
      <c r="D5280" s="116" t="s">
        <v>62</v>
      </c>
      <c r="E5280" s="40" t="s">
        <v>7</v>
      </c>
      <c r="F5280" s="40">
        <v>60000</v>
      </c>
      <c r="G5280" s="46"/>
      <c r="H5280" s="46">
        <f>IFERROR(TRANSACTIONS!$F5280+TRANSACTIONS!$G5280,"")</f>
        <v>60000</v>
      </c>
      <c r="I5280" s="40" t="s">
        <v>41</v>
      </c>
    </row>
    <row r="5281" spans="1:9" x14ac:dyDescent="0.25">
      <c r="A5281" s="41">
        <v>45385.688114351855</v>
      </c>
      <c r="B5281" s="48">
        <f>IF(A5281&lt;&gt;"",DATE(YEAR(TRANSACTIONS!$A5281),MONTH(TRANSACTIONS!$A5281),DAY(TRANSACTIONS!$A5281)),"")</f>
        <v>45385</v>
      </c>
      <c r="C5281" s="49">
        <f>IF(A5281&lt;&gt;"",TIME(HOUR(TRANSACTIONS!$A5281),MINUTE(TRANSACTIONS!$A5281),SECOND(TRANSACTIONS!$A5281)),"")</f>
        <v>0.68811342592592595</v>
      </c>
      <c r="D5281" s="116" t="s">
        <v>25</v>
      </c>
      <c r="E5281" s="118" t="s">
        <v>7</v>
      </c>
      <c r="F5281" s="40">
        <v>5000</v>
      </c>
      <c r="G5281" s="46"/>
      <c r="H5281" s="46">
        <f>IFERROR(TRANSACTIONS!$F5281+TRANSACTIONS!$G5281,"")</f>
        <v>5000</v>
      </c>
      <c r="I5281" s="40" t="s">
        <v>41</v>
      </c>
    </row>
    <row r="5282" spans="1:9" x14ac:dyDescent="0.25">
      <c r="A5282" s="41">
        <v>45385.68959548611</v>
      </c>
      <c r="B5282" s="48">
        <f>IF(A5282&lt;&gt;"",DATE(YEAR(TRANSACTIONS!$A5282),MONTH(TRANSACTIONS!$A5282),DAY(TRANSACTIONS!$A5282)),"")</f>
        <v>45385</v>
      </c>
      <c r="C5282" s="49">
        <f>IF(A5282&lt;&gt;"",TIME(HOUR(TRANSACTIONS!$A5282),MINUTE(TRANSACTIONS!$A5282),SECOND(TRANSACTIONS!$A5282)),"")</f>
        <v>0.68959490740740748</v>
      </c>
      <c r="D5282" s="116" t="s">
        <v>25</v>
      </c>
      <c r="E5282" s="118" t="s">
        <v>7</v>
      </c>
      <c r="F5282" s="40">
        <v>2000</v>
      </c>
      <c r="G5282" s="46"/>
      <c r="H5282" s="46">
        <f>IFERROR(TRANSACTIONS!$F5282+TRANSACTIONS!$G5282,"")</f>
        <v>2000</v>
      </c>
      <c r="I5282" s="40" t="s">
        <v>41</v>
      </c>
    </row>
    <row r="5283" spans="1:9" x14ac:dyDescent="0.25">
      <c r="A5283" s="41">
        <v>45385.689599074074</v>
      </c>
      <c r="B5283" s="48">
        <f>IF(A5283&lt;&gt;"",DATE(YEAR(TRANSACTIONS!$A5283),MONTH(TRANSACTIONS!$A5283),DAY(TRANSACTIONS!$A5283)),"")</f>
        <v>45385</v>
      </c>
      <c r="C5283" s="49">
        <f>IF(A5283&lt;&gt;"",TIME(HOUR(TRANSACTIONS!$A5283),MINUTE(TRANSACTIONS!$A5283),SECOND(TRANSACTIONS!$A5283)),"")</f>
        <v>0.68959490740740748</v>
      </c>
      <c r="D5283" s="116" t="s">
        <v>25</v>
      </c>
      <c r="E5283" s="118" t="s">
        <v>6</v>
      </c>
      <c r="F5283" s="40">
        <v>12000</v>
      </c>
      <c r="G5283" s="46"/>
      <c r="H5283" s="46">
        <f>IFERROR(TRANSACTIONS!$F5283+TRANSACTIONS!$G5283,"")</f>
        <v>12000</v>
      </c>
      <c r="I5283" s="40" t="s">
        <v>41</v>
      </c>
    </row>
    <row r="5284" spans="1:9" x14ac:dyDescent="0.25">
      <c r="A5284" s="41">
        <v>45385.689631828704</v>
      </c>
      <c r="B5284" s="48">
        <f>IF(A5284&lt;&gt;"",DATE(YEAR(TRANSACTIONS!$A5284),MONTH(TRANSACTIONS!$A5284),DAY(TRANSACTIONS!$A5284)),"")</f>
        <v>45385</v>
      </c>
      <c r="C5284" s="49">
        <f>IF(A5284&lt;&gt;"",TIME(HOUR(TRANSACTIONS!$A5284),MINUTE(TRANSACTIONS!$A5284),SECOND(TRANSACTIONS!$A5284)),"")</f>
        <v>0.6896296296296297</v>
      </c>
      <c r="D5284" s="116" t="s">
        <v>25</v>
      </c>
      <c r="E5284" s="118" t="s">
        <v>6</v>
      </c>
      <c r="F5284" s="40">
        <v>500</v>
      </c>
      <c r="G5284" s="46"/>
      <c r="H5284" s="46">
        <f>IFERROR(TRANSACTIONS!$F5284+TRANSACTIONS!$G5284,"")</f>
        <v>500</v>
      </c>
      <c r="I5284" s="40" t="s">
        <v>41</v>
      </c>
    </row>
    <row r="5285" spans="1:9" x14ac:dyDescent="0.25">
      <c r="A5285" s="41">
        <v>45385.689639351855</v>
      </c>
      <c r="B5285" s="48">
        <f>IF(A5285&lt;&gt;"",DATE(YEAR(TRANSACTIONS!$A5285),MONTH(TRANSACTIONS!$A5285),DAY(TRANSACTIONS!$A5285)),"")</f>
        <v>45385</v>
      </c>
      <c r="C5285" s="49">
        <f>IF(A5285&lt;&gt;"",TIME(HOUR(TRANSACTIONS!$A5285),MINUTE(TRANSACTIONS!$A5285),SECOND(TRANSACTIONS!$A5285)),"")</f>
        <v>0.68964120370370363</v>
      </c>
      <c r="D5285" s="116" t="s">
        <v>25</v>
      </c>
      <c r="E5285" s="118" t="s">
        <v>6</v>
      </c>
      <c r="F5285" s="40">
        <v>500</v>
      </c>
      <c r="G5285" s="46"/>
      <c r="H5285" s="46">
        <f>IFERROR(TRANSACTIONS!$F5285+TRANSACTIONS!$G5285,"")</f>
        <v>500</v>
      </c>
      <c r="I5285" s="40" t="s">
        <v>41</v>
      </c>
    </row>
    <row r="5286" spans="1:9" x14ac:dyDescent="0.25">
      <c r="A5286" s="41">
        <v>45385.68964675926</v>
      </c>
      <c r="B5286" s="48">
        <f>IF(A5286&lt;&gt;"",DATE(YEAR(TRANSACTIONS!$A5286),MONTH(TRANSACTIONS!$A5286),DAY(TRANSACTIONS!$A5286)),"")</f>
        <v>45385</v>
      </c>
      <c r="C5286" s="49">
        <f>IF(A5286&lt;&gt;"",TIME(HOUR(TRANSACTIONS!$A5286),MINUTE(TRANSACTIONS!$A5286),SECOND(TRANSACTIONS!$A5286)),"")</f>
        <v>0.68964120370370363</v>
      </c>
      <c r="D5286" s="116" t="s">
        <v>25</v>
      </c>
      <c r="E5286" s="118" t="s">
        <v>6</v>
      </c>
      <c r="F5286" s="40">
        <v>25000</v>
      </c>
      <c r="G5286" s="46"/>
      <c r="H5286" s="46">
        <f>IFERROR(TRANSACTIONS!$F5286+TRANSACTIONS!$G5286,"")</f>
        <v>25000</v>
      </c>
      <c r="I5286" s="40" t="s">
        <v>41</v>
      </c>
    </row>
    <row r="5287" spans="1:9" x14ac:dyDescent="0.25">
      <c r="A5287" s="41">
        <v>45385.689653819441</v>
      </c>
      <c r="B5287" s="48">
        <f>IF(A5287&lt;&gt;"",DATE(YEAR(TRANSACTIONS!$A5287),MONTH(TRANSACTIONS!$A5287),DAY(TRANSACTIONS!$A5287)),"")</f>
        <v>45385</v>
      </c>
      <c r="C5287" s="49">
        <f>IF(A5287&lt;&gt;"",TIME(HOUR(TRANSACTIONS!$A5287),MINUTE(TRANSACTIONS!$A5287),SECOND(TRANSACTIONS!$A5287)),"")</f>
        <v>0.68965277777777778</v>
      </c>
      <c r="D5287" s="116" t="s">
        <v>25</v>
      </c>
      <c r="E5287" s="116" t="s">
        <v>6</v>
      </c>
      <c r="F5287" s="40">
        <v>87000</v>
      </c>
      <c r="G5287" s="46"/>
      <c r="H5287" s="46">
        <f>IFERROR(TRANSACTIONS!$F5287+TRANSACTIONS!$G5287,"")</f>
        <v>87000</v>
      </c>
      <c r="I5287" s="40" t="s">
        <v>41</v>
      </c>
    </row>
    <row r="5288" spans="1:9" x14ac:dyDescent="0.25">
      <c r="A5288" s="41">
        <v>45385.689661574077</v>
      </c>
      <c r="B5288" s="48">
        <f>IF(A5288&lt;&gt;"",DATE(YEAR(TRANSACTIONS!$A5288),MONTH(TRANSACTIONS!$A5288),DAY(TRANSACTIONS!$A5288)),"")</f>
        <v>45385</v>
      </c>
      <c r="C5288" s="49">
        <f>IF(A5288&lt;&gt;"",TIME(HOUR(TRANSACTIONS!$A5288),MINUTE(TRANSACTIONS!$A5288),SECOND(TRANSACTIONS!$A5288)),"")</f>
        <v>0.68966435185185182</v>
      </c>
      <c r="D5288" s="116" t="s">
        <v>25</v>
      </c>
      <c r="E5288" s="118" t="s">
        <v>7</v>
      </c>
      <c r="F5288" s="40">
        <v>66000</v>
      </c>
      <c r="G5288" s="46"/>
      <c r="H5288" s="46">
        <f>IFERROR(TRANSACTIONS!$F5288+TRANSACTIONS!$G5288,"")</f>
        <v>66000</v>
      </c>
      <c r="I5288" s="40" t="s">
        <v>41</v>
      </c>
    </row>
    <row r="5289" spans="1:9" x14ac:dyDescent="0.25">
      <c r="A5289" s="41">
        <v>45385.689668749998</v>
      </c>
      <c r="B5289" s="48">
        <f>IF(A5289&lt;&gt;"",DATE(YEAR(TRANSACTIONS!$A5289),MONTH(TRANSACTIONS!$A5289),DAY(TRANSACTIONS!$A5289)),"")</f>
        <v>45385</v>
      </c>
      <c r="C5289" s="49">
        <f>IF(A5289&lt;&gt;"",TIME(HOUR(TRANSACTIONS!$A5289),MINUTE(TRANSACTIONS!$A5289),SECOND(TRANSACTIONS!$A5289)),"")</f>
        <v>0.68966435185185182</v>
      </c>
      <c r="D5289" s="116" t="s">
        <v>25</v>
      </c>
      <c r="E5289" s="118" t="s">
        <v>7</v>
      </c>
      <c r="F5289" s="40">
        <v>10000</v>
      </c>
      <c r="G5289" s="46"/>
      <c r="H5289" s="46">
        <f>IFERROR(TRANSACTIONS!$F5289+TRANSACTIONS!$G5289,"")</f>
        <v>10000</v>
      </c>
      <c r="I5289" s="40" t="s">
        <v>41</v>
      </c>
    </row>
    <row r="5290" spans="1:9" x14ac:dyDescent="0.25">
      <c r="A5290" s="41">
        <v>45385.689676388887</v>
      </c>
      <c r="B5290" s="48">
        <f>IF(A5290&lt;&gt;"",DATE(YEAR(TRANSACTIONS!$A5290),MONTH(TRANSACTIONS!$A5290),DAY(TRANSACTIONS!$A5290)),"")</f>
        <v>45385</v>
      </c>
      <c r="C5290" s="49">
        <f>IF(A5290&lt;&gt;"",TIME(HOUR(TRANSACTIONS!$A5290),MINUTE(TRANSACTIONS!$A5290),SECOND(TRANSACTIONS!$A5290)),"")</f>
        <v>0.68967592592592597</v>
      </c>
      <c r="D5290" s="116" t="s">
        <v>62</v>
      </c>
      <c r="E5290" s="118" t="s">
        <v>6</v>
      </c>
      <c r="F5290" s="40">
        <v>10000</v>
      </c>
      <c r="G5290" s="46"/>
      <c r="H5290" s="46">
        <f>IFERROR(TRANSACTIONS!$F5290+TRANSACTIONS!$G5290,"")</f>
        <v>10000</v>
      </c>
      <c r="I5290" s="40" t="s">
        <v>41</v>
      </c>
    </row>
    <row r="5291" spans="1:9" x14ac:dyDescent="0.25">
      <c r="A5291" s="41"/>
      <c r="B5291" s="48" t="str">
        <f>IF(A5291&lt;&gt;"",DATE(YEAR(TRANSACTIONS!$A5291),MONTH(TRANSACTIONS!$A5291),DAY(TRANSACTIONS!$A5291)),"")</f>
        <v/>
      </c>
      <c r="C5291" s="49" t="str">
        <f>IF(A5291&lt;&gt;"",TIME(HOUR(TRANSACTIONS!$A5291),MINUTE(TRANSACTIONS!$A5291),SECOND(TRANSACTIONS!$A5291)),"")</f>
        <v/>
      </c>
      <c r="D5291" s="116"/>
      <c r="E5291" s="118"/>
      <c r="G5291" s="46"/>
      <c r="H5291" s="46">
        <f>IFERROR(TRANSACTIONS!$F5291+TRANSACTIONS!$G5291,"")</f>
        <v>0</v>
      </c>
      <c r="I5291" s="40" t="s">
        <v>41</v>
      </c>
    </row>
    <row r="5292" spans="1:9" x14ac:dyDescent="0.25">
      <c r="A5292" s="41">
        <v>45386.39591608796</v>
      </c>
      <c r="B5292" s="48">
        <f>IF(A5292&lt;&gt;"",DATE(YEAR(TRANSACTIONS!$A5292),MONTH(TRANSACTIONS!$A5292),DAY(TRANSACTIONS!$A5292)),"")</f>
        <v>45386</v>
      </c>
      <c r="C5292" s="49">
        <f>IF(A5292&lt;&gt;"",TIME(HOUR(TRANSACTIONS!$A5292),MINUTE(TRANSACTIONS!$A5292),SECOND(TRANSACTIONS!$A5292)),"")</f>
        <v>0.39591435185185181</v>
      </c>
      <c r="D5292" s="116" t="s">
        <v>62</v>
      </c>
      <c r="E5292" s="118" t="s">
        <v>7</v>
      </c>
      <c r="F5292" s="40">
        <v>1500</v>
      </c>
      <c r="G5292" s="46"/>
      <c r="H5292" s="46">
        <f>IFERROR(TRANSACTIONS!$F5292+TRANSACTIONS!$G5292,"")</f>
        <v>1500</v>
      </c>
      <c r="I5292" s="40" t="s">
        <v>41</v>
      </c>
    </row>
    <row r="5293" spans="1:9" x14ac:dyDescent="0.25">
      <c r="A5293" s="41">
        <v>45386.466322685184</v>
      </c>
      <c r="B5293" s="48">
        <f>IF(A5293&lt;&gt;"",DATE(YEAR(TRANSACTIONS!$A5293),MONTH(TRANSACTIONS!$A5293),DAY(TRANSACTIONS!$A5293)),"")</f>
        <v>45386</v>
      </c>
      <c r="C5293" s="49">
        <f>IF(A5293&lt;&gt;"",TIME(HOUR(TRANSACTIONS!$A5293),MINUTE(TRANSACTIONS!$A5293),SECOND(TRANSACTIONS!$A5293)),"")</f>
        <v>0.46631944444444445</v>
      </c>
      <c r="D5293" s="116" t="s">
        <v>62</v>
      </c>
      <c r="E5293" s="118" t="s">
        <v>7</v>
      </c>
      <c r="F5293" s="40">
        <v>11000</v>
      </c>
      <c r="G5293" s="46"/>
      <c r="H5293" s="46">
        <f>IFERROR(TRANSACTIONS!$F5293+TRANSACTIONS!$G5293,"")</f>
        <v>11000</v>
      </c>
      <c r="I5293" s="40" t="s">
        <v>41</v>
      </c>
    </row>
    <row r="5294" spans="1:9" x14ac:dyDescent="0.25">
      <c r="A5294" s="41">
        <v>45386.466326041664</v>
      </c>
      <c r="B5294" s="48">
        <f>IF(A5294&lt;&gt;"",DATE(YEAR(TRANSACTIONS!$A5294),MONTH(TRANSACTIONS!$A5294),DAY(TRANSACTIONS!$A5294)),"")</f>
        <v>45386</v>
      </c>
      <c r="C5294" s="49">
        <f>IF(A5294&lt;&gt;"",TIME(HOUR(TRANSACTIONS!$A5294),MINUTE(TRANSACTIONS!$A5294),SECOND(TRANSACTIONS!$A5294)),"")</f>
        <v>0.46633101851851855</v>
      </c>
      <c r="D5294" s="116" t="s">
        <v>62</v>
      </c>
      <c r="E5294" s="118" t="s">
        <v>7</v>
      </c>
      <c r="F5294" s="40">
        <v>5000</v>
      </c>
      <c r="G5294" s="46"/>
      <c r="H5294" s="46">
        <f>IFERROR(TRANSACTIONS!$F5294+TRANSACTIONS!$G5294,"")</f>
        <v>5000</v>
      </c>
      <c r="I5294" s="40" t="s">
        <v>41</v>
      </c>
    </row>
    <row r="5295" spans="1:9" x14ac:dyDescent="0.25">
      <c r="A5295" s="41">
        <v>45386.466360300925</v>
      </c>
      <c r="B5295" s="48">
        <f>IF(A5295&lt;&gt;"",DATE(YEAR(TRANSACTIONS!$A5295),MONTH(TRANSACTIONS!$A5295),DAY(TRANSACTIONS!$A5295)),"")</f>
        <v>45386</v>
      </c>
      <c r="C5295" s="49">
        <f>IF(A5295&lt;&gt;"",TIME(HOUR(TRANSACTIONS!$A5295),MINUTE(TRANSACTIONS!$A5295),SECOND(TRANSACTIONS!$A5295)),"")</f>
        <v>0.46636574074074072</v>
      </c>
      <c r="D5295" s="116" t="s">
        <v>62</v>
      </c>
      <c r="E5295" s="118" t="s">
        <v>7</v>
      </c>
      <c r="F5295" s="40">
        <v>10000</v>
      </c>
      <c r="G5295" s="46"/>
      <c r="H5295" s="46">
        <f>IFERROR(TRANSACTIONS!$F5295+TRANSACTIONS!$G5295,"")</f>
        <v>10000</v>
      </c>
      <c r="I5295" s="40" t="s">
        <v>41</v>
      </c>
    </row>
    <row r="5296" spans="1:9" x14ac:dyDescent="0.25">
      <c r="A5296" s="41">
        <v>45386.466367476853</v>
      </c>
      <c r="B5296" s="48">
        <f>IF(A5296&lt;&gt;"",DATE(YEAR(TRANSACTIONS!$A5296),MONTH(TRANSACTIONS!$A5296),DAY(TRANSACTIONS!$A5296)),"")</f>
        <v>45386</v>
      </c>
      <c r="C5296" s="49">
        <f>IF(A5296&lt;&gt;"",TIME(HOUR(TRANSACTIONS!$A5296),MINUTE(TRANSACTIONS!$A5296),SECOND(TRANSACTIONS!$A5296)),"")</f>
        <v>0.46636574074074072</v>
      </c>
      <c r="D5296" s="116" t="s">
        <v>62</v>
      </c>
      <c r="E5296" s="118" t="s">
        <v>6</v>
      </c>
      <c r="F5296" s="40">
        <v>2000</v>
      </c>
      <c r="G5296" s="46"/>
      <c r="H5296" s="46">
        <f>IFERROR(TRANSACTIONS!$F5296+TRANSACTIONS!$G5296,"")</f>
        <v>2000</v>
      </c>
      <c r="I5296" s="40" t="s">
        <v>41</v>
      </c>
    </row>
    <row r="5297" spans="1:9" x14ac:dyDescent="0.25">
      <c r="A5297" s="41">
        <v>45386.466374537034</v>
      </c>
      <c r="B5297" s="48">
        <f>IF(A5297&lt;&gt;"",DATE(YEAR(TRANSACTIONS!$A5297),MONTH(TRANSACTIONS!$A5297),DAY(TRANSACTIONS!$A5297)),"")</f>
        <v>45386</v>
      </c>
      <c r="C5297" s="49">
        <f>IF(A5297&lt;&gt;"",TIME(HOUR(TRANSACTIONS!$A5297),MINUTE(TRANSACTIONS!$A5297),SECOND(TRANSACTIONS!$A5297)),"")</f>
        <v>0.46637731481481487</v>
      </c>
      <c r="D5297" s="116" t="s">
        <v>62</v>
      </c>
      <c r="E5297" s="118" t="s">
        <v>6</v>
      </c>
      <c r="F5297" s="40">
        <v>1000</v>
      </c>
      <c r="G5297" s="46"/>
      <c r="H5297" s="46">
        <f>IFERROR(TRANSACTIONS!$F5297+TRANSACTIONS!$G5297,"")</f>
        <v>1000</v>
      </c>
      <c r="I5297" s="40" t="s">
        <v>41</v>
      </c>
    </row>
    <row r="5298" spans="1:9" x14ac:dyDescent="0.25">
      <c r="A5298" s="41">
        <v>45386.466381134262</v>
      </c>
      <c r="B5298" s="48">
        <f>IF(A5298&lt;&gt;"",DATE(YEAR(TRANSACTIONS!$A5298),MONTH(TRANSACTIONS!$A5298),DAY(TRANSACTIONS!$A5298)),"")</f>
        <v>45386</v>
      </c>
      <c r="C5298" s="49">
        <f>IF(A5298&lt;&gt;"",TIME(HOUR(TRANSACTIONS!$A5298),MINUTE(TRANSACTIONS!$A5298),SECOND(TRANSACTIONS!$A5298)),"")</f>
        <v>0.46637731481481487</v>
      </c>
      <c r="D5298" s="116" t="s">
        <v>62</v>
      </c>
      <c r="E5298" s="118" t="s">
        <v>7</v>
      </c>
      <c r="F5298" s="40">
        <v>2500</v>
      </c>
      <c r="G5298" s="46"/>
      <c r="H5298" s="46">
        <f>IFERROR(TRANSACTIONS!$F5298+TRANSACTIONS!$G5298,"")</f>
        <v>2500</v>
      </c>
      <c r="I5298" s="40" t="s">
        <v>41</v>
      </c>
    </row>
    <row r="5299" spans="1:9" x14ac:dyDescent="0.25">
      <c r="A5299" s="41">
        <v>45386.466392939816</v>
      </c>
      <c r="B5299" s="48">
        <f>IF(A5299&lt;&gt;"",DATE(YEAR(TRANSACTIONS!$A5299),MONTH(TRANSACTIONS!$A5299),DAY(TRANSACTIONS!$A5299)),"")</f>
        <v>45386</v>
      </c>
      <c r="C5299" s="49">
        <f>IF(A5299&lt;&gt;"",TIME(HOUR(TRANSACTIONS!$A5299),MINUTE(TRANSACTIONS!$A5299),SECOND(TRANSACTIONS!$A5299)),"")</f>
        <v>0.46638888888888891</v>
      </c>
      <c r="D5299" s="116" t="s">
        <v>62</v>
      </c>
      <c r="E5299" s="118" t="s">
        <v>7</v>
      </c>
      <c r="F5299" s="40">
        <v>4000</v>
      </c>
      <c r="G5299" s="46"/>
      <c r="H5299" s="46">
        <f>IFERROR(TRANSACTIONS!$F5299+TRANSACTIONS!$G5299,"")</f>
        <v>4000</v>
      </c>
      <c r="I5299" s="40" t="s">
        <v>41</v>
      </c>
    </row>
    <row r="5300" spans="1:9" x14ac:dyDescent="0.25">
      <c r="A5300" s="41">
        <v>45386.466401736114</v>
      </c>
      <c r="B5300" s="48">
        <f>IF(A5300&lt;&gt;"",DATE(YEAR(TRANSACTIONS!$A5300),MONTH(TRANSACTIONS!$A5300),DAY(TRANSACTIONS!$A5300)),"")</f>
        <v>45386</v>
      </c>
      <c r="C5300" s="49">
        <f>IF(A5300&lt;&gt;"",TIME(HOUR(TRANSACTIONS!$A5300),MINUTE(TRANSACTIONS!$A5300),SECOND(TRANSACTIONS!$A5300)),"")</f>
        <v>0.46640046296296295</v>
      </c>
      <c r="D5300" s="116" t="s">
        <v>25</v>
      </c>
      <c r="E5300" s="118" t="s">
        <v>6</v>
      </c>
      <c r="F5300" s="40">
        <v>2000</v>
      </c>
      <c r="G5300" s="46"/>
      <c r="H5300" s="46">
        <f>IFERROR(TRANSACTIONS!$F5300+TRANSACTIONS!$G5300,"")</f>
        <v>2000</v>
      </c>
      <c r="I5300" s="40" t="s">
        <v>41</v>
      </c>
    </row>
    <row r="5301" spans="1:9" x14ac:dyDescent="0.25">
      <c r="A5301" s="41">
        <v>45386.466408796296</v>
      </c>
      <c r="B5301" s="48">
        <f>IF(A5301&lt;&gt;"",DATE(YEAR(TRANSACTIONS!$A5301),MONTH(TRANSACTIONS!$A5301),DAY(TRANSACTIONS!$A5301)),"")</f>
        <v>45386</v>
      </c>
      <c r="C5301" s="49">
        <f>IF(A5301&lt;&gt;"",TIME(HOUR(TRANSACTIONS!$A5301),MINUTE(TRANSACTIONS!$A5301),SECOND(TRANSACTIONS!$A5301)),"")</f>
        <v>0.46641203703703704</v>
      </c>
      <c r="D5301" s="116" t="s">
        <v>25</v>
      </c>
      <c r="E5301" s="118" t="s">
        <v>6</v>
      </c>
      <c r="F5301" s="40">
        <v>2525</v>
      </c>
      <c r="G5301" s="46"/>
      <c r="H5301" s="46">
        <f>IFERROR(TRANSACTIONS!$F5301+TRANSACTIONS!$G5301,"")</f>
        <v>2525</v>
      </c>
      <c r="I5301" s="40" t="s">
        <v>41</v>
      </c>
    </row>
    <row r="5302" spans="1:9" x14ac:dyDescent="0.25">
      <c r="A5302" s="41">
        <v>45386.466416435185</v>
      </c>
      <c r="B5302" s="48">
        <f>IF(A5302&lt;&gt;"",DATE(YEAR(TRANSACTIONS!$A5302),MONTH(TRANSACTIONS!$A5302),DAY(TRANSACTIONS!$A5302)),"")</f>
        <v>45386</v>
      </c>
      <c r="C5302" s="49">
        <f>IF(A5302&lt;&gt;"",TIME(HOUR(TRANSACTIONS!$A5302),MINUTE(TRANSACTIONS!$A5302),SECOND(TRANSACTIONS!$A5302)),"")</f>
        <v>0.46641203703703704</v>
      </c>
      <c r="D5302" s="116" t="s">
        <v>25</v>
      </c>
      <c r="E5302" s="118" t="s">
        <v>6</v>
      </c>
      <c r="F5302" s="40">
        <v>700</v>
      </c>
      <c r="G5302" s="46"/>
      <c r="H5302" s="46">
        <f>IFERROR(TRANSACTIONS!$F5302+TRANSACTIONS!$G5302,"")</f>
        <v>700</v>
      </c>
      <c r="I5302" s="40" t="s">
        <v>41</v>
      </c>
    </row>
    <row r="5303" spans="1:9" x14ac:dyDescent="0.25">
      <c r="A5303" s="41">
        <v>45386.579660532407</v>
      </c>
      <c r="B5303" s="48">
        <f>IF(A5303&lt;&gt;"",DATE(YEAR(TRANSACTIONS!$A5303),MONTH(TRANSACTIONS!$A5303),DAY(TRANSACTIONS!$A5303)),"")</f>
        <v>45386</v>
      </c>
      <c r="C5303" s="49">
        <f>IF(A5303&lt;&gt;"",TIME(HOUR(TRANSACTIONS!$A5303),MINUTE(TRANSACTIONS!$A5303),SECOND(TRANSACTIONS!$A5303)),"")</f>
        <v>0.57966435185185183</v>
      </c>
      <c r="D5303" s="116" t="s">
        <v>25</v>
      </c>
      <c r="E5303" s="118" t="s">
        <v>6</v>
      </c>
      <c r="F5303" s="40">
        <v>50000</v>
      </c>
      <c r="G5303" s="46"/>
      <c r="H5303" s="46">
        <f>IFERROR(TRANSACTIONS!$F5303+TRANSACTIONS!$G5303,"")</f>
        <v>50000</v>
      </c>
      <c r="I5303" s="40" t="s">
        <v>41</v>
      </c>
    </row>
    <row r="5304" spans="1:9" x14ac:dyDescent="0.25">
      <c r="A5304" s="41">
        <v>45386.579669791667</v>
      </c>
      <c r="B5304" s="48">
        <f>IF(A5304&lt;&gt;"",DATE(YEAR(TRANSACTIONS!$A5304),MONTH(TRANSACTIONS!$A5304),DAY(TRANSACTIONS!$A5304)),"")</f>
        <v>45386</v>
      </c>
      <c r="C5304" s="49">
        <f>IF(A5304&lt;&gt;"",TIME(HOUR(TRANSACTIONS!$A5304),MINUTE(TRANSACTIONS!$A5304),SECOND(TRANSACTIONS!$A5304)),"")</f>
        <v>0.57966435185185183</v>
      </c>
      <c r="D5304" s="116" t="s">
        <v>25</v>
      </c>
      <c r="E5304" s="118" t="s">
        <v>6</v>
      </c>
      <c r="F5304" s="40">
        <v>500</v>
      </c>
      <c r="G5304" s="46"/>
      <c r="H5304" s="46">
        <f>IFERROR(TRANSACTIONS!$F5304+TRANSACTIONS!$G5304,"")</f>
        <v>500</v>
      </c>
      <c r="I5304" s="40" t="s">
        <v>41</v>
      </c>
    </row>
    <row r="5305" spans="1:9" x14ac:dyDescent="0.25">
      <c r="A5305" s="41">
        <v>45386.579678819442</v>
      </c>
      <c r="B5305" s="48">
        <f>IF(A5305&lt;&gt;"",DATE(YEAR(TRANSACTIONS!$A5305),MONTH(TRANSACTIONS!$A5305),DAY(TRANSACTIONS!$A5305)),"")</f>
        <v>45386</v>
      </c>
      <c r="C5305" s="49">
        <f>IF(A5305&lt;&gt;"",TIME(HOUR(TRANSACTIONS!$A5305),MINUTE(TRANSACTIONS!$A5305),SECOND(TRANSACTIONS!$A5305)),"")</f>
        <v>0.57967592592592598</v>
      </c>
      <c r="D5305" s="116" t="s">
        <v>25</v>
      </c>
      <c r="E5305" s="118" t="s">
        <v>6</v>
      </c>
      <c r="F5305" s="40">
        <v>20000</v>
      </c>
      <c r="G5305" s="46"/>
      <c r="H5305" s="46">
        <f>IFERROR(TRANSACTIONS!$F5305+TRANSACTIONS!$G5305,"")</f>
        <v>20000</v>
      </c>
      <c r="I5305" s="40" t="s">
        <v>41</v>
      </c>
    </row>
    <row r="5306" spans="1:9" x14ac:dyDescent="0.25">
      <c r="A5306" s="41">
        <v>45386.57968599537</v>
      </c>
      <c r="B5306" s="48">
        <f>IF(A5306&lt;&gt;"",DATE(YEAR(TRANSACTIONS!$A5306),MONTH(TRANSACTIONS!$A5306),DAY(TRANSACTIONS!$A5306)),"")</f>
        <v>45386</v>
      </c>
      <c r="C5306" s="49">
        <f>IF(A5306&lt;&gt;"",TIME(HOUR(TRANSACTIONS!$A5306),MINUTE(TRANSACTIONS!$A5306),SECOND(TRANSACTIONS!$A5306)),"")</f>
        <v>0.57968750000000002</v>
      </c>
      <c r="D5306" s="116" t="s">
        <v>25</v>
      </c>
      <c r="E5306" s="118" t="s">
        <v>6</v>
      </c>
      <c r="F5306" s="40">
        <v>10100</v>
      </c>
      <c r="G5306" s="46"/>
      <c r="H5306" s="46">
        <f>IFERROR(TRANSACTIONS!$F5306+TRANSACTIONS!$G5306,"")</f>
        <v>10100</v>
      </c>
      <c r="I5306" s="40" t="s">
        <v>41</v>
      </c>
    </row>
    <row r="5307" spans="1:9" x14ac:dyDescent="0.25">
      <c r="A5307" s="41">
        <v>45386.579693287036</v>
      </c>
      <c r="B5307" s="48">
        <f>IF(A5307&lt;&gt;"",DATE(YEAR(TRANSACTIONS!$A5307),MONTH(TRANSACTIONS!$A5307),DAY(TRANSACTIONS!$A5307)),"")</f>
        <v>45386</v>
      </c>
      <c r="C5307" s="49">
        <f>IF(A5307&lt;&gt;"",TIME(HOUR(TRANSACTIONS!$A5307),MINUTE(TRANSACTIONS!$A5307),SECOND(TRANSACTIONS!$A5307)),"")</f>
        <v>0.57968750000000002</v>
      </c>
      <c r="D5307" s="116" t="s">
        <v>25</v>
      </c>
      <c r="E5307" s="118" t="s">
        <v>7</v>
      </c>
      <c r="F5307" s="40">
        <v>390000</v>
      </c>
      <c r="G5307" s="46"/>
      <c r="H5307" s="46">
        <f>IFERROR(TRANSACTIONS!$F5307+TRANSACTIONS!$G5307,"")</f>
        <v>390000</v>
      </c>
      <c r="I5307" s="40" t="s">
        <v>41</v>
      </c>
    </row>
    <row r="5308" spans="1:9" x14ac:dyDescent="0.25">
      <c r="A5308" s="41">
        <v>45386.579700347225</v>
      </c>
      <c r="B5308" s="48">
        <f>IF(A5308&lt;&gt;"",DATE(YEAR(TRANSACTIONS!$A5308),MONTH(TRANSACTIONS!$A5308),DAY(TRANSACTIONS!$A5308)),"")</f>
        <v>45386</v>
      </c>
      <c r="C5308" s="49">
        <f>IF(A5308&lt;&gt;"",TIME(HOUR(TRANSACTIONS!$A5308),MINUTE(TRANSACTIONS!$A5308),SECOND(TRANSACTIONS!$A5308)),"")</f>
        <v>0.57969907407407406</v>
      </c>
      <c r="D5308" s="116" t="s">
        <v>25</v>
      </c>
      <c r="E5308" s="118" t="s">
        <v>6</v>
      </c>
      <c r="F5308" s="40">
        <v>1000</v>
      </c>
      <c r="G5308" s="46"/>
      <c r="H5308" s="46">
        <f>IFERROR(TRANSACTIONS!$F5308+TRANSACTIONS!$G5308,"")</f>
        <v>1000</v>
      </c>
      <c r="I5308" s="40" t="s">
        <v>41</v>
      </c>
    </row>
    <row r="5309" spans="1:9" x14ac:dyDescent="0.25">
      <c r="A5309" s="41">
        <v>45386.579708101854</v>
      </c>
      <c r="B5309" s="48">
        <f>IF(A5309&lt;&gt;"",DATE(YEAR(TRANSACTIONS!$A5309),MONTH(TRANSACTIONS!$A5309),DAY(TRANSACTIONS!$A5309)),"")</f>
        <v>45386</v>
      </c>
      <c r="C5309" s="49">
        <f>IF(A5309&lt;&gt;"",TIME(HOUR(TRANSACTIONS!$A5309),MINUTE(TRANSACTIONS!$A5309),SECOND(TRANSACTIONS!$A5309)),"")</f>
        <v>0.5797106481481481</v>
      </c>
      <c r="D5309" s="116" t="s">
        <v>62</v>
      </c>
      <c r="E5309" s="118" t="s">
        <v>6</v>
      </c>
      <c r="F5309" s="40">
        <v>40000</v>
      </c>
      <c r="G5309" s="46"/>
      <c r="H5309" s="46">
        <f>IFERROR(TRANSACTIONS!$F5309+TRANSACTIONS!$G5309,"")</f>
        <v>40000</v>
      </c>
      <c r="I5309" s="40" t="s">
        <v>41</v>
      </c>
    </row>
    <row r="5310" spans="1:9" x14ac:dyDescent="0.25">
      <c r="A5310" s="41">
        <v>45386.579735069441</v>
      </c>
      <c r="B5310" s="48">
        <f>IF(A5310&lt;&gt;"",DATE(YEAR(TRANSACTIONS!$A5310),MONTH(TRANSACTIONS!$A5310),DAY(TRANSACTIONS!$A5310)),"")</f>
        <v>45386</v>
      </c>
      <c r="C5310" s="49">
        <f>IF(A5310&lt;&gt;"",TIME(HOUR(TRANSACTIONS!$A5310),MINUTE(TRANSACTIONS!$A5310),SECOND(TRANSACTIONS!$A5310)),"")</f>
        <v>0.57973379629629629</v>
      </c>
      <c r="D5310" s="116" t="s">
        <v>62</v>
      </c>
      <c r="E5310" s="118" t="s">
        <v>7</v>
      </c>
      <c r="F5310" s="40">
        <v>1000</v>
      </c>
      <c r="G5310" s="46"/>
      <c r="H5310" s="46">
        <f>IFERROR(TRANSACTIONS!$F5310+TRANSACTIONS!$G5310,"")</f>
        <v>1000</v>
      </c>
      <c r="I5310" s="40" t="s">
        <v>41</v>
      </c>
    </row>
    <row r="5311" spans="1:9" x14ac:dyDescent="0.25">
      <c r="A5311" s="41">
        <v>45386.579746064817</v>
      </c>
      <c r="B5311" s="48">
        <f>IF(A5311&lt;&gt;"",DATE(YEAR(TRANSACTIONS!$A5311),MONTH(TRANSACTIONS!$A5311),DAY(TRANSACTIONS!$A5311)),"")</f>
        <v>45386</v>
      </c>
      <c r="C5311" s="49">
        <f>IF(A5311&lt;&gt;"",TIME(HOUR(TRANSACTIONS!$A5311),MINUTE(TRANSACTIONS!$A5311),SECOND(TRANSACTIONS!$A5311)),"")</f>
        <v>0.57974537037037044</v>
      </c>
      <c r="D5311" s="116" t="s">
        <v>62</v>
      </c>
      <c r="E5311" s="118" t="s">
        <v>6</v>
      </c>
      <c r="F5311" s="40">
        <v>2600</v>
      </c>
      <c r="G5311" s="46"/>
      <c r="H5311" s="46">
        <f>IFERROR(TRANSACTIONS!$F5311+TRANSACTIONS!$G5311,"")</f>
        <v>2600</v>
      </c>
      <c r="I5311" s="40" t="s">
        <v>41</v>
      </c>
    </row>
    <row r="5312" spans="1:9" x14ac:dyDescent="0.25">
      <c r="A5312" s="41">
        <v>45386.579762499998</v>
      </c>
      <c r="B5312" s="48">
        <f>IF(A5312&lt;&gt;"",DATE(YEAR(TRANSACTIONS!$A5312),MONTH(TRANSACTIONS!$A5312),DAY(TRANSACTIONS!$A5312)),"")</f>
        <v>45386</v>
      </c>
      <c r="C5312" s="49">
        <f>IF(A5312&lt;&gt;"",TIME(HOUR(TRANSACTIONS!$A5312),MINUTE(TRANSACTIONS!$A5312),SECOND(TRANSACTIONS!$A5312)),"")</f>
        <v>0.57975694444444448</v>
      </c>
      <c r="D5312" s="116" t="s">
        <v>62</v>
      </c>
      <c r="E5312" s="118" t="s">
        <v>6</v>
      </c>
      <c r="F5312" s="40">
        <v>500</v>
      </c>
      <c r="G5312" s="46"/>
      <c r="H5312" s="46">
        <f>IFERROR(TRANSACTIONS!$F5312+TRANSACTIONS!$G5312,"")</f>
        <v>500</v>
      </c>
      <c r="I5312" s="40" t="s">
        <v>41</v>
      </c>
    </row>
    <row r="5313" spans="1:10" x14ac:dyDescent="0.25">
      <c r="A5313" s="41">
        <v>45386.579753819446</v>
      </c>
      <c r="B5313" s="48">
        <f>IF(A5313&lt;&gt;"",DATE(YEAR(TRANSACTIONS!$A5313),MONTH(TRANSACTIONS!$A5313),DAY(TRANSACTIONS!$A5313)),"")</f>
        <v>45386</v>
      </c>
      <c r="C5313" s="49">
        <f>IF(A5313&lt;&gt;"",TIME(HOUR(TRANSACTIONS!$A5313),MINUTE(TRANSACTIONS!$A5313),SECOND(TRANSACTIONS!$A5313)),"")</f>
        <v>0.57975694444444448</v>
      </c>
      <c r="D5313" s="116" t="s">
        <v>62</v>
      </c>
      <c r="E5313" s="118" t="s">
        <v>7</v>
      </c>
      <c r="F5313" s="40">
        <v>5000</v>
      </c>
      <c r="G5313" s="46"/>
      <c r="H5313" s="46">
        <f>IFERROR(TRANSACTIONS!$F5313+TRANSACTIONS!$G5313,"")</f>
        <v>5000</v>
      </c>
      <c r="I5313" s="40" t="s">
        <v>41</v>
      </c>
    </row>
    <row r="5314" spans="1:10" x14ac:dyDescent="0.25">
      <c r="A5314" s="41">
        <v>45386.579776736115</v>
      </c>
      <c r="B5314" s="48">
        <f>IF(A5314&lt;&gt;"",DATE(YEAR(TRANSACTIONS!$A5314),MONTH(TRANSACTIONS!$A5314),DAY(TRANSACTIONS!$A5314)),"")</f>
        <v>45386</v>
      </c>
      <c r="C5314" s="49">
        <f>IF(A5314&lt;&gt;"",TIME(HOUR(TRANSACTIONS!$A5314),MINUTE(TRANSACTIONS!$A5314),SECOND(TRANSACTIONS!$A5314)),"")</f>
        <v>0.57978009259259256</v>
      </c>
      <c r="D5314" s="116" t="s">
        <v>62</v>
      </c>
      <c r="E5314" s="118" t="s">
        <v>7</v>
      </c>
      <c r="F5314" s="40">
        <v>70000</v>
      </c>
      <c r="G5314" s="46"/>
      <c r="H5314" s="46">
        <f>IFERROR(TRANSACTIONS!$F5314+TRANSACTIONS!$G5314,"")</f>
        <v>70000</v>
      </c>
      <c r="I5314" s="40" t="s">
        <v>41</v>
      </c>
    </row>
    <row r="5315" spans="1:10" x14ac:dyDescent="0.25">
      <c r="A5315" s="41">
        <v>45386.57979074074</v>
      </c>
      <c r="B5315" s="48">
        <f>IF(A5315&lt;&gt;"",DATE(YEAR(TRANSACTIONS!$A5315),MONTH(TRANSACTIONS!$A5315),DAY(TRANSACTIONS!$A5315)),"")</f>
        <v>45386</v>
      </c>
      <c r="C5315" s="49">
        <f>IF(A5315&lt;&gt;"",TIME(HOUR(TRANSACTIONS!$A5315),MINUTE(TRANSACTIONS!$A5315),SECOND(TRANSACTIONS!$A5315)),"")</f>
        <v>0.57979166666666659</v>
      </c>
      <c r="D5315" s="116" t="s">
        <v>62</v>
      </c>
      <c r="E5315" s="118" t="s">
        <v>7</v>
      </c>
      <c r="F5315" s="40">
        <v>400</v>
      </c>
      <c r="G5315" s="46"/>
      <c r="H5315" s="46">
        <f>IFERROR(TRANSACTIONS!$F5315+TRANSACTIONS!$G5315,"")</f>
        <v>400</v>
      </c>
      <c r="I5315" s="40" t="s">
        <v>41</v>
      </c>
    </row>
    <row r="5316" spans="1:10" x14ac:dyDescent="0.25">
      <c r="A5316" s="41">
        <v>45386.579798263891</v>
      </c>
      <c r="B5316" s="48">
        <f>IF(A5316&lt;&gt;"",DATE(YEAR(TRANSACTIONS!$A5316),MONTH(TRANSACTIONS!$A5316),DAY(TRANSACTIONS!$A5316)),"")</f>
        <v>45386</v>
      </c>
      <c r="C5316" s="49">
        <f>IF(A5316&lt;&gt;"",TIME(HOUR(TRANSACTIONS!$A5316),MINUTE(TRANSACTIONS!$A5316),SECOND(TRANSACTIONS!$A5316)),"")</f>
        <v>0.57980324074074074</v>
      </c>
      <c r="D5316" s="116" t="s">
        <v>62</v>
      </c>
      <c r="E5316" s="118" t="s">
        <v>6</v>
      </c>
      <c r="F5316" s="40">
        <v>2025</v>
      </c>
      <c r="G5316" s="46"/>
      <c r="H5316" s="46">
        <f>IFERROR(TRANSACTIONS!$F5316+TRANSACTIONS!$G5316,"")</f>
        <v>2025</v>
      </c>
      <c r="I5316" s="40" t="s">
        <v>41</v>
      </c>
    </row>
    <row r="5317" spans="1:10" x14ac:dyDescent="0.25">
      <c r="A5317" s="41">
        <v>45386.579806018519</v>
      </c>
      <c r="B5317" s="48">
        <f>IF(A5317&lt;&gt;"",DATE(YEAR(TRANSACTIONS!$A5317),MONTH(TRANSACTIONS!$A5317),DAY(TRANSACTIONS!$A5317)),"")</f>
        <v>45386</v>
      </c>
      <c r="C5317" s="49">
        <f>IF(A5317&lt;&gt;"",TIME(HOUR(TRANSACTIONS!$A5317),MINUTE(TRANSACTIONS!$A5317),SECOND(TRANSACTIONS!$A5317)),"")</f>
        <v>0.57980324074074074</v>
      </c>
      <c r="D5317" s="116" t="s">
        <v>62</v>
      </c>
      <c r="E5317" s="118" t="s">
        <v>7</v>
      </c>
      <c r="F5317" s="40">
        <v>17000</v>
      </c>
      <c r="G5317" s="46"/>
      <c r="H5317" s="46">
        <f>IFERROR(TRANSACTIONS!$F5317+TRANSACTIONS!$G5317,"")</f>
        <v>17000</v>
      </c>
      <c r="I5317" s="40" t="s">
        <v>41</v>
      </c>
    </row>
    <row r="5318" spans="1:10" x14ac:dyDescent="0.25">
      <c r="A5318" s="41">
        <v>45386.579814351855</v>
      </c>
      <c r="B5318" s="48">
        <f>IF(A5318&lt;&gt;"",DATE(YEAR(TRANSACTIONS!$A5318),MONTH(TRANSACTIONS!$A5318),DAY(TRANSACTIONS!$A5318)),"")</f>
        <v>45386</v>
      </c>
      <c r="C5318" s="49">
        <f>IF(A5318&lt;&gt;"",TIME(HOUR(TRANSACTIONS!$A5318),MINUTE(TRANSACTIONS!$A5318),SECOND(TRANSACTIONS!$A5318)),"")</f>
        <v>0.57981481481481478</v>
      </c>
      <c r="D5318" s="116" t="s">
        <v>62</v>
      </c>
      <c r="E5318" s="118" t="s">
        <v>7</v>
      </c>
      <c r="F5318" s="40">
        <v>20000</v>
      </c>
      <c r="G5318" s="46"/>
      <c r="H5318" s="46">
        <f>IFERROR(TRANSACTIONS!$F5318+TRANSACTIONS!$G5318,"")</f>
        <v>20000</v>
      </c>
      <c r="I5318" s="40" t="s">
        <v>41</v>
      </c>
    </row>
    <row r="5319" spans="1:10" x14ac:dyDescent="0.25">
      <c r="A5319" s="41">
        <v>45386.579823032407</v>
      </c>
      <c r="B5319" s="48">
        <f>IF(A5319&lt;&gt;"",DATE(YEAR(TRANSACTIONS!$A5319),MONTH(TRANSACTIONS!$A5319),DAY(TRANSACTIONS!$A5319)),"")</f>
        <v>45386</v>
      </c>
      <c r="C5319" s="49">
        <f>IF(A5319&lt;&gt;"",TIME(HOUR(TRANSACTIONS!$A5319),MINUTE(TRANSACTIONS!$A5319),SECOND(TRANSACTIONS!$A5319)),"")</f>
        <v>0.57982638888888893</v>
      </c>
      <c r="D5319" s="116" t="s">
        <v>62</v>
      </c>
      <c r="E5319" s="118" t="s">
        <v>6</v>
      </c>
      <c r="F5319" s="40">
        <v>10000</v>
      </c>
      <c r="G5319" s="46"/>
      <c r="H5319" s="46">
        <f>IFERROR(TRANSACTIONS!$F5319+TRANSACTIONS!$G5319,"")</f>
        <v>10000</v>
      </c>
      <c r="I5319" s="40" t="s">
        <v>41</v>
      </c>
    </row>
    <row r="5320" spans="1:10" x14ac:dyDescent="0.25">
      <c r="A5320" s="41">
        <v>45386.581981365744</v>
      </c>
      <c r="B5320" s="48">
        <f>IF(A5320&lt;&gt;"",DATE(YEAR(TRANSACTIONS!$A5320),MONTH(TRANSACTIONS!$A5320),DAY(TRANSACTIONS!$A5320)),"")</f>
        <v>45386</v>
      </c>
      <c r="C5320" s="49">
        <f>IF(A5320&lt;&gt;"",TIME(HOUR(TRANSACTIONS!$A5320),MINUTE(TRANSACTIONS!$A5320),SECOND(TRANSACTIONS!$A5320)),"")</f>
        <v>0.5819791666666666</v>
      </c>
      <c r="D5320" s="116" t="s">
        <v>62</v>
      </c>
      <c r="E5320" s="118" t="s">
        <v>7</v>
      </c>
      <c r="F5320" s="40">
        <v>10000</v>
      </c>
      <c r="G5320" s="46"/>
      <c r="H5320" s="46">
        <f>IFERROR(TRANSACTIONS!$F5320+TRANSACTIONS!$G5320,"")</f>
        <v>10000</v>
      </c>
      <c r="I5320" s="40" t="s">
        <v>41</v>
      </c>
    </row>
    <row r="5321" spans="1:10" x14ac:dyDescent="0.25">
      <c r="A5321" s="41">
        <v>45386.581995023145</v>
      </c>
      <c r="B5321" s="48">
        <f>IF(A5321&lt;&gt;"",DATE(YEAR(TRANSACTIONS!$A5321),MONTH(TRANSACTIONS!$A5321),DAY(TRANSACTIONS!$A5321)),"")</f>
        <v>45386</v>
      </c>
      <c r="C5321" s="49">
        <f>IF(A5321&lt;&gt;"",TIME(HOUR(TRANSACTIONS!$A5321),MINUTE(TRANSACTIONS!$A5321),SECOND(TRANSACTIONS!$A5321)),"")</f>
        <v>0.58199074074074075</v>
      </c>
      <c r="D5321" s="116" t="s">
        <v>62</v>
      </c>
      <c r="E5321" s="118" t="s">
        <v>6</v>
      </c>
      <c r="F5321" s="40">
        <v>5000</v>
      </c>
      <c r="G5321" s="46"/>
      <c r="H5321" s="46">
        <f>IFERROR(TRANSACTIONS!$F5321+TRANSACTIONS!$G5321,"")</f>
        <v>5000</v>
      </c>
      <c r="I5321" s="40" t="s">
        <v>41</v>
      </c>
    </row>
    <row r="5322" spans="1:10" x14ac:dyDescent="0.25">
      <c r="A5322" s="41">
        <v>45386.582009953701</v>
      </c>
      <c r="B5322" s="48">
        <f>IF(A5322&lt;&gt;"",DATE(YEAR(TRANSACTIONS!$A5322),MONTH(TRANSACTIONS!$A5322),DAY(TRANSACTIONS!$A5322)),"")</f>
        <v>45386</v>
      </c>
      <c r="C5322" s="49">
        <f>IF(A5322&lt;&gt;"",TIME(HOUR(TRANSACTIONS!$A5322),MINUTE(TRANSACTIONS!$A5322),SECOND(TRANSACTIONS!$A5322)),"")</f>
        <v>0.58201388888888894</v>
      </c>
      <c r="D5322" s="116" t="s">
        <v>62</v>
      </c>
      <c r="E5322" s="118" t="s">
        <v>7</v>
      </c>
      <c r="F5322" s="133">
        <v>100</v>
      </c>
      <c r="G5322" s="46"/>
      <c r="H5322" s="46">
        <f>IFERROR(TRANSACTIONS!$F5322+TRANSACTIONS!$G5322,"")</f>
        <v>100</v>
      </c>
      <c r="I5322" s="40" t="s">
        <v>41</v>
      </c>
    </row>
    <row r="5323" spans="1:10" x14ac:dyDescent="0.25">
      <c r="A5323" s="81">
        <v>45386.582003356481</v>
      </c>
      <c r="B5323" s="83">
        <f>IF(A5323&lt;&gt;"",DATE(YEAR(TRANSACTIONS!$A5323),MONTH(TRANSACTIONS!$A5323),DAY(TRANSACTIONS!$A5323)),"")</f>
        <v>45386</v>
      </c>
      <c r="C5323" s="84">
        <f>IF(A5323&lt;&gt;"",TIME(HOUR(TRANSACTIONS!$A5323),MINUTE(TRANSACTIONS!$A5323),SECOND(TRANSACTIONS!$A5323)),"")</f>
        <v>0.58200231481481479</v>
      </c>
      <c r="D5323" s="82" t="s">
        <v>62</v>
      </c>
      <c r="E5323" s="88" t="s">
        <v>6</v>
      </c>
      <c r="F5323" s="88">
        <v>5000</v>
      </c>
      <c r="G5323" s="86"/>
      <c r="H5323" s="86">
        <f>IFERROR(TRANSACTIONS!$F5323+TRANSACTIONS!$G5323,"")</f>
        <v>5000</v>
      </c>
      <c r="I5323" s="88" t="s">
        <v>41</v>
      </c>
      <c r="J5323" s="88"/>
    </row>
    <row r="5324" spans="1:10" x14ac:dyDescent="0.25">
      <c r="A5324" s="41">
        <v>45386.582033449071</v>
      </c>
      <c r="B5324" s="48">
        <f>IF(A5324&lt;&gt;"",DATE(YEAR(TRANSACTIONS!$A5324),MONTH(TRANSACTIONS!$A5324),DAY(TRANSACTIONS!$A5324)),"")</f>
        <v>45386</v>
      </c>
      <c r="C5324" s="49">
        <f>IF(A5324&lt;&gt;"",TIME(HOUR(TRANSACTIONS!$A5324),MINUTE(TRANSACTIONS!$A5324),SECOND(TRANSACTIONS!$A5324)),"")</f>
        <v>0.58203703703703702</v>
      </c>
      <c r="D5324" s="116" t="s">
        <v>62</v>
      </c>
      <c r="E5324" s="118" t="s">
        <v>7</v>
      </c>
      <c r="F5324" s="40">
        <v>2500</v>
      </c>
      <c r="G5324" s="46"/>
      <c r="H5324" s="46">
        <f>IFERROR(TRANSACTIONS!$F5324+TRANSACTIONS!$G5324,"")</f>
        <v>2500</v>
      </c>
      <c r="I5324" s="40" t="s">
        <v>41</v>
      </c>
    </row>
    <row r="5325" spans="1:10" x14ac:dyDescent="0.25">
      <c r="A5325" s="41">
        <v>45386.582021875001</v>
      </c>
      <c r="B5325" s="48">
        <f>IF(A5325&lt;&gt;"",DATE(YEAR(TRANSACTIONS!$A5325),MONTH(TRANSACTIONS!$A5325),DAY(TRANSACTIONS!$A5325)),"")</f>
        <v>45386</v>
      </c>
      <c r="C5325" s="49">
        <f>IF(A5325&lt;&gt;"",TIME(HOUR(TRANSACTIONS!$A5325),MINUTE(TRANSACTIONS!$A5325),SECOND(TRANSACTIONS!$A5325)),"")</f>
        <v>0.58202546296296298</v>
      </c>
      <c r="D5325" s="116" t="s">
        <v>62</v>
      </c>
      <c r="E5325" s="118" t="s">
        <v>7</v>
      </c>
      <c r="F5325" s="40">
        <v>5000</v>
      </c>
      <c r="G5325" s="46"/>
      <c r="H5325" s="46">
        <f>IFERROR(TRANSACTIONS!$F5325+TRANSACTIONS!$G5325,"")</f>
        <v>5000</v>
      </c>
      <c r="I5325" s="40" t="s">
        <v>41</v>
      </c>
    </row>
    <row r="5326" spans="1:10" x14ac:dyDescent="0.25">
      <c r="A5326" s="41">
        <v>45386.582047800926</v>
      </c>
      <c r="B5326" s="48">
        <f>IF(A5326&lt;&gt;"",DATE(YEAR(TRANSACTIONS!$A5326),MONTH(TRANSACTIONS!$A5326),DAY(TRANSACTIONS!$A5326)),"")</f>
        <v>45386</v>
      </c>
      <c r="C5326" s="49">
        <f>IF(A5326&lt;&gt;"",TIME(HOUR(TRANSACTIONS!$A5326),MINUTE(TRANSACTIONS!$A5326),SECOND(TRANSACTIONS!$A5326)),"")</f>
        <v>0.58204861111111106</v>
      </c>
      <c r="D5326" s="116" t="s">
        <v>62</v>
      </c>
      <c r="E5326" s="118" t="s">
        <v>7</v>
      </c>
      <c r="F5326" s="40">
        <v>2000</v>
      </c>
      <c r="G5326" s="46"/>
      <c r="H5326" s="46">
        <f>IFERROR(TRANSACTIONS!$F5326+TRANSACTIONS!$G5326,"")</f>
        <v>2000</v>
      </c>
      <c r="I5326" s="40" t="s">
        <v>41</v>
      </c>
    </row>
    <row r="5327" spans="1:10" x14ac:dyDescent="0.25">
      <c r="A5327" s="41">
        <v>45386.582069328702</v>
      </c>
      <c r="B5327" s="48">
        <f>IF(A5327&lt;&gt;"",DATE(YEAR(TRANSACTIONS!$A5327),MONTH(TRANSACTIONS!$A5327),DAY(TRANSACTIONS!$A5327)),"")</f>
        <v>45386</v>
      </c>
      <c r="C5327" s="49">
        <f>IF(A5327&lt;&gt;"",TIME(HOUR(TRANSACTIONS!$A5327),MINUTE(TRANSACTIONS!$A5327),SECOND(TRANSACTIONS!$A5327)),"")</f>
        <v>0.58207175925925925</v>
      </c>
      <c r="D5327" s="116" t="s">
        <v>62</v>
      </c>
      <c r="E5327" s="118" t="s">
        <v>6</v>
      </c>
      <c r="F5327" s="40">
        <v>1000</v>
      </c>
      <c r="G5327" s="46"/>
      <c r="H5327" s="46">
        <f>IFERROR(TRANSACTIONS!$F5327+TRANSACTIONS!$G5327,"")</f>
        <v>1000</v>
      </c>
      <c r="I5327" s="40" t="s">
        <v>41</v>
      </c>
    </row>
    <row r="5328" spans="1:10" x14ac:dyDescent="0.25">
      <c r="A5328" s="41">
        <v>45386.582085069444</v>
      </c>
      <c r="B5328" s="48">
        <f>IF(A5328&lt;&gt;"",DATE(YEAR(TRANSACTIONS!$A5328),MONTH(TRANSACTIONS!$A5328),DAY(TRANSACTIONS!$A5328)),"")</f>
        <v>45386</v>
      </c>
      <c r="C5328" s="49">
        <f>IF(A5328&lt;&gt;"",TIME(HOUR(TRANSACTIONS!$A5328),MINUTE(TRANSACTIONS!$A5328),SECOND(TRANSACTIONS!$A5328)),"")</f>
        <v>0.5820833333333334</v>
      </c>
      <c r="D5328" s="116" t="s">
        <v>62</v>
      </c>
      <c r="E5328" s="118" t="s">
        <v>6</v>
      </c>
      <c r="F5328" s="40">
        <v>15150</v>
      </c>
      <c r="G5328" s="46"/>
      <c r="H5328" s="46">
        <f>IFERROR(TRANSACTIONS!$F5328+TRANSACTIONS!$G5328,"")</f>
        <v>15150</v>
      </c>
      <c r="I5328" s="40" t="s">
        <v>41</v>
      </c>
    </row>
    <row r="5329" spans="1:9" x14ac:dyDescent="0.25">
      <c r="A5329" s="41">
        <v>45386.582091666663</v>
      </c>
      <c r="B5329" s="48">
        <f>IF(A5329&lt;&gt;"",DATE(YEAR(TRANSACTIONS!$A5329),MONTH(TRANSACTIONS!$A5329),DAY(TRANSACTIONS!$A5329)),"")</f>
        <v>45386</v>
      </c>
      <c r="C5329" s="49">
        <f>IF(A5329&lt;&gt;"",TIME(HOUR(TRANSACTIONS!$A5329),MINUTE(TRANSACTIONS!$A5329),SECOND(TRANSACTIONS!$A5329)),"")</f>
        <v>0.58209490740740744</v>
      </c>
      <c r="D5329" s="116" t="s">
        <v>62</v>
      </c>
      <c r="E5329" s="118" t="s">
        <v>7</v>
      </c>
      <c r="F5329" s="40">
        <v>300000</v>
      </c>
      <c r="G5329" s="46"/>
      <c r="H5329" s="46">
        <f>IFERROR(TRANSACTIONS!$F5329+TRANSACTIONS!$G5329,"")</f>
        <v>300000</v>
      </c>
      <c r="I5329" s="40" t="s">
        <v>41</v>
      </c>
    </row>
    <row r="5330" spans="1:9" x14ac:dyDescent="0.25">
      <c r="A5330" s="41">
        <v>45386.582112152777</v>
      </c>
      <c r="B5330" s="48">
        <f>IF(A5330&lt;&gt;"",DATE(YEAR(TRANSACTIONS!$A5330),MONTH(TRANSACTIONS!$A5330),DAY(TRANSACTIONS!$A5330)),"")</f>
        <v>45386</v>
      </c>
      <c r="C5330" s="49">
        <f>IF(A5330&lt;&gt;"",TIME(HOUR(TRANSACTIONS!$A5330),MINUTE(TRANSACTIONS!$A5330),SECOND(TRANSACTIONS!$A5330)),"")</f>
        <v>0.58210648148148147</v>
      </c>
      <c r="D5330" s="116" t="s">
        <v>62</v>
      </c>
      <c r="E5330" s="118" t="s">
        <v>7</v>
      </c>
      <c r="F5330" s="40">
        <v>50000</v>
      </c>
      <c r="G5330" s="46"/>
      <c r="H5330" s="46">
        <f>IFERROR(TRANSACTIONS!$F5330+TRANSACTIONS!$G5330,"")</f>
        <v>50000</v>
      </c>
      <c r="I5330" s="40" t="s">
        <v>41</v>
      </c>
    </row>
    <row r="5331" spans="1:9" x14ac:dyDescent="0.25">
      <c r="A5331" s="41">
        <v>45386.582120486113</v>
      </c>
      <c r="B5331" s="48">
        <f>IF(A5331&lt;&gt;"",DATE(YEAR(TRANSACTIONS!$A5331),MONTH(TRANSACTIONS!$A5331),DAY(TRANSACTIONS!$A5331)),"")</f>
        <v>45386</v>
      </c>
      <c r="C5331" s="49">
        <f>IF(A5331&lt;&gt;"",TIME(HOUR(TRANSACTIONS!$A5331),MINUTE(TRANSACTIONS!$A5331),SECOND(TRANSACTIONS!$A5331)),"")</f>
        <v>0.58211805555555551</v>
      </c>
      <c r="D5331" s="116" t="s">
        <v>62</v>
      </c>
      <c r="E5331" s="118" t="s">
        <v>7</v>
      </c>
      <c r="F5331" s="40">
        <v>2000</v>
      </c>
      <c r="G5331" s="46"/>
      <c r="H5331" s="46">
        <f>IFERROR(TRANSACTIONS!$F5331+TRANSACTIONS!$G5331,"")</f>
        <v>2000</v>
      </c>
      <c r="I5331" s="40" t="s">
        <v>41</v>
      </c>
    </row>
    <row r="5332" spans="1:9" x14ac:dyDescent="0.25">
      <c r="A5332" s="41">
        <v>45386.582127893518</v>
      </c>
      <c r="B5332" s="48">
        <f>IF(A5332&lt;&gt;"",DATE(YEAR(TRANSACTIONS!$A5332),MONTH(TRANSACTIONS!$A5332),DAY(TRANSACTIONS!$A5332)),"")</f>
        <v>45386</v>
      </c>
      <c r="C5332" s="49">
        <f>IF(A5332&lt;&gt;"",TIME(HOUR(TRANSACTIONS!$A5332),MINUTE(TRANSACTIONS!$A5332),SECOND(TRANSACTIONS!$A5332)),"")</f>
        <v>0.58212962962962966</v>
      </c>
      <c r="D5332" s="116" t="s">
        <v>62</v>
      </c>
      <c r="E5332" s="118" t="s">
        <v>7</v>
      </c>
      <c r="F5332" s="40">
        <v>25000</v>
      </c>
      <c r="G5332" s="46"/>
      <c r="H5332" s="46">
        <f>IFERROR(TRANSACTIONS!$F5332+TRANSACTIONS!$G5332,"")</f>
        <v>25000</v>
      </c>
      <c r="I5332" s="40" t="s">
        <v>41</v>
      </c>
    </row>
    <row r="5333" spans="1:9" x14ac:dyDescent="0.25">
      <c r="A5333" s="41">
        <v>45386.58213599537</v>
      </c>
      <c r="B5333" s="48">
        <f>IF(A5333&lt;&gt;"",DATE(YEAR(TRANSACTIONS!$A5333),MONTH(TRANSACTIONS!$A5333),DAY(TRANSACTIONS!$A5333)),"")</f>
        <v>45386</v>
      </c>
      <c r="C5333" s="49">
        <f>IF(A5333&lt;&gt;"",TIME(HOUR(TRANSACTIONS!$A5333),MINUTE(TRANSACTIONS!$A5333),SECOND(TRANSACTIONS!$A5333)),"")</f>
        <v>0.5821412037037037</v>
      </c>
      <c r="D5333" s="116" t="s">
        <v>64</v>
      </c>
      <c r="E5333" s="118" t="s">
        <v>6</v>
      </c>
      <c r="F5333" s="40">
        <v>600000</v>
      </c>
      <c r="G5333" s="46"/>
      <c r="H5333" s="46">
        <f>IFERROR(TRANSACTIONS!$F5333+TRANSACTIONS!$G5333,"")</f>
        <v>600000</v>
      </c>
      <c r="I5333" s="40" t="s">
        <v>41</v>
      </c>
    </row>
    <row r="5334" spans="1:9" x14ac:dyDescent="0.25">
      <c r="A5334" s="41">
        <v>45386.582160416663</v>
      </c>
      <c r="B5334" s="48">
        <f>IF(A5334&lt;&gt;"",DATE(YEAR(TRANSACTIONS!$A5334),MONTH(TRANSACTIONS!$A5334),DAY(TRANSACTIONS!$A5334)),"")</f>
        <v>45386</v>
      </c>
      <c r="C5334" s="49">
        <f>IF(A5334&lt;&gt;"",TIME(HOUR(TRANSACTIONS!$A5334),MINUTE(TRANSACTIONS!$A5334),SECOND(TRANSACTIONS!$A5334)),"")</f>
        <v>0.58216435185185189</v>
      </c>
      <c r="D5334" s="116" t="s">
        <v>62</v>
      </c>
      <c r="E5334" s="118" t="s">
        <v>6</v>
      </c>
      <c r="F5334" s="40">
        <v>5000</v>
      </c>
      <c r="G5334" s="46"/>
      <c r="H5334" s="46">
        <f>IFERROR(TRANSACTIONS!$F5334+TRANSACTIONS!$G5334,"")</f>
        <v>5000</v>
      </c>
      <c r="I5334" s="40" t="s">
        <v>41</v>
      </c>
    </row>
    <row r="5335" spans="1:9" x14ac:dyDescent="0.25">
      <c r="A5335" s="41">
        <v>45386.582168055553</v>
      </c>
      <c r="B5335" s="48">
        <f>IF(A5335&lt;&gt;"",DATE(YEAR(TRANSACTIONS!$A5335),MONTH(TRANSACTIONS!$A5335),DAY(TRANSACTIONS!$A5335)),"")</f>
        <v>45386</v>
      </c>
      <c r="C5335" s="49">
        <f>IF(A5335&lt;&gt;"",TIME(HOUR(TRANSACTIONS!$A5335),MINUTE(TRANSACTIONS!$A5335),SECOND(TRANSACTIONS!$A5335)),"")</f>
        <v>0.58216435185185189</v>
      </c>
      <c r="D5335" s="116" t="s">
        <v>62</v>
      </c>
      <c r="E5335" s="118" t="s">
        <v>7</v>
      </c>
      <c r="F5335" s="40">
        <v>35000</v>
      </c>
      <c r="G5335" s="46"/>
      <c r="H5335" s="46">
        <f>IFERROR(TRANSACTIONS!$F5335+TRANSACTIONS!$G5335,"")</f>
        <v>35000</v>
      </c>
      <c r="I5335" s="40" t="s">
        <v>41</v>
      </c>
    </row>
    <row r="5336" spans="1:9" x14ac:dyDescent="0.25">
      <c r="A5336" s="41">
        <v>45386.582175578704</v>
      </c>
      <c r="B5336" s="48">
        <f>IF(A5336&lt;&gt;"",DATE(YEAR(TRANSACTIONS!$A5336),MONTH(TRANSACTIONS!$A5336),DAY(TRANSACTIONS!$A5336)),"")</f>
        <v>45386</v>
      </c>
      <c r="C5336" s="49">
        <f>IF(A5336&lt;&gt;"",TIME(HOUR(TRANSACTIONS!$A5336),MINUTE(TRANSACTIONS!$A5336),SECOND(TRANSACTIONS!$A5336)),"")</f>
        <v>0.58217592592592593</v>
      </c>
      <c r="D5336" s="116" t="s">
        <v>62</v>
      </c>
      <c r="E5336" s="118" t="s">
        <v>7</v>
      </c>
      <c r="F5336" s="40">
        <v>2000</v>
      </c>
      <c r="G5336" s="46"/>
      <c r="H5336" s="46">
        <f>IFERROR(TRANSACTIONS!$F5336+TRANSACTIONS!$G5336,"")</f>
        <v>2000</v>
      </c>
      <c r="I5336" s="40" t="s">
        <v>41</v>
      </c>
    </row>
    <row r="5337" spans="1:9" x14ac:dyDescent="0.25">
      <c r="A5337" s="41">
        <v>45386.582183796294</v>
      </c>
      <c r="B5337" s="48">
        <f>IF(A5337&lt;&gt;"",DATE(YEAR(TRANSACTIONS!$A5337),MONTH(TRANSACTIONS!$A5337),DAY(TRANSACTIONS!$A5337)),"")</f>
        <v>45386</v>
      </c>
      <c r="C5337" s="49">
        <f>IF(A5337&lt;&gt;"",TIME(HOUR(TRANSACTIONS!$A5337),MINUTE(TRANSACTIONS!$A5337),SECOND(TRANSACTIONS!$A5337)),"")</f>
        <v>0.58218749999999997</v>
      </c>
      <c r="D5337" s="116" t="s">
        <v>62</v>
      </c>
      <c r="E5337" s="40" t="s">
        <v>6</v>
      </c>
      <c r="F5337" s="40">
        <v>163000</v>
      </c>
      <c r="G5337" s="46"/>
      <c r="H5337" s="46">
        <f>IFERROR(TRANSACTIONS!$F5337+TRANSACTIONS!$G5337,"")</f>
        <v>163000</v>
      </c>
      <c r="I5337" s="40" t="s">
        <v>41</v>
      </c>
    </row>
    <row r="5338" spans="1:9" x14ac:dyDescent="0.25">
      <c r="A5338" s="41">
        <v>45386.68522013889</v>
      </c>
      <c r="B5338" s="48">
        <f>IF(A5338&lt;&gt;"",DATE(YEAR(TRANSACTIONS!$A5338),MONTH(TRANSACTIONS!$A5338),DAY(TRANSACTIONS!$A5338)),"")</f>
        <v>45386</v>
      </c>
      <c r="C5338" s="49">
        <f>IF(A5338&lt;&gt;"",TIME(HOUR(TRANSACTIONS!$A5338),MINUTE(TRANSACTIONS!$A5338),SECOND(TRANSACTIONS!$A5338)),"")</f>
        <v>0.68521990740740746</v>
      </c>
      <c r="D5338" s="42" t="s">
        <v>62</v>
      </c>
      <c r="E5338" s="40" t="s">
        <v>7</v>
      </c>
      <c r="F5338" s="40">
        <v>1000</v>
      </c>
      <c r="G5338" s="46"/>
      <c r="H5338" s="46">
        <f>IFERROR(TRANSACTIONS!$F5338+TRANSACTIONS!$G5338,"")</f>
        <v>1000</v>
      </c>
      <c r="I5338" s="40" t="s">
        <v>41</v>
      </c>
    </row>
    <row r="5339" spans="1:9" x14ac:dyDescent="0.25">
      <c r="A5339" s="41">
        <v>45386.685280555554</v>
      </c>
      <c r="B5339" s="48">
        <f>IF(A5339&lt;&gt;"",DATE(YEAR(TRANSACTIONS!$A5339),MONTH(TRANSACTIONS!$A5339),DAY(TRANSACTIONS!$A5339)),"")</f>
        <v>45386</v>
      </c>
      <c r="C5339" s="49">
        <f>IF(A5339&lt;&gt;"",TIME(HOUR(TRANSACTIONS!$A5339),MINUTE(TRANSACTIONS!$A5339),SECOND(TRANSACTIONS!$A5339)),"")</f>
        <v>0.68527777777777776</v>
      </c>
      <c r="D5339" s="42" t="s">
        <v>62</v>
      </c>
      <c r="E5339" s="40" t="s">
        <v>7</v>
      </c>
      <c r="F5339" s="40">
        <v>10000</v>
      </c>
      <c r="G5339" s="46"/>
      <c r="H5339" s="46">
        <f>IFERROR(TRANSACTIONS!$F5339+TRANSACTIONS!$G5339,"")</f>
        <v>10000</v>
      </c>
      <c r="I5339" s="40" t="s">
        <v>41</v>
      </c>
    </row>
    <row r="5340" spans="1:9" x14ac:dyDescent="0.25">
      <c r="A5340" s="41">
        <v>45386.685293287039</v>
      </c>
      <c r="B5340" s="48">
        <f>IF(A5340&lt;&gt;"",DATE(YEAR(TRANSACTIONS!$A5340),MONTH(TRANSACTIONS!$A5340),DAY(TRANSACTIONS!$A5340)),"")</f>
        <v>45386</v>
      </c>
      <c r="C5340" s="49">
        <f>IF(A5340&lt;&gt;"",TIME(HOUR(TRANSACTIONS!$A5340),MINUTE(TRANSACTIONS!$A5340),SECOND(TRANSACTIONS!$A5340)),"")</f>
        <v>0.6852893518518518</v>
      </c>
      <c r="D5340" s="42" t="s">
        <v>62</v>
      </c>
      <c r="E5340" s="40" t="s">
        <v>7</v>
      </c>
      <c r="F5340" s="40">
        <v>17000</v>
      </c>
      <c r="G5340" s="46"/>
      <c r="H5340" s="46">
        <f>IFERROR(TRANSACTIONS!$F5340+TRANSACTIONS!$G5340,"")</f>
        <v>17000</v>
      </c>
      <c r="I5340" s="40" t="s">
        <v>41</v>
      </c>
    </row>
    <row r="5341" spans="1:9" x14ac:dyDescent="0.25">
      <c r="A5341" s="41">
        <v>45386.685300810183</v>
      </c>
      <c r="B5341" s="48">
        <f>IF(A5341&lt;&gt;"",DATE(YEAR(TRANSACTIONS!$A5341),MONTH(TRANSACTIONS!$A5341),DAY(TRANSACTIONS!$A5341)),"")</f>
        <v>45386</v>
      </c>
      <c r="C5341" s="49">
        <f>IF(A5341&lt;&gt;"",TIME(HOUR(TRANSACTIONS!$A5341),MINUTE(TRANSACTIONS!$A5341),SECOND(TRANSACTIONS!$A5341)),"")</f>
        <v>0.68530092592592595</v>
      </c>
      <c r="D5341" s="42" t="s">
        <v>62</v>
      </c>
      <c r="E5341" s="40" t="s">
        <v>6</v>
      </c>
      <c r="F5341" s="40">
        <v>5000</v>
      </c>
      <c r="G5341" s="46"/>
      <c r="H5341" s="46">
        <f>IFERROR(TRANSACTIONS!$F5341+TRANSACTIONS!$G5341,"")</f>
        <v>5000</v>
      </c>
      <c r="I5341" s="40" t="s">
        <v>41</v>
      </c>
    </row>
    <row r="5342" spans="1:9" x14ac:dyDescent="0.25">
      <c r="A5342" s="41">
        <v>45386.685308680557</v>
      </c>
      <c r="B5342" s="48">
        <f>IF(A5342&lt;&gt;"",DATE(YEAR(TRANSACTIONS!$A5342),MONTH(TRANSACTIONS!$A5342),DAY(TRANSACTIONS!$A5342)),"")</f>
        <v>45386</v>
      </c>
      <c r="C5342" s="49">
        <f>IF(A5342&lt;&gt;"",TIME(HOUR(TRANSACTIONS!$A5342),MINUTE(TRANSACTIONS!$A5342),SECOND(TRANSACTIONS!$A5342)),"")</f>
        <v>0.6853125000000001</v>
      </c>
      <c r="D5342" s="42" t="s">
        <v>62</v>
      </c>
      <c r="E5342" s="118" t="s">
        <v>7</v>
      </c>
      <c r="F5342" s="40">
        <v>5000</v>
      </c>
      <c r="G5342" s="46"/>
      <c r="H5342" s="46">
        <f>IFERROR(TRANSACTIONS!$F5342+TRANSACTIONS!$G5342,"")</f>
        <v>5000</v>
      </c>
      <c r="I5342" s="40" t="s">
        <v>41</v>
      </c>
    </row>
    <row r="5343" spans="1:9" x14ac:dyDescent="0.25">
      <c r="A5343" s="41">
        <v>45386.685317361109</v>
      </c>
      <c r="B5343" s="48">
        <f>IF(A5343&lt;&gt;"",DATE(YEAR(TRANSACTIONS!$A5343),MONTH(TRANSACTIONS!$A5343),DAY(TRANSACTIONS!$A5343)),"")</f>
        <v>45386</v>
      </c>
      <c r="C5343" s="49">
        <f>IF(A5343&lt;&gt;"",TIME(HOUR(TRANSACTIONS!$A5343),MINUTE(TRANSACTIONS!$A5343),SECOND(TRANSACTIONS!$A5343)),"")</f>
        <v>0.6853125000000001</v>
      </c>
      <c r="D5343" s="42" t="s">
        <v>62</v>
      </c>
      <c r="E5343" s="118" t="s">
        <v>7</v>
      </c>
      <c r="F5343" s="40">
        <v>20000</v>
      </c>
      <c r="G5343" s="46"/>
      <c r="H5343" s="46">
        <f>IFERROR(TRANSACTIONS!$F5343+TRANSACTIONS!$G5343,"")</f>
        <v>20000</v>
      </c>
      <c r="I5343" s="40" t="s">
        <v>41</v>
      </c>
    </row>
    <row r="5344" spans="1:9" x14ac:dyDescent="0.25">
      <c r="A5344" s="41">
        <v>45386.685324768521</v>
      </c>
      <c r="B5344" s="48">
        <f>IF(A5344&lt;&gt;"",DATE(YEAR(TRANSACTIONS!$A5344),MONTH(TRANSACTIONS!$A5344),DAY(TRANSACTIONS!$A5344)),"")</f>
        <v>45386</v>
      </c>
      <c r="C5344" s="49">
        <f>IF(A5344&lt;&gt;"",TIME(HOUR(TRANSACTIONS!$A5344),MINUTE(TRANSACTIONS!$A5344),SECOND(TRANSACTIONS!$A5344)),"")</f>
        <v>0.68532407407407403</v>
      </c>
      <c r="D5344" s="42" t="s">
        <v>62</v>
      </c>
      <c r="E5344" s="118" t="s">
        <v>7</v>
      </c>
      <c r="F5344" s="40">
        <v>6000</v>
      </c>
      <c r="G5344" s="46"/>
      <c r="H5344" s="46">
        <f>IFERROR(TRANSACTIONS!$F5344+TRANSACTIONS!$G5344,"")</f>
        <v>6000</v>
      </c>
      <c r="I5344" s="40" t="s">
        <v>41</v>
      </c>
    </row>
    <row r="5345" spans="1:9" x14ac:dyDescent="0.25">
      <c r="A5345" s="41">
        <v>45386.685332754627</v>
      </c>
      <c r="B5345" s="48">
        <f>IF(A5345&lt;&gt;"",DATE(YEAR(TRANSACTIONS!$A5345),MONTH(TRANSACTIONS!$A5345),DAY(TRANSACTIONS!$A5345)),"")</f>
        <v>45386</v>
      </c>
      <c r="C5345" s="49">
        <f>IF(A5345&lt;&gt;"",TIME(HOUR(TRANSACTIONS!$A5345),MINUTE(TRANSACTIONS!$A5345),SECOND(TRANSACTIONS!$A5345)),"")</f>
        <v>0.68533564814814818</v>
      </c>
      <c r="D5345" s="42" t="s">
        <v>62</v>
      </c>
      <c r="E5345" s="118" t="s">
        <v>6</v>
      </c>
      <c r="F5345" s="40">
        <v>10000</v>
      </c>
      <c r="G5345" s="46"/>
      <c r="H5345" s="46">
        <f>IFERROR(TRANSACTIONS!$F5345+TRANSACTIONS!$G5345,"")</f>
        <v>10000</v>
      </c>
      <c r="I5345" s="40" t="s">
        <v>41</v>
      </c>
    </row>
    <row r="5346" spans="1:9" x14ac:dyDescent="0.25">
      <c r="A5346" s="41">
        <v>45386.685344444442</v>
      </c>
      <c r="B5346" s="48">
        <f>IF(A5346&lt;&gt;"",DATE(YEAR(TRANSACTIONS!$A5346),MONTH(TRANSACTIONS!$A5346),DAY(TRANSACTIONS!$A5346)),"")</f>
        <v>45386</v>
      </c>
      <c r="C5346" s="49">
        <f>IF(A5346&lt;&gt;"",TIME(HOUR(TRANSACTIONS!$A5346),MINUTE(TRANSACTIONS!$A5346),SECOND(TRANSACTIONS!$A5346)),"")</f>
        <v>0.68534722222222222</v>
      </c>
      <c r="D5346" s="42" t="s">
        <v>62</v>
      </c>
      <c r="E5346" s="40" t="s">
        <v>6</v>
      </c>
      <c r="F5346" s="40">
        <v>2000</v>
      </c>
      <c r="G5346" s="46"/>
      <c r="H5346" s="46">
        <f>IFERROR(TRANSACTIONS!$F5346+TRANSACTIONS!$G5346,"")</f>
        <v>2000</v>
      </c>
      <c r="I5346" s="40" t="s">
        <v>41</v>
      </c>
    </row>
    <row r="5347" spans="1:9" x14ac:dyDescent="0.25">
      <c r="A5347" s="41">
        <v>45386.68535266204</v>
      </c>
      <c r="B5347" s="48">
        <f>IF(A5347&lt;&gt;"",DATE(YEAR(TRANSACTIONS!$A5347),MONTH(TRANSACTIONS!$A5347),DAY(TRANSACTIONS!$A5347)),"")</f>
        <v>45386</v>
      </c>
      <c r="C5347" s="49">
        <f>IF(A5347&lt;&gt;"",TIME(HOUR(TRANSACTIONS!$A5347),MINUTE(TRANSACTIONS!$A5347),SECOND(TRANSACTIONS!$A5347)),"")</f>
        <v>0.68534722222222222</v>
      </c>
      <c r="D5347" s="42" t="s">
        <v>62</v>
      </c>
      <c r="E5347" s="40" t="s">
        <v>6</v>
      </c>
      <c r="F5347" s="40">
        <v>2500</v>
      </c>
      <c r="G5347" s="46"/>
      <c r="H5347" s="46">
        <f>IFERROR(TRANSACTIONS!$F5347+TRANSACTIONS!$G5347,"")</f>
        <v>2500</v>
      </c>
      <c r="I5347" s="40" t="s">
        <v>41</v>
      </c>
    </row>
    <row r="5348" spans="1:9" x14ac:dyDescent="0.25">
      <c r="A5348" s="41">
        <v>45386.685360185184</v>
      </c>
      <c r="B5348" s="48">
        <f>IF(A5348&lt;&gt;"",DATE(YEAR(TRANSACTIONS!$A5348),MONTH(TRANSACTIONS!$A5348),DAY(TRANSACTIONS!$A5348)),"")</f>
        <v>45386</v>
      </c>
      <c r="C5348" s="49">
        <f>IF(A5348&lt;&gt;"",TIME(HOUR(TRANSACTIONS!$A5348),MINUTE(TRANSACTIONS!$A5348),SECOND(TRANSACTIONS!$A5348)),"")</f>
        <v>0.68535879629629637</v>
      </c>
      <c r="D5348" s="42" t="s">
        <v>62</v>
      </c>
      <c r="E5348" s="40" t="s">
        <v>6</v>
      </c>
      <c r="F5348" s="40">
        <v>23000</v>
      </c>
      <c r="G5348" s="46"/>
      <c r="H5348" s="46">
        <f>IFERROR(TRANSACTIONS!$F5348+TRANSACTIONS!$G5348,"")</f>
        <v>23000</v>
      </c>
      <c r="I5348" s="40" t="s">
        <v>41</v>
      </c>
    </row>
    <row r="5349" spans="1:9" x14ac:dyDescent="0.25">
      <c r="A5349" s="41">
        <v>45386.685367013888</v>
      </c>
      <c r="B5349" s="48">
        <f>IF(A5349&lt;&gt;"",DATE(YEAR(TRANSACTIONS!$A5349),MONTH(TRANSACTIONS!$A5349),DAY(TRANSACTIONS!$A5349)),"")</f>
        <v>45386</v>
      </c>
      <c r="C5349" s="49">
        <f>IF(A5349&lt;&gt;"",TIME(HOUR(TRANSACTIONS!$A5349),MINUTE(TRANSACTIONS!$A5349),SECOND(TRANSACTIONS!$A5349)),"")</f>
        <v>0.6853703703703703</v>
      </c>
      <c r="D5349" s="42" t="s">
        <v>62</v>
      </c>
      <c r="E5349" s="40" t="s">
        <v>6</v>
      </c>
      <c r="F5349" s="40">
        <v>1700</v>
      </c>
      <c r="G5349" s="46"/>
      <c r="H5349" s="46">
        <f>IFERROR(TRANSACTIONS!$F5349+TRANSACTIONS!$G5349,"")</f>
        <v>1700</v>
      </c>
      <c r="I5349" s="40" t="s">
        <v>41</v>
      </c>
    </row>
    <row r="5350" spans="1:9" x14ac:dyDescent="0.25">
      <c r="A5350" s="41">
        <v>45386.685373958331</v>
      </c>
      <c r="B5350" s="48">
        <f>IF(A5350&lt;&gt;"",DATE(YEAR(TRANSACTIONS!$A5350),MONTH(TRANSACTIONS!$A5350),DAY(TRANSACTIONS!$A5350)),"")</f>
        <v>45386</v>
      </c>
      <c r="C5350" s="49">
        <f>IF(A5350&lt;&gt;"",TIME(HOUR(TRANSACTIONS!$A5350),MINUTE(TRANSACTIONS!$A5350),SECOND(TRANSACTIONS!$A5350)),"")</f>
        <v>0.6853703703703703</v>
      </c>
      <c r="D5350" s="42" t="s">
        <v>62</v>
      </c>
      <c r="E5350" s="40" t="s">
        <v>7</v>
      </c>
      <c r="F5350" s="40">
        <v>10000</v>
      </c>
      <c r="G5350" s="46"/>
      <c r="H5350" s="46">
        <f>IFERROR(TRANSACTIONS!$F5350+TRANSACTIONS!$G5350,"")</f>
        <v>10000</v>
      </c>
      <c r="I5350" s="40" t="s">
        <v>41</v>
      </c>
    </row>
    <row r="5351" spans="1:9" x14ac:dyDescent="0.25">
      <c r="A5351" s="41">
        <v>45386.685416087967</v>
      </c>
      <c r="B5351" s="48">
        <f>IF(A5351&lt;&gt;"",DATE(YEAR(TRANSACTIONS!$A5351),MONTH(TRANSACTIONS!$A5351),DAY(TRANSACTIONS!$A5351)),"")</f>
        <v>45386</v>
      </c>
      <c r="C5351" s="49">
        <f>IF(A5351&lt;&gt;"",TIME(HOUR(TRANSACTIONS!$A5351),MINUTE(TRANSACTIONS!$A5351),SECOND(TRANSACTIONS!$A5351)),"")</f>
        <v>0.68541666666666667</v>
      </c>
      <c r="D5351" s="42" t="s">
        <v>62</v>
      </c>
      <c r="E5351" s="40" t="s">
        <v>6</v>
      </c>
      <c r="F5351" s="40">
        <v>20000</v>
      </c>
      <c r="G5351" s="46"/>
      <c r="H5351" s="46">
        <f>IFERROR(TRANSACTIONS!$F5351+TRANSACTIONS!$G5351,"")</f>
        <v>20000</v>
      </c>
      <c r="I5351" s="40" t="s">
        <v>41</v>
      </c>
    </row>
    <row r="5352" spans="1:9" x14ac:dyDescent="0.25">
      <c r="A5352" s="41">
        <v>45386.685426157404</v>
      </c>
      <c r="B5352" s="48">
        <f>IF(A5352&lt;&gt;"",DATE(YEAR(TRANSACTIONS!$A5352),MONTH(TRANSACTIONS!$A5352),DAY(TRANSACTIONS!$A5352)),"")</f>
        <v>45386</v>
      </c>
      <c r="C5352" s="49">
        <f>IF(A5352&lt;&gt;"",TIME(HOUR(TRANSACTIONS!$A5352),MINUTE(TRANSACTIONS!$A5352),SECOND(TRANSACTIONS!$A5352)),"")</f>
        <v>0.68542824074074071</v>
      </c>
      <c r="D5352" s="42" t="s">
        <v>62</v>
      </c>
      <c r="E5352" s="40" t="s">
        <v>7</v>
      </c>
      <c r="F5352" s="40">
        <v>80000</v>
      </c>
      <c r="G5352" s="46"/>
      <c r="H5352" s="46">
        <f>IFERROR(TRANSACTIONS!$F5352+TRANSACTIONS!$G5352,"")</f>
        <v>80000</v>
      </c>
      <c r="I5352" s="40" t="s">
        <v>41</v>
      </c>
    </row>
    <row r="5353" spans="1:9" x14ac:dyDescent="0.25">
      <c r="A5353" s="41">
        <v>45386.685434143517</v>
      </c>
      <c r="B5353" s="48">
        <f>IF(A5353&lt;&gt;"",DATE(YEAR(TRANSACTIONS!$A5353),MONTH(TRANSACTIONS!$A5353),DAY(TRANSACTIONS!$A5353)),"")</f>
        <v>45386</v>
      </c>
      <c r="C5353" s="49">
        <f>IF(A5353&lt;&gt;"",TIME(HOUR(TRANSACTIONS!$A5353),MINUTE(TRANSACTIONS!$A5353),SECOND(TRANSACTIONS!$A5353)),"")</f>
        <v>0.68543981481481486</v>
      </c>
      <c r="D5353" s="42" t="s">
        <v>62</v>
      </c>
      <c r="E5353" s="40" t="s">
        <v>6</v>
      </c>
      <c r="F5353" s="40">
        <v>2000</v>
      </c>
      <c r="G5353" s="46"/>
      <c r="H5353" s="46">
        <f>IFERROR(TRANSACTIONS!$F5353+TRANSACTIONS!$G5353,"")</f>
        <v>2000</v>
      </c>
      <c r="I5353" s="40" t="s">
        <v>41</v>
      </c>
    </row>
    <row r="5354" spans="1:9" x14ac:dyDescent="0.25">
      <c r="A5354" s="113">
        <v>45386.685597222226</v>
      </c>
      <c r="B5354" s="114">
        <f>IF(A5354&lt;&gt;"",DATE(YEAR(TRANSACTIONS!$A5354),MONTH(TRANSACTIONS!$A5354),DAY(TRANSACTIONS!$A5354)),"")</f>
        <v>45386</v>
      </c>
      <c r="C5354" s="115">
        <f>IF(A5354&lt;&gt;"",TIME(HOUR(TRANSACTIONS!$A5354),MINUTE(TRANSACTIONS!$A5354),SECOND(TRANSACTIONS!$A5354)),"")</f>
        <v>0.68560185185185185</v>
      </c>
      <c r="D5354" s="116" t="s">
        <v>62</v>
      </c>
      <c r="E5354" s="118" t="s">
        <v>7</v>
      </c>
      <c r="F5354" s="118">
        <v>10000</v>
      </c>
      <c r="G5354" s="117"/>
      <c r="H5354" s="117">
        <f>IFERROR(TRANSACTIONS!$F5354+TRANSACTIONS!$G5354,"")</f>
        <v>10000</v>
      </c>
      <c r="I5354" s="118" t="s">
        <v>41</v>
      </c>
    </row>
    <row r="5355" spans="1:9" x14ac:dyDescent="0.25">
      <c r="A5355" s="41">
        <v>45386.685606018516</v>
      </c>
      <c r="B5355" s="48">
        <f>IF(A5355&lt;&gt;"",DATE(YEAR(TRANSACTIONS!$A5355),MONTH(TRANSACTIONS!$A5355),DAY(TRANSACTIONS!$A5355)),"")</f>
        <v>45386</v>
      </c>
      <c r="C5355" s="49">
        <f>IF(A5355&lt;&gt;"",TIME(HOUR(TRANSACTIONS!$A5355),MINUTE(TRANSACTIONS!$A5355),SECOND(TRANSACTIONS!$A5355)),"")</f>
        <v>0.68560185185185185</v>
      </c>
      <c r="D5355" s="42" t="s">
        <v>62</v>
      </c>
      <c r="E5355" s="40" t="s">
        <v>6</v>
      </c>
      <c r="F5355" s="40">
        <v>5000</v>
      </c>
      <c r="G5355" s="46"/>
      <c r="H5355" s="46">
        <f>IFERROR(TRANSACTIONS!$F5355+TRANSACTIONS!$G5355,"")</f>
        <v>5000</v>
      </c>
      <c r="I5355" s="40" t="s">
        <v>41</v>
      </c>
    </row>
    <row r="5356" spans="1:9" x14ac:dyDescent="0.25">
      <c r="A5356" s="41">
        <v>45386.685614351853</v>
      </c>
      <c r="B5356" s="48">
        <f>IF(A5356&lt;&gt;"",DATE(YEAR(TRANSACTIONS!$A5356),MONTH(TRANSACTIONS!$A5356),DAY(TRANSACTIONS!$A5356)),"")</f>
        <v>45386</v>
      </c>
      <c r="C5356" s="49">
        <f>IF(A5356&lt;&gt;"",TIME(HOUR(TRANSACTIONS!$A5356),MINUTE(TRANSACTIONS!$A5356),SECOND(TRANSACTIONS!$A5356)),"")</f>
        <v>0.685613425925926</v>
      </c>
      <c r="D5356" s="42" t="s">
        <v>62</v>
      </c>
      <c r="E5356" s="40" t="s">
        <v>7</v>
      </c>
      <c r="F5356" s="40">
        <v>3000</v>
      </c>
      <c r="G5356" s="46"/>
      <c r="H5356" s="46">
        <f>IFERROR(TRANSACTIONS!$F5356+TRANSACTIONS!$G5356,"")</f>
        <v>3000</v>
      </c>
      <c r="I5356" s="40" t="s">
        <v>41</v>
      </c>
    </row>
    <row r="5357" spans="1:9" x14ac:dyDescent="0.25">
      <c r="A5357" s="41">
        <v>45386.685647222221</v>
      </c>
      <c r="B5357" s="48">
        <f>IF(A5357&lt;&gt;"",DATE(YEAR(TRANSACTIONS!$A5357),MONTH(TRANSACTIONS!$A5357),DAY(TRANSACTIONS!$A5357)),"")</f>
        <v>45386</v>
      </c>
      <c r="C5357" s="49">
        <f>IF(A5357&lt;&gt;"",TIME(HOUR(TRANSACTIONS!$A5357),MINUTE(TRANSACTIONS!$A5357),SECOND(TRANSACTIONS!$A5357)),"")</f>
        <v>0.68564814814814812</v>
      </c>
      <c r="D5357" s="42" t="s">
        <v>62</v>
      </c>
      <c r="E5357" s="40" t="s">
        <v>7</v>
      </c>
      <c r="F5357" s="40">
        <v>30000</v>
      </c>
      <c r="G5357" s="46"/>
      <c r="H5357" s="46">
        <f>IFERROR(TRANSACTIONS!$F5357+TRANSACTIONS!$G5357,"")</f>
        <v>30000</v>
      </c>
      <c r="I5357" s="40" t="s">
        <v>41</v>
      </c>
    </row>
    <row r="5358" spans="1:9" x14ac:dyDescent="0.25">
      <c r="A5358" s="41">
        <v>45386.685656250003</v>
      </c>
      <c r="B5358" s="48">
        <f>IF(A5358&lt;&gt;"",DATE(YEAR(TRANSACTIONS!$A5358),MONTH(TRANSACTIONS!$A5358),DAY(TRANSACTIONS!$A5358)),"")</f>
        <v>45386</v>
      </c>
      <c r="C5358" s="49">
        <f>IF(A5358&lt;&gt;"",TIME(HOUR(TRANSACTIONS!$A5358),MINUTE(TRANSACTIONS!$A5358),SECOND(TRANSACTIONS!$A5358)),"")</f>
        <v>0.68565972222222227</v>
      </c>
      <c r="D5358" s="42" t="s">
        <v>25</v>
      </c>
      <c r="E5358" s="40" t="s">
        <v>6</v>
      </c>
      <c r="F5358" s="40">
        <v>3000</v>
      </c>
      <c r="G5358" s="46"/>
      <c r="H5358" s="46">
        <f>IFERROR(TRANSACTIONS!$F5358+TRANSACTIONS!$G5358,"")</f>
        <v>3000</v>
      </c>
      <c r="I5358" s="40" t="s">
        <v>41</v>
      </c>
    </row>
    <row r="5359" spans="1:9" x14ac:dyDescent="0.25">
      <c r="A5359" s="41">
        <v>45386.685672569445</v>
      </c>
      <c r="B5359" s="48">
        <f>IF(A5359&lt;&gt;"",DATE(YEAR(TRANSACTIONS!$A5359),MONTH(TRANSACTIONS!$A5359),DAY(TRANSACTIONS!$A5359)),"")</f>
        <v>45386</v>
      </c>
      <c r="C5359" s="49">
        <f>IF(A5359&lt;&gt;"",TIME(HOUR(TRANSACTIONS!$A5359),MINUTE(TRANSACTIONS!$A5359),SECOND(TRANSACTIONS!$A5359)),"")</f>
        <v>0.6856712962962962</v>
      </c>
      <c r="D5359" s="42" t="s">
        <v>25</v>
      </c>
      <c r="E5359" s="40" t="s">
        <v>6</v>
      </c>
      <c r="F5359" s="40">
        <v>10000</v>
      </c>
      <c r="G5359" s="46"/>
      <c r="H5359" s="46">
        <f>IFERROR(TRANSACTIONS!$F5359+TRANSACTIONS!$G5359,"")</f>
        <v>10000</v>
      </c>
      <c r="I5359" s="40" t="s">
        <v>41</v>
      </c>
    </row>
    <row r="5360" spans="1:9" x14ac:dyDescent="0.25">
      <c r="A5360" s="41">
        <v>45386.685702893519</v>
      </c>
      <c r="B5360" s="48">
        <f>IF(A5360&lt;&gt;"",DATE(YEAR(TRANSACTIONS!$A5360),MONTH(TRANSACTIONS!$A5360),DAY(TRANSACTIONS!$A5360)),"")</f>
        <v>45386</v>
      </c>
      <c r="C5360" s="49">
        <f>IF(A5360&lt;&gt;"",TIME(HOUR(TRANSACTIONS!$A5360),MINUTE(TRANSACTIONS!$A5360),SECOND(TRANSACTIONS!$A5360)),"")</f>
        <v>0.68570601851851853</v>
      </c>
      <c r="D5360" s="42" t="s">
        <v>25</v>
      </c>
      <c r="E5360" s="40" t="s">
        <v>6</v>
      </c>
      <c r="F5360" s="40">
        <v>1600</v>
      </c>
      <c r="G5360" s="46"/>
      <c r="H5360" s="46">
        <f>IFERROR(TRANSACTIONS!$F5360+TRANSACTIONS!$G5360,"")</f>
        <v>1600</v>
      </c>
      <c r="I5360" s="40" t="s">
        <v>41</v>
      </c>
    </row>
    <row r="5361" spans="1:9" x14ac:dyDescent="0.25">
      <c r="A5361" s="41">
        <v>45386.685771643519</v>
      </c>
      <c r="B5361" s="48">
        <f>IF(A5361&lt;&gt;"",DATE(YEAR(TRANSACTIONS!$A5361),MONTH(TRANSACTIONS!$A5361),DAY(TRANSACTIONS!$A5361)),"")</f>
        <v>45386</v>
      </c>
      <c r="C5361" s="49">
        <f>IF(A5361&lt;&gt;"",TIME(HOUR(TRANSACTIONS!$A5361),MINUTE(TRANSACTIONS!$A5361),SECOND(TRANSACTIONS!$A5361)),"")</f>
        <v>0.68577546296296299</v>
      </c>
      <c r="D5361" s="42" t="s">
        <v>25</v>
      </c>
      <c r="E5361" s="40" t="s">
        <v>6</v>
      </c>
      <c r="F5361" s="40">
        <v>25000</v>
      </c>
      <c r="G5361" s="46"/>
      <c r="H5361" s="46">
        <f>IFERROR(TRANSACTIONS!$F5361+TRANSACTIONS!$G5361,"")</f>
        <v>25000</v>
      </c>
      <c r="I5361" s="40" t="s">
        <v>41</v>
      </c>
    </row>
    <row r="5362" spans="1:9" x14ac:dyDescent="0.25">
      <c r="A5362" s="41">
        <v>45386.686521527779</v>
      </c>
      <c r="B5362" s="48">
        <f>IF(A5362&lt;&gt;"",DATE(YEAR(TRANSACTIONS!$A5362),MONTH(TRANSACTIONS!$A5362),DAY(TRANSACTIONS!$A5362)),"")</f>
        <v>45386</v>
      </c>
      <c r="C5362" s="49">
        <f>IF(A5362&lt;&gt;"",TIME(HOUR(TRANSACTIONS!$A5362),MINUTE(TRANSACTIONS!$A5362),SECOND(TRANSACTIONS!$A5362)),"")</f>
        <v>0.6865162037037037</v>
      </c>
      <c r="D5362" s="42" t="s">
        <v>62</v>
      </c>
      <c r="E5362" s="40" t="s">
        <v>7</v>
      </c>
      <c r="F5362" s="40">
        <v>15000</v>
      </c>
      <c r="G5362" s="46"/>
      <c r="H5362" s="46">
        <f>IFERROR(TRANSACTIONS!$F5362+TRANSACTIONS!$G5362,"")</f>
        <v>15000</v>
      </c>
      <c r="I5362" s="40" t="s">
        <v>41</v>
      </c>
    </row>
    <row r="5363" spans="1:9" x14ac:dyDescent="0.25">
      <c r="A5363" s="41"/>
      <c r="B5363" s="48" t="str">
        <f>IF(A5363&lt;&gt;"",DATE(YEAR(TRANSACTIONS!$A5363),MONTH(TRANSACTIONS!$A5363),DAY(TRANSACTIONS!$A5363)),"")</f>
        <v/>
      </c>
      <c r="C5363" s="49" t="str">
        <f>IF(A5363&lt;&gt;"",TIME(HOUR(TRANSACTIONS!$A5363),MINUTE(TRANSACTIONS!$A5363),SECOND(TRANSACTIONS!$A5363)),"")</f>
        <v/>
      </c>
      <c r="D5363" s="42"/>
      <c r="G5363" s="46"/>
      <c r="H5363" s="46">
        <f>IFERROR(TRANSACTIONS!$F5363+TRANSACTIONS!$G5363,"")</f>
        <v>0</v>
      </c>
      <c r="I5363" s="40" t="s">
        <v>41</v>
      </c>
    </row>
    <row r="5364" spans="1:9" x14ac:dyDescent="0.25">
      <c r="A5364" s="41">
        <v>45387.461075810184</v>
      </c>
      <c r="B5364" s="48">
        <f>IF(A5364&lt;&gt;"",DATE(YEAR(TRANSACTIONS!$A5364),MONTH(TRANSACTIONS!$A5364),DAY(TRANSACTIONS!$A5364)),"")</f>
        <v>45387</v>
      </c>
      <c r="C5364" s="49">
        <f>IF(A5364&lt;&gt;"",TIME(HOUR(TRANSACTIONS!$A5364),MINUTE(TRANSACTIONS!$A5364),SECOND(TRANSACTIONS!$A5364)),"")</f>
        <v>0.46107638888888891</v>
      </c>
      <c r="D5364" s="42" t="s">
        <v>62</v>
      </c>
      <c r="E5364" s="40" t="s">
        <v>7</v>
      </c>
      <c r="F5364" s="40">
        <v>12000</v>
      </c>
      <c r="G5364" s="46"/>
      <c r="H5364" s="46">
        <f>IFERROR(TRANSACTIONS!$F5364+TRANSACTIONS!$G5364,"")</f>
        <v>12000</v>
      </c>
      <c r="I5364" s="40" t="s">
        <v>41</v>
      </c>
    </row>
    <row r="5365" spans="1:9" x14ac:dyDescent="0.25">
      <c r="A5365" s="41">
        <v>45387.461111458331</v>
      </c>
      <c r="B5365" s="48">
        <f>IF(A5365&lt;&gt;"",DATE(YEAR(TRANSACTIONS!$A5365),MONTH(TRANSACTIONS!$A5365),DAY(TRANSACTIONS!$A5365)),"")</f>
        <v>45387</v>
      </c>
      <c r="C5365" s="49">
        <f>IF(A5365&lt;&gt;"",TIME(HOUR(TRANSACTIONS!$A5365),MINUTE(TRANSACTIONS!$A5365),SECOND(TRANSACTIONS!$A5365)),"")</f>
        <v>0.46111111111111108</v>
      </c>
      <c r="D5365" s="42" t="s">
        <v>62</v>
      </c>
      <c r="E5365" s="40" t="s">
        <v>6</v>
      </c>
      <c r="F5365" s="40">
        <v>2300</v>
      </c>
      <c r="G5365" s="46"/>
      <c r="H5365" s="46">
        <f>IFERROR(TRANSACTIONS!$F5365+TRANSACTIONS!$G5365,"")</f>
        <v>2300</v>
      </c>
      <c r="I5365" s="40" t="s">
        <v>41</v>
      </c>
    </row>
    <row r="5366" spans="1:9" x14ac:dyDescent="0.25">
      <c r="A5366" s="41">
        <v>45387.46113113426</v>
      </c>
      <c r="B5366" s="48">
        <f>IF(A5366&lt;&gt;"",DATE(YEAR(TRANSACTIONS!$A5366),MONTH(TRANSACTIONS!$A5366),DAY(TRANSACTIONS!$A5366)),"")</f>
        <v>45387</v>
      </c>
      <c r="C5366" s="49">
        <f>IF(A5366&lt;&gt;"",TIME(HOUR(TRANSACTIONS!$A5366),MINUTE(TRANSACTIONS!$A5366),SECOND(TRANSACTIONS!$A5366)),"")</f>
        <v>0.46113425925925927</v>
      </c>
      <c r="D5366" s="42" t="s">
        <v>62</v>
      </c>
      <c r="E5366" s="40" t="s">
        <v>7</v>
      </c>
      <c r="F5366" s="40">
        <v>150000</v>
      </c>
      <c r="G5366" s="46"/>
      <c r="H5366" s="46">
        <f>IFERROR(TRANSACTIONS!$F5366+TRANSACTIONS!$G5366,"")</f>
        <v>150000</v>
      </c>
      <c r="I5366" s="40" t="s">
        <v>41</v>
      </c>
    </row>
    <row r="5367" spans="1:9" x14ac:dyDescent="0.25">
      <c r="A5367" s="41">
        <v>45387.461120138891</v>
      </c>
      <c r="B5367" s="48">
        <f>IF(A5367&lt;&gt;"",DATE(YEAR(TRANSACTIONS!$A5367),MONTH(TRANSACTIONS!$A5367),DAY(TRANSACTIONS!$A5367)),"")</f>
        <v>45387</v>
      </c>
      <c r="C5367" s="49">
        <f>IF(A5367&lt;&gt;"",TIME(HOUR(TRANSACTIONS!$A5367),MINUTE(TRANSACTIONS!$A5367),SECOND(TRANSACTIONS!$A5367)),"")</f>
        <v>0.46112268518518523</v>
      </c>
      <c r="D5367" s="42" t="s">
        <v>62</v>
      </c>
      <c r="E5367" s="40" t="s">
        <v>7</v>
      </c>
      <c r="F5367" s="40">
        <v>60000</v>
      </c>
      <c r="G5367" s="46"/>
      <c r="H5367" s="46">
        <f>IFERROR(TRANSACTIONS!$F5367+TRANSACTIONS!$G5367,"")</f>
        <v>60000</v>
      </c>
      <c r="I5367" s="40" t="s">
        <v>41</v>
      </c>
    </row>
    <row r="5368" spans="1:9" x14ac:dyDescent="0.25">
      <c r="A5368" s="41">
        <v>45387.463029282408</v>
      </c>
      <c r="B5368" s="48">
        <f>IF(A5368&lt;&gt;"",DATE(YEAR(TRANSACTIONS!$A5368),MONTH(TRANSACTIONS!$A5368),DAY(TRANSACTIONS!$A5368)),"")</f>
        <v>45387</v>
      </c>
      <c r="C5368" s="49">
        <f>IF(A5368&lt;&gt;"",TIME(HOUR(TRANSACTIONS!$A5368),MINUTE(TRANSACTIONS!$A5368),SECOND(TRANSACTIONS!$A5368)),"")</f>
        <v>0.46303240740740742</v>
      </c>
      <c r="D5368" s="42" t="s">
        <v>62</v>
      </c>
      <c r="E5368" s="40" t="s">
        <v>6</v>
      </c>
      <c r="F5368" s="40">
        <v>20000</v>
      </c>
      <c r="G5368" s="46"/>
      <c r="H5368" s="46">
        <f>IFERROR(TRANSACTIONS!$F5368+TRANSACTIONS!$G5368,"")</f>
        <v>20000</v>
      </c>
      <c r="I5368" s="40" t="s">
        <v>41</v>
      </c>
    </row>
    <row r="5369" spans="1:9" x14ac:dyDescent="0.25">
      <c r="A5369" s="81">
        <v>45387.463042939817</v>
      </c>
      <c r="B5369" s="83">
        <f>IF(A5369&lt;&gt;"",DATE(YEAR(TRANSACTIONS!$A5369),MONTH(TRANSACTIONS!$A5369),DAY(TRANSACTIONS!$A5369)),"")</f>
        <v>45387</v>
      </c>
      <c r="C5369" s="84">
        <f>IF(A5369&lt;&gt;"",TIME(HOUR(TRANSACTIONS!$A5369),MINUTE(TRANSACTIONS!$A5369),SECOND(TRANSACTIONS!$A5369)),"")</f>
        <v>0.46304398148148151</v>
      </c>
      <c r="D5369" s="82" t="s">
        <v>62</v>
      </c>
      <c r="E5369" s="88" t="s">
        <v>7</v>
      </c>
      <c r="F5369" s="88">
        <v>20000</v>
      </c>
      <c r="G5369" s="86"/>
      <c r="H5369" s="86">
        <f>IFERROR(TRANSACTIONS!$F5369+TRANSACTIONS!$G5369,"")</f>
        <v>20000</v>
      </c>
      <c r="I5369" s="88" t="s">
        <v>41</v>
      </c>
    </row>
    <row r="5370" spans="1:9" x14ac:dyDescent="0.25">
      <c r="A5370" s="41">
        <v>45387.463072800929</v>
      </c>
      <c r="B5370" s="48">
        <f>IF(A5370&lt;&gt;"",DATE(YEAR(TRANSACTIONS!$A5370),MONTH(TRANSACTIONS!$A5370),DAY(TRANSACTIONS!$A5370)),"")</f>
        <v>45387</v>
      </c>
      <c r="C5370" s="49">
        <f>IF(A5370&lt;&gt;"",TIME(HOUR(TRANSACTIONS!$A5370),MINUTE(TRANSACTIONS!$A5370),SECOND(TRANSACTIONS!$A5370)),"")</f>
        <v>0.46306712962962965</v>
      </c>
      <c r="D5370" s="42" t="s">
        <v>62</v>
      </c>
      <c r="E5370" s="40" t="s">
        <v>7</v>
      </c>
      <c r="F5370" s="40">
        <v>6000</v>
      </c>
      <c r="G5370" s="46"/>
      <c r="H5370" s="46">
        <f>IFERROR(TRANSACTIONS!$F5370+TRANSACTIONS!$G5370,"")</f>
        <v>6000</v>
      </c>
      <c r="I5370" s="40" t="s">
        <v>41</v>
      </c>
    </row>
    <row r="5371" spans="1:9" x14ac:dyDescent="0.25">
      <c r="A5371" s="41">
        <v>45387.463081134258</v>
      </c>
      <c r="B5371" s="48">
        <f>IF(A5371&lt;&gt;"",DATE(YEAR(TRANSACTIONS!$A5371),MONTH(TRANSACTIONS!$A5371),DAY(TRANSACTIONS!$A5371)),"")</f>
        <v>45387</v>
      </c>
      <c r="C5371" s="49">
        <f>IF(A5371&lt;&gt;"",TIME(HOUR(TRANSACTIONS!$A5371),MINUTE(TRANSACTIONS!$A5371),SECOND(TRANSACTIONS!$A5371)),"")</f>
        <v>0.46307870370370369</v>
      </c>
      <c r="D5371" s="42" t="s">
        <v>62</v>
      </c>
      <c r="E5371" s="40" t="s">
        <v>7</v>
      </c>
      <c r="F5371" s="40">
        <v>40000</v>
      </c>
      <c r="G5371" s="46"/>
      <c r="H5371" s="46">
        <f>IFERROR(TRANSACTIONS!$F5371+TRANSACTIONS!$G5371,"")</f>
        <v>40000</v>
      </c>
      <c r="I5371" s="40" t="s">
        <v>41</v>
      </c>
    </row>
    <row r="5372" spans="1:9" x14ac:dyDescent="0.25">
      <c r="A5372" s="41">
        <v>45387.463088194447</v>
      </c>
      <c r="B5372" s="48">
        <f>IF(A5372&lt;&gt;"",DATE(YEAR(TRANSACTIONS!$A5372),MONTH(TRANSACTIONS!$A5372),DAY(TRANSACTIONS!$A5372)),"")</f>
        <v>45387</v>
      </c>
      <c r="C5372" s="49">
        <f>IF(A5372&lt;&gt;"",TIME(HOUR(TRANSACTIONS!$A5372),MINUTE(TRANSACTIONS!$A5372),SECOND(TRANSACTIONS!$A5372)),"")</f>
        <v>0.46309027777777773</v>
      </c>
      <c r="D5372" s="42" t="s">
        <v>62</v>
      </c>
      <c r="E5372" s="40" t="s">
        <v>7</v>
      </c>
      <c r="F5372" s="40">
        <v>30000</v>
      </c>
      <c r="G5372" s="46"/>
      <c r="H5372" s="46">
        <f>IFERROR(TRANSACTIONS!$F5372+TRANSACTIONS!$G5372,"")</f>
        <v>30000</v>
      </c>
      <c r="I5372" s="40" t="s">
        <v>41</v>
      </c>
    </row>
    <row r="5373" spans="1:9" x14ac:dyDescent="0.25">
      <c r="A5373" s="41">
        <v>45387.463096180552</v>
      </c>
      <c r="B5373" s="48">
        <f>IF(A5373&lt;&gt;"",DATE(YEAR(TRANSACTIONS!$A5373),MONTH(TRANSACTIONS!$A5373),DAY(TRANSACTIONS!$A5373)),"")</f>
        <v>45387</v>
      </c>
      <c r="C5373" s="49">
        <f>IF(A5373&lt;&gt;"",TIME(HOUR(TRANSACTIONS!$A5373),MINUTE(TRANSACTIONS!$A5373),SECOND(TRANSACTIONS!$A5373)),"")</f>
        <v>0.46310185185185188</v>
      </c>
      <c r="D5373" s="42" t="s">
        <v>62</v>
      </c>
      <c r="E5373" s="40" t="s">
        <v>7</v>
      </c>
      <c r="F5373" s="40">
        <v>10000</v>
      </c>
      <c r="G5373" s="46"/>
      <c r="H5373" s="46">
        <f>IFERROR(TRANSACTIONS!$F5373+TRANSACTIONS!$G5373,"")</f>
        <v>10000</v>
      </c>
      <c r="I5373" s="40" t="s">
        <v>41</v>
      </c>
    </row>
    <row r="5374" spans="1:9" x14ac:dyDescent="0.25">
      <c r="A5374" s="41">
        <v>45387.463104166665</v>
      </c>
      <c r="B5374" s="48">
        <f>IF(A5374&lt;&gt;"",DATE(YEAR(TRANSACTIONS!$A5374),MONTH(TRANSACTIONS!$A5374),DAY(TRANSACTIONS!$A5374)),"")</f>
        <v>45387</v>
      </c>
      <c r="C5374" s="49">
        <f>IF(A5374&lt;&gt;"",TIME(HOUR(TRANSACTIONS!$A5374),MINUTE(TRANSACTIONS!$A5374),SECOND(TRANSACTIONS!$A5374)),"")</f>
        <v>0.46310185185185188</v>
      </c>
      <c r="D5374" s="42" t="s">
        <v>62</v>
      </c>
      <c r="E5374" s="40" t="s">
        <v>7</v>
      </c>
      <c r="F5374" s="40">
        <v>2000</v>
      </c>
      <c r="G5374" s="46"/>
      <c r="H5374" s="46">
        <f>IFERROR(TRANSACTIONS!$F5374+TRANSACTIONS!$G5374,"")</f>
        <v>2000</v>
      </c>
      <c r="I5374" s="40" t="s">
        <v>41</v>
      </c>
    </row>
    <row r="5375" spans="1:9" x14ac:dyDescent="0.25">
      <c r="A5375" s="153">
        <v>45387.463112268517</v>
      </c>
      <c r="B5375" s="154">
        <f>IF(A5375&lt;&gt;"",DATE(YEAR(TRANSACTIONS!$A5375),MONTH(TRANSACTIONS!$A5375),DAY(TRANSACTIONS!$A5375)),"")</f>
        <v>45387</v>
      </c>
      <c r="C5375" s="155">
        <f>IF(A5375&lt;&gt;"",TIME(HOUR(TRANSACTIONS!$A5375),MINUTE(TRANSACTIONS!$A5375),SECOND(TRANSACTIONS!$A5375)),"")</f>
        <v>0.46311342592592591</v>
      </c>
      <c r="D5375" s="156" t="s">
        <v>62</v>
      </c>
      <c r="E5375" s="40" t="s">
        <v>7</v>
      </c>
      <c r="F5375" s="157">
        <v>5000</v>
      </c>
      <c r="G5375" s="158"/>
      <c r="H5375" s="158">
        <f>IFERROR(TRANSACTIONS!$F5375+TRANSACTIONS!$G5375,"")</f>
        <v>5000</v>
      </c>
      <c r="I5375" s="157" t="s">
        <v>41</v>
      </c>
    </row>
    <row r="5376" spans="1:9" x14ac:dyDescent="0.25">
      <c r="A5376" s="153">
        <v>45387.463120601853</v>
      </c>
      <c r="B5376" s="154">
        <f>IF(A5376&lt;&gt;"",DATE(YEAR(TRANSACTIONS!$A5376),MONTH(TRANSACTIONS!$A5376),DAY(TRANSACTIONS!$A5376)),"")</f>
        <v>45387</v>
      </c>
      <c r="C5376" s="155">
        <f>IF(A5376&lt;&gt;"",TIME(HOUR(TRANSACTIONS!$A5376),MINUTE(TRANSACTIONS!$A5376),SECOND(TRANSACTIONS!$A5376)),"")</f>
        <v>0.46312500000000001</v>
      </c>
      <c r="D5376" s="156" t="s">
        <v>62</v>
      </c>
      <c r="E5376" s="157" t="s">
        <v>6</v>
      </c>
      <c r="F5376" s="157">
        <v>270000</v>
      </c>
      <c r="G5376" s="158"/>
      <c r="H5376" s="158">
        <f>IFERROR(TRANSACTIONS!$F5376+TRANSACTIONS!$G5376,"")</f>
        <v>270000</v>
      </c>
      <c r="I5376" s="157" t="s">
        <v>41</v>
      </c>
    </row>
    <row r="5377" spans="1:10" x14ac:dyDescent="0.25">
      <c r="A5377" s="41">
        <v>45387.463130324075</v>
      </c>
      <c r="B5377" s="48">
        <f>IF(A5377&lt;&gt;"",DATE(YEAR(TRANSACTIONS!$A5377),MONTH(TRANSACTIONS!$A5377),DAY(TRANSACTIONS!$A5377)),"")</f>
        <v>45387</v>
      </c>
      <c r="C5377" s="49">
        <f>IF(A5377&lt;&gt;"",TIME(HOUR(TRANSACTIONS!$A5377),MINUTE(TRANSACTIONS!$A5377),SECOND(TRANSACTIONS!$A5377)),"")</f>
        <v>0.46312500000000001</v>
      </c>
      <c r="D5377" s="42" t="s">
        <v>62</v>
      </c>
      <c r="E5377" s="40" t="s">
        <v>6</v>
      </c>
      <c r="F5377" s="157">
        <v>10000</v>
      </c>
      <c r="G5377" s="46"/>
      <c r="H5377" s="46">
        <f>IFERROR(TRANSACTIONS!$F5377+TRANSACTIONS!$G5377,"")</f>
        <v>10000</v>
      </c>
      <c r="I5377" s="40" t="s">
        <v>41</v>
      </c>
    </row>
    <row r="5378" spans="1:10" x14ac:dyDescent="0.25">
      <c r="A5378" s="197">
        <v>45387.463138888888</v>
      </c>
      <c r="B5378" s="198">
        <f>IF(A5378&lt;&gt;"",DATE(YEAR(TRANSACTIONS!$A5378),MONTH(TRANSACTIONS!$A5378),DAY(TRANSACTIONS!$A5378)),"")</f>
        <v>45387</v>
      </c>
      <c r="C5378" s="199">
        <f>IF(A5378&lt;&gt;"",TIME(HOUR(TRANSACTIONS!$A5378),MINUTE(TRANSACTIONS!$A5378),SECOND(TRANSACTIONS!$A5378)),"")</f>
        <v>0.46313657407407405</v>
      </c>
      <c r="D5378" s="200" t="s">
        <v>25</v>
      </c>
      <c r="E5378" s="40" t="s">
        <v>6</v>
      </c>
      <c r="F5378" s="202">
        <v>2000</v>
      </c>
      <c r="G5378" s="203"/>
      <c r="H5378" s="203">
        <f>IFERROR(TRANSACTIONS!$F5378+TRANSACTIONS!$G5378,"")</f>
        <v>2000</v>
      </c>
      <c r="I5378" s="201" t="s">
        <v>41</v>
      </c>
      <c r="J5378" s="201"/>
    </row>
    <row r="5379" spans="1:10" x14ac:dyDescent="0.25">
      <c r="A5379" s="41">
        <v>45387.463146759263</v>
      </c>
      <c r="B5379" s="48">
        <f>IF(A5379&lt;&gt;"",DATE(YEAR(TRANSACTIONS!$A5379),MONTH(TRANSACTIONS!$A5379),DAY(TRANSACTIONS!$A5379)),"")</f>
        <v>45387</v>
      </c>
      <c r="C5379" s="49">
        <f>IF(A5379&lt;&gt;"",TIME(HOUR(TRANSACTIONS!$A5379),MINUTE(TRANSACTIONS!$A5379),SECOND(TRANSACTIONS!$A5379)),"")</f>
        <v>0.46314814814814814</v>
      </c>
      <c r="D5379" s="42" t="s">
        <v>25</v>
      </c>
      <c r="E5379" s="40" t="s">
        <v>7</v>
      </c>
      <c r="F5379" s="157">
        <v>2450</v>
      </c>
      <c r="G5379" s="46"/>
      <c r="H5379" s="46">
        <f>IFERROR(TRANSACTIONS!$F5379+TRANSACTIONS!$G5379,"")</f>
        <v>2450</v>
      </c>
      <c r="I5379" s="40" t="s">
        <v>41</v>
      </c>
    </row>
    <row r="5380" spans="1:10" x14ac:dyDescent="0.25">
      <c r="A5380" s="41">
        <v>45387.463159837964</v>
      </c>
      <c r="B5380" s="48">
        <f>IF(A5380&lt;&gt;"",DATE(YEAR(TRANSACTIONS!$A5380),MONTH(TRANSACTIONS!$A5380),DAY(TRANSACTIONS!$A5380)),"")</f>
        <v>45387</v>
      </c>
      <c r="C5380" s="49">
        <f>IF(A5380&lt;&gt;"",TIME(HOUR(TRANSACTIONS!$A5380),MINUTE(TRANSACTIONS!$A5380),SECOND(TRANSACTIONS!$A5380)),"")</f>
        <v>0.46315972222222218</v>
      </c>
      <c r="D5380" s="42" t="s">
        <v>25</v>
      </c>
      <c r="E5380" s="40" t="s">
        <v>7</v>
      </c>
      <c r="F5380" s="157">
        <v>50000</v>
      </c>
      <c r="G5380" s="46"/>
      <c r="H5380" s="46">
        <f>IFERROR(TRANSACTIONS!$F5380+TRANSACTIONS!$G5380,"")</f>
        <v>50000</v>
      </c>
      <c r="I5380" s="40" t="s">
        <v>41</v>
      </c>
    </row>
    <row r="5381" spans="1:10" x14ac:dyDescent="0.25">
      <c r="A5381" s="113">
        <v>45387.463200694445</v>
      </c>
      <c r="B5381" s="114">
        <f>IF(A5381&lt;&gt;"",DATE(YEAR(TRANSACTIONS!$A5381),MONTH(TRANSACTIONS!$A5381),DAY(TRANSACTIONS!$A5381)),"")</f>
        <v>45387</v>
      </c>
      <c r="C5381" s="115">
        <f>IF(A5381&lt;&gt;"",TIME(HOUR(TRANSACTIONS!$A5381),MINUTE(TRANSACTIONS!$A5381),SECOND(TRANSACTIONS!$A5381)),"")</f>
        <v>0.4632060185185185</v>
      </c>
      <c r="D5381" s="116" t="s">
        <v>25</v>
      </c>
      <c r="E5381" s="118" t="s">
        <v>7</v>
      </c>
      <c r="F5381" s="109">
        <v>16000</v>
      </c>
      <c r="G5381" s="117"/>
      <c r="H5381" s="117">
        <f>IFERROR(TRANSACTIONS!$F5381+TRANSACTIONS!$G5381,"")</f>
        <v>16000</v>
      </c>
      <c r="I5381" s="118" t="s">
        <v>41</v>
      </c>
      <c r="J5381" s="118"/>
    </row>
    <row r="5382" spans="1:10" x14ac:dyDescent="0.25">
      <c r="A5382" s="81">
        <v>45387.463209374997</v>
      </c>
      <c r="B5382" s="83">
        <f>IF(A5382&lt;&gt;"",DATE(YEAR(TRANSACTIONS!$A5382),MONTH(TRANSACTIONS!$A5382),DAY(TRANSACTIONS!$A5382)),"")</f>
        <v>45387</v>
      </c>
      <c r="C5382" s="84">
        <f>IF(A5382&lt;&gt;"",TIME(HOUR(TRANSACTIONS!$A5382),MINUTE(TRANSACTIONS!$A5382),SECOND(TRANSACTIONS!$A5382)),"")</f>
        <v>0.4632060185185185</v>
      </c>
      <c r="D5382" s="82" t="s">
        <v>25</v>
      </c>
      <c r="E5382" s="88" t="s">
        <v>6</v>
      </c>
      <c r="F5382" s="112">
        <v>10100</v>
      </c>
      <c r="G5382" s="86"/>
      <c r="H5382" s="86">
        <f>IFERROR(TRANSACTIONS!$F5382+TRANSACTIONS!$G5382,"")</f>
        <v>10100</v>
      </c>
      <c r="I5382" s="88" t="s">
        <v>41</v>
      </c>
    </row>
    <row r="5383" spans="1:10" x14ac:dyDescent="0.25">
      <c r="A5383" s="41">
        <v>45387.537393981482</v>
      </c>
      <c r="B5383" s="48">
        <f>IF(A5383&lt;&gt;"",DATE(YEAR(TRANSACTIONS!$A5383),MONTH(TRANSACTIONS!$A5383),DAY(TRANSACTIONS!$A5383)),"")</f>
        <v>45387</v>
      </c>
      <c r="C5383" s="49">
        <f>IF(A5383&lt;&gt;"",TIME(HOUR(TRANSACTIONS!$A5383),MINUTE(TRANSACTIONS!$A5383),SECOND(TRANSACTIONS!$A5383)),"")</f>
        <v>0.53739583333333341</v>
      </c>
      <c r="D5383" s="42" t="s">
        <v>25</v>
      </c>
      <c r="E5383" s="157" t="s">
        <v>7</v>
      </c>
      <c r="F5383" s="157">
        <v>20000</v>
      </c>
      <c r="G5383" s="46"/>
      <c r="H5383" s="46">
        <f>IFERROR(TRANSACTIONS!$F5383+TRANSACTIONS!$G5383,"")</f>
        <v>20000</v>
      </c>
      <c r="I5383" s="40" t="s">
        <v>41</v>
      </c>
    </row>
    <row r="5384" spans="1:10" x14ac:dyDescent="0.25">
      <c r="A5384" s="41">
        <v>45387.53741597222</v>
      </c>
      <c r="B5384" s="48">
        <f>IF(A5384&lt;&gt;"",DATE(YEAR(TRANSACTIONS!$A5384),MONTH(TRANSACTIONS!$A5384),DAY(TRANSACTIONS!$A5384)),"")</f>
        <v>45387</v>
      </c>
      <c r="C5384" s="49">
        <f>IF(A5384&lt;&gt;"",TIME(HOUR(TRANSACTIONS!$A5384),MINUTE(TRANSACTIONS!$A5384),SECOND(TRANSACTIONS!$A5384)),"")</f>
        <v>0.53741898148148148</v>
      </c>
      <c r="D5384" s="42" t="s">
        <v>25</v>
      </c>
      <c r="E5384" s="40" t="s">
        <v>6</v>
      </c>
      <c r="F5384" s="157">
        <v>10000</v>
      </c>
      <c r="G5384" s="46"/>
      <c r="H5384" s="46">
        <f>IFERROR(TRANSACTIONS!$F5384+TRANSACTIONS!$G5384,"")</f>
        <v>10000</v>
      </c>
      <c r="I5384" s="40" t="s">
        <v>41</v>
      </c>
    </row>
    <row r="5385" spans="1:10" x14ac:dyDescent="0.25">
      <c r="A5385" s="41">
        <v>45387.537423958333</v>
      </c>
      <c r="B5385" s="48">
        <f>IF(A5385&lt;&gt;"",DATE(YEAR(TRANSACTIONS!$A5385),MONTH(TRANSACTIONS!$A5385),DAY(TRANSACTIONS!$A5385)),"")</f>
        <v>45387</v>
      </c>
      <c r="C5385" s="49">
        <f>IF(A5385&lt;&gt;"",TIME(HOUR(TRANSACTIONS!$A5385),MINUTE(TRANSACTIONS!$A5385),SECOND(TRANSACTIONS!$A5385)),"")</f>
        <v>0.53741898148148148</v>
      </c>
      <c r="D5385" s="42" t="s">
        <v>25</v>
      </c>
      <c r="E5385" s="40" t="s">
        <v>6</v>
      </c>
      <c r="F5385" s="157">
        <v>50400</v>
      </c>
      <c r="G5385" s="46"/>
      <c r="H5385" s="46">
        <f>IFERROR(TRANSACTIONS!$F5385+TRANSACTIONS!$G5385,"")</f>
        <v>50400</v>
      </c>
      <c r="I5385" s="40" t="s">
        <v>41</v>
      </c>
    </row>
    <row r="5386" spans="1:10" x14ac:dyDescent="0.25">
      <c r="A5386" s="41">
        <v>45387.537440740743</v>
      </c>
      <c r="B5386" s="48">
        <f>IF(A5386&lt;&gt;"",DATE(YEAR(TRANSACTIONS!$A5386),MONTH(TRANSACTIONS!$A5386),DAY(TRANSACTIONS!$A5386)),"")</f>
        <v>45387</v>
      </c>
      <c r="C5386" s="49">
        <f>IF(A5386&lt;&gt;"",TIME(HOUR(TRANSACTIONS!$A5386),MINUTE(TRANSACTIONS!$A5386),SECOND(TRANSACTIONS!$A5386)),"")</f>
        <v>0.53744212962962956</v>
      </c>
      <c r="D5386" s="42" t="s">
        <v>25</v>
      </c>
      <c r="E5386" s="40" t="s">
        <v>6</v>
      </c>
      <c r="F5386" s="157">
        <v>15125</v>
      </c>
      <c r="G5386" s="46"/>
      <c r="H5386" s="46">
        <f>IFERROR(TRANSACTIONS!$F5386+TRANSACTIONS!$G5386,"")</f>
        <v>15125</v>
      </c>
      <c r="I5386" s="40" t="s">
        <v>41</v>
      </c>
    </row>
    <row r="5387" spans="1:10" x14ac:dyDescent="0.25">
      <c r="A5387" s="41">
        <v>45387.537448958334</v>
      </c>
      <c r="B5387" s="48">
        <f>IF(A5387&lt;&gt;"",DATE(YEAR(TRANSACTIONS!$A5387),MONTH(TRANSACTIONS!$A5387),DAY(TRANSACTIONS!$A5387)),"")</f>
        <v>45387</v>
      </c>
      <c r="C5387" s="49">
        <f>IF(A5387&lt;&gt;"",TIME(HOUR(TRANSACTIONS!$A5387),MINUTE(TRANSACTIONS!$A5387),SECOND(TRANSACTIONS!$A5387)),"")</f>
        <v>0.53745370370370371</v>
      </c>
      <c r="D5387" s="42" t="s">
        <v>62</v>
      </c>
      <c r="E5387" s="40" t="s">
        <v>7</v>
      </c>
      <c r="F5387" s="157">
        <v>65000</v>
      </c>
      <c r="G5387" s="46"/>
      <c r="H5387" s="46">
        <f>IFERROR(TRANSACTIONS!$F5387+TRANSACTIONS!$G5387,"")</f>
        <v>65000</v>
      </c>
      <c r="I5387" s="40" t="s">
        <v>41</v>
      </c>
    </row>
    <row r="5388" spans="1:10" x14ac:dyDescent="0.25">
      <c r="A5388" s="41">
        <v>45387.537456134261</v>
      </c>
      <c r="B5388" s="48">
        <f>IF(A5388&lt;&gt;"",DATE(YEAR(TRANSACTIONS!$A5388),MONTH(TRANSACTIONS!$A5388),DAY(TRANSACTIONS!$A5388)),"")</f>
        <v>45387</v>
      </c>
      <c r="C5388" s="49">
        <f>IF(A5388&lt;&gt;"",TIME(HOUR(TRANSACTIONS!$A5388),MINUTE(TRANSACTIONS!$A5388),SECOND(TRANSACTIONS!$A5388)),"")</f>
        <v>0.53745370370370371</v>
      </c>
      <c r="D5388" s="42" t="s">
        <v>62</v>
      </c>
      <c r="E5388" s="40" t="s">
        <v>7</v>
      </c>
      <c r="F5388" s="157">
        <v>2000</v>
      </c>
      <c r="G5388" s="46"/>
      <c r="H5388" s="46">
        <f>IFERROR(TRANSACTIONS!$F5388+TRANSACTIONS!$G5388,"")</f>
        <v>2000</v>
      </c>
      <c r="I5388" s="40" t="s">
        <v>41</v>
      </c>
    </row>
    <row r="5389" spans="1:10" x14ac:dyDescent="0.25">
      <c r="A5389" s="41">
        <v>45387.537462268519</v>
      </c>
      <c r="B5389" s="48">
        <f>IF(A5389&lt;&gt;"",DATE(YEAR(TRANSACTIONS!$A5389),MONTH(TRANSACTIONS!$A5389),DAY(TRANSACTIONS!$A5389)),"")</f>
        <v>45387</v>
      </c>
      <c r="C5389" s="49">
        <f>IF(A5389&lt;&gt;"",TIME(HOUR(TRANSACTIONS!$A5389),MINUTE(TRANSACTIONS!$A5389),SECOND(TRANSACTIONS!$A5389)),"")</f>
        <v>0.53746527777777775</v>
      </c>
      <c r="D5389" s="42" t="s">
        <v>62</v>
      </c>
      <c r="E5389" s="40" t="s">
        <v>6</v>
      </c>
      <c r="F5389" s="157">
        <v>4000</v>
      </c>
      <c r="G5389" s="46"/>
      <c r="H5389" s="46">
        <f>IFERROR(TRANSACTIONS!$F5389+TRANSACTIONS!$G5389,"")</f>
        <v>4000</v>
      </c>
      <c r="I5389" s="40" t="s">
        <v>41</v>
      </c>
    </row>
    <row r="5390" spans="1:10" x14ac:dyDescent="0.25">
      <c r="A5390" s="41">
        <v>45387.537479861108</v>
      </c>
      <c r="B5390" s="48">
        <f>IF(A5390&lt;&gt;"",DATE(YEAR(TRANSACTIONS!$A5390),MONTH(TRANSACTIONS!$A5390),DAY(TRANSACTIONS!$A5390)),"")</f>
        <v>45387</v>
      </c>
      <c r="C5390" s="49">
        <f>IF(A5390&lt;&gt;"",TIME(HOUR(TRANSACTIONS!$A5390),MINUTE(TRANSACTIONS!$A5390),SECOND(TRANSACTIONS!$A5390)),"")</f>
        <v>0.5374768518518519</v>
      </c>
      <c r="D5390" s="42" t="s">
        <v>62</v>
      </c>
      <c r="E5390" s="40" t="s">
        <v>6</v>
      </c>
      <c r="F5390" s="157">
        <v>9000</v>
      </c>
      <c r="G5390" s="46"/>
      <c r="H5390" s="46">
        <f>IFERROR(TRANSACTIONS!$F5390+TRANSACTIONS!$G5390,"")</f>
        <v>9000</v>
      </c>
      <c r="I5390" s="40" t="s">
        <v>41</v>
      </c>
    </row>
    <row r="5391" spans="1:10" x14ac:dyDescent="0.25">
      <c r="A5391" s="41">
        <v>45387.537492013886</v>
      </c>
      <c r="B5391" s="48">
        <f>IF(A5391&lt;&gt;"",DATE(YEAR(TRANSACTIONS!$A5391),MONTH(TRANSACTIONS!$A5391),DAY(TRANSACTIONS!$A5391)),"")</f>
        <v>45387</v>
      </c>
      <c r="C5391" s="49">
        <f>IF(A5391&lt;&gt;"",TIME(HOUR(TRANSACTIONS!$A5391),MINUTE(TRANSACTIONS!$A5391),SECOND(TRANSACTIONS!$A5391)),"")</f>
        <v>0.53748842592592594</v>
      </c>
      <c r="D5391" s="42" t="s">
        <v>62</v>
      </c>
      <c r="E5391" s="40" t="s">
        <v>6</v>
      </c>
      <c r="F5391" s="157">
        <v>2000</v>
      </c>
      <c r="G5391" s="46"/>
      <c r="H5391" s="46">
        <f>IFERROR(TRANSACTIONS!$F5391+TRANSACTIONS!$G5391,"")</f>
        <v>2000</v>
      </c>
      <c r="I5391" s="40" t="s">
        <v>41</v>
      </c>
    </row>
    <row r="5392" spans="1:10" x14ac:dyDescent="0.25">
      <c r="A5392" s="41">
        <v>45387.537508217596</v>
      </c>
      <c r="B5392" s="48">
        <f>IF(A5392&lt;&gt;"",DATE(YEAR(TRANSACTIONS!$A5392),MONTH(TRANSACTIONS!$A5392),DAY(TRANSACTIONS!$A5392)),"")</f>
        <v>45387</v>
      </c>
      <c r="C5392" s="49">
        <f>IF(A5392&lt;&gt;"",TIME(HOUR(TRANSACTIONS!$A5392),MINUTE(TRANSACTIONS!$A5392),SECOND(TRANSACTIONS!$A5392)),"")</f>
        <v>0.53751157407407402</v>
      </c>
      <c r="D5392" s="42" t="s">
        <v>62</v>
      </c>
      <c r="E5392" s="40" t="s">
        <v>6</v>
      </c>
      <c r="F5392" s="157">
        <v>1000</v>
      </c>
      <c r="G5392" s="46"/>
      <c r="H5392" s="46">
        <f>IFERROR(TRANSACTIONS!$F5392+TRANSACTIONS!$G5392,"")</f>
        <v>1000</v>
      </c>
      <c r="I5392" s="40" t="s">
        <v>41</v>
      </c>
    </row>
    <row r="5393" spans="1:9" x14ac:dyDescent="0.25">
      <c r="A5393" s="41">
        <v>45387.537499537037</v>
      </c>
      <c r="B5393" s="48">
        <f>IF(A5393&lt;&gt;"",DATE(YEAR(TRANSACTIONS!$A5393),MONTH(TRANSACTIONS!$A5393),DAY(TRANSACTIONS!$A5393)),"")</f>
        <v>45387</v>
      </c>
      <c r="C5393" s="49">
        <f>IF(A5393&lt;&gt;"",TIME(HOUR(TRANSACTIONS!$A5393),MINUTE(TRANSACTIONS!$A5393),SECOND(TRANSACTIONS!$A5393)),"")</f>
        <v>0.53749999999999998</v>
      </c>
      <c r="D5393" s="42" t="s">
        <v>62</v>
      </c>
      <c r="E5393" s="40" t="s">
        <v>7</v>
      </c>
      <c r="F5393" s="157">
        <v>5000</v>
      </c>
      <c r="G5393" s="46"/>
      <c r="H5393" s="46">
        <f>IFERROR(TRANSACTIONS!$F5393+TRANSACTIONS!$G5393,"")</f>
        <v>5000</v>
      </c>
      <c r="I5393" s="40" t="s">
        <v>41</v>
      </c>
    </row>
    <row r="5394" spans="1:9" x14ac:dyDescent="0.25">
      <c r="A5394" s="41">
        <v>45387.53841134259</v>
      </c>
      <c r="B5394" s="48">
        <f>IF(A5394&lt;&gt;"",DATE(YEAR(TRANSACTIONS!$A5394),MONTH(TRANSACTIONS!$A5394),DAY(TRANSACTIONS!$A5394)),"")</f>
        <v>45387</v>
      </c>
      <c r="C5394" s="49">
        <f>IF(A5394&lt;&gt;"",TIME(HOUR(TRANSACTIONS!$A5394),MINUTE(TRANSACTIONS!$A5394),SECOND(TRANSACTIONS!$A5394)),"")</f>
        <v>0.53841435185185182</v>
      </c>
      <c r="D5394" s="42" t="s">
        <v>62</v>
      </c>
      <c r="E5394" s="40" t="s">
        <v>7</v>
      </c>
      <c r="F5394" s="157">
        <v>15000</v>
      </c>
      <c r="G5394" s="46"/>
      <c r="H5394" s="46">
        <f>IFERROR(TRANSACTIONS!$F5394+TRANSACTIONS!$G5394,"")</f>
        <v>15000</v>
      </c>
      <c r="I5394" s="40" t="s">
        <v>41</v>
      </c>
    </row>
    <row r="5395" spans="1:9" x14ac:dyDescent="0.25">
      <c r="A5395" s="41">
        <v>45387.538414930554</v>
      </c>
      <c r="B5395" s="48">
        <f>IF(A5395&lt;&gt;"",DATE(YEAR(TRANSACTIONS!$A5395),MONTH(TRANSACTIONS!$A5395),DAY(TRANSACTIONS!$A5395)),"")</f>
        <v>45387</v>
      </c>
      <c r="C5395" s="49">
        <f>IF(A5395&lt;&gt;"",TIME(HOUR(TRANSACTIONS!$A5395),MINUTE(TRANSACTIONS!$A5395),SECOND(TRANSACTIONS!$A5395)),"")</f>
        <v>0.53841435185185182</v>
      </c>
      <c r="D5395" s="42" t="s">
        <v>62</v>
      </c>
      <c r="E5395" s="40" t="s">
        <v>6</v>
      </c>
      <c r="F5395" s="157">
        <v>30300</v>
      </c>
      <c r="G5395" s="46"/>
      <c r="H5395" s="46">
        <f>IFERROR(TRANSACTIONS!$F5395+TRANSACTIONS!$G5395,"")</f>
        <v>30300</v>
      </c>
      <c r="I5395" s="40" t="s">
        <v>41</v>
      </c>
    </row>
    <row r="5396" spans="1:9" x14ac:dyDescent="0.25">
      <c r="A5396" s="41">
        <v>45387.538443171296</v>
      </c>
      <c r="B5396" s="48">
        <f>IF(A5396&lt;&gt;"",DATE(YEAR(TRANSACTIONS!$A5396),MONTH(TRANSACTIONS!$A5396),DAY(TRANSACTIONS!$A5396)),"")</f>
        <v>45387</v>
      </c>
      <c r="C5396" s="49">
        <f>IF(A5396&lt;&gt;"",TIME(HOUR(TRANSACTIONS!$A5396),MINUTE(TRANSACTIONS!$A5396),SECOND(TRANSACTIONS!$A5396)),"")</f>
        <v>0.53843750000000001</v>
      </c>
      <c r="D5396" s="42" t="s">
        <v>62</v>
      </c>
      <c r="E5396" s="40" t="s">
        <v>6</v>
      </c>
      <c r="F5396" s="157">
        <v>2500</v>
      </c>
      <c r="G5396" s="46"/>
      <c r="H5396" s="46">
        <f>IFERROR(TRANSACTIONS!$F5396+TRANSACTIONS!$G5396,"")</f>
        <v>2500</v>
      </c>
      <c r="I5396" s="40" t="s">
        <v>41</v>
      </c>
    </row>
    <row r="5397" spans="1:9" x14ac:dyDescent="0.25">
      <c r="A5397" s="41">
        <v>45387.53845162037</v>
      </c>
      <c r="B5397" s="48">
        <f>IF(A5397&lt;&gt;"",DATE(YEAR(TRANSACTIONS!$A5397),MONTH(TRANSACTIONS!$A5397),DAY(TRANSACTIONS!$A5397)),"")</f>
        <v>45387</v>
      </c>
      <c r="C5397" s="49">
        <f>IF(A5397&lt;&gt;"",TIME(HOUR(TRANSACTIONS!$A5397),MINUTE(TRANSACTIONS!$A5397),SECOND(TRANSACTIONS!$A5397)),"")</f>
        <v>0.53844907407407405</v>
      </c>
      <c r="D5397" s="42" t="s">
        <v>62</v>
      </c>
      <c r="E5397" s="40" t="s">
        <v>6</v>
      </c>
      <c r="F5397" s="157">
        <v>1000</v>
      </c>
      <c r="G5397" s="46"/>
      <c r="H5397" s="46">
        <f>IFERROR(TRANSACTIONS!$F5397+TRANSACTIONS!$G5397,"")</f>
        <v>1000</v>
      </c>
      <c r="I5397" s="40" t="s">
        <v>41</v>
      </c>
    </row>
    <row r="5398" spans="1:9" x14ac:dyDescent="0.25">
      <c r="A5398" s="41">
        <v>45387.538458796298</v>
      </c>
      <c r="B5398" s="48">
        <f>IF(A5398&lt;&gt;"",DATE(YEAR(TRANSACTIONS!$A5398),MONTH(TRANSACTIONS!$A5398),DAY(TRANSACTIONS!$A5398)),"")</f>
        <v>45387</v>
      </c>
      <c r="C5398" s="49">
        <f>IF(A5398&lt;&gt;"",TIME(HOUR(TRANSACTIONS!$A5398),MINUTE(TRANSACTIONS!$A5398),SECOND(TRANSACTIONS!$A5398)),"")</f>
        <v>0.53846064814814809</v>
      </c>
      <c r="D5398" s="42" t="s">
        <v>62</v>
      </c>
      <c r="E5398" s="40" t="s">
        <v>7</v>
      </c>
      <c r="F5398" s="157">
        <v>3000</v>
      </c>
      <c r="G5398" s="46"/>
      <c r="H5398" s="46">
        <f>IFERROR(TRANSACTIONS!$F5398+TRANSACTIONS!$G5398,"")</f>
        <v>3000</v>
      </c>
      <c r="I5398" s="40" t="s">
        <v>41</v>
      </c>
    </row>
    <row r="5399" spans="1:9" x14ac:dyDescent="0.25">
      <c r="A5399" s="41">
        <v>45387.538466203703</v>
      </c>
      <c r="B5399" s="48">
        <f>IF(A5399&lt;&gt;"",DATE(YEAR(TRANSACTIONS!$A5399),MONTH(TRANSACTIONS!$A5399),DAY(TRANSACTIONS!$A5399)),"")</f>
        <v>45387</v>
      </c>
      <c r="C5399" s="49">
        <f>IF(A5399&lt;&gt;"",TIME(HOUR(TRANSACTIONS!$A5399),MINUTE(TRANSACTIONS!$A5399),SECOND(TRANSACTIONS!$A5399)),"")</f>
        <v>0.53846064814814809</v>
      </c>
      <c r="D5399" s="42" t="s">
        <v>62</v>
      </c>
      <c r="E5399" s="40" t="s">
        <v>6</v>
      </c>
      <c r="F5399" s="157">
        <v>15000</v>
      </c>
      <c r="G5399" s="46"/>
      <c r="H5399" s="46">
        <f>IFERROR(TRANSACTIONS!$F5399+TRANSACTIONS!$G5399,"")</f>
        <v>15000</v>
      </c>
      <c r="I5399" s="40" t="s">
        <v>41</v>
      </c>
    </row>
    <row r="5400" spans="1:9" x14ac:dyDescent="0.25">
      <c r="A5400" s="41">
        <v>45387.53847777778</v>
      </c>
      <c r="B5400" s="48">
        <f>IF(A5400&lt;&gt;"",DATE(YEAR(TRANSACTIONS!$A5400),MONTH(TRANSACTIONS!$A5400),DAY(TRANSACTIONS!$A5400)),"")</f>
        <v>45387</v>
      </c>
      <c r="C5400" s="49">
        <f>IF(A5400&lt;&gt;"",TIME(HOUR(TRANSACTIONS!$A5400),MINUTE(TRANSACTIONS!$A5400),SECOND(TRANSACTIONS!$A5400)),"")</f>
        <v>0.53847222222222224</v>
      </c>
      <c r="D5400" s="42" t="s">
        <v>62</v>
      </c>
      <c r="E5400" s="40" t="s">
        <v>6</v>
      </c>
      <c r="F5400" s="157">
        <v>2000</v>
      </c>
      <c r="G5400" s="46"/>
      <c r="H5400" s="46">
        <f>IFERROR(TRANSACTIONS!$F5400+TRANSACTIONS!$G5400,"")</f>
        <v>2000</v>
      </c>
      <c r="I5400" s="40" t="s">
        <v>41</v>
      </c>
    </row>
    <row r="5401" spans="1:9" x14ac:dyDescent="0.25">
      <c r="A5401" s="41">
        <v>45387.538485069446</v>
      </c>
      <c r="B5401" s="48">
        <f>IF(A5401&lt;&gt;"",DATE(YEAR(TRANSACTIONS!$A5401),MONTH(TRANSACTIONS!$A5401),DAY(TRANSACTIONS!$A5401)),"")</f>
        <v>45387</v>
      </c>
      <c r="C5401" s="49">
        <f>IF(A5401&lt;&gt;"",TIME(HOUR(TRANSACTIONS!$A5401),MINUTE(TRANSACTIONS!$A5401),SECOND(TRANSACTIONS!$A5401)),"")</f>
        <v>0.53848379629629628</v>
      </c>
      <c r="D5401" s="42" t="s">
        <v>62</v>
      </c>
      <c r="E5401" s="40" t="s">
        <v>7</v>
      </c>
      <c r="F5401" s="157">
        <v>5000</v>
      </c>
      <c r="G5401" s="46"/>
      <c r="H5401" s="46">
        <f>IFERROR(TRANSACTIONS!$F5401+TRANSACTIONS!$G5401,"")</f>
        <v>5000</v>
      </c>
      <c r="I5401" s="40" t="s">
        <v>41</v>
      </c>
    </row>
    <row r="5402" spans="1:9" x14ac:dyDescent="0.25">
      <c r="A5402" s="41">
        <v>45387.538492476851</v>
      </c>
      <c r="B5402" s="48">
        <f>IF(A5402&lt;&gt;"",DATE(YEAR(TRANSACTIONS!$A5402),MONTH(TRANSACTIONS!$A5402),DAY(TRANSACTIONS!$A5402)),"")</f>
        <v>45387</v>
      </c>
      <c r="C5402" s="49">
        <f>IF(A5402&lt;&gt;"",TIME(HOUR(TRANSACTIONS!$A5402),MINUTE(TRANSACTIONS!$A5402),SECOND(TRANSACTIONS!$A5402)),"")</f>
        <v>0.53849537037037043</v>
      </c>
      <c r="D5402" s="42" t="s">
        <v>62</v>
      </c>
      <c r="E5402" s="40" t="s">
        <v>7</v>
      </c>
      <c r="F5402" s="157">
        <v>5000</v>
      </c>
      <c r="G5402" s="46"/>
      <c r="H5402" s="46">
        <f>IFERROR(TRANSACTIONS!$F5402+TRANSACTIONS!$G5402,"")</f>
        <v>5000</v>
      </c>
      <c r="I5402" s="40" t="s">
        <v>41</v>
      </c>
    </row>
    <row r="5403" spans="1:9" x14ac:dyDescent="0.25">
      <c r="A5403" s="41">
        <v>45387.620277199072</v>
      </c>
      <c r="B5403" s="48">
        <f>IF(A5403&lt;&gt;"",DATE(YEAR(TRANSACTIONS!$A5403),MONTH(TRANSACTIONS!$A5403),DAY(TRANSACTIONS!$A5403)),"")</f>
        <v>45387</v>
      </c>
      <c r="C5403" s="49">
        <f>IF(A5403&lt;&gt;"",TIME(HOUR(TRANSACTIONS!$A5403),MINUTE(TRANSACTIONS!$A5403),SECOND(TRANSACTIONS!$A5403)),"")</f>
        <v>0.62027777777777782</v>
      </c>
      <c r="D5403" s="42" t="s">
        <v>62</v>
      </c>
      <c r="E5403" s="40" t="s">
        <v>7</v>
      </c>
      <c r="F5403" s="157">
        <v>22000</v>
      </c>
      <c r="G5403" s="46"/>
      <c r="H5403" s="46">
        <f>IFERROR(TRANSACTIONS!$F5403+TRANSACTIONS!$G5403,"")</f>
        <v>22000</v>
      </c>
      <c r="I5403" s="40" t="s">
        <v>41</v>
      </c>
    </row>
    <row r="5404" spans="1:9" x14ac:dyDescent="0.25">
      <c r="A5404" s="41">
        <v>45387.620303356482</v>
      </c>
      <c r="B5404" s="48">
        <f>IF(A5404&lt;&gt;"",DATE(YEAR(TRANSACTIONS!$A5404),MONTH(TRANSACTIONS!$A5404),DAY(TRANSACTIONS!$A5404)),"")</f>
        <v>45387</v>
      </c>
      <c r="C5404" s="49">
        <f>IF(A5404&lt;&gt;"",TIME(HOUR(TRANSACTIONS!$A5404),MINUTE(TRANSACTIONS!$A5404),SECOND(TRANSACTIONS!$A5404)),"")</f>
        <v>0.62030092592592589</v>
      </c>
      <c r="D5404" s="42" t="s">
        <v>62</v>
      </c>
      <c r="E5404" s="40" t="s">
        <v>7</v>
      </c>
      <c r="F5404" s="157">
        <v>3000</v>
      </c>
      <c r="G5404" s="46"/>
      <c r="H5404" s="46">
        <f>IFERROR(TRANSACTIONS!$F5404+TRANSACTIONS!$G5404,"")</f>
        <v>3000</v>
      </c>
      <c r="I5404" s="40" t="s">
        <v>41</v>
      </c>
    </row>
    <row r="5405" spans="1:9" x14ac:dyDescent="0.25">
      <c r="A5405" s="41">
        <v>45387.620313541665</v>
      </c>
      <c r="B5405" s="48">
        <f>IF(A5405&lt;&gt;"",DATE(YEAR(TRANSACTIONS!$A5405),MONTH(TRANSACTIONS!$A5405),DAY(TRANSACTIONS!$A5405)),"")</f>
        <v>45387</v>
      </c>
      <c r="C5405" s="49">
        <f>IF(A5405&lt;&gt;"",TIME(HOUR(TRANSACTIONS!$A5405),MINUTE(TRANSACTIONS!$A5405),SECOND(TRANSACTIONS!$A5405)),"")</f>
        <v>0.62031249999999993</v>
      </c>
      <c r="D5405" s="42" t="s">
        <v>62</v>
      </c>
      <c r="E5405" s="201" t="s">
        <v>7</v>
      </c>
      <c r="F5405" s="157">
        <v>60000</v>
      </c>
      <c r="G5405" s="46"/>
      <c r="H5405" s="46">
        <f>IFERROR(TRANSACTIONS!$F5405+TRANSACTIONS!$G5405,"")</f>
        <v>60000</v>
      </c>
      <c r="I5405" s="40" t="s">
        <v>41</v>
      </c>
    </row>
    <row r="5406" spans="1:9" x14ac:dyDescent="0.25">
      <c r="A5406" s="41">
        <v>45387.62032199074</v>
      </c>
      <c r="B5406" s="48">
        <f>IF(A5406&lt;&gt;"",DATE(YEAR(TRANSACTIONS!$A5406),MONTH(TRANSACTIONS!$A5406),DAY(TRANSACTIONS!$A5406)),"")</f>
        <v>45387</v>
      </c>
      <c r="C5406" s="49">
        <f>IF(A5406&lt;&gt;"",TIME(HOUR(TRANSACTIONS!$A5406),MINUTE(TRANSACTIONS!$A5406),SECOND(TRANSACTIONS!$A5406)),"")</f>
        <v>0.62032407407407408</v>
      </c>
      <c r="D5406" s="42" t="s">
        <v>62</v>
      </c>
      <c r="E5406" s="40" t="s">
        <v>7</v>
      </c>
      <c r="F5406" s="157">
        <v>58000</v>
      </c>
      <c r="G5406" s="46"/>
      <c r="H5406" s="46">
        <f>IFERROR(TRANSACTIONS!$F5406+TRANSACTIONS!$G5406,"")</f>
        <v>58000</v>
      </c>
      <c r="I5406" s="40" t="s">
        <v>41</v>
      </c>
    </row>
    <row r="5407" spans="1:9" x14ac:dyDescent="0.25">
      <c r="A5407" s="41">
        <v>45387.62032962963</v>
      </c>
      <c r="B5407" s="48">
        <f>IF(A5407&lt;&gt;"",DATE(YEAR(TRANSACTIONS!$A5407),MONTH(TRANSACTIONS!$A5407),DAY(TRANSACTIONS!$A5407)),"")</f>
        <v>45387</v>
      </c>
      <c r="C5407" s="49">
        <f>IF(A5407&lt;&gt;"",TIME(HOUR(TRANSACTIONS!$A5407),MINUTE(TRANSACTIONS!$A5407),SECOND(TRANSACTIONS!$A5407)),"")</f>
        <v>0.62032407407407408</v>
      </c>
      <c r="D5407" s="42" t="s">
        <v>25</v>
      </c>
      <c r="E5407" s="40" t="s">
        <v>6</v>
      </c>
      <c r="F5407" s="157">
        <v>25000</v>
      </c>
      <c r="G5407" s="46"/>
      <c r="H5407" s="46">
        <f>IFERROR(TRANSACTIONS!$F5407+TRANSACTIONS!$G5407,"")</f>
        <v>25000</v>
      </c>
      <c r="I5407" s="40" t="s">
        <v>41</v>
      </c>
    </row>
    <row r="5408" spans="1:9" x14ac:dyDescent="0.25">
      <c r="A5408" s="41">
        <v>45387.620339930552</v>
      </c>
      <c r="B5408" s="48">
        <f>IF(A5408&lt;&gt;"",DATE(YEAR(TRANSACTIONS!$A5408),MONTH(TRANSACTIONS!$A5408),DAY(TRANSACTIONS!$A5408)),"")</f>
        <v>45387</v>
      </c>
      <c r="C5408" s="49">
        <f>IF(A5408&lt;&gt;"",TIME(HOUR(TRANSACTIONS!$A5408),MINUTE(TRANSACTIONS!$A5408),SECOND(TRANSACTIONS!$A5408)),"")</f>
        <v>0.62033564814814812</v>
      </c>
      <c r="D5408" s="42" t="s">
        <v>25</v>
      </c>
      <c r="E5408" s="40" t="s">
        <v>7</v>
      </c>
      <c r="F5408" s="157">
        <v>15000</v>
      </c>
      <c r="G5408" s="46"/>
      <c r="H5408" s="46">
        <f>IFERROR(TRANSACTIONS!$F5408+TRANSACTIONS!$G5408,"")</f>
        <v>15000</v>
      </c>
      <c r="I5408" s="40" t="s">
        <v>41</v>
      </c>
    </row>
    <row r="5409" spans="1:9" x14ac:dyDescent="0.25">
      <c r="A5409" s="71">
        <v>45387.620366319446</v>
      </c>
      <c r="B5409" s="73">
        <f>IF(A5409&lt;&gt;"",DATE(YEAR(TRANSACTIONS!$A5409),MONTH(TRANSACTIONS!$A5409),DAY(TRANSACTIONS!$A5409)),"")</f>
        <v>45387</v>
      </c>
      <c r="C5409" s="74">
        <f>IF(A5409&lt;&gt;"",TIME(HOUR(TRANSACTIONS!$A5409),MINUTE(TRANSACTIONS!$A5409),SECOND(TRANSACTIONS!$A5409)),"")</f>
        <v>0.62037037037037035</v>
      </c>
      <c r="D5409" s="72" t="s">
        <v>25</v>
      </c>
      <c r="E5409" s="76" t="s">
        <v>6</v>
      </c>
      <c r="F5409" s="159">
        <v>800</v>
      </c>
      <c r="G5409" s="75"/>
      <c r="H5409" s="75">
        <f>IFERROR(TRANSACTIONS!$F5409+TRANSACTIONS!$G5409,"")</f>
        <v>800</v>
      </c>
      <c r="I5409" s="76" t="s">
        <v>41</v>
      </c>
    </row>
    <row r="5410" spans="1:9" x14ac:dyDescent="0.25">
      <c r="A5410" s="41">
        <v>45387.620374074075</v>
      </c>
      <c r="B5410" s="48">
        <f>IF(A5410&lt;&gt;"",DATE(YEAR(TRANSACTIONS!$A5410),MONTH(TRANSACTIONS!$A5410),DAY(TRANSACTIONS!$A5410)),"")</f>
        <v>45387</v>
      </c>
      <c r="C5410" s="49">
        <f>IF(A5410&lt;&gt;"",TIME(HOUR(TRANSACTIONS!$A5410),MINUTE(TRANSACTIONS!$A5410),SECOND(TRANSACTIONS!$A5410)),"")</f>
        <v>0.62037037037037035</v>
      </c>
      <c r="D5410" s="42" t="s">
        <v>25</v>
      </c>
      <c r="E5410" s="40" t="s">
        <v>6</v>
      </c>
      <c r="F5410" s="157">
        <v>20000</v>
      </c>
      <c r="G5410" s="46"/>
      <c r="H5410" s="46">
        <f>IFERROR(TRANSACTIONS!$F5410+TRANSACTIONS!$G5410,"")</f>
        <v>20000</v>
      </c>
      <c r="I5410" s="40" t="s">
        <v>41</v>
      </c>
    </row>
    <row r="5411" spans="1:9" x14ac:dyDescent="0.25">
      <c r="A5411" s="41">
        <v>45387.623201967595</v>
      </c>
      <c r="B5411" s="48">
        <f>IF(A5411&lt;&gt;"",DATE(YEAR(TRANSACTIONS!$A5411),MONTH(TRANSACTIONS!$A5411),DAY(TRANSACTIONS!$A5411)),"")</f>
        <v>45387</v>
      </c>
      <c r="C5411" s="49">
        <f>IF(A5411&lt;&gt;"",TIME(HOUR(TRANSACTIONS!$A5411),MINUTE(TRANSACTIONS!$A5411),SECOND(TRANSACTIONS!$A5411)),"")</f>
        <v>0.62320601851851853</v>
      </c>
      <c r="D5411" s="42" t="s">
        <v>25</v>
      </c>
      <c r="E5411" s="40" t="s">
        <v>6</v>
      </c>
      <c r="F5411" s="157">
        <v>30000</v>
      </c>
      <c r="G5411" s="46"/>
      <c r="H5411" s="46">
        <f>IFERROR(TRANSACTIONS!$F5411+TRANSACTIONS!$G5411,"")</f>
        <v>30000</v>
      </c>
      <c r="I5411" s="40" t="s">
        <v>41</v>
      </c>
    </row>
    <row r="5412" spans="1:9" x14ac:dyDescent="0.25">
      <c r="A5412" s="41">
        <v>45387.706527662034</v>
      </c>
      <c r="B5412" s="48">
        <f>IF(A5412&lt;&gt;"",DATE(YEAR(TRANSACTIONS!$A5412),MONTH(TRANSACTIONS!$A5412),DAY(TRANSACTIONS!$A5412)),"")</f>
        <v>45387</v>
      </c>
      <c r="D5412" s="42" t="s">
        <v>25</v>
      </c>
      <c r="E5412" s="40" t="s">
        <v>7</v>
      </c>
      <c r="F5412" s="157">
        <v>18000</v>
      </c>
      <c r="G5412" s="46"/>
      <c r="H5412" s="46">
        <f>IFERROR(TRANSACTIONS!$F5412+TRANSACTIONS!$G5412,"")</f>
        <v>18000</v>
      </c>
      <c r="I5412" s="40" t="s">
        <v>41</v>
      </c>
    </row>
    <row r="5413" spans="1:9" x14ac:dyDescent="0.25">
      <c r="A5413" s="41">
        <v>45387.70653541667</v>
      </c>
      <c r="B5413" s="48">
        <f>IF(A5413&lt;&gt;"",DATE(YEAR(TRANSACTIONS!$A5413),MONTH(TRANSACTIONS!$A5413),DAY(TRANSACTIONS!$A5413)),"")</f>
        <v>45387</v>
      </c>
      <c r="D5413" s="42" t="s">
        <v>25</v>
      </c>
      <c r="E5413" s="40" t="s">
        <v>6</v>
      </c>
      <c r="F5413" s="157">
        <v>700</v>
      </c>
      <c r="G5413" s="46"/>
      <c r="H5413" s="46">
        <f>IFERROR(TRANSACTIONS!$F5413+TRANSACTIONS!$G5413,"")</f>
        <v>700</v>
      </c>
      <c r="I5413" s="40" t="s">
        <v>41</v>
      </c>
    </row>
    <row r="5414" spans="1:9" x14ac:dyDescent="0.25">
      <c r="A5414" s="41">
        <v>45387.706543055552</v>
      </c>
      <c r="B5414" s="48">
        <f>IF(A5414&lt;&gt;"",DATE(YEAR(TRANSACTIONS!$A5414),MONTH(TRANSACTIONS!$A5414),DAY(TRANSACTIONS!$A5414)),"")</f>
        <v>45387</v>
      </c>
      <c r="D5414" s="42" t="s">
        <v>25</v>
      </c>
      <c r="E5414" s="40" t="s">
        <v>6</v>
      </c>
      <c r="F5414" s="157">
        <v>2000</v>
      </c>
      <c r="G5414" s="46"/>
      <c r="H5414" s="46">
        <f>IFERROR(TRANSACTIONS!$F5414+TRANSACTIONS!$G5414,"")</f>
        <v>2000</v>
      </c>
      <c r="I5414" s="40" t="s">
        <v>41</v>
      </c>
    </row>
    <row r="5415" spans="1:9" x14ac:dyDescent="0.25">
      <c r="A5415" s="41">
        <v>45387.706550462965</v>
      </c>
      <c r="B5415" s="48">
        <f>IF(A5415&lt;&gt;"",DATE(YEAR(TRANSACTIONS!$A5415),MONTH(TRANSACTIONS!$A5415),DAY(TRANSACTIONS!$A5415)),"")</f>
        <v>45387</v>
      </c>
      <c r="D5415" s="42" t="s">
        <v>25</v>
      </c>
      <c r="E5415" s="40" t="s">
        <v>6</v>
      </c>
      <c r="F5415" s="157">
        <v>8000</v>
      </c>
      <c r="G5415" s="46"/>
      <c r="H5415" s="46">
        <f>IFERROR(TRANSACTIONS!$F5415+TRANSACTIONS!$G5415,"")</f>
        <v>8000</v>
      </c>
      <c r="I5415" s="40" t="s">
        <v>41</v>
      </c>
    </row>
    <row r="5416" spans="1:9" x14ac:dyDescent="0.25">
      <c r="A5416" s="41">
        <v>45387.707224189813</v>
      </c>
      <c r="B5416" s="48">
        <f>IF(A5416&lt;&gt;"",DATE(YEAR(TRANSACTIONS!$A5416),MONTH(TRANSACTIONS!$A5416),DAY(TRANSACTIONS!$A5416)),"")</f>
        <v>45387</v>
      </c>
      <c r="D5416" s="42" t="s">
        <v>62</v>
      </c>
      <c r="E5416" s="40" t="s">
        <v>7</v>
      </c>
      <c r="F5416" s="157">
        <v>5000</v>
      </c>
      <c r="G5416" s="46"/>
      <c r="H5416" s="46">
        <f>IFERROR(TRANSACTIONS!$F5416+TRANSACTIONS!$G5416,"")</f>
        <v>5000</v>
      </c>
      <c r="I5416" s="40" t="s">
        <v>41</v>
      </c>
    </row>
    <row r="5417" spans="1:9" x14ac:dyDescent="0.25">
      <c r="A5417" s="41">
        <v>45387.707228125</v>
      </c>
      <c r="B5417" s="48">
        <f>IF(A5417&lt;&gt;"",DATE(YEAR(TRANSACTIONS!$A5417),MONTH(TRANSACTIONS!$A5417),DAY(TRANSACTIONS!$A5417)),"")</f>
        <v>45387</v>
      </c>
      <c r="D5417" s="42" t="s">
        <v>62</v>
      </c>
      <c r="E5417" s="40" t="s">
        <v>7</v>
      </c>
      <c r="F5417" s="157">
        <v>100000</v>
      </c>
      <c r="G5417" s="46"/>
      <c r="H5417" s="46">
        <f>IFERROR(TRANSACTIONS!$F5417+TRANSACTIONS!$G5417,"")</f>
        <v>100000</v>
      </c>
      <c r="I5417" s="40" t="s">
        <v>41</v>
      </c>
    </row>
    <row r="5418" spans="1:9" x14ac:dyDescent="0.25">
      <c r="A5418" s="41">
        <v>45387.707264583332</v>
      </c>
      <c r="B5418" s="48">
        <f>IF(A5418&lt;&gt;"",DATE(YEAR(TRANSACTIONS!$A5418),MONTH(TRANSACTIONS!$A5418),DAY(TRANSACTIONS!$A5418)),"")</f>
        <v>45387</v>
      </c>
      <c r="D5418" s="42" t="s">
        <v>62</v>
      </c>
      <c r="E5418" s="40" t="s">
        <v>7</v>
      </c>
      <c r="F5418" s="157">
        <v>5000</v>
      </c>
      <c r="G5418" s="46"/>
      <c r="H5418" s="46">
        <f>IFERROR(TRANSACTIONS!$F5418+TRANSACTIONS!$G5418,"")</f>
        <v>5000</v>
      </c>
      <c r="I5418" s="40" t="s">
        <v>41</v>
      </c>
    </row>
    <row r="5419" spans="1:9" x14ac:dyDescent="0.25">
      <c r="A5419" s="41">
        <v>45387.707271643521</v>
      </c>
      <c r="B5419" s="48">
        <f>IF(A5419&lt;&gt;"",DATE(YEAR(TRANSACTIONS!$A5419),MONTH(TRANSACTIONS!$A5419),DAY(TRANSACTIONS!$A5419)),"")</f>
        <v>45387</v>
      </c>
      <c r="D5419" s="42" t="s">
        <v>62</v>
      </c>
      <c r="E5419" s="40" t="s">
        <v>7</v>
      </c>
      <c r="F5419" s="157">
        <v>5000</v>
      </c>
      <c r="G5419" s="46"/>
      <c r="H5419" s="46">
        <f>IFERROR(TRANSACTIONS!$F5419+TRANSACTIONS!$G5419,"")</f>
        <v>5000</v>
      </c>
      <c r="I5419" s="40" t="s">
        <v>41</v>
      </c>
    </row>
    <row r="5420" spans="1:9" x14ac:dyDescent="0.25">
      <c r="A5420" s="41">
        <v>45387.707278472219</v>
      </c>
      <c r="B5420" s="48">
        <f>IF(A5420&lt;&gt;"",DATE(YEAR(TRANSACTIONS!$A5420),MONTH(TRANSACTIONS!$A5420),DAY(TRANSACTIONS!$A5420)),"")</f>
        <v>45387</v>
      </c>
      <c r="D5420" s="42" t="s">
        <v>62</v>
      </c>
      <c r="E5420" s="40" t="s">
        <v>7</v>
      </c>
      <c r="F5420" s="157">
        <v>10000</v>
      </c>
      <c r="G5420" s="46"/>
      <c r="H5420" s="46">
        <f>IFERROR(TRANSACTIONS!$F5420+TRANSACTIONS!$G5420,"")</f>
        <v>10000</v>
      </c>
      <c r="I5420" s="40" t="s">
        <v>41</v>
      </c>
    </row>
    <row r="5421" spans="1:9" x14ac:dyDescent="0.25">
      <c r="A5421" s="41">
        <v>45387.707285879631</v>
      </c>
      <c r="B5421" s="48">
        <f>IF(A5421&lt;&gt;"",DATE(YEAR(TRANSACTIONS!$A5421),MONTH(TRANSACTIONS!$A5421),DAY(TRANSACTIONS!$A5421)),"")</f>
        <v>45387</v>
      </c>
      <c r="D5421" s="42" t="s">
        <v>62</v>
      </c>
      <c r="E5421" s="40" t="s">
        <v>7</v>
      </c>
      <c r="F5421" s="157">
        <v>5000</v>
      </c>
      <c r="G5421" s="46"/>
      <c r="H5421" s="46">
        <f>IFERROR(TRANSACTIONS!$F5421+TRANSACTIONS!$G5421,"")</f>
        <v>5000</v>
      </c>
      <c r="I5421" s="40" t="s">
        <v>41</v>
      </c>
    </row>
    <row r="5422" spans="1:9" x14ac:dyDescent="0.25">
      <c r="A5422" s="172">
        <v>45387.707292939813</v>
      </c>
      <c r="B5422" s="48">
        <f>IF(A5422&lt;&gt;"",DATE(YEAR(TRANSACTIONS!$A5422),MONTH(TRANSACTIONS!$A5422),DAY(TRANSACTIONS!$A5422)),"")</f>
        <v>45387</v>
      </c>
      <c r="D5422" s="42" t="s">
        <v>62</v>
      </c>
      <c r="E5422" s="40" t="s">
        <v>6</v>
      </c>
      <c r="F5422" s="157">
        <v>10000</v>
      </c>
      <c r="G5422" s="46"/>
      <c r="H5422" s="46">
        <f>IFERROR(TRANSACTIONS!$F5422+TRANSACTIONS!$G5422,"")</f>
        <v>10000</v>
      </c>
      <c r="I5422" s="40" t="s">
        <v>41</v>
      </c>
    </row>
    <row r="5423" spans="1:9" x14ac:dyDescent="0.25">
      <c r="A5423" s="41">
        <v>45387.709017013891</v>
      </c>
      <c r="B5423" s="48">
        <f>IF(A5423&lt;&gt;"",DATE(YEAR(TRANSACTIONS!$A5423),MONTH(TRANSACTIONS!$A5423),DAY(TRANSACTIONS!$A5423)),"")</f>
        <v>45387</v>
      </c>
      <c r="D5423" s="42" t="s">
        <v>62</v>
      </c>
      <c r="E5423" s="40" t="s">
        <v>7</v>
      </c>
      <c r="F5423" s="157">
        <v>1000</v>
      </c>
      <c r="G5423" s="46"/>
      <c r="H5423" s="46">
        <f>IFERROR(TRANSACTIONS!$F5423+TRANSACTIONS!$G5423,"")</f>
        <v>1000</v>
      </c>
      <c r="I5423" s="40" t="s">
        <v>41</v>
      </c>
    </row>
    <row r="5424" spans="1:9" x14ac:dyDescent="0.25">
      <c r="A5424" s="41">
        <v>45387.709047453704</v>
      </c>
      <c r="B5424" s="48">
        <f>IF(A5424&lt;&gt;"",DATE(YEAR(TRANSACTIONS!$A5424),MONTH(TRANSACTIONS!$A5424),DAY(TRANSACTIONS!$A5424)),"")</f>
        <v>45387</v>
      </c>
      <c r="D5424" s="42" t="s">
        <v>62</v>
      </c>
      <c r="E5424" s="40" t="s">
        <v>7</v>
      </c>
      <c r="F5424" s="157">
        <v>11500</v>
      </c>
      <c r="G5424" s="46"/>
      <c r="H5424" s="46">
        <f>IFERROR(TRANSACTIONS!$F5424+TRANSACTIONS!$G5424,"")</f>
        <v>11500</v>
      </c>
      <c r="I5424" s="40" t="s">
        <v>41</v>
      </c>
    </row>
    <row r="5425" spans="1:9" x14ac:dyDescent="0.25">
      <c r="A5425" s="41">
        <v>45387.709067129632</v>
      </c>
      <c r="B5425" s="48">
        <f>IF(A5425&lt;&gt;"",DATE(YEAR(TRANSACTIONS!$A5425),MONTH(TRANSACTIONS!$A5425),DAY(TRANSACTIONS!$A5425)),"")</f>
        <v>45387</v>
      </c>
      <c r="D5425" s="42" t="s">
        <v>62</v>
      </c>
      <c r="E5425" s="40" t="s">
        <v>7</v>
      </c>
      <c r="F5425" s="157">
        <v>20000</v>
      </c>
      <c r="G5425" s="46"/>
      <c r="H5425" s="46">
        <f>IFERROR(TRANSACTIONS!$F5425+TRANSACTIONS!$G5425,"")</f>
        <v>20000</v>
      </c>
      <c r="I5425" s="40" t="s">
        <v>41</v>
      </c>
    </row>
    <row r="5426" spans="1:9" x14ac:dyDescent="0.25">
      <c r="A5426" s="41">
        <v>45387.709111226854</v>
      </c>
      <c r="B5426" s="48">
        <f>IF(A5426&lt;&gt;"",DATE(YEAR(TRANSACTIONS!$A5426),MONTH(TRANSACTIONS!$A5426),DAY(TRANSACTIONS!$A5426)),"")</f>
        <v>45387</v>
      </c>
      <c r="D5426" s="42" t="s">
        <v>62</v>
      </c>
      <c r="E5426" s="40" t="s">
        <v>7</v>
      </c>
      <c r="F5426" s="157">
        <v>10000</v>
      </c>
      <c r="G5426" s="46"/>
      <c r="H5426" s="46">
        <f>IFERROR(TRANSACTIONS!$F5426+TRANSACTIONS!$G5426,"")</f>
        <v>10000</v>
      </c>
      <c r="I5426" s="40" t="s">
        <v>41</v>
      </c>
    </row>
    <row r="5427" spans="1:9" x14ac:dyDescent="0.25">
      <c r="A5427" s="41">
        <v>45387.709119328705</v>
      </c>
      <c r="B5427" s="48">
        <f>IF(A5427&lt;&gt;"",DATE(YEAR(TRANSACTIONS!$A5427),MONTH(TRANSACTIONS!$A5427),DAY(TRANSACTIONS!$A5427)),"")</f>
        <v>45387</v>
      </c>
      <c r="D5427" s="42" t="s">
        <v>62</v>
      </c>
      <c r="E5427" s="40" t="s">
        <v>6</v>
      </c>
      <c r="F5427" s="157">
        <v>5000</v>
      </c>
      <c r="G5427" s="46"/>
      <c r="H5427" s="46">
        <f>IFERROR(TRANSACTIONS!$F5427+TRANSACTIONS!$G5427,"")</f>
        <v>5000</v>
      </c>
      <c r="I5427" s="40" t="s">
        <v>41</v>
      </c>
    </row>
    <row r="5428" spans="1:9" x14ac:dyDescent="0.25">
      <c r="A5428" s="41">
        <v>45387.709129976851</v>
      </c>
      <c r="B5428" s="48">
        <f>IF(A5428&lt;&gt;"",DATE(YEAR(TRANSACTIONS!$A5428),MONTH(TRANSACTIONS!$A5428),DAY(TRANSACTIONS!$A5428)),"")</f>
        <v>45387</v>
      </c>
      <c r="D5428" s="42" t="s">
        <v>62</v>
      </c>
      <c r="E5428" s="40" t="s">
        <v>7</v>
      </c>
      <c r="F5428" s="157">
        <v>2000</v>
      </c>
      <c r="G5428" s="46"/>
      <c r="H5428" s="46">
        <f>IFERROR(TRANSACTIONS!$F5428+TRANSACTIONS!$G5428,"")</f>
        <v>2000</v>
      </c>
      <c r="I5428" s="40" t="s">
        <v>41</v>
      </c>
    </row>
    <row r="5429" spans="1:9" x14ac:dyDescent="0.25">
      <c r="A5429" s="41">
        <v>45387.709139467595</v>
      </c>
      <c r="B5429" s="48">
        <f>IF(A5429&lt;&gt;"",DATE(YEAR(TRANSACTIONS!$A5429),MONTH(TRANSACTIONS!$A5429),DAY(TRANSACTIONS!$A5429)),"")</f>
        <v>45387</v>
      </c>
      <c r="D5429" s="42" t="s">
        <v>62</v>
      </c>
      <c r="E5429" s="40" t="s">
        <v>7</v>
      </c>
      <c r="F5429" s="157">
        <v>7000</v>
      </c>
      <c r="G5429" s="46"/>
      <c r="H5429" s="46">
        <f>IFERROR(TRANSACTIONS!$F5429+TRANSACTIONS!$G5429,"")</f>
        <v>7000</v>
      </c>
      <c r="I5429" s="40" t="s">
        <v>41</v>
      </c>
    </row>
    <row r="5430" spans="1:9" x14ac:dyDescent="0.25">
      <c r="A5430" s="41">
        <v>45387.709146643516</v>
      </c>
      <c r="B5430" s="48">
        <f>IF(A5430&lt;&gt;"",DATE(YEAR(TRANSACTIONS!$A5430),MONTH(TRANSACTIONS!$A5430),DAY(TRANSACTIONS!$A5430)),"")</f>
        <v>45387</v>
      </c>
      <c r="D5430" s="42" t="s">
        <v>62</v>
      </c>
      <c r="E5430" s="40" t="s">
        <v>6</v>
      </c>
      <c r="F5430" s="157">
        <v>60000</v>
      </c>
      <c r="G5430" s="46"/>
      <c r="H5430" s="46">
        <f>IFERROR(TRANSACTIONS!$F5430+TRANSACTIONS!$G5430,"")</f>
        <v>60000</v>
      </c>
      <c r="I5430" s="40" t="s">
        <v>41</v>
      </c>
    </row>
    <row r="5431" spans="1:9" x14ac:dyDescent="0.25">
      <c r="A5431" s="81">
        <v>45387.709154398151</v>
      </c>
      <c r="B5431" s="83">
        <f>IF(A5431&lt;&gt;"",DATE(YEAR(TRANSACTIONS!$A5431),MONTH(TRANSACTIONS!$A5431),DAY(TRANSACTIONS!$A5431)),"")</f>
        <v>45387</v>
      </c>
      <c r="C5431" s="173"/>
      <c r="D5431" s="82" t="s">
        <v>62</v>
      </c>
      <c r="E5431" s="88" t="s">
        <v>7</v>
      </c>
      <c r="F5431" s="112">
        <v>2000</v>
      </c>
      <c r="G5431" s="86"/>
      <c r="H5431" s="86">
        <f>IFERROR(TRANSACTIONS!$F5431+TRANSACTIONS!$G5431,"")</f>
        <v>2000</v>
      </c>
      <c r="I5431" s="88" t="s">
        <v>41</v>
      </c>
    </row>
    <row r="5432" spans="1:9" x14ac:dyDescent="0.25">
      <c r="A5432" s="81">
        <v>45387.70916273148</v>
      </c>
      <c r="B5432" s="83">
        <f>IF(A5432&lt;&gt;"",DATE(YEAR(TRANSACTIONS!$A5432),MONTH(TRANSACTIONS!$A5432),DAY(TRANSACTIONS!$A5432)),"")</f>
        <v>45387</v>
      </c>
      <c r="C5432" s="173"/>
      <c r="D5432" s="82" t="s">
        <v>62</v>
      </c>
      <c r="E5432" s="88" t="s">
        <v>7</v>
      </c>
      <c r="F5432" s="112">
        <v>5000</v>
      </c>
      <c r="G5432" s="86"/>
      <c r="H5432" s="86">
        <f>IFERROR(TRANSACTIONS!$F5432+TRANSACTIONS!$G5432,"")</f>
        <v>5000</v>
      </c>
      <c r="I5432" s="88" t="s">
        <v>41</v>
      </c>
    </row>
    <row r="5433" spans="1:9" x14ac:dyDescent="0.25">
      <c r="A5433" s="113">
        <v>45387.709194560186</v>
      </c>
      <c r="B5433" s="114">
        <f>IF(A5433&lt;&gt;"",DATE(YEAR(TRANSACTIONS!$A5433),MONTH(TRANSACTIONS!$A5433),DAY(TRANSACTIONS!$A5433)),"")</f>
        <v>45387</v>
      </c>
      <c r="C5433" s="122"/>
      <c r="D5433" s="116" t="s">
        <v>62</v>
      </c>
      <c r="E5433" s="118" t="s">
        <v>7</v>
      </c>
      <c r="F5433" s="157">
        <v>10000</v>
      </c>
      <c r="G5433" s="117"/>
      <c r="H5433" s="117">
        <f>IFERROR(TRANSACTIONS!$F5433+TRANSACTIONS!$G5433,"")</f>
        <v>10000</v>
      </c>
      <c r="I5433" s="118" t="s">
        <v>41</v>
      </c>
    </row>
    <row r="5434" spans="1:9" x14ac:dyDescent="0.25">
      <c r="A5434" s="41">
        <v>45387.709171064816</v>
      </c>
      <c r="B5434" s="48">
        <f>IF(A5434&lt;&gt;"",DATE(YEAR(TRANSACTIONS!$A5434),MONTH(TRANSACTIONS!$A5434),DAY(TRANSACTIONS!$A5434)),"")</f>
        <v>45387</v>
      </c>
      <c r="D5434" s="42" t="s">
        <v>62</v>
      </c>
      <c r="E5434" s="40" t="s">
        <v>6</v>
      </c>
      <c r="F5434" s="157">
        <v>25000</v>
      </c>
      <c r="G5434" s="46"/>
      <c r="H5434" s="46">
        <f>IFERROR(TRANSACTIONS!$F5434+TRANSACTIONS!$G5434,"")</f>
        <v>25000</v>
      </c>
      <c r="I5434" s="40" t="s">
        <v>41</v>
      </c>
    </row>
    <row r="5435" spans="1:9" x14ac:dyDescent="0.25">
      <c r="A5435" s="41">
        <v>45387.709205208332</v>
      </c>
      <c r="B5435" s="48">
        <f>IF(A5435&lt;&gt;"",DATE(YEAR(TRANSACTIONS!$A5435),MONTH(TRANSACTIONS!$A5435),DAY(TRANSACTIONS!$A5435)),"")</f>
        <v>45387</v>
      </c>
      <c r="D5435" s="42" t="s">
        <v>62</v>
      </c>
      <c r="E5435" s="40" t="s">
        <v>6</v>
      </c>
      <c r="F5435" s="157">
        <v>60000</v>
      </c>
      <c r="G5435" s="46"/>
      <c r="H5435" s="46">
        <f>IFERROR(TRANSACTIONS!$F5435+TRANSACTIONS!$G5435,"")</f>
        <v>60000</v>
      </c>
      <c r="I5435" s="40" t="s">
        <v>41</v>
      </c>
    </row>
    <row r="5436" spans="1:9" x14ac:dyDescent="0.25">
      <c r="A5436" s="41">
        <v>45387.709213657407</v>
      </c>
      <c r="B5436" s="48">
        <f>IF(A5436&lt;&gt;"",DATE(YEAR(TRANSACTIONS!$A5436),MONTH(TRANSACTIONS!$A5436),DAY(TRANSACTIONS!$A5436)),"")</f>
        <v>45387</v>
      </c>
      <c r="D5436" s="42" t="s">
        <v>62</v>
      </c>
      <c r="E5436" s="40" t="s">
        <v>6</v>
      </c>
      <c r="F5436" s="157">
        <v>19000</v>
      </c>
      <c r="G5436" s="46"/>
      <c r="H5436" s="46">
        <f>IFERROR(TRANSACTIONS!$F5436+TRANSACTIONS!$G5436,"")</f>
        <v>19000</v>
      </c>
      <c r="I5436" s="40" t="s">
        <v>41</v>
      </c>
    </row>
    <row r="5437" spans="1:9" x14ac:dyDescent="0.25">
      <c r="A5437" s="41">
        <v>45387.709221064812</v>
      </c>
      <c r="B5437" s="48">
        <f>IF(A5437&lt;&gt;"",DATE(YEAR(TRANSACTIONS!$A5437),MONTH(TRANSACTIONS!$A5437),DAY(TRANSACTIONS!$A5437)),"")</f>
        <v>45387</v>
      </c>
      <c r="D5437" s="42" t="s">
        <v>63</v>
      </c>
      <c r="E5437" s="40" t="s">
        <v>7</v>
      </c>
      <c r="F5437" s="157">
        <v>10000</v>
      </c>
      <c r="G5437" s="46"/>
      <c r="H5437" s="46">
        <f>IFERROR(TRANSACTIONS!$F5437+TRANSACTIONS!$G5437,"")</f>
        <v>10000</v>
      </c>
      <c r="I5437" s="40" t="s">
        <v>41</v>
      </c>
    </row>
    <row r="5438" spans="1:9" x14ac:dyDescent="0.25">
      <c r="A5438" s="41">
        <v>45387.709246064813</v>
      </c>
      <c r="B5438" s="48">
        <f>IF(A5438&lt;&gt;"",DATE(YEAR(TRANSACTIONS!$A5438),MONTH(TRANSACTIONS!$A5438),DAY(TRANSACTIONS!$A5438)),"")</f>
        <v>45387</v>
      </c>
      <c r="D5438" s="42" t="s">
        <v>62</v>
      </c>
      <c r="E5438" s="40" t="s">
        <v>7</v>
      </c>
      <c r="F5438" s="157">
        <v>3000</v>
      </c>
      <c r="G5438" s="46"/>
      <c r="H5438" s="46">
        <f>IFERROR(TRANSACTIONS!$F5438+TRANSACTIONS!$G5438,"")</f>
        <v>3000</v>
      </c>
      <c r="I5438" s="40" t="s">
        <v>41</v>
      </c>
    </row>
    <row r="5439" spans="1:9" x14ac:dyDescent="0.25">
      <c r="A5439" s="41"/>
      <c r="B5439" s="48" t="str">
        <f>IF(A5439&lt;&gt;"",DATE(YEAR(TRANSACTIONS!$A5439),MONTH(TRANSACTIONS!$A5439),DAY(TRANSACTIONS!$A5439)),"")</f>
        <v/>
      </c>
      <c r="D5439" s="42"/>
      <c r="F5439" s="157"/>
      <c r="G5439" s="46"/>
      <c r="H5439" s="46">
        <f>IFERROR(TRANSACTIONS!$F5439+TRANSACTIONS!$G5439,"")</f>
        <v>0</v>
      </c>
      <c r="I5439" s="40" t="s">
        <v>41</v>
      </c>
    </row>
    <row r="5440" spans="1:9" x14ac:dyDescent="0.25">
      <c r="A5440" s="41">
        <v>45388.40481122685</v>
      </c>
      <c r="B5440" s="48">
        <f>IF(A5440&lt;&gt;"",DATE(YEAR(TRANSACTIONS!$A5440),MONTH(TRANSACTIONS!$A5440),DAY(TRANSACTIONS!$A5440)),"")</f>
        <v>45388</v>
      </c>
      <c r="D5440" s="42" t="s">
        <v>62</v>
      </c>
      <c r="E5440" s="40" t="s">
        <v>7</v>
      </c>
      <c r="F5440" s="157">
        <v>3000</v>
      </c>
      <c r="G5440" s="46"/>
      <c r="H5440" s="46">
        <f>IFERROR(TRANSACTIONS!$F5440+TRANSACTIONS!$G5440,"")</f>
        <v>3000</v>
      </c>
      <c r="I5440" s="40" t="s">
        <v>41</v>
      </c>
    </row>
    <row r="5441" spans="1:9" x14ac:dyDescent="0.25">
      <c r="A5441" s="41">
        <v>45388.404838888891</v>
      </c>
      <c r="B5441" s="48">
        <f>IF(A5441&lt;&gt;"",DATE(YEAR(TRANSACTIONS!$A5441),MONTH(TRANSACTIONS!$A5441),DAY(TRANSACTIONS!$A5441)),"")</f>
        <v>45388</v>
      </c>
      <c r="D5441" s="42" t="s">
        <v>62</v>
      </c>
      <c r="E5441" s="40" t="s">
        <v>7</v>
      </c>
      <c r="F5441" s="157">
        <v>3000</v>
      </c>
      <c r="G5441" s="46"/>
      <c r="H5441" s="46">
        <f>IFERROR(TRANSACTIONS!$F5441+TRANSACTIONS!$G5441,"")</f>
        <v>3000</v>
      </c>
      <c r="I5441" s="40" t="s">
        <v>41</v>
      </c>
    </row>
    <row r="5442" spans="1:9" x14ac:dyDescent="0.25">
      <c r="A5442" s="41">
        <v>45388.404847916667</v>
      </c>
      <c r="B5442" s="48">
        <f>IF(A5442&lt;&gt;"",DATE(YEAR(TRANSACTIONS!$A5442),MONTH(TRANSACTIONS!$A5442),DAY(TRANSACTIONS!$A5442)),"")</f>
        <v>45388</v>
      </c>
      <c r="D5442" s="42" t="s">
        <v>62</v>
      </c>
      <c r="F5442" s="157">
        <v>10000</v>
      </c>
      <c r="G5442" s="46"/>
      <c r="H5442" s="46">
        <f>IFERROR(TRANSACTIONS!$F5442+TRANSACTIONS!$G5442,"")</f>
        <v>10000</v>
      </c>
      <c r="I5442" s="40" t="s">
        <v>41</v>
      </c>
    </row>
    <row r="5443" spans="1:9" x14ac:dyDescent="0.25">
      <c r="A5443" s="41">
        <v>45388.404854976849</v>
      </c>
      <c r="B5443" s="48">
        <f>IF(A5443&lt;&gt;"",DATE(YEAR(TRANSACTIONS!$A5443),MONTH(TRANSACTIONS!$A5443),DAY(TRANSACTIONS!$A5443)),"")</f>
        <v>45388</v>
      </c>
      <c r="D5443" s="42" t="s">
        <v>62</v>
      </c>
      <c r="E5443" s="40" t="s">
        <v>6</v>
      </c>
      <c r="F5443" s="157">
        <v>222200</v>
      </c>
      <c r="G5443" s="46"/>
      <c r="H5443" s="46">
        <f>IFERROR(TRANSACTIONS!$F5443+TRANSACTIONS!$G5443,"")</f>
        <v>222200</v>
      </c>
      <c r="I5443" s="40" t="s">
        <v>41</v>
      </c>
    </row>
    <row r="5444" spans="1:9" x14ac:dyDescent="0.25">
      <c r="A5444" s="41">
        <v>45388.404862731484</v>
      </c>
      <c r="B5444" s="48">
        <f>IF(A5444&lt;&gt;"",DATE(YEAR(TRANSACTIONS!$A5444),MONTH(TRANSACTIONS!$A5444),DAY(TRANSACTIONS!$A5444)),"")</f>
        <v>45388</v>
      </c>
      <c r="D5444" s="42" t="s">
        <v>62</v>
      </c>
      <c r="E5444" s="40" t="s">
        <v>7</v>
      </c>
      <c r="F5444" s="157">
        <v>20000</v>
      </c>
      <c r="G5444" s="46"/>
      <c r="H5444" s="46">
        <f>IFERROR(TRANSACTIONS!$F5444+TRANSACTIONS!$G5444,"")</f>
        <v>20000</v>
      </c>
      <c r="I5444" s="40" t="s">
        <v>41</v>
      </c>
    </row>
    <row r="5445" spans="1:9" x14ac:dyDescent="0.25">
      <c r="A5445" s="41">
        <v>45388.40487071759</v>
      </c>
      <c r="B5445" s="48">
        <f>IF(A5445&lt;&gt;"",DATE(YEAR(TRANSACTIONS!$A5445),MONTH(TRANSACTIONS!$A5445),DAY(TRANSACTIONS!$A5445)),"")</f>
        <v>45388</v>
      </c>
      <c r="D5445" s="42" t="s">
        <v>62</v>
      </c>
      <c r="E5445" s="40" t="s">
        <v>7</v>
      </c>
      <c r="F5445" s="157">
        <v>300000</v>
      </c>
      <c r="G5445" s="46"/>
      <c r="H5445" s="46">
        <f>IFERROR(TRANSACTIONS!$F5445+TRANSACTIONS!$G5445,"")</f>
        <v>300000</v>
      </c>
      <c r="I5445" s="40" t="s">
        <v>41</v>
      </c>
    </row>
    <row r="5446" spans="1:9" x14ac:dyDescent="0.25">
      <c r="A5446" s="41">
        <v>45388.404878125002</v>
      </c>
      <c r="B5446" s="48">
        <f>IF(A5446&lt;&gt;"",DATE(YEAR(TRANSACTIONS!$A5446),MONTH(TRANSACTIONS!$A5446),DAY(TRANSACTIONS!$A5446)),"")</f>
        <v>45388</v>
      </c>
      <c r="D5446" s="42" t="s">
        <v>62</v>
      </c>
      <c r="E5446" s="40" t="s">
        <v>7</v>
      </c>
      <c r="F5446" s="157">
        <v>30000</v>
      </c>
      <c r="G5446" s="46"/>
      <c r="H5446" s="46">
        <f>IFERROR(TRANSACTIONS!$F5446+TRANSACTIONS!$G5446,"")</f>
        <v>30000</v>
      </c>
      <c r="I5446" s="40" t="s">
        <v>41</v>
      </c>
    </row>
    <row r="5447" spans="1:9" x14ac:dyDescent="0.25">
      <c r="A5447" s="41">
        <v>45388.404886921293</v>
      </c>
      <c r="B5447" s="48">
        <f>IF(A5447&lt;&gt;"",DATE(YEAR(TRANSACTIONS!$A5447),MONTH(TRANSACTIONS!$A5447),DAY(TRANSACTIONS!$A5447)),"")</f>
        <v>45388</v>
      </c>
      <c r="D5447" s="42" t="s">
        <v>62</v>
      </c>
      <c r="E5447" s="40" t="s">
        <v>6</v>
      </c>
      <c r="F5447" s="157">
        <v>81000</v>
      </c>
      <c r="G5447" s="46"/>
      <c r="H5447" s="46">
        <f>IFERROR(TRANSACTIONS!$F5447+TRANSACTIONS!$G5447,"")</f>
        <v>81000</v>
      </c>
      <c r="I5447" s="40" t="s">
        <v>41</v>
      </c>
    </row>
    <row r="5448" spans="1:9" x14ac:dyDescent="0.25">
      <c r="A5448" s="41">
        <v>45388.404911921294</v>
      </c>
      <c r="B5448" s="48">
        <f>IF(A5448&lt;&gt;"",DATE(YEAR(TRANSACTIONS!$A5448),MONTH(TRANSACTIONS!$A5448),DAY(TRANSACTIONS!$A5448)),"")</f>
        <v>45388</v>
      </c>
      <c r="D5448" s="42" t="s">
        <v>62</v>
      </c>
      <c r="E5448" s="40" t="s">
        <v>6</v>
      </c>
      <c r="F5448" s="157">
        <v>62000</v>
      </c>
      <c r="G5448" s="46"/>
      <c r="H5448" s="46">
        <f>IFERROR(TRANSACTIONS!$F5448+TRANSACTIONS!$G5448,"")</f>
        <v>62000</v>
      </c>
      <c r="I5448" s="40" t="s">
        <v>41</v>
      </c>
    </row>
    <row r="5449" spans="1:9" x14ac:dyDescent="0.25">
      <c r="A5449" s="41">
        <v>45388.404894212959</v>
      </c>
      <c r="B5449" s="48">
        <f>IF(A5449&lt;&gt;"",DATE(YEAR(TRANSACTIONS!$A5449),MONTH(TRANSACTIONS!$A5449),DAY(TRANSACTIONS!$A5449)),"")</f>
        <v>45388</v>
      </c>
      <c r="D5449" s="42" t="s">
        <v>25</v>
      </c>
      <c r="E5449" s="40" t="s">
        <v>6</v>
      </c>
      <c r="F5449" s="157">
        <v>20000</v>
      </c>
      <c r="G5449" s="46"/>
      <c r="H5449" s="46">
        <f>IFERROR(TRANSACTIONS!$F5449+TRANSACTIONS!$G5449,"")</f>
        <v>20000</v>
      </c>
      <c r="I5449" s="40" t="s">
        <v>41</v>
      </c>
    </row>
    <row r="5450" spans="1:9" x14ac:dyDescent="0.25">
      <c r="A5450" s="41">
        <v>45388.404924421295</v>
      </c>
      <c r="B5450" s="48">
        <f>IF(A5450&lt;&gt;"",DATE(YEAR(TRANSACTIONS!$A5450),MONTH(TRANSACTIONS!$A5450),DAY(TRANSACTIONS!$A5450)),"")</f>
        <v>45388</v>
      </c>
      <c r="D5450" s="42" t="s">
        <v>25</v>
      </c>
      <c r="E5450" s="40" t="s">
        <v>6</v>
      </c>
      <c r="F5450" s="157">
        <v>100000</v>
      </c>
      <c r="G5450" s="46"/>
      <c r="H5450" s="46">
        <f>IFERROR(TRANSACTIONS!$F5450+TRANSACTIONS!$G5450,"")</f>
        <v>100000</v>
      </c>
      <c r="I5450" s="40" t="s">
        <v>41</v>
      </c>
    </row>
    <row r="5451" spans="1:9" x14ac:dyDescent="0.25">
      <c r="A5451" s="41">
        <v>45388.404936921295</v>
      </c>
      <c r="B5451" s="48">
        <f>IF(A5451&lt;&gt;"",DATE(YEAR(TRANSACTIONS!$A5451),MONTH(TRANSACTIONS!$A5451),DAY(TRANSACTIONS!$A5451)),"")</f>
        <v>45388</v>
      </c>
      <c r="D5451" s="42" t="s">
        <v>25</v>
      </c>
      <c r="E5451" s="40" t="s">
        <v>7</v>
      </c>
      <c r="F5451" s="157">
        <v>12000</v>
      </c>
      <c r="G5451" s="46"/>
      <c r="H5451" s="46">
        <f>IFERROR(TRANSACTIONS!$F5451+TRANSACTIONS!$G5451,"")</f>
        <v>12000</v>
      </c>
      <c r="I5451" s="40" t="s">
        <v>41</v>
      </c>
    </row>
    <row r="5452" spans="1:9" x14ac:dyDescent="0.25">
      <c r="A5452" s="41">
        <v>45388.409258680556</v>
      </c>
      <c r="B5452" s="48">
        <f>IF(A5452&lt;&gt;"",DATE(YEAR(TRANSACTIONS!$A5452),MONTH(TRANSACTIONS!$A5452),DAY(TRANSACTIONS!$A5452)),"")</f>
        <v>45388</v>
      </c>
      <c r="D5452" s="42" t="s">
        <v>25</v>
      </c>
      <c r="E5452" s="40" t="s">
        <v>6</v>
      </c>
      <c r="F5452" s="157">
        <v>7500</v>
      </c>
      <c r="G5452" s="46"/>
      <c r="H5452" s="46">
        <f>IFERROR(TRANSACTIONS!$F5452+TRANSACTIONS!$G5452,"")</f>
        <v>7500</v>
      </c>
      <c r="I5452" s="40" t="s">
        <v>41</v>
      </c>
    </row>
    <row r="5453" spans="1:9" x14ac:dyDescent="0.25">
      <c r="A5453" s="81">
        <v>45388.459069791665</v>
      </c>
      <c r="B5453" s="83">
        <f>IF(A5453&lt;&gt;"",DATE(YEAR(TRANSACTIONS!$A5453),MONTH(TRANSACTIONS!$A5453),DAY(TRANSACTIONS!$A5453)),"")</f>
        <v>45388</v>
      </c>
      <c r="C5453" s="173"/>
      <c r="D5453" s="82" t="s">
        <v>25</v>
      </c>
      <c r="E5453" s="88" t="s">
        <v>6</v>
      </c>
      <c r="F5453" s="112">
        <v>1250</v>
      </c>
      <c r="G5453" s="86"/>
      <c r="H5453" s="86">
        <f>IFERROR(TRANSACTIONS!$F5453+TRANSACTIONS!$G5453,"")</f>
        <v>1250</v>
      </c>
      <c r="I5453" s="88" t="s">
        <v>41</v>
      </c>
    </row>
    <row r="5454" spans="1:9" x14ac:dyDescent="0.25">
      <c r="A5454" s="41">
        <v>45388.459085416667</v>
      </c>
      <c r="B5454" s="48">
        <f>IF(A5454&lt;&gt;"",DATE(YEAR(TRANSACTIONS!$A5454),MONTH(TRANSACTIONS!$A5454),DAY(TRANSACTIONS!$A5454)),"")</f>
        <v>45388</v>
      </c>
      <c r="D5454" s="42" t="s">
        <v>62</v>
      </c>
      <c r="E5454" s="40" t="s">
        <v>7</v>
      </c>
      <c r="F5454" s="157">
        <v>2000</v>
      </c>
      <c r="G5454" s="46"/>
      <c r="H5454" s="46">
        <f>IFERROR(TRANSACTIONS!$F5454+TRANSACTIONS!$G5454,"")</f>
        <v>2000</v>
      </c>
      <c r="I5454" s="40" t="s">
        <v>41</v>
      </c>
    </row>
    <row r="5455" spans="1:9" x14ac:dyDescent="0.25">
      <c r="A5455" s="41">
        <v>45388.459093171296</v>
      </c>
      <c r="B5455" s="48">
        <f>IF(A5455&lt;&gt;"",DATE(YEAR(TRANSACTIONS!$A5455),MONTH(TRANSACTIONS!$A5455),DAY(TRANSACTIONS!$A5455)),"")</f>
        <v>45388</v>
      </c>
      <c r="D5455" s="42" t="s">
        <v>62</v>
      </c>
      <c r="E5455" s="40" t="s">
        <v>7</v>
      </c>
      <c r="F5455" s="157">
        <v>1000</v>
      </c>
      <c r="G5455" s="46"/>
      <c r="H5455" s="46">
        <f>IFERROR(TRANSACTIONS!$F5455+TRANSACTIONS!$G5455,"")</f>
        <v>1000</v>
      </c>
      <c r="I5455" s="40" t="s">
        <v>41</v>
      </c>
    </row>
    <row r="5456" spans="1:9" x14ac:dyDescent="0.25">
      <c r="A5456" s="41">
        <v>45388.459099884261</v>
      </c>
      <c r="B5456" s="48">
        <f>IF(A5456&lt;&gt;"",DATE(YEAR(TRANSACTIONS!$A5456),MONTH(TRANSACTIONS!$A5456),DAY(TRANSACTIONS!$A5456)),"")</f>
        <v>45388</v>
      </c>
      <c r="D5456" s="42" t="s">
        <v>62</v>
      </c>
      <c r="E5456" s="40" t="s">
        <v>7</v>
      </c>
      <c r="F5456" s="157">
        <v>1000</v>
      </c>
      <c r="G5456" s="46"/>
      <c r="H5456" s="46">
        <f>IFERROR(TRANSACTIONS!$F5456+TRANSACTIONS!$G5456,"")</f>
        <v>1000</v>
      </c>
      <c r="I5456" s="40" t="s">
        <v>41</v>
      </c>
    </row>
    <row r="5457" spans="1:10" x14ac:dyDescent="0.25">
      <c r="A5457" s="41">
        <v>45388.459107986113</v>
      </c>
      <c r="B5457" s="48">
        <f>IF(A5457&lt;&gt;"",DATE(YEAR(TRANSACTIONS!$A5457),MONTH(TRANSACTIONS!$A5457),DAY(TRANSACTIONS!$A5457)),"")</f>
        <v>45388</v>
      </c>
      <c r="D5457" s="42" t="s">
        <v>62</v>
      </c>
      <c r="E5457" s="40" t="s">
        <v>7</v>
      </c>
      <c r="F5457" s="157">
        <v>300000</v>
      </c>
      <c r="G5457" s="46"/>
      <c r="H5457" s="46">
        <f>IFERROR(TRANSACTIONS!$F5457+TRANSACTIONS!$G5457,"")</f>
        <v>300000</v>
      </c>
      <c r="I5457" s="40" t="s">
        <v>41</v>
      </c>
    </row>
    <row r="5458" spans="1:10" x14ac:dyDescent="0.25">
      <c r="A5458" s="41">
        <v>45388.45912013889</v>
      </c>
      <c r="B5458" s="48">
        <f>IF(A5458&lt;&gt;"",DATE(YEAR(TRANSACTIONS!$A5458),MONTH(TRANSACTIONS!$A5458),DAY(TRANSACTIONS!$A5458)),"")</f>
        <v>45388</v>
      </c>
      <c r="D5458" s="42" t="s">
        <v>62</v>
      </c>
      <c r="E5458" s="40" t="s">
        <v>6</v>
      </c>
      <c r="F5458" s="157">
        <v>250000</v>
      </c>
      <c r="G5458" s="46"/>
      <c r="H5458" s="46">
        <f>IFERROR(TRANSACTIONS!$F5458+TRANSACTIONS!$G5458,"")</f>
        <v>250000</v>
      </c>
      <c r="I5458" s="40" t="s">
        <v>41</v>
      </c>
    </row>
    <row r="5459" spans="1:10" x14ac:dyDescent="0.25">
      <c r="A5459" s="41">
        <v>45388.459128935188</v>
      </c>
      <c r="B5459" s="48">
        <f>IF(A5459&lt;&gt;"",DATE(YEAR(TRANSACTIONS!$A5459),MONTH(TRANSACTIONS!$A5459),DAY(TRANSACTIONS!$A5459)),"")</f>
        <v>45388</v>
      </c>
      <c r="D5459" s="42" t="s">
        <v>62</v>
      </c>
      <c r="E5459" s="40" t="s">
        <v>7</v>
      </c>
      <c r="F5459" s="157">
        <v>1500</v>
      </c>
      <c r="G5459" s="46"/>
      <c r="H5459" s="46">
        <f>IFERROR(TRANSACTIONS!$F5459+TRANSACTIONS!$G5459,"")</f>
        <v>1500</v>
      </c>
      <c r="I5459" s="40" t="s">
        <v>41</v>
      </c>
    </row>
    <row r="5460" spans="1:10" x14ac:dyDescent="0.25">
      <c r="A5460" s="41">
        <v>45388.459136226855</v>
      </c>
      <c r="B5460" s="48">
        <f>IF(A5460&lt;&gt;"",DATE(YEAR(TRANSACTIONS!$A5460),MONTH(TRANSACTIONS!$A5460),DAY(TRANSACTIONS!$A5460)),"")</f>
        <v>45388</v>
      </c>
      <c r="D5460" s="42" t="s">
        <v>62</v>
      </c>
      <c r="E5460" s="40" t="s">
        <v>6</v>
      </c>
      <c r="F5460" s="157">
        <v>39000</v>
      </c>
      <c r="G5460" s="46"/>
      <c r="H5460" s="46">
        <f>IFERROR(TRANSACTIONS!$F5460+TRANSACTIONS!$G5460,"")</f>
        <v>39000</v>
      </c>
      <c r="I5460" s="40" t="s">
        <v>41</v>
      </c>
    </row>
    <row r="5461" spans="1:10" x14ac:dyDescent="0.25">
      <c r="A5461" s="41">
        <v>45388.459145949077</v>
      </c>
      <c r="B5461" s="48">
        <f>IF(A5461&lt;&gt;"",DATE(YEAR(TRANSACTIONS!$A5461),MONTH(TRANSACTIONS!$A5461),DAY(TRANSACTIONS!$A5461)),"")</f>
        <v>45388</v>
      </c>
      <c r="D5461" s="42" t="s">
        <v>62</v>
      </c>
      <c r="E5461" s="40" t="s">
        <v>7</v>
      </c>
      <c r="F5461" s="157">
        <v>2000</v>
      </c>
      <c r="G5461" s="46"/>
      <c r="H5461" s="46">
        <f>IFERROR(TRANSACTIONS!$F5461+TRANSACTIONS!$G5461,"")</f>
        <v>2000</v>
      </c>
      <c r="I5461" s="40" t="s">
        <v>41</v>
      </c>
    </row>
    <row r="5462" spans="1:10" x14ac:dyDescent="0.25">
      <c r="A5462" s="41">
        <v>45388.461077314816</v>
      </c>
      <c r="B5462" s="48">
        <f>IF(A5462&lt;&gt;"",DATE(YEAR(TRANSACTIONS!$A5462),MONTH(TRANSACTIONS!$A5462),DAY(TRANSACTIONS!$A5462)),"")</f>
        <v>45388</v>
      </c>
      <c r="D5462" s="42" t="s">
        <v>62</v>
      </c>
      <c r="E5462" s="40" t="s">
        <v>6</v>
      </c>
      <c r="F5462" s="157">
        <v>1500</v>
      </c>
      <c r="G5462" s="46"/>
      <c r="H5462" s="46">
        <f>IFERROR(TRANSACTIONS!$F5462+TRANSACTIONS!$G5462,"")</f>
        <v>1500</v>
      </c>
      <c r="I5462" s="40" t="s">
        <v>41</v>
      </c>
    </row>
    <row r="5463" spans="1:10" x14ac:dyDescent="0.25">
      <c r="A5463" s="41">
        <v>45388.461089004632</v>
      </c>
      <c r="B5463" s="48">
        <f>IF(A5463&lt;&gt;"",DATE(YEAR(TRANSACTIONS!$A5463),MONTH(TRANSACTIONS!$A5463),DAY(TRANSACTIONS!$A5463)),"")</f>
        <v>45388</v>
      </c>
      <c r="D5463" s="116" t="s">
        <v>62</v>
      </c>
      <c r="E5463" s="40" t="s">
        <v>7</v>
      </c>
      <c r="F5463" s="157">
        <v>50000</v>
      </c>
      <c r="G5463" s="46"/>
      <c r="H5463" s="46">
        <f>IFERROR(TRANSACTIONS!$F5463+TRANSACTIONS!$G5463,"")</f>
        <v>50000</v>
      </c>
      <c r="I5463" s="40" t="s">
        <v>41</v>
      </c>
    </row>
    <row r="5464" spans="1:10" x14ac:dyDescent="0.25">
      <c r="A5464" s="113">
        <v>45388.461119791667</v>
      </c>
      <c r="B5464" s="114">
        <f>IF(A5464&lt;&gt;"",DATE(YEAR(TRANSACTIONS!$A5464),MONTH(TRANSACTIONS!$A5464),DAY(TRANSACTIONS!$A5464)),"")</f>
        <v>45388</v>
      </c>
      <c r="C5464" s="122"/>
      <c r="D5464" s="116" t="s">
        <v>62</v>
      </c>
      <c r="E5464" s="118" t="s">
        <v>6</v>
      </c>
      <c r="F5464" s="109">
        <v>1000</v>
      </c>
      <c r="G5464" s="117"/>
      <c r="H5464" s="117">
        <f>IFERROR(TRANSACTIONS!$F5464+TRANSACTIONS!$G5464,"")</f>
        <v>1000</v>
      </c>
      <c r="I5464" s="118" t="s">
        <v>41</v>
      </c>
      <c r="J5464" s="118"/>
    </row>
    <row r="5465" spans="1:10" x14ac:dyDescent="0.25">
      <c r="A5465" s="41">
        <v>45388.461127199073</v>
      </c>
      <c r="B5465" s="48">
        <f>IF(A5465&lt;&gt;"",DATE(YEAR(TRANSACTIONS!$A5465),MONTH(TRANSACTIONS!$A5465),DAY(TRANSACTIONS!$A5465)),"")</f>
        <v>45388</v>
      </c>
      <c r="D5465" s="42" t="s">
        <v>62</v>
      </c>
      <c r="E5465" s="40" t="s">
        <v>6</v>
      </c>
      <c r="F5465" s="157">
        <v>525</v>
      </c>
      <c r="G5465" s="46"/>
      <c r="H5465" s="46">
        <f>IFERROR(TRANSACTIONS!$F5465+TRANSACTIONS!$G5465,"")</f>
        <v>525</v>
      </c>
      <c r="I5465" s="40" t="s">
        <v>41</v>
      </c>
    </row>
    <row r="5466" spans="1:10" x14ac:dyDescent="0.25">
      <c r="A5466" s="41">
        <v>45388.461134837962</v>
      </c>
      <c r="B5466" s="48">
        <f>IF(A5466&lt;&gt;"",DATE(YEAR(TRANSACTIONS!$A5466),MONTH(TRANSACTIONS!$A5466),DAY(TRANSACTIONS!$A5466)),"")</f>
        <v>45388</v>
      </c>
      <c r="D5466" s="42" t="s">
        <v>62</v>
      </c>
      <c r="E5466" s="40" t="s">
        <v>7</v>
      </c>
      <c r="F5466" s="157">
        <v>2500</v>
      </c>
      <c r="G5466" s="46"/>
      <c r="H5466" s="46">
        <f>IFERROR(TRANSACTIONS!$F5466+TRANSACTIONS!$G5466,"")</f>
        <v>2500</v>
      </c>
      <c r="I5466" s="40" t="s">
        <v>41</v>
      </c>
    </row>
    <row r="5467" spans="1:10" x14ac:dyDescent="0.25">
      <c r="A5467" s="41">
        <v>45388.461142245367</v>
      </c>
      <c r="B5467" s="48">
        <f>IF(A5467&lt;&gt;"",DATE(YEAR(TRANSACTIONS!$A5467),MONTH(TRANSACTIONS!$A5467),DAY(TRANSACTIONS!$A5467)),"")</f>
        <v>45388</v>
      </c>
      <c r="D5467" s="42" t="s">
        <v>62</v>
      </c>
      <c r="E5467" s="40" t="s">
        <v>6</v>
      </c>
      <c r="F5467" s="157">
        <v>1000</v>
      </c>
      <c r="G5467" s="46"/>
      <c r="H5467" s="46">
        <f>IFERROR(TRANSACTIONS!$F5467+TRANSACTIONS!$G5467,"")</f>
        <v>1000</v>
      </c>
      <c r="I5467" s="40" t="s">
        <v>41</v>
      </c>
    </row>
    <row r="5468" spans="1:10" x14ac:dyDescent="0.25">
      <c r="A5468" s="41">
        <v>45388.461151504627</v>
      </c>
      <c r="B5468" s="48">
        <f>IF(A5468&lt;&gt;"",DATE(YEAR(TRANSACTIONS!$A5468),MONTH(TRANSACTIONS!$A5468),DAY(TRANSACTIONS!$A5468)),"")</f>
        <v>45388</v>
      </c>
      <c r="D5468" s="42" t="s">
        <v>62</v>
      </c>
      <c r="E5468" s="40" t="s">
        <v>6</v>
      </c>
      <c r="F5468" s="157">
        <v>4500</v>
      </c>
      <c r="G5468" s="46"/>
      <c r="H5468" s="46">
        <f>IFERROR(TRANSACTIONS!$F5468+TRANSACTIONS!$G5468,"")</f>
        <v>4500</v>
      </c>
      <c r="I5468" s="40" t="s">
        <v>41</v>
      </c>
    </row>
    <row r="5469" spans="1:10" x14ac:dyDescent="0.25">
      <c r="A5469" s="41">
        <v>45388.461159375001</v>
      </c>
      <c r="B5469" s="48">
        <f>IF(A5469&lt;&gt;"",DATE(YEAR(TRANSACTIONS!$A5469),MONTH(TRANSACTIONS!$A5469),DAY(TRANSACTIONS!$A5469)),"")</f>
        <v>45388</v>
      </c>
      <c r="D5469" s="42" t="s">
        <v>62</v>
      </c>
      <c r="E5469" s="40" t="s">
        <v>7</v>
      </c>
      <c r="F5469" s="157">
        <v>2000</v>
      </c>
      <c r="G5469" s="46"/>
      <c r="H5469" s="46">
        <f>IFERROR(TRANSACTIONS!$F5469+TRANSACTIONS!$G5469,"")</f>
        <v>2000</v>
      </c>
      <c r="I5469" s="40" t="s">
        <v>41</v>
      </c>
    </row>
    <row r="5470" spans="1:10" x14ac:dyDescent="0.25">
      <c r="A5470" s="41">
        <v>45388.464935879631</v>
      </c>
      <c r="B5470" s="48">
        <f>IF(A5470&lt;&gt;"",DATE(YEAR(TRANSACTIONS!$A5470),MONTH(TRANSACTIONS!$A5470),DAY(TRANSACTIONS!$A5470)),"")</f>
        <v>45388</v>
      </c>
      <c r="D5470" s="42" t="s">
        <v>62</v>
      </c>
      <c r="E5470" s="40" t="s">
        <v>6</v>
      </c>
      <c r="F5470" s="157">
        <v>20500</v>
      </c>
      <c r="G5470" s="46"/>
      <c r="H5470" s="46">
        <f>IFERROR(TRANSACTIONS!$F5470+TRANSACTIONS!$G5470,"")</f>
        <v>20500</v>
      </c>
      <c r="I5470" s="40" t="s">
        <v>41</v>
      </c>
    </row>
    <row r="5471" spans="1:10" x14ac:dyDescent="0.25">
      <c r="A5471" s="41">
        <v>45388.468968402776</v>
      </c>
      <c r="B5471" s="48">
        <f>IF(A5471&lt;&gt;"",DATE(YEAR(TRANSACTIONS!$A5471),MONTH(TRANSACTIONS!$A5471),DAY(TRANSACTIONS!$A5471)),"")</f>
        <v>45388</v>
      </c>
      <c r="D5471" s="42" t="s">
        <v>62</v>
      </c>
      <c r="E5471" s="40" t="s">
        <v>7</v>
      </c>
      <c r="F5471" s="157">
        <v>350000</v>
      </c>
      <c r="G5471" s="46"/>
      <c r="H5471" s="46">
        <f>IFERROR(TRANSACTIONS!$F5471+TRANSACTIONS!$G5471,"")</f>
        <v>350000</v>
      </c>
      <c r="I5471" s="40" t="s">
        <v>41</v>
      </c>
    </row>
    <row r="5472" spans="1:10" x14ac:dyDescent="0.25">
      <c r="A5472" s="41">
        <v>45388.468976736112</v>
      </c>
      <c r="B5472" s="48">
        <f>IF(A5472&lt;&gt;"",DATE(YEAR(TRANSACTIONS!$A5472),MONTH(TRANSACTIONS!$A5472),DAY(TRANSACTIONS!$A5472)),"")</f>
        <v>45388</v>
      </c>
      <c r="D5472" s="42" t="s">
        <v>25</v>
      </c>
      <c r="E5472" s="40" t="s">
        <v>6</v>
      </c>
      <c r="F5472" s="40">
        <v>40000</v>
      </c>
      <c r="G5472" s="46"/>
      <c r="H5472" s="46">
        <f>IFERROR(TRANSACTIONS!$F5472+TRANSACTIONS!$G5472,"")</f>
        <v>40000</v>
      </c>
      <c r="I5472" s="40" t="s">
        <v>41</v>
      </c>
    </row>
    <row r="5473" spans="1:10" x14ac:dyDescent="0.25">
      <c r="A5473" s="41">
        <v>45388.469020138888</v>
      </c>
      <c r="B5473" s="48">
        <f>IF(A5473&lt;&gt;"",DATE(YEAR(TRANSACTIONS!$A5473),MONTH(TRANSACTIONS!$A5473),DAY(TRANSACTIONS!$A5473)),"")</f>
        <v>45388</v>
      </c>
      <c r="D5473" s="42" t="s">
        <v>25</v>
      </c>
      <c r="E5473" s="40" t="s">
        <v>6</v>
      </c>
      <c r="F5473" s="40">
        <v>1300</v>
      </c>
      <c r="G5473" s="46"/>
      <c r="H5473" s="46">
        <f>IFERROR(TRANSACTIONS!$F5473+TRANSACTIONS!$G5473,"")</f>
        <v>1300</v>
      </c>
      <c r="I5473" s="40" t="s">
        <v>41</v>
      </c>
    </row>
    <row r="5474" spans="1:10" x14ac:dyDescent="0.25">
      <c r="A5474" s="41">
        <v>45388.469048263891</v>
      </c>
      <c r="B5474" s="48">
        <f>IF(A5474&lt;&gt;"",DATE(YEAR(TRANSACTIONS!$A5474),MONTH(TRANSACTIONS!$A5474),DAY(TRANSACTIONS!$A5474)),"")</f>
        <v>45388</v>
      </c>
      <c r="D5474" s="42" t="s">
        <v>25</v>
      </c>
      <c r="E5474" s="40" t="s">
        <v>7</v>
      </c>
      <c r="F5474" s="40">
        <v>2000</v>
      </c>
      <c r="G5474" s="46"/>
      <c r="H5474" s="46">
        <f>IFERROR(TRANSACTIONS!$F5474+TRANSACTIONS!$G5474,"")</f>
        <v>2000</v>
      </c>
      <c r="I5474" s="40" t="s">
        <v>41</v>
      </c>
    </row>
    <row r="5475" spans="1:10" x14ac:dyDescent="0.25">
      <c r="A5475" s="41">
        <v>45388.523216782407</v>
      </c>
      <c r="B5475" s="48">
        <f>IF(A5475&lt;&gt;"",DATE(YEAR(TRANSACTIONS!$A5475),MONTH(TRANSACTIONS!$A5475),DAY(TRANSACTIONS!$A5475)),"")</f>
        <v>45388</v>
      </c>
      <c r="D5475" s="42" t="s">
        <v>25</v>
      </c>
      <c r="E5475" s="40" t="s">
        <v>6</v>
      </c>
      <c r="F5475" s="133">
        <v>1000</v>
      </c>
      <c r="G5475" s="46"/>
      <c r="H5475" s="46">
        <f>IFERROR(TRANSACTIONS!$F5475+TRANSACTIONS!$G5475,"")</f>
        <v>1000</v>
      </c>
      <c r="I5475" s="40" t="s">
        <v>41</v>
      </c>
    </row>
    <row r="5476" spans="1:10" x14ac:dyDescent="0.25">
      <c r="A5476" s="41">
        <v>45388.523219907409</v>
      </c>
      <c r="B5476" s="48">
        <f>IF(A5476&lt;&gt;"",DATE(YEAR(TRANSACTIONS!$A5476),MONTH(TRANSACTIONS!$A5476),DAY(TRANSACTIONS!$A5476)),"")</f>
        <v>45388</v>
      </c>
      <c r="D5476" s="42" t="s">
        <v>62</v>
      </c>
      <c r="E5476" s="118" t="s">
        <v>7</v>
      </c>
      <c r="F5476" s="40">
        <v>1000</v>
      </c>
      <c r="G5476" s="46"/>
      <c r="H5476" s="46">
        <f>IFERROR(TRANSACTIONS!$F5476+TRANSACTIONS!$G5476,"")</f>
        <v>1000</v>
      </c>
      <c r="I5476" s="40" t="s">
        <v>41</v>
      </c>
    </row>
    <row r="5477" spans="1:10" x14ac:dyDescent="0.25">
      <c r="A5477" s="41">
        <v>45388.523253240739</v>
      </c>
      <c r="B5477" s="48">
        <f>IF(A5477&lt;&gt;"",DATE(YEAR(TRANSACTIONS!$A5477),MONTH(TRANSACTIONS!$A5477),DAY(TRANSACTIONS!$A5477)),"")</f>
        <v>45388</v>
      </c>
      <c r="D5477" s="42" t="s">
        <v>62</v>
      </c>
      <c r="E5477" s="40" t="s">
        <v>7</v>
      </c>
      <c r="F5477" s="40">
        <v>4000</v>
      </c>
      <c r="G5477" s="46"/>
      <c r="H5477" s="46">
        <f>IFERROR(TRANSACTIONS!$F5477+TRANSACTIONS!$G5477,"")</f>
        <v>4000</v>
      </c>
      <c r="I5477" s="40" t="s">
        <v>41</v>
      </c>
    </row>
    <row r="5478" spans="1:10" x14ac:dyDescent="0.25">
      <c r="A5478" s="41">
        <v>45388.523260879629</v>
      </c>
      <c r="B5478" s="48">
        <f>IF(A5478&lt;&gt;"",DATE(YEAR(TRANSACTIONS!$A5478),MONTH(TRANSACTIONS!$A5478),DAY(TRANSACTIONS!$A5478)),"")</f>
        <v>45388</v>
      </c>
      <c r="D5478" s="42" t="s">
        <v>62</v>
      </c>
      <c r="E5478" s="40" t="s">
        <v>7</v>
      </c>
      <c r="F5478" s="109">
        <v>35000</v>
      </c>
      <c r="G5478" s="46"/>
      <c r="H5478" s="46">
        <f>IFERROR(TRANSACTIONS!$F5478+TRANSACTIONS!$G5478,"")</f>
        <v>35000</v>
      </c>
      <c r="I5478" s="40" t="s">
        <v>41</v>
      </c>
    </row>
    <row r="5479" spans="1:10" x14ac:dyDescent="0.25">
      <c r="A5479" s="41">
        <v>45388.52327824074</v>
      </c>
      <c r="B5479" s="48">
        <f>IF(A5479&lt;&gt;"",DATE(YEAR(TRANSACTIONS!$A5479),MONTH(TRANSACTIONS!$A5479),DAY(TRANSACTIONS!$A5479)),"")</f>
        <v>45388</v>
      </c>
      <c r="D5479" s="42" t="s">
        <v>62</v>
      </c>
      <c r="E5479" s="40" t="s">
        <v>7</v>
      </c>
      <c r="F5479" s="109">
        <v>11000</v>
      </c>
      <c r="G5479" s="46"/>
      <c r="H5479" s="46">
        <f>IFERROR(TRANSACTIONS!$F5479+TRANSACTIONS!$G5479,"")</f>
        <v>11000</v>
      </c>
      <c r="I5479" s="40" t="s">
        <v>41</v>
      </c>
    </row>
    <row r="5480" spans="1:10" x14ac:dyDescent="0.25">
      <c r="A5480" s="113">
        <v>45388.523282407405</v>
      </c>
      <c r="B5480" s="114">
        <f>IF(A5480&lt;&gt;"",DATE(YEAR(TRANSACTIONS!$A5480),MONTH(TRANSACTIONS!$A5480),DAY(TRANSACTIONS!$A5480)),"")</f>
        <v>45388</v>
      </c>
      <c r="C5480" s="122"/>
      <c r="D5480" s="116" t="s">
        <v>62</v>
      </c>
      <c r="E5480" s="118" t="s">
        <v>7</v>
      </c>
      <c r="F5480" s="109">
        <v>2050</v>
      </c>
      <c r="G5480" s="117"/>
      <c r="H5480" s="117">
        <f>IFERROR(TRANSACTIONS!$F5480+TRANSACTIONS!$G5480,"")</f>
        <v>2050</v>
      </c>
      <c r="I5480" s="118" t="s">
        <v>41</v>
      </c>
      <c r="J5480" s="118"/>
    </row>
    <row r="5481" spans="1:10" x14ac:dyDescent="0.25">
      <c r="A5481" s="41">
        <v>45388.523416782409</v>
      </c>
      <c r="B5481" s="48">
        <f>IF(A5481&lt;&gt;"",DATE(YEAR(TRANSACTIONS!$A5481),MONTH(TRANSACTIONS!$A5481),DAY(TRANSACTIONS!$A5481)),"")</f>
        <v>45388</v>
      </c>
      <c r="D5481" s="42" t="s">
        <v>62</v>
      </c>
      <c r="E5481" s="40" t="s">
        <v>6</v>
      </c>
      <c r="F5481" s="109">
        <v>10100</v>
      </c>
      <c r="G5481" s="46"/>
      <c r="H5481" s="46">
        <f>IFERROR(TRANSACTIONS!$F5481+TRANSACTIONS!$G5481,"")</f>
        <v>10100</v>
      </c>
      <c r="I5481" s="40" t="s">
        <v>41</v>
      </c>
    </row>
    <row r="5482" spans="1:10" x14ac:dyDescent="0.25">
      <c r="A5482" s="41">
        <v>45388.523407175926</v>
      </c>
      <c r="B5482" s="48">
        <f>IF(A5482&lt;&gt;"",DATE(YEAR(TRANSACTIONS!$A5482),MONTH(TRANSACTIONS!$A5482),DAY(TRANSACTIONS!$A5482)),"")</f>
        <v>45388</v>
      </c>
      <c r="D5482" s="42" t="s">
        <v>62</v>
      </c>
      <c r="E5482" s="40" t="s">
        <v>7</v>
      </c>
      <c r="F5482" s="109">
        <v>12000</v>
      </c>
      <c r="G5482" s="46"/>
      <c r="H5482" s="46">
        <f>IFERROR(TRANSACTIONS!$F5482+TRANSACTIONS!$G5482,"")</f>
        <v>12000</v>
      </c>
      <c r="I5482" s="40" t="s">
        <v>41</v>
      </c>
    </row>
    <row r="5483" spans="1:10" x14ac:dyDescent="0.25">
      <c r="A5483" s="41">
        <v>45388.524726851851</v>
      </c>
      <c r="B5483" s="48">
        <f>IF(A5483&lt;&gt;"",DATE(YEAR(TRANSACTIONS!$A5483),MONTH(TRANSACTIONS!$A5483),DAY(TRANSACTIONS!$A5483)),"")</f>
        <v>45388</v>
      </c>
      <c r="D5483" s="42" t="s">
        <v>62</v>
      </c>
      <c r="E5483" s="40" t="s">
        <v>7</v>
      </c>
      <c r="F5483" s="109">
        <v>2000</v>
      </c>
      <c r="G5483" s="46"/>
      <c r="H5483" s="46">
        <f>IFERROR(TRANSACTIONS!$F5483+TRANSACTIONS!$G5483,"")</f>
        <v>2000</v>
      </c>
      <c r="I5483" s="40" t="s">
        <v>41</v>
      </c>
    </row>
    <row r="5484" spans="1:10" x14ac:dyDescent="0.25">
      <c r="A5484" s="41">
        <v>45388.524809259259</v>
      </c>
      <c r="B5484" s="48">
        <f>IF(A5484&lt;&gt;"",DATE(YEAR(TRANSACTIONS!$A5484),MONTH(TRANSACTIONS!$A5484),DAY(TRANSACTIONS!$A5484)),"")</f>
        <v>45388</v>
      </c>
      <c r="D5484" s="42" t="s">
        <v>62</v>
      </c>
      <c r="E5484" s="40" t="s">
        <v>6</v>
      </c>
      <c r="F5484" s="109">
        <v>91000</v>
      </c>
      <c r="G5484" s="46"/>
      <c r="H5484" s="46">
        <f>IFERROR(TRANSACTIONS!$F5484+TRANSACTIONS!$G5484,"")</f>
        <v>91000</v>
      </c>
      <c r="I5484" s="40" t="s">
        <v>41</v>
      </c>
    </row>
    <row r="5485" spans="1:10" x14ac:dyDescent="0.25">
      <c r="A5485" s="41">
        <v>45388.545299305559</v>
      </c>
      <c r="B5485" s="48">
        <f>IF(A5485&lt;&gt;"",DATE(YEAR(TRANSACTIONS!$A5485),MONTH(TRANSACTIONS!$A5485),DAY(TRANSACTIONS!$A5485)),"")</f>
        <v>45388</v>
      </c>
      <c r="D5485" s="42" t="s">
        <v>62</v>
      </c>
      <c r="E5485" s="40" t="s">
        <v>7</v>
      </c>
      <c r="F5485" s="109">
        <v>20500</v>
      </c>
      <c r="G5485" s="46"/>
      <c r="H5485" s="46">
        <f>IFERROR(TRANSACTIONS!$F5485+TRANSACTIONS!$G5485,"")</f>
        <v>20500</v>
      </c>
      <c r="I5485" s="40" t="s">
        <v>41</v>
      </c>
    </row>
    <row r="5486" spans="1:10" x14ac:dyDescent="0.25">
      <c r="A5486" s="41">
        <v>45388.545315393516</v>
      </c>
      <c r="B5486" s="48">
        <f>IF(A5486&lt;&gt;"",DATE(YEAR(TRANSACTIONS!$A5486),MONTH(TRANSACTIONS!$A5486),DAY(TRANSACTIONS!$A5486)),"")</f>
        <v>45388</v>
      </c>
      <c r="D5486" s="42" t="s">
        <v>62</v>
      </c>
      <c r="E5486" s="40" t="s">
        <v>7</v>
      </c>
      <c r="F5486" s="109">
        <v>2000</v>
      </c>
      <c r="G5486" s="46"/>
      <c r="H5486" s="46">
        <f>IFERROR(TRANSACTIONS!$F5486+TRANSACTIONS!$G5486,"")</f>
        <v>2000</v>
      </c>
      <c r="I5486" s="40" t="s">
        <v>41</v>
      </c>
    </row>
    <row r="5487" spans="1:10" x14ac:dyDescent="0.25">
      <c r="A5487" s="113">
        <v>45388.545354050926</v>
      </c>
      <c r="B5487" s="114">
        <f>IF(A5487&lt;&gt;"",DATE(YEAR(TRANSACTIONS!$A5487),MONTH(TRANSACTIONS!$A5487),DAY(TRANSACTIONS!$A5487)),"")</f>
        <v>45388</v>
      </c>
      <c r="C5487" s="122"/>
      <c r="D5487" s="116" t="s">
        <v>25</v>
      </c>
      <c r="E5487" s="118" t="s">
        <v>6</v>
      </c>
      <c r="F5487" s="109">
        <v>150000</v>
      </c>
      <c r="G5487" s="117"/>
      <c r="H5487" s="117">
        <f>IFERROR(TRANSACTIONS!$F5487+TRANSACTIONS!$G5487,"")</f>
        <v>150000</v>
      </c>
      <c r="I5487" s="118" t="s">
        <v>41</v>
      </c>
      <c r="J5487" s="118"/>
    </row>
    <row r="5488" spans="1:10" x14ac:dyDescent="0.25">
      <c r="A5488" s="113">
        <v>45388.545361458331</v>
      </c>
      <c r="B5488" s="114">
        <f>IF(A5488&lt;&gt;"",DATE(YEAR(TRANSACTIONS!$A5488),MONTH(TRANSACTIONS!$A5488),DAY(TRANSACTIONS!$A5488)),"")</f>
        <v>45388</v>
      </c>
      <c r="C5488" s="122"/>
      <c r="D5488" s="116" t="s">
        <v>25</v>
      </c>
      <c r="E5488" s="118" t="s">
        <v>6</v>
      </c>
      <c r="F5488" s="109">
        <v>500</v>
      </c>
      <c r="G5488" s="117"/>
      <c r="H5488" s="117">
        <f>IFERROR(TRANSACTIONS!$F5488+TRANSACTIONS!$G5488,"")</f>
        <v>500</v>
      </c>
      <c r="I5488" s="118" t="s">
        <v>41</v>
      </c>
      <c r="J5488" s="118"/>
    </row>
    <row r="5489" spans="1:10" x14ac:dyDescent="0.25">
      <c r="A5489" s="113">
        <v>45388.545836689816</v>
      </c>
      <c r="B5489" s="114">
        <f>IF(A5489&lt;&gt;"",DATE(YEAR(TRANSACTIONS!$A5489),MONTH(TRANSACTIONS!$A5489),DAY(TRANSACTIONS!$A5489)),"")</f>
        <v>45388</v>
      </c>
      <c r="C5489" s="122"/>
      <c r="D5489" s="116" t="s">
        <v>25</v>
      </c>
      <c r="E5489" s="118" t="s">
        <v>6</v>
      </c>
      <c r="F5489" s="109">
        <v>10000</v>
      </c>
      <c r="G5489" s="117"/>
      <c r="H5489" s="117">
        <f>IFERROR(TRANSACTIONS!$F5489+TRANSACTIONS!$G5489,"")</f>
        <v>10000</v>
      </c>
      <c r="I5489" s="118" t="s">
        <v>41</v>
      </c>
      <c r="J5489" s="118"/>
    </row>
    <row r="5490" spans="1:10" x14ac:dyDescent="0.25">
      <c r="A5490" s="113">
        <v>45388.546800115742</v>
      </c>
      <c r="B5490" s="114">
        <f>IF(A5490&lt;&gt;"",DATE(YEAR(TRANSACTIONS!$A5490),MONTH(TRANSACTIONS!$A5490),DAY(TRANSACTIONS!$A5490)),"")</f>
        <v>45388</v>
      </c>
      <c r="C5490" s="122"/>
      <c r="D5490" s="116" t="s">
        <v>25</v>
      </c>
      <c r="E5490" s="118" t="s">
        <v>6</v>
      </c>
      <c r="F5490" s="109">
        <v>500</v>
      </c>
      <c r="G5490" s="117"/>
      <c r="H5490" s="117">
        <f>IFERROR(TRANSACTIONS!$F5490+TRANSACTIONS!$G5490,"")</f>
        <v>500</v>
      </c>
      <c r="I5490" s="118" t="s">
        <v>41</v>
      </c>
      <c r="J5490" s="118"/>
    </row>
    <row r="5491" spans="1:10" x14ac:dyDescent="0.25">
      <c r="A5491" s="113">
        <v>45388.546981250001</v>
      </c>
      <c r="B5491" s="114">
        <f>IF(A5491&lt;&gt;"",DATE(YEAR(TRANSACTIONS!$A5491),MONTH(TRANSACTIONS!$A5491),DAY(TRANSACTIONS!$A5491)),"")</f>
        <v>45388</v>
      </c>
      <c r="C5491" s="122"/>
      <c r="D5491" s="116" t="s">
        <v>62</v>
      </c>
      <c r="E5491" s="118" t="s">
        <v>7</v>
      </c>
      <c r="F5491" s="109">
        <v>1000</v>
      </c>
      <c r="G5491" s="117"/>
      <c r="H5491" s="117">
        <f>IFERROR(TRANSACTIONS!$F5491+TRANSACTIONS!$G5491,"")</f>
        <v>1000</v>
      </c>
      <c r="I5491" s="118" t="s">
        <v>41</v>
      </c>
      <c r="J5491" s="118"/>
    </row>
    <row r="5492" spans="1:10" x14ac:dyDescent="0.25">
      <c r="A5492" s="113">
        <v>45388.547076504627</v>
      </c>
      <c r="B5492" s="114">
        <f>IF(A5492&lt;&gt;"",DATE(YEAR(TRANSACTIONS!$A5492),MONTH(TRANSACTIONS!$A5492),DAY(TRANSACTIONS!$A5492)),"")</f>
        <v>45388</v>
      </c>
      <c r="C5492" s="122"/>
      <c r="D5492" s="116" t="s">
        <v>62</v>
      </c>
      <c r="E5492" s="118" t="s">
        <v>6</v>
      </c>
      <c r="F5492" s="109">
        <v>1500</v>
      </c>
      <c r="G5492" s="117"/>
      <c r="H5492" s="117">
        <f>IFERROR(TRANSACTIONS!$F5492+TRANSACTIONS!$G5492,"")</f>
        <v>1500</v>
      </c>
      <c r="I5492" s="118" t="s">
        <v>41</v>
      </c>
      <c r="J5492" s="118"/>
    </row>
    <row r="5493" spans="1:10" x14ac:dyDescent="0.25">
      <c r="A5493" s="113">
        <v>45388.547084837963</v>
      </c>
      <c r="B5493" s="114">
        <f>IF(A5493&lt;&gt;"",DATE(YEAR(TRANSACTIONS!$A5493),MONTH(TRANSACTIONS!$A5493),DAY(TRANSACTIONS!$A5493)),"")</f>
        <v>45388</v>
      </c>
      <c r="C5493" s="122"/>
      <c r="D5493" s="116" t="s">
        <v>62</v>
      </c>
      <c r="E5493" s="118" t="s">
        <v>7</v>
      </c>
      <c r="F5493" s="109">
        <v>10000</v>
      </c>
      <c r="G5493" s="117"/>
      <c r="H5493" s="117">
        <f>IFERROR(TRANSACTIONS!$F5493+TRANSACTIONS!$G5493,"")</f>
        <v>10000</v>
      </c>
      <c r="I5493" s="118" t="s">
        <v>41</v>
      </c>
      <c r="J5493" s="118"/>
    </row>
    <row r="5494" spans="1:10" x14ac:dyDescent="0.25">
      <c r="A5494" s="113">
        <v>45388.551392245368</v>
      </c>
      <c r="B5494" s="114">
        <f>IF(A5494&lt;&gt;"",DATE(YEAR(TRANSACTIONS!$A5494),MONTH(TRANSACTIONS!$A5494),DAY(TRANSACTIONS!$A5494)),"")</f>
        <v>45388</v>
      </c>
      <c r="C5494" s="122"/>
      <c r="D5494" s="116" t="s">
        <v>62</v>
      </c>
      <c r="E5494" s="118" t="s">
        <v>6</v>
      </c>
      <c r="F5494" s="109">
        <v>220000</v>
      </c>
      <c r="G5494" s="117"/>
      <c r="H5494" s="117">
        <f>IFERROR(TRANSACTIONS!$F5494+TRANSACTIONS!$G5494,"")</f>
        <v>220000</v>
      </c>
      <c r="I5494" s="118" t="s">
        <v>41</v>
      </c>
      <c r="J5494" s="118"/>
    </row>
    <row r="5495" spans="1:10" x14ac:dyDescent="0.25">
      <c r="A5495" s="113">
        <v>45388.551395138886</v>
      </c>
      <c r="B5495" s="114">
        <f>IF(A5495&lt;&gt;"",DATE(YEAR(TRANSACTIONS!$A5495),MONTH(TRANSACTIONS!$A5495),DAY(TRANSACTIONS!$A5495)),"")</f>
        <v>45388</v>
      </c>
      <c r="C5495" s="122"/>
      <c r="D5495" s="116" t="s">
        <v>62</v>
      </c>
      <c r="E5495" s="118" t="s">
        <v>7</v>
      </c>
      <c r="F5495" s="109">
        <v>17000</v>
      </c>
      <c r="G5495" s="117"/>
      <c r="H5495" s="117">
        <f>IFERROR(TRANSACTIONS!$F5495+TRANSACTIONS!$G5495,"")</f>
        <v>17000</v>
      </c>
      <c r="I5495" s="118" t="s">
        <v>41</v>
      </c>
      <c r="J5495" s="118"/>
    </row>
    <row r="5496" spans="1:10" x14ac:dyDescent="0.25">
      <c r="A5496" s="113">
        <v>45388.558837268516</v>
      </c>
      <c r="B5496" s="114">
        <f>IF(A5496&lt;&gt;"",DATE(YEAR(TRANSACTIONS!$A5496),MONTH(TRANSACTIONS!$A5496),DAY(TRANSACTIONS!$A5496)),"")</f>
        <v>45388</v>
      </c>
      <c r="C5496" s="122"/>
      <c r="D5496" s="116" t="s">
        <v>62</v>
      </c>
      <c r="E5496" s="118" t="s">
        <v>6</v>
      </c>
      <c r="F5496" s="109">
        <v>170000</v>
      </c>
      <c r="G5496" s="117"/>
      <c r="H5496" s="117">
        <f>IFERROR(TRANSACTIONS!$F5496+TRANSACTIONS!$G5496,"")</f>
        <v>170000</v>
      </c>
      <c r="I5496" s="118" t="s">
        <v>41</v>
      </c>
      <c r="J5496" s="118"/>
    </row>
    <row r="5497" spans="1:10" x14ac:dyDescent="0.25">
      <c r="A5497" s="113">
        <v>45388.568752314815</v>
      </c>
      <c r="B5497" s="114">
        <f>IF(A5497&lt;&gt;"",DATE(YEAR(TRANSACTIONS!$A5497),MONTH(TRANSACTIONS!$A5497),DAY(TRANSACTIONS!$A5497)),"")</f>
        <v>45388</v>
      </c>
      <c r="C5497" s="122"/>
      <c r="D5497" s="116" t="s">
        <v>62</v>
      </c>
      <c r="E5497" s="118" t="s">
        <v>7</v>
      </c>
      <c r="F5497" s="109">
        <v>5000</v>
      </c>
      <c r="G5497" s="117"/>
      <c r="H5497" s="117">
        <f>IFERROR(TRANSACTIONS!$F5497+TRANSACTIONS!$G5497,"")</f>
        <v>5000</v>
      </c>
      <c r="I5497" s="118" t="s">
        <v>41</v>
      </c>
      <c r="J5497" s="118"/>
    </row>
    <row r="5498" spans="1:10" x14ac:dyDescent="0.25">
      <c r="A5498" s="113">
        <v>45388.570441782409</v>
      </c>
      <c r="B5498" s="114">
        <f>IF(A5498&lt;&gt;"",DATE(YEAR(TRANSACTIONS!$A5498),MONTH(TRANSACTIONS!$A5498),DAY(TRANSACTIONS!$A5498)),"")</f>
        <v>45388</v>
      </c>
      <c r="C5498" s="122"/>
      <c r="D5498" s="40" t="s">
        <v>62</v>
      </c>
      <c r="E5498" s="118" t="s">
        <v>6</v>
      </c>
      <c r="F5498" s="109">
        <v>5000</v>
      </c>
      <c r="G5498" s="117"/>
      <c r="H5498" s="117">
        <f>IFERROR(TRANSACTIONS!$F5498+TRANSACTIONS!$G5498,"")</f>
        <v>5000</v>
      </c>
      <c r="I5498" s="118" t="s">
        <v>41</v>
      </c>
      <c r="J5498" s="118"/>
    </row>
    <row r="5499" spans="1:10" x14ac:dyDescent="0.25">
      <c r="A5499" s="113">
        <v>45388.570545023147</v>
      </c>
      <c r="B5499" s="114">
        <f>IF(A5499&lt;&gt;"",DATE(YEAR(TRANSACTIONS!$A5499),MONTH(TRANSACTIONS!$A5499),DAY(TRANSACTIONS!$A5499)),"")</f>
        <v>45388</v>
      </c>
      <c r="C5499" s="122"/>
      <c r="D5499" s="116" t="s">
        <v>62</v>
      </c>
      <c r="E5499" s="118" t="s">
        <v>6</v>
      </c>
      <c r="F5499" s="109">
        <v>20200</v>
      </c>
      <c r="G5499" s="117"/>
      <c r="H5499" s="117">
        <f>IFERROR(TRANSACTIONS!$F5499+TRANSACTIONS!$G5499,"")</f>
        <v>20200</v>
      </c>
      <c r="I5499" s="118" t="s">
        <v>41</v>
      </c>
      <c r="J5499" s="118"/>
    </row>
    <row r="5500" spans="1:10" x14ac:dyDescent="0.25">
      <c r="A5500" s="41">
        <v>45388.570716782408</v>
      </c>
      <c r="B5500" s="48">
        <f>IF(A5500&lt;&gt;"",DATE(YEAR(TRANSACTIONS!$A5500),MONTH(TRANSACTIONS!$A5500),DAY(TRANSACTIONS!$A5500)),"")</f>
        <v>45388</v>
      </c>
      <c r="D5500" s="116" t="s">
        <v>62</v>
      </c>
      <c r="E5500" s="118" t="s">
        <v>7</v>
      </c>
      <c r="F5500" s="109">
        <v>250000</v>
      </c>
      <c r="G5500" s="46"/>
      <c r="H5500" s="46">
        <f>IFERROR(TRANSACTIONS!$F5500+TRANSACTIONS!$G5500,"")</f>
        <v>250000</v>
      </c>
      <c r="I5500" s="40" t="s">
        <v>41</v>
      </c>
    </row>
    <row r="5501" spans="1:10" x14ac:dyDescent="0.25">
      <c r="A5501" s="113">
        <v>45388.570724999998</v>
      </c>
      <c r="B5501" s="114">
        <f>IF(A5501&lt;&gt;"",DATE(YEAR(TRANSACTIONS!$A5501),MONTH(TRANSACTIONS!$A5501),DAY(TRANSACTIONS!$A5501)),"")</f>
        <v>45388</v>
      </c>
      <c r="C5501" s="122"/>
      <c r="D5501" s="116" t="s">
        <v>25</v>
      </c>
      <c r="E5501" s="118" t="s">
        <v>7</v>
      </c>
      <c r="F5501" s="109">
        <v>250000</v>
      </c>
      <c r="G5501" s="117"/>
      <c r="H5501" s="117">
        <f>IFERROR(TRANSACTIONS!$F5501+TRANSACTIONS!$G5501,"")</f>
        <v>250000</v>
      </c>
      <c r="I5501" s="118" t="s">
        <v>41</v>
      </c>
    </row>
    <row r="5502" spans="1:10" x14ac:dyDescent="0.25">
      <c r="A5502" s="41">
        <v>45388.570735300927</v>
      </c>
      <c r="B5502" s="48">
        <f>IF(A5502&lt;&gt;"",DATE(YEAR(TRANSACTIONS!$A5502),MONTH(TRANSACTIONS!$A5502),DAY(TRANSACTIONS!$A5502)),"")</f>
        <v>45388</v>
      </c>
      <c r="D5502" s="42" t="s">
        <v>25</v>
      </c>
      <c r="E5502" s="40" t="s">
        <v>6</v>
      </c>
      <c r="F5502" s="109">
        <v>5000</v>
      </c>
      <c r="G5502" s="46"/>
      <c r="H5502" s="46">
        <f>IFERROR(TRANSACTIONS!$F5502+TRANSACTIONS!$G5502,"")</f>
        <v>5000</v>
      </c>
      <c r="I5502" s="40" t="s">
        <v>41</v>
      </c>
    </row>
    <row r="5503" spans="1:10" x14ac:dyDescent="0.25">
      <c r="A5503" s="41">
        <v>45388.570742476855</v>
      </c>
      <c r="B5503" s="48">
        <f>IF(A5503&lt;&gt;"",DATE(YEAR(TRANSACTIONS!$A5503),MONTH(TRANSACTIONS!$A5503),DAY(TRANSACTIONS!$A5503)),"")</f>
        <v>45388</v>
      </c>
      <c r="D5503" s="42" t="s">
        <v>25</v>
      </c>
      <c r="E5503" s="40" t="s">
        <v>7</v>
      </c>
      <c r="F5503" s="109">
        <v>2000</v>
      </c>
      <c r="G5503" s="46"/>
      <c r="H5503" s="46">
        <f>IFERROR(TRANSACTIONS!$F5503+TRANSACTIONS!$G5503,"")</f>
        <v>2000</v>
      </c>
      <c r="I5503" s="40" t="s">
        <v>41</v>
      </c>
    </row>
    <row r="5504" spans="1:10" x14ac:dyDescent="0.25">
      <c r="A5504" s="41">
        <v>45388.570753935186</v>
      </c>
      <c r="B5504" s="48">
        <f>IF(A5504&lt;&gt;"",DATE(YEAR(TRANSACTIONS!$A5504),MONTH(TRANSACTIONS!$A5504),DAY(TRANSACTIONS!$A5504)),"")</f>
        <v>45388</v>
      </c>
      <c r="D5504" s="42" t="s">
        <v>25</v>
      </c>
      <c r="E5504" s="40" t="s">
        <v>6</v>
      </c>
      <c r="F5504" s="109">
        <v>21000</v>
      </c>
      <c r="G5504" s="46"/>
      <c r="H5504" s="46">
        <f>IFERROR(TRANSACTIONS!$F5504+TRANSACTIONS!$G5504,"")</f>
        <v>21000</v>
      </c>
      <c r="I5504" s="40" t="s">
        <v>41</v>
      </c>
    </row>
    <row r="5505" spans="1:9" x14ac:dyDescent="0.25">
      <c r="A5505" s="41">
        <v>45388.570765972225</v>
      </c>
      <c r="B5505" s="48">
        <f>IF(A5505&lt;&gt;"",DATE(YEAR(TRANSACTIONS!$A5505),MONTH(TRANSACTIONS!$A5505),DAY(TRANSACTIONS!$A5505)),"")</f>
        <v>45388</v>
      </c>
      <c r="D5505" s="42" t="s">
        <v>25</v>
      </c>
      <c r="E5505" s="118" t="s">
        <v>7</v>
      </c>
      <c r="F5505" s="109">
        <v>12000</v>
      </c>
      <c r="G5505" s="46"/>
      <c r="H5505" s="46">
        <f>IFERROR(TRANSACTIONS!$F5505+TRANSACTIONS!$G5505,"")</f>
        <v>12000</v>
      </c>
      <c r="I5505" s="40" t="s">
        <v>41</v>
      </c>
    </row>
    <row r="5506" spans="1:9" x14ac:dyDescent="0.25">
      <c r="A5506" s="41">
        <v>45388.570774305554</v>
      </c>
      <c r="B5506" s="48">
        <f>IF(A5506&lt;&gt;"",DATE(YEAR(TRANSACTIONS!$A5506),MONTH(TRANSACTIONS!$A5506),DAY(TRANSACTIONS!$A5506)),"")</f>
        <v>45388</v>
      </c>
      <c r="D5506" s="42" t="s">
        <v>25</v>
      </c>
      <c r="E5506" s="118" t="s">
        <v>6</v>
      </c>
      <c r="F5506" s="109">
        <v>25000</v>
      </c>
      <c r="G5506" s="46"/>
      <c r="H5506" s="46">
        <f>IFERROR(TRANSACTIONS!$F5506+TRANSACTIONS!$G5506,"")</f>
        <v>25000</v>
      </c>
      <c r="I5506" s="40" t="s">
        <v>41</v>
      </c>
    </row>
    <row r="5507" spans="1:9" x14ac:dyDescent="0.25">
      <c r="A5507" s="41">
        <v>45388.570789004632</v>
      </c>
      <c r="B5507" s="48">
        <f>IF(A5507&lt;&gt;"",DATE(YEAR(TRANSACTIONS!$A5507),MONTH(TRANSACTIONS!$A5507),DAY(TRANSACTIONS!$A5507)),"")</f>
        <v>45388</v>
      </c>
      <c r="D5507" s="42" t="s">
        <v>62</v>
      </c>
      <c r="E5507" s="40" t="s">
        <v>7</v>
      </c>
      <c r="F5507" s="109">
        <v>2000</v>
      </c>
      <c r="G5507" s="46"/>
      <c r="H5507" s="46">
        <f>IFERROR(TRANSACTIONS!$F5507+TRANSACTIONS!$G5507,"")</f>
        <v>2000</v>
      </c>
      <c r="I5507" s="40" t="s">
        <v>41</v>
      </c>
    </row>
    <row r="5508" spans="1:9" x14ac:dyDescent="0.25">
      <c r="A5508" s="41">
        <v>45388.570850810182</v>
      </c>
      <c r="B5508" s="48">
        <f>IF(A5508&lt;&gt;"",DATE(YEAR(TRANSACTIONS!$A5508),MONTH(TRANSACTIONS!$A5508),DAY(TRANSACTIONS!$A5508)),"")</f>
        <v>45388</v>
      </c>
      <c r="D5508" s="42" t="s">
        <v>62</v>
      </c>
      <c r="E5508" s="40" t="s">
        <v>6</v>
      </c>
      <c r="F5508" s="109">
        <v>5000</v>
      </c>
      <c r="G5508" s="46"/>
      <c r="H5508" s="46">
        <f>IFERROR(TRANSACTIONS!$F5508+TRANSACTIONS!$G5508,"")</f>
        <v>5000</v>
      </c>
      <c r="I5508" s="40" t="s">
        <v>41</v>
      </c>
    </row>
    <row r="5509" spans="1:9" x14ac:dyDescent="0.25">
      <c r="A5509" s="41">
        <v>45388.570816666666</v>
      </c>
      <c r="B5509" s="48">
        <f>IF(A5509&lt;&gt;"",DATE(YEAR(TRANSACTIONS!$A5509),MONTH(TRANSACTIONS!$A5509),DAY(TRANSACTIONS!$A5509)),"")</f>
        <v>45388</v>
      </c>
      <c r="D5509" s="42" t="s">
        <v>62</v>
      </c>
      <c r="E5509" s="40" t="s">
        <v>7</v>
      </c>
      <c r="F5509" s="109">
        <v>500</v>
      </c>
      <c r="G5509" s="46"/>
      <c r="H5509" s="46">
        <f>IFERROR(TRANSACTIONS!$F5509+TRANSACTIONS!$G5509,"")</f>
        <v>500</v>
      </c>
      <c r="I5509" s="40" t="s">
        <v>41</v>
      </c>
    </row>
    <row r="5510" spans="1:9" x14ac:dyDescent="0.25">
      <c r="A5510" s="41">
        <v>45388.603934953702</v>
      </c>
      <c r="B5510" s="48">
        <f>IF(A5510&lt;&gt;"",DATE(YEAR(TRANSACTIONS!$A5510),MONTH(TRANSACTIONS!$A5510),DAY(TRANSACTIONS!$A5510)),"")</f>
        <v>45388</v>
      </c>
      <c r="D5510" s="42" t="s">
        <v>62</v>
      </c>
      <c r="E5510" s="118" t="s">
        <v>7</v>
      </c>
      <c r="F5510" s="109">
        <v>10000</v>
      </c>
      <c r="G5510" s="46"/>
      <c r="H5510" s="46">
        <f>IFERROR(TRANSACTIONS!$F5510+TRANSACTIONS!$G5510,"")</f>
        <v>10000</v>
      </c>
      <c r="I5510" s="40" t="s">
        <v>41</v>
      </c>
    </row>
    <row r="5511" spans="1:9" x14ac:dyDescent="0.25">
      <c r="A5511" s="41">
        <v>45388.603970833334</v>
      </c>
      <c r="B5511" s="48">
        <f>IF(A5511&lt;&gt;"",DATE(YEAR(TRANSACTIONS!$A5511),MONTH(TRANSACTIONS!$A5511),DAY(TRANSACTIONS!$A5511)),"")</f>
        <v>45388</v>
      </c>
      <c r="D5511" s="42" t="s">
        <v>62</v>
      </c>
      <c r="E5511" s="40" t="s">
        <v>6</v>
      </c>
      <c r="F5511" s="109">
        <v>27500</v>
      </c>
      <c r="G5511" s="46"/>
      <c r="H5511" s="46">
        <f>IFERROR(TRANSACTIONS!$F5511+TRANSACTIONS!$G5511,"")</f>
        <v>27500</v>
      </c>
      <c r="I5511" s="40" t="s">
        <v>41</v>
      </c>
    </row>
    <row r="5512" spans="1:9" x14ac:dyDescent="0.25">
      <c r="A5512" s="41">
        <v>45388.603978240739</v>
      </c>
      <c r="B5512" s="48">
        <f>IF(A5512&lt;&gt;"",DATE(YEAR(TRANSACTIONS!$A5512),MONTH(TRANSACTIONS!$A5512),DAY(TRANSACTIONS!$A5512)),"")</f>
        <v>45388</v>
      </c>
      <c r="D5512" s="42" t="s">
        <v>62</v>
      </c>
      <c r="E5512" s="40" t="s">
        <v>7</v>
      </c>
      <c r="F5512" s="109">
        <v>21000</v>
      </c>
      <c r="G5512" s="46"/>
      <c r="H5512" s="46">
        <f>IFERROR(TRANSACTIONS!$F5512+TRANSACTIONS!$G5512,"")</f>
        <v>21000</v>
      </c>
      <c r="I5512" s="40" t="s">
        <v>41</v>
      </c>
    </row>
    <row r="5513" spans="1:9" x14ac:dyDescent="0.25">
      <c r="A5513" s="41">
        <v>45388.603984606481</v>
      </c>
      <c r="B5513" s="48">
        <f>IF(A5513&lt;&gt;"",DATE(YEAR(TRANSACTIONS!$A5513),MONTH(TRANSACTIONS!$A5513),DAY(TRANSACTIONS!$A5513)),"")</f>
        <v>45388</v>
      </c>
      <c r="D5513" s="42" t="s">
        <v>62</v>
      </c>
      <c r="E5513" s="40" t="s">
        <v>7</v>
      </c>
      <c r="F5513" s="109">
        <v>12000</v>
      </c>
      <c r="G5513" s="46"/>
      <c r="H5513" s="46">
        <f>IFERROR(TRANSACTIONS!$F5513+TRANSACTIONS!$G5513,"")</f>
        <v>12000</v>
      </c>
      <c r="I5513" s="40" t="s">
        <v>41</v>
      </c>
    </row>
    <row r="5514" spans="1:9" x14ac:dyDescent="0.25">
      <c r="A5514" s="41">
        <v>45388.603991087963</v>
      </c>
      <c r="B5514" s="48">
        <f>IF(A5514&lt;&gt;"",DATE(YEAR(TRANSACTIONS!$A5514),MONTH(TRANSACTIONS!$A5514),DAY(TRANSACTIONS!$A5514)),"")</f>
        <v>45388</v>
      </c>
      <c r="D5514" s="42" t="s">
        <v>62</v>
      </c>
      <c r="E5514" s="40" t="s">
        <v>7</v>
      </c>
      <c r="F5514" s="109">
        <v>50000</v>
      </c>
      <c r="G5514" s="46"/>
      <c r="H5514" s="46">
        <f>IFERROR(TRANSACTIONS!$F5514+TRANSACTIONS!$G5514,"")</f>
        <v>50000</v>
      </c>
      <c r="I5514" s="40" t="s">
        <v>41</v>
      </c>
    </row>
    <row r="5515" spans="1:9" x14ac:dyDescent="0.25">
      <c r="A5515" s="41">
        <v>45388.603997453705</v>
      </c>
      <c r="B5515" s="48">
        <f>IF(A5515&lt;&gt;"",DATE(YEAR(TRANSACTIONS!$A5515),MONTH(TRANSACTIONS!$A5515),DAY(TRANSACTIONS!$A5515)),"")</f>
        <v>45388</v>
      </c>
      <c r="D5515" s="42" t="s">
        <v>62</v>
      </c>
      <c r="E5515" s="40" t="s">
        <v>7</v>
      </c>
      <c r="F5515" s="109">
        <v>26000</v>
      </c>
      <c r="G5515" s="46"/>
      <c r="H5515" s="46">
        <f>IFERROR(TRANSACTIONS!$F5515+TRANSACTIONS!$G5515,"")</f>
        <v>26000</v>
      </c>
      <c r="I5515" s="40" t="s">
        <v>41</v>
      </c>
    </row>
    <row r="5516" spans="1:9" x14ac:dyDescent="0.25">
      <c r="A5516" s="41">
        <v>45388.604003472225</v>
      </c>
      <c r="B5516" s="48">
        <f>IF(A5516&lt;&gt;"",DATE(YEAR(TRANSACTIONS!$A5516),MONTH(TRANSACTIONS!$A5516),DAY(TRANSACTIONS!$A5516)),"")</f>
        <v>45388</v>
      </c>
      <c r="D5516" s="42" t="s">
        <v>62</v>
      </c>
      <c r="E5516" s="40" t="s">
        <v>7</v>
      </c>
      <c r="F5516" s="109">
        <v>50000</v>
      </c>
      <c r="G5516" s="46"/>
      <c r="H5516" s="46">
        <f>IFERROR(TRANSACTIONS!$F5516+TRANSACTIONS!$G5516,"")</f>
        <v>50000</v>
      </c>
      <c r="I5516" s="40" t="s">
        <v>41</v>
      </c>
    </row>
    <row r="5517" spans="1:9" x14ac:dyDescent="0.25">
      <c r="A5517" s="41">
        <v>45388.604011574076</v>
      </c>
      <c r="B5517" s="48">
        <f>IF(A5517&lt;&gt;"",DATE(YEAR(TRANSACTIONS!$A5517),MONTH(TRANSACTIONS!$A5517),DAY(TRANSACTIONS!$A5517)),"")</f>
        <v>45388</v>
      </c>
      <c r="D5517" s="42" t="s">
        <v>62</v>
      </c>
      <c r="E5517" s="40" t="s">
        <v>7</v>
      </c>
      <c r="F5517" s="109">
        <v>1000</v>
      </c>
      <c r="G5517" s="46"/>
      <c r="H5517" s="46">
        <f>IFERROR(TRANSACTIONS!$F5517+TRANSACTIONS!$G5517,"")</f>
        <v>1000</v>
      </c>
      <c r="I5517" s="40" t="s">
        <v>41</v>
      </c>
    </row>
    <row r="5518" spans="1:9" x14ac:dyDescent="0.25">
      <c r="A5518" s="41">
        <v>45388.615072337961</v>
      </c>
      <c r="B5518" s="48">
        <f>IF(A5518&lt;&gt;"",DATE(YEAR(TRANSACTIONS!$A5518),MONTH(TRANSACTIONS!$A5518),DAY(TRANSACTIONS!$A5518)),"")</f>
        <v>45388</v>
      </c>
      <c r="D5518" s="42" t="s">
        <v>62</v>
      </c>
      <c r="E5518" s="40" t="s">
        <v>7</v>
      </c>
      <c r="F5518" s="109">
        <v>30000</v>
      </c>
      <c r="G5518" s="46"/>
      <c r="H5518" s="46">
        <f>IFERROR(TRANSACTIONS!$F5518+TRANSACTIONS!$G5518,"")</f>
        <v>30000</v>
      </c>
      <c r="I5518" s="40" t="s">
        <v>41</v>
      </c>
    </row>
    <row r="5519" spans="1:9" x14ac:dyDescent="0.25">
      <c r="A5519" s="41">
        <v>45388.615595138886</v>
      </c>
      <c r="B5519" s="48">
        <f>IF(A5519&lt;&gt;"",DATE(YEAR(TRANSACTIONS!$A5519),MONTH(TRANSACTIONS!$A5519),DAY(TRANSACTIONS!$A5519)),"")</f>
        <v>45388</v>
      </c>
      <c r="D5519" s="42" t="s">
        <v>25</v>
      </c>
      <c r="E5519" s="40" t="s">
        <v>6</v>
      </c>
      <c r="F5519" s="109">
        <v>30000</v>
      </c>
      <c r="G5519" s="46"/>
      <c r="H5519" s="46">
        <f>IFERROR(TRANSACTIONS!$F5519+TRANSACTIONS!$G5519,"")</f>
        <v>30000</v>
      </c>
      <c r="I5519" s="40" t="s">
        <v>41</v>
      </c>
    </row>
    <row r="5520" spans="1:9" x14ac:dyDescent="0.25">
      <c r="A5520" s="41">
        <v>45388.616912500001</v>
      </c>
      <c r="B5520" s="48">
        <f>IF(A5520&lt;&gt;"",DATE(YEAR(TRANSACTIONS!$A5520),MONTH(TRANSACTIONS!$A5520),DAY(TRANSACTIONS!$A5520)),"")</f>
        <v>45388</v>
      </c>
      <c r="D5520" s="42" t="s">
        <v>25</v>
      </c>
      <c r="E5520" s="40" t="s">
        <v>6</v>
      </c>
      <c r="F5520" s="109">
        <v>500</v>
      </c>
      <c r="G5520" s="46"/>
      <c r="H5520" s="46">
        <f>IFERROR(TRANSACTIONS!$F5520+TRANSACTIONS!$G5520,"")</f>
        <v>500</v>
      </c>
      <c r="I5520" s="40" t="s">
        <v>41</v>
      </c>
    </row>
    <row r="5521" spans="1:9" x14ac:dyDescent="0.25">
      <c r="A5521" s="41">
        <v>45388.616927199073</v>
      </c>
      <c r="B5521" s="48">
        <f>IF(A5521&lt;&gt;"",DATE(YEAR(TRANSACTIONS!$A5521),MONTH(TRANSACTIONS!$A5521),DAY(TRANSACTIONS!$A5521)),"")</f>
        <v>45388</v>
      </c>
      <c r="D5521" s="42" t="s">
        <v>62</v>
      </c>
      <c r="E5521" s="40" t="s">
        <v>6</v>
      </c>
      <c r="F5521" s="109">
        <v>10000</v>
      </c>
      <c r="G5521" s="46"/>
      <c r="H5521" s="46">
        <f>IFERROR(TRANSACTIONS!$F5521+TRANSACTIONS!$G5521,"")</f>
        <v>10000</v>
      </c>
      <c r="I5521" s="40" t="s">
        <v>41</v>
      </c>
    </row>
    <row r="5522" spans="1:9" x14ac:dyDescent="0.25">
      <c r="A5522" s="41">
        <v>45388.616991782408</v>
      </c>
      <c r="B5522" s="48">
        <f>IF(A5522&lt;&gt;"",DATE(YEAR(TRANSACTIONS!$A5522),MONTH(TRANSACTIONS!$A5522),DAY(TRANSACTIONS!$A5522)),"")</f>
        <v>45388</v>
      </c>
      <c r="D5522" s="42" t="s">
        <v>62</v>
      </c>
      <c r="E5522" s="40" t="s">
        <v>6</v>
      </c>
      <c r="F5522" s="109">
        <v>15000</v>
      </c>
      <c r="G5522" s="46"/>
      <c r="H5522" s="46">
        <f>IFERROR(TRANSACTIONS!$F5522+TRANSACTIONS!$G5522,"")</f>
        <v>15000</v>
      </c>
      <c r="I5522" s="40" t="s">
        <v>41</v>
      </c>
    </row>
    <row r="5523" spans="1:9" x14ac:dyDescent="0.25">
      <c r="A5523" s="41">
        <v>45388.617001388891</v>
      </c>
      <c r="B5523" s="48">
        <f>IF(A5523&lt;&gt;"",DATE(YEAR(TRANSACTIONS!$A5523),MONTH(TRANSACTIONS!$A5523),DAY(TRANSACTIONS!$A5523)),"")</f>
        <v>45388</v>
      </c>
      <c r="D5523" s="42" t="s">
        <v>62</v>
      </c>
      <c r="E5523" s="40" t="s">
        <v>7</v>
      </c>
      <c r="F5523" s="109">
        <v>5000</v>
      </c>
      <c r="G5523" s="46"/>
      <c r="H5523" s="46">
        <f>IFERROR(TRANSACTIONS!$F5523+TRANSACTIONS!$G5523,"")</f>
        <v>5000</v>
      </c>
      <c r="I5523" s="40" t="s">
        <v>41</v>
      </c>
    </row>
    <row r="5524" spans="1:9" x14ac:dyDescent="0.25">
      <c r="A5524" s="41">
        <v>45388.617008796296</v>
      </c>
      <c r="B5524" s="48">
        <f>IF(A5524&lt;&gt;"",DATE(YEAR(TRANSACTIONS!$A5524),MONTH(TRANSACTIONS!$A5524),DAY(TRANSACTIONS!$A5524)),"")</f>
        <v>45388</v>
      </c>
      <c r="D5524" s="42" t="s">
        <v>62</v>
      </c>
      <c r="E5524" s="40" t="s">
        <v>7</v>
      </c>
      <c r="F5524" s="109">
        <v>5000</v>
      </c>
      <c r="G5524" s="46"/>
      <c r="H5524" s="46">
        <f>IFERROR(TRANSACTIONS!$F5524+TRANSACTIONS!$G5524,"")</f>
        <v>5000</v>
      </c>
      <c r="I5524" s="40" t="s">
        <v>41</v>
      </c>
    </row>
    <row r="5525" spans="1:9" x14ac:dyDescent="0.25">
      <c r="A5525" s="41">
        <v>45388.61702395833</v>
      </c>
      <c r="B5525" s="48">
        <f>IF(A5525&lt;&gt;"",DATE(YEAR(TRANSACTIONS!$A5525),MONTH(TRANSACTIONS!$A5525),DAY(TRANSACTIONS!$A5525)),"")</f>
        <v>45388</v>
      </c>
      <c r="D5525" s="42" t="s">
        <v>62</v>
      </c>
      <c r="E5525" s="40" t="s">
        <v>6</v>
      </c>
      <c r="F5525" s="109">
        <v>6000</v>
      </c>
      <c r="G5525" s="46"/>
      <c r="H5525" s="46">
        <f>IFERROR(TRANSACTIONS!$F5525+TRANSACTIONS!$G5525,"")</f>
        <v>6000</v>
      </c>
      <c r="I5525" s="40" t="s">
        <v>41</v>
      </c>
    </row>
    <row r="5526" spans="1:9" x14ac:dyDescent="0.25">
      <c r="A5526" s="41">
        <v>45388.617034027775</v>
      </c>
      <c r="B5526" s="48">
        <f>IF(A5526&lt;&gt;"",DATE(YEAR(TRANSACTIONS!$A5526),MONTH(TRANSACTIONS!$A5526),DAY(TRANSACTIONS!$A5526)),"")</f>
        <v>45388</v>
      </c>
      <c r="D5526" s="42" t="s">
        <v>62</v>
      </c>
      <c r="E5526" s="40" t="s">
        <v>6</v>
      </c>
      <c r="F5526" s="109">
        <v>1500</v>
      </c>
      <c r="G5526" s="46"/>
      <c r="H5526" s="46">
        <f>IFERROR(TRANSACTIONS!$F5526+TRANSACTIONS!$G5526,"")</f>
        <v>1500</v>
      </c>
      <c r="I5526" s="40" t="s">
        <v>41</v>
      </c>
    </row>
    <row r="5527" spans="1:9" x14ac:dyDescent="0.25">
      <c r="A5527" s="41">
        <v>45388.617041319441</v>
      </c>
      <c r="B5527" s="48">
        <f>IF(A5527&lt;&gt;"",DATE(YEAR(TRANSACTIONS!$A5527),MONTH(TRANSACTIONS!$A5527),DAY(TRANSACTIONS!$A5527)),"")</f>
        <v>45388</v>
      </c>
      <c r="D5527" s="42" t="s">
        <v>62</v>
      </c>
      <c r="E5527" s="40" t="s">
        <v>7</v>
      </c>
      <c r="F5527" s="109">
        <v>40000</v>
      </c>
      <c r="G5527" s="46"/>
      <c r="H5527" s="46">
        <f>IFERROR(TRANSACTIONS!$F5527+TRANSACTIONS!$G5527,"")</f>
        <v>40000</v>
      </c>
      <c r="I5527" s="40" t="s">
        <v>41</v>
      </c>
    </row>
    <row r="5528" spans="1:9" x14ac:dyDescent="0.25">
      <c r="A5528" s="41">
        <v>45388.617151967592</v>
      </c>
      <c r="B5528" s="48">
        <f>IF(A5528&lt;&gt;"",DATE(YEAR(TRANSACTIONS!$A5528),MONTH(TRANSACTIONS!$A5528),DAY(TRANSACTIONS!$A5528)),"")</f>
        <v>45388</v>
      </c>
      <c r="D5528" s="42" t="s">
        <v>62</v>
      </c>
      <c r="E5528" s="40" t="s">
        <v>7</v>
      </c>
      <c r="F5528" s="109">
        <v>3500</v>
      </c>
      <c r="G5528" s="46"/>
      <c r="H5528" s="46">
        <f>IFERROR(TRANSACTIONS!$F5528+TRANSACTIONS!$G5528,"")</f>
        <v>3500</v>
      </c>
      <c r="I5528" s="40" t="s">
        <v>41</v>
      </c>
    </row>
    <row r="5529" spans="1:9" x14ac:dyDescent="0.25">
      <c r="A5529" s="41">
        <v>45388.621757986111</v>
      </c>
      <c r="B5529" s="48">
        <f>IF(A5529&lt;&gt;"",DATE(YEAR(TRANSACTIONS!$A5529),MONTH(TRANSACTIONS!$A5529),DAY(TRANSACTIONS!$A5529)),"")</f>
        <v>45388</v>
      </c>
      <c r="D5529" s="42" t="s">
        <v>62</v>
      </c>
      <c r="E5529" s="40" t="s">
        <v>7</v>
      </c>
      <c r="F5529" s="109">
        <v>11500</v>
      </c>
      <c r="G5529" s="46"/>
      <c r="H5529" s="46">
        <f>IFERROR(TRANSACTIONS!$F5529+TRANSACTIONS!$G5529,"")</f>
        <v>11500</v>
      </c>
      <c r="I5529" s="40" t="s">
        <v>41</v>
      </c>
    </row>
    <row r="5530" spans="1:9" x14ac:dyDescent="0.25">
      <c r="A5530" s="41">
        <v>45388.677421875</v>
      </c>
      <c r="B5530" s="48">
        <f>IF(A5530&lt;&gt;"",DATE(YEAR(TRANSACTIONS!$A5530),MONTH(TRANSACTIONS!$A5530),DAY(TRANSACTIONS!$A5530)),"")</f>
        <v>45388</v>
      </c>
      <c r="D5530" s="42" t="s">
        <v>62</v>
      </c>
      <c r="E5530" s="40" t="s">
        <v>7</v>
      </c>
      <c r="F5530" s="109">
        <v>15000</v>
      </c>
      <c r="G5530" s="46"/>
      <c r="H5530" s="46">
        <f>IFERROR(TRANSACTIONS!$F5530+TRANSACTIONS!$G5530,"")</f>
        <v>15000</v>
      </c>
      <c r="I5530" s="40" t="s">
        <v>41</v>
      </c>
    </row>
    <row r="5531" spans="1:9" x14ac:dyDescent="0.25">
      <c r="A5531" s="41">
        <v>45388.678177199072</v>
      </c>
      <c r="B5531" s="48">
        <f>IF(A5531&lt;&gt;"",DATE(YEAR(TRANSACTIONS!$A5531),MONTH(TRANSACTIONS!$A5531),DAY(TRANSACTIONS!$A5531)),"")</f>
        <v>45388</v>
      </c>
      <c r="D5531" s="42" t="s">
        <v>62</v>
      </c>
      <c r="E5531" s="40" t="s">
        <v>6</v>
      </c>
      <c r="F5531" s="109">
        <v>35300</v>
      </c>
      <c r="G5531" s="46"/>
      <c r="H5531" s="46">
        <f>IFERROR(TRANSACTIONS!$F5531+TRANSACTIONS!$G5531,"")</f>
        <v>35300</v>
      </c>
      <c r="I5531" s="40" t="s">
        <v>41</v>
      </c>
    </row>
    <row r="5532" spans="1:9" x14ac:dyDescent="0.25">
      <c r="A5532" s="41">
        <v>45388.678185069446</v>
      </c>
      <c r="B5532" s="48">
        <f>IF(A5532&lt;&gt;"",DATE(YEAR(TRANSACTIONS!$A5532),MONTH(TRANSACTIONS!$A5532),DAY(TRANSACTIONS!$A5532)),"")</f>
        <v>45388</v>
      </c>
      <c r="D5532" s="42" t="s">
        <v>62</v>
      </c>
      <c r="E5532" s="40" t="s">
        <v>7</v>
      </c>
      <c r="F5532" s="109">
        <v>3000</v>
      </c>
      <c r="G5532" s="46"/>
      <c r="H5532" s="46">
        <f>IFERROR(TRANSACTIONS!$F5532+TRANSACTIONS!$G5532,"")</f>
        <v>3000</v>
      </c>
      <c r="I5532" s="40" t="s">
        <v>41</v>
      </c>
    </row>
    <row r="5533" spans="1:9" x14ac:dyDescent="0.25">
      <c r="A5533" s="41">
        <v>45388.678193055559</v>
      </c>
      <c r="B5533" s="48">
        <f>IF(A5533&lt;&gt;"",DATE(YEAR(TRANSACTIONS!$A5533),MONTH(TRANSACTIONS!$A5533),DAY(TRANSACTIONS!$A5533)),"")</f>
        <v>45388</v>
      </c>
      <c r="D5533" s="42" t="s">
        <v>62</v>
      </c>
      <c r="E5533" s="40" t="s">
        <v>7</v>
      </c>
      <c r="F5533" s="109">
        <v>5000</v>
      </c>
      <c r="G5533" s="46"/>
      <c r="H5533" s="46">
        <f>IFERROR(TRANSACTIONS!$F5533+TRANSACTIONS!$G5533,"")</f>
        <v>5000</v>
      </c>
      <c r="I5533" s="40" t="s">
        <v>41</v>
      </c>
    </row>
    <row r="5534" spans="1:9" x14ac:dyDescent="0.25">
      <c r="A5534" s="41">
        <v>45388.678204282405</v>
      </c>
      <c r="B5534" s="48">
        <f>IF(A5534&lt;&gt;"",DATE(YEAR(TRANSACTIONS!$A5534),MONTH(TRANSACTIONS!$A5534),DAY(TRANSACTIONS!$A5534)),"")</f>
        <v>45388</v>
      </c>
      <c r="D5534" s="42" t="s">
        <v>62</v>
      </c>
      <c r="E5534" s="40" t="s">
        <v>7</v>
      </c>
      <c r="F5534" s="109">
        <v>5000</v>
      </c>
      <c r="G5534" s="46"/>
      <c r="H5534" s="46">
        <f>IFERROR(TRANSACTIONS!$F5534+TRANSACTIONS!$G5534,"")</f>
        <v>5000</v>
      </c>
      <c r="I5534" s="40" t="s">
        <v>41</v>
      </c>
    </row>
    <row r="5535" spans="1:9" x14ac:dyDescent="0.25">
      <c r="A5535" s="41">
        <v>45388.678229976853</v>
      </c>
      <c r="B5535" s="48">
        <f>IF(A5535&lt;&gt;"",DATE(YEAR(TRANSACTIONS!$A5535),MONTH(TRANSACTIONS!$A5535),DAY(TRANSACTIONS!$A5535)),"")</f>
        <v>45388</v>
      </c>
      <c r="D5535" s="42" t="s">
        <v>62</v>
      </c>
      <c r="E5535" s="40" t="s">
        <v>7</v>
      </c>
      <c r="F5535" s="109">
        <v>30000</v>
      </c>
      <c r="G5535" s="46"/>
      <c r="H5535" s="46">
        <f>IFERROR(TRANSACTIONS!$F5535+TRANSACTIONS!$G5535,"")</f>
        <v>30000</v>
      </c>
      <c r="I5535" s="40" t="s">
        <v>41</v>
      </c>
    </row>
    <row r="5536" spans="1:9" x14ac:dyDescent="0.25">
      <c r="A5536" s="41">
        <v>45388.678254398146</v>
      </c>
      <c r="B5536" s="48">
        <f>IF(A5536&lt;&gt;"",DATE(YEAR(TRANSACTIONS!$A5536),MONTH(TRANSACTIONS!$A5536),DAY(TRANSACTIONS!$A5536)),"")</f>
        <v>45388</v>
      </c>
      <c r="D5536" s="42" t="s">
        <v>64</v>
      </c>
      <c r="E5536" s="40" t="s">
        <v>6</v>
      </c>
      <c r="F5536" s="109">
        <v>500000</v>
      </c>
      <c r="G5536" s="46"/>
      <c r="H5536" s="46">
        <f>IFERROR(TRANSACTIONS!$F5536+TRANSACTIONS!$G5536,"")</f>
        <v>500000</v>
      </c>
      <c r="I5536" s="40" t="s">
        <v>41</v>
      </c>
    </row>
    <row r="5537" spans="1:10" x14ac:dyDescent="0.25">
      <c r="A5537" s="41">
        <v>45388.678238425928</v>
      </c>
      <c r="B5537" s="48">
        <f>IF(A5537&lt;&gt;"",DATE(YEAR(TRANSACTIONS!$A5537),MONTH(TRANSACTIONS!$A5537),DAY(TRANSACTIONS!$A5537)),"")</f>
        <v>45388</v>
      </c>
      <c r="D5537" s="42" t="s">
        <v>62</v>
      </c>
      <c r="E5537" s="40" t="s">
        <v>6</v>
      </c>
      <c r="F5537" s="109">
        <v>175000</v>
      </c>
      <c r="G5537" s="46"/>
      <c r="H5537" s="46">
        <f>IFERROR(TRANSACTIONS!$F5537+TRANSACTIONS!$G5537,"")</f>
        <v>175000</v>
      </c>
      <c r="I5537" s="40" t="s">
        <v>41</v>
      </c>
    </row>
    <row r="5538" spans="1:10" x14ac:dyDescent="0.25">
      <c r="A5538" s="41">
        <v>45388.67827384259</v>
      </c>
      <c r="B5538" s="48">
        <f>IF(A5538&lt;&gt;"",DATE(YEAR(TRANSACTIONS!$A5538),MONTH(TRANSACTIONS!$A5538),DAY(TRANSACTIONS!$A5538)),"")</f>
        <v>45388</v>
      </c>
      <c r="D5538" s="42" t="s">
        <v>62</v>
      </c>
      <c r="E5538" s="40" t="s">
        <v>6</v>
      </c>
      <c r="F5538" s="109">
        <v>5000</v>
      </c>
      <c r="G5538" s="46"/>
      <c r="H5538" s="46">
        <f>IFERROR(TRANSACTIONS!$F5538+TRANSACTIONS!$G5538,"")</f>
        <v>5000</v>
      </c>
      <c r="I5538" s="40" t="s">
        <v>41</v>
      </c>
    </row>
    <row r="5539" spans="1:10" x14ac:dyDescent="0.25">
      <c r="A5539" s="41">
        <v>45388.678304629633</v>
      </c>
      <c r="B5539" s="48">
        <f>IF(A5539&lt;&gt;"",DATE(YEAR(TRANSACTIONS!$A5539),MONTH(TRANSACTIONS!$A5539),DAY(TRANSACTIONS!$A5539)),"")</f>
        <v>45388</v>
      </c>
      <c r="D5539" s="42" t="s">
        <v>62</v>
      </c>
      <c r="E5539" s="40" t="s">
        <v>6</v>
      </c>
      <c r="F5539" s="109">
        <v>30300</v>
      </c>
      <c r="G5539" s="46"/>
      <c r="H5539" s="46">
        <f>IFERROR(TRANSACTIONS!$F5539+TRANSACTIONS!$G5539,"")</f>
        <v>30300</v>
      </c>
      <c r="I5539" s="40" t="s">
        <v>41</v>
      </c>
    </row>
    <row r="5540" spans="1:10" x14ac:dyDescent="0.25">
      <c r="A5540" s="113">
        <v>45388.678284953705</v>
      </c>
      <c r="B5540" s="114">
        <f>IF(A5540&lt;&gt;"",DATE(YEAR(TRANSACTIONS!$A5540),MONTH(TRANSACTIONS!$A5540),DAY(TRANSACTIONS!$A5540)),"")</f>
        <v>45388</v>
      </c>
      <c r="C5540" s="122"/>
      <c r="D5540" s="116" t="s">
        <v>64</v>
      </c>
      <c r="E5540" s="40" t="s">
        <v>7</v>
      </c>
      <c r="F5540" s="109">
        <v>1300000</v>
      </c>
      <c r="G5540" s="117"/>
      <c r="H5540" s="117">
        <f>IFERROR(TRANSACTIONS!$F5540+TRANSACTIONS!$G5540,"")</f>
        <v>1300000</v>
      </c>
      <c r="I5540" s="118" t="s">
        <v>41</v>
      </c>
      <c r="J5540" s="118"/>
    </row>
    <row r="5541" spans="1:10" x14ac:dyDescent="0.25">
      <c r="A5541" s="41">
        <v>45388.678313425924</v>
      </c>
      <c r="B5541" s="48">
        <f>IF(A5541&lt;&gt;"",DATE(YEAR(TRANSACTIONS!$A5541),MONTH(TRANSACTIONS!$A5541),DAY(TRANSACTIONS!$A5541)),"")</f>
        <v>45388</v>
      </c>
      <c r="D5541" s="42" t="s">
        <v>62</v>
      </c>
      <c r="E5541" s="40" t="s">
        <v>6</v>
      </c>
      <c r="F5541" s="109">
        <v>6000</v>
      </c>
      <c r="G5541" s="46"/>
      <c r="H5541" s="46">
        <f>IFERROR(TRANSACTIONS!$F5541+TRANSACTIONS!$G5541,"")</f>
        <v>6000</v>
      </c>
      <c r="I5541" s="40" t="s">
        <v>41</v>
      </c>
    </row>
    <row r="5542" spans="1:10" x14ac:dyDescent="0.25">
      <c r="A5542" s="113">
        <v>45388.678328125003</v>
      </c>
      <c r="B5542" s="114">
        <f>IF(A5542&lt;&gt;"",DATE(YEAR(TRANSACTIONS!$A5542),MONTH(TRANSACTIONS!$A5542),DAY(TRANSACTIONS!$A5542)),"")</f>
        <v>45388</v>
      </c>
      <c r="C5542" s="122"/>
      <c r="D5542" s="116" t="s">
        <v>62</v>
      </c>
      <c r="E5542" s="40" t="s">
        <v>6</v>
      </c>
      <c r="F5542" s="109">
        <v>5000</v>
      </c>
      <c r="G5542" s="117"/>
      <c r="H5542" s="117">
        <f>IFERROR(TRANSACTIONS!$F5542+TRANSACTIONS!$G5542,"")</f>
        <v>5000</v>
      </c>
      <c r="I5542" s="118" t="s">
        <v>41</v>
      </c>
    </row>
    <row r="5543" spans="1:10" x14ac:dyDescent="0.25">
      <c r="A5543" s="113">
        <v>45388.678346064815</v>
      </c>
      <c r="B5543" s="114">
        <f>IF(A5543&lt;&gt;"",DATE(YEAR(TRANSACTIONS!$A5543),MONTH(TRANSACTIONS!$A5543),DAY(TRANSACTIONS!$A5543)),"")</f>
        <v>45388</v>
      </c>
      <c r="C5543" s="122"/>
      <c r="D5543" s="116" t="s">
        <v>62</v>
      </c>
      <c r="E5543" s="118" t="s">
        <v>7</v>
      </c>
      <c r="F5543" s="109">
        <v>1000</v>
      </c>
      <c r="G5543" s="117"/>
      <c r="H5543" s="117">
        <f>IFERROR(TRANSACTIONS!$F5543+TRANSACTIONS!$G5543,"")</f>
        <v>1000</v>
      </c>
      <c r="I5543" s="118" t="s">
        <v>41</v>
      </c>
    </row>
    <row r="5544" spans="1:10" x14ac:dyDescent="0.25">
      <c r="A5544" s="113">
        <v>45388.67835509259</v>
      </c>
      <c r="B5544" s="114">
        <f>IF(A5544&lt;&gt;"",DATE(YEAR(TRANSACTIONS!$A5544),MONTH(TRANSACTIONS!$A5544),DAY(TRANSACTIONS!$A5544)),"")</f>
        <v>45388</v>
      </c>
      <c r="C5544" s="122"/>
      <c r="D5544" s="116" t="s">
        <v>62</v>
      </c>
      <c r="E5544" s="118" t="s">
        <v>6</v>
      </c>
      <c r="F5544" s="109">
        <v>300000</v>
      </c>
      <c r="G5544" s="117"/>
      <c r="H5544" s="117">
        <f>IFERROR(TRANSACTIONS!$F5544+TRANSACTIONS!$G5544,"")</f>
        <v>300000</v>
      </c>
      <c r="I5544" s="118" t="s">
        <v>41</v>
      </c>
    </row>
    <row r="5545" spans="1:10" x14ac:dyDescent="0.25">
      <c r="A5545" s="113">
        <v>45388.678364120373</v>
      </c>
      <c r="B5545" s="114">
        <f>IF(A5545&lt;&gt;"",DATE(YEAR(TRANSACTIONS!$A5545),MONTH(TRANSACTIONS!$A5545),DAY(TRANSACTIONS!$A5545)),"")</f>
        <v>45388</v>
      </c>
      <c r="C5545" s="122"/>
      <c r="D5545" s="116" t="s">
        <v>62</v>
      </c>
      <c r="E5545" s="118" t="s">
        <v>7</v>
      </c>
      <c r="F5545" s="109">
        <v>500000</v>
      </c>
      <c r="G5545" s="117"/>
      <c r="H5545" s="117">
        <f>IFERROR(TRANSACTIONS!$F5545+TRANSACTIONS!$G5545,"")</f>
        <v>500000</v>
      </c>
      <c r="I5545" s="118" t="s">
        <v>41</v>
      </c>
    </row>
    <row r="5546" spans="1:10" x14ac:dyDescent="0.25">
      <c r="A5546" s="113">
        <v>45388.678373842595</v>
      </c>
      <c r="B5546" s="114">
        <f>IF(A5546&lt;&gt;"",DATE(YEAR(TRANSACTIONS!$A5546),MONTH(TRANSACTIONS!$A5546),DAY(TRANSACTIONS!$A5546)),"")</f>
        <v>45388</v>
      </c>
      <c r="C5546" s="122"/>
      <c r="D5546" s="116" t="s">
        <v>62</v>
      </c>
      <c r="E5546" s="118" t="s">
        <v>7</v>
      </c>
      <c r="F5546" s="109">
        <v>50900</v>
      </c>
      <c r="G5546" s="117"/>
      <c r="H5546" s="117">
        <f>IFERROR(TRANSACTIONS!$F5546+TRANSACTIONS!$G5546,"")</f>
        <v>50900</v>
      </c>
      <c r="I5546" s="118" t="s">
        <v>41</v>
      </c>
    </row>
    <row r="5547" spans="1:10" x14ac:dyDescent="0.25">
      <c r="A5547" s="113">
        <v>45388.678383564817</v>
      </c>
      <c r="B5547" s="114">
        <f>IF(A5547&lt;&gt;"",DATE(YEAR(TRANSACTIONS!$A5547),MONTH(TRANSACTIONS!$A5547),DAY(TRANSACTIONS!$A5547)),"")</f>
        <v>45388</v>
      </c>
      <c r="C5547" s="122"/>
      <c r="D5547" s="116" t="s">
        <v>62</v>
      </c>
      <c r="E5547" s="118" t="s">
        <v>6</v>
      </c>
      <c r="F5547" s="109">
        <v>7000</v>
      </c>
      <c r="G5547" s="117"/>
      <c r="H5547" s="117">
        <f>IFERROR(TRANSACTIONS!$F5547+TRANSACTIONS!$G5547,"")</f>
        <v>7000</v>
      </c>
      <c r="I5547" s="118" t="s">
        <v>41</v>
      </c>
    </row>
    <row r="5548" spans="1:10" x14ac:dyDescent="0.25">
      <c r="A5548" s="113">
        <v>45388.678403356484</v>
      </c>
      <c r="B5548" s="114">
        <f>IF(A5548&lt;&gt;"",DATE(YEAR(TRANSACTIONS!$A5548),MONTH(TRANSACTIONS!$A5548),DAY(TRANSACTIONS!$A5548)),"")</f>
        <v>45388</v>
      </c>
      <c r="C5548" s="122"/>
      <c r="D5548" s="116" t="s">
        <v>64</v>
      </c>
      <c r="E5548" s="118" t="s">
        <v>6</v>
      </c>
      <c r="F5548" s="109">
        <v>263000</v>
      </c>
      <c r="G5548" s="117"/>
      <c r="H5548" s="117">
        <f>IFERROR(TRANSACTIONS!$F5548+TRANSACTIONS!$G5548,"")</f>
        <v>263000</v>
      </c>
      <c r="I5548" s="118" t="s">
        <v>41</v>
      </c>
    </row>
    <row r="5549" spans="1:10" x14ac:dyDescent="0.25">
      <c r="A5549" s="113">
        <v>45388.678413773145</v>
      </c>
      <c r="B5549" s="114">
        <f>IF(A5549&lt;&gt;"",DATE(YEAR(TRANSACTIONS!$A5549),MONTH(TRANSACTIONS!$A5549),DAY(TRANSACTIONS!$A5549)),"")</f>
        <v>45388</v>
      </c>
      <c r="C5549" s="122"/>
      <c r="D5549" s="116" t="s">
        <v>25</v>
      </c>
      <c r="E5549" s="118" t="s">
        <v>7</v>
      </c>
      <c r="F5549" s="109">
        <v>1500</v>
      </c>
      <c r="G5549" s="117"/>
      <c r="H5549" s="117">
        <f>IFERROR(TRANSACTIONS!$F5549+TRANSACTIONS!$G5549,"")</f>
        <v>1500</v>
      </c>
      <c r="I5549" s="118" t="s">
        <v>41</v>
      </c>
    </row>
    <row r="5550" spans="1:10" x14ac:dyDescent="0.25">
      <c r="A5550" s="113">
        <v>45388.678429745371</v>
      </c>
      <c r="B5550" s="114">
        <f>IF(A5550&lt;&gt;"",DATE(YEAR(TRANSACTIONS!$A5550),MONTH(TRANSACTIONS!$A5550),DAY(TRANSACTIONS!$A5550)),"")</f>
        <v>45388</v>
      </c>
      <c r="C5550" s="122"/>
      <c r="D5550" s="116" t="s">
        <v>25</v>
      </c>
      <c r="E5550" s="118" t="s">
        <v>6</v>
      </c>
      <c r="F5550" s="109">
        <v>1100</v>
      </c>
      <c r="G5550" s="117"/>
      <c r="H5550" s="117">
        <f>IFERROR(TRANSACTIONS!$F5550+TRANSACTIONS!$G5550,"")</f>
        <v>1100</v>
      </c>
      <c r="I5550" s="118" t="s">
        <v>41</v>
      </c>
    </row>
    <row r="5551" spans="1:10" x14ac:dyDescent="0.25">
      <c r="A5551" s="113">
        <v>45388.689505439812</v>
      </c>
      <c r="B5551" s="114">
        <f>IF(A5551&lt;&gt;"",DATE(YEAR(TRANSACTIONS!$A5551),MONTH(TRANSACTIONS!$A5551),DAY(TRANSACTIONS!$A5551)),"")</f>
        <v>45388</v>
      </c>
      <c r="C5551" s="122"/>
      <c r="D5551" s="116" t="s">
        <v>25</v>
      </c>
      <c r="E5551" s="118" t="s">
        <v>7</v>
      </c>
      <c r="F5551" s="109">
        <v>5000</v>
      </c>
      <c r="G5551" s="117"/>
      <c r="H5551" s="117">
        <f>IFERROR(TRANSACTIONS!$F5551+TRANSACTIONS!$G5551,"")</f>
        <v>5000</v>
      </c>
      <c r="I5551" s="118" t="s">
        <v>41</v>
      </c>
    </row>
    <row r="5552" spans="1:10" x14ac:dyDescent="0.25">
      <c r="A5552" s="113">
        <v>45388.689508449075</v>
      </c>
      <c r="B5552" s="114">
        <f>IF(A5552&lt;&gt;"",DATE(YEAR(TRANSACTIONS!$A5552),MONTH(TRANSACTIONS!$A5552),DAY(TRANSACTIONS!$A5552)),"")</f>
        <v>45388</v>
      </c>
      <c r="C5552" s="122"/>
      <c r="D5552" s="116" t="s">
        <v>25</v>
      </c>
      <c r="E5552" s="118" t="s">
        <v>6</v>
      </c>
      <c r="F5552" s="109">
        <v>10000</v>
      </c>
      <c r="G5552" s="117"/>
      <c r="H5552" s="117">
        <f>IFERROR(TRANSACTIONS!$F5552+TRANSACTIONS!$G5552,"")</f>
        <v>10000</v>
      </c>
      <c r="I5552" s="118" t="s">
        <v>41</v>
      </c>
    </row>
    <row r="5553" spans="1:9" x14ac:dyDescent="0.25">
      <c r="A5553" s="113">
        <v>45388.689541203705</v>
      </c>
      <c r="B5553" s="114">
        <f>IF(A5553&lt;&gt;"",DATE(YEAR(TRANSACTIONS!$A5553),MONTH(TRANSACTIONS!$A5553),DAY(TRANSACTIONS!$A5553)),"")</f>
        <v>45388</v>
      </c>
      <c r="C5553" s="122"/>
      <c r="D5553" s="116" t="s">
        <v>25</v>
      </c>
      <c r="E5553" s="118" t="s">
        <v>6</v>
      </c>
      <c r="F5553" s="109">
        <v>14000</v>
      </c>
      <c r="G5553" s="117"/>
      <c r="H5553" s="117">
        <f>IFERROR(TRANSACTIONS!$F5553+TRANSACTIONS!$G5553,"")</f>
        <v>14000</v>
      </c>
      <c r="I5553" s="118" t="s">
        <v>41</v>
      </c>
    </row>
    <row r="5554" spans="1:9" x14ac:dyDescent="0.25">
      <c r="A5554" s="113">
        <v>45388.689549421295</v>
      </c>
      <c r="B5554" s="114">
        <f>IF(A5554&lt;&gt;"",DATE(YEAR(TRANSACTIONS!$A5554),MONTH(TRANSACTIONS!$A5554),DAY(TRANSACTIONS!$A5554)),"")</f>
        <v>45388</v>
      </c>
      <c r="C5554" s="122"/>
      <c r="D5554" s="116" t="s">
        <v>25</v>
      </c>
      <c r="E5554" s="118" t="s">
        <v>6</v>
      </c>
      <c r="F5554" s="109">
        <v>900</v>
      </c>
      <c r="G5554" s="117"/>
      <c r="H5554" s="117">
        <f>IFERROR(TRANSACTIONS!$F5554+TRANSACTIONS!$G5554,"")</f>
        <v>900</v>
      </c>
      <c r="I5554" s="118" t="s">
        <v>41</v>
      </c>
    </row>
    <row r="5555" spans="1:9" x14ac:dyDescent="0.25">
      <c r="A5555" s="113">
        <v>45388.689557175923</v>
      </c>
      <c r="B5555" s="114">
        <f>IF(A5555&lt;&gt;"",DATE(YEAR(TRANSACTIONS!$A5555),MONTH(TRANSACTIONS!$A5555),DAY(TRANSACTIONS!$A5555)),"")</f>
        <v>45388</v>
      </c>
      <c r="C5555" s="122"/>
      <c r="D5555" s="116" t="s">
        <v>25</v>
      </c>
      <c r="E5555" s="118" t="s">
        <v>7</v>
      </c>
      <c r="F5555" s="109">
        <v>20000</v>
      </c>
      <c r="G5555" s="117"/>
      <c r="H5555" s="117">
        <f>IFERROR(TRANSACTIONS!$F5555+TRANSACTIONS!$G5555,"")</f>
        <v>20000</v>
      </c>
      <c r="I5555" s="118" t="s">
        <v>41</v>
      </c>
    </row>
    <row r="5556" spans="1:9" x14ac:dyDescent="0.25">
      <c r="A5556" s="113">
        <v>45388.689576504628</v>
      </c>
      <c r="B5556" s="114">
        <f>IF(A5556&lt;&gt;"",DATE(YEAR(TRANSACTIONS!$A5556),MONTH(TRANSACTIONS!$A5556),DAY(TRANSACTIONS!$A5556)),"")</f>
        <v>45388</v>
      </c>
      <c r="C5556" s="122"/>
      <c r="D5556" s="116" t="s">
        <v>25</v>
      </c>
      <c r="E5556" s="118" t="s">
        <v>6</v>
      </c>
      <c r="F5556" s="109">
        <v>11500</v>
      </c>
      <c r="G5556" s="117"/>
      <c r="H5556" s="117">
        <f>IFERROR(TRANSACTIONS!$F5556+TRANSACTIONS!$G5556,"")</f>
        <v>11500</v>
      </c>
      <c r="I5556" s="118" t="s">
        <v>41</v>
      </c>
    </row>
    <row r="5557" spans="1:9" x14ac:dyDescent="0.25">
      <c r="A5557" s="113">
        <v>45388.689589930553</v>
      </c>
      <c r="B5557" s="114">
        <f>IF(A5557&lt;&gt;"",DATE(YEAR(TRANSACTIONS!$A5557),MONTH(TRANSACTIONS!$A5557),DAY(TRANSACTIONS!$A5557)),"")</f>
        <v>45388</v>
      </c>
      <c r="C5557" s="122"/>
      <c r="D5557" s="116" t="s">
        <v>25</v>
      </c>
      <c r="E5557" s="118" t="s">
        <v>6</v>
      </c>
      <c r="F5557" s="109">
        <v>2000</v>
      </c>
      <c r="G5557" s="117"/>
      <c r="H5557" s="117">
        <f>IFERROR(TRANSACTIONS!$F5557+TRANSACTIONS!$G5557,"")</f>
        <v>2000</v>
      </c>
      <c r="I5557" s="118" t="s">
        <v>41</v>
      </c>
    </row>
    <row r="5558" spans="1:9" x14ac:dyDescent="0.25">
      <c r="A5558" s="71">
        <v>45388.689597800927</v>
      </c>
      <c r="B5558" s="73">
        <f>IF(A5558&lt;&gt;"",DATE(YEAR(TRANSACTIONS!$A5558),MONTH(TRANSACTIONS!$A5558),DAY(TRANSACTIONS!$A5558)),"")</f>
        <v>45388</v>
      </c>
      <c r="C5558" s="121"/>
      <c r="D5558" s="72" t="s">
        <v>25</v>
      </c>
      <c r="E5558" s="76" t="s">
        <v>6</v>
      </c>
      <c r="F5558" s="159">
        <v>1000</v>
      </c>
      <c r="G5558" s="75"/>
      <c r="H5558" s="75">
        <f>IFERROR(TRANSACTIONS!$F5558+TRANSACTIONS!$G5558,"")</f>
        <v>1000</v>
      </c>
      <c r="I5558" s="76" t="s">
        <v>41</v>
      </c>
    </row>
    <row r="5559" spans="1:9" x14ac:dyDescent="0.25">
      <c r="A5559" s="113">
        <v>45388.68960474537</v>
      </c>
      <c r="B5559" s="114">
        <f>IF(A5559&lt;&gt;"",DATE(YEAR(TRANSACTIONS!$A5559),MONTH(TRANSACTIONS!$A5559),DAY(TRANSACTIONS!$A5559)),"")</f>
        <v>45388</v>
      </c>
      <c r="C5559" s="122"/>
      <c r="D5559" s="116" t="s">
        <v>25</v>
      </c>
      <c r="E5559" s="118" t="s">
        <v>6</v>
      </c>
      <c r="F5559" s="109">
        <v>5000</v>
      </c>
      <c r="G5559" s="117"/>
      <c r="H5559" s="117">
        <f>IFERROR(TRANSACTIONS!$F5559+TRANSACTIONS!$G5559,"")</f>
        <v>5000</v>
      </c>
      <c r="I5559" s="118" t="s">
        <v>41</v>
      </c>
    </row>
    <row r="5560" spans="1:9" x14ac:dyDescent="0.25">
      <c r="A5560" s="41">
        <v>45388.692088194446</v>
      </c>
      <c r="B5560" s="48">
        <f>IF(A5560&lt;&gt;"",DATE(YEAR(TRANSACTIONS!$A5560),MONTH(TRANSACTIONS!$A5560),DAY(TRANSACTIONS!$A5560)),"")</f>
        <v>45388</v>
      </c>
      <c r="D5560" s="42" t="s">
        <v>25</v>
      </c>
      <c r="E5560" s="40" t="s">
        <v>6</v>
      </c>
      <c r="F5560" s="109">
        <v>45000</v>
      </c>
      <c r="G5560" s="46"/>
      <c r="H5560" s="46">
        <f>IFERROR(TRANSACTIONS!$F5560+TRANSACTIONS!$G5560,"")</f>
        <v>45000</v>
      </c>
      <c r="I5560" s="40" t="s">
        <v>41</v>
      </c>
    </row>
    <row r="5561" spans="1:9" x14ac:dyDescent="0.25">
      <c r="A5561" s="41">
        <v>45388.692859143521</v>
      </c>
      <c r="B5561" s="48">
        <f>IF(A5561&lt;&gt;"",DATE(YEAR(TRANSACTIONS!$A5561),MONTH(TRANSACTIONS!$A5561),DAY(TRANSACTIONS!$A5561)),"")</f>
        <v>45388</v>
      </c>
      <c r="D5561" s="42" t="s">
        <v>25</v>
      </c>
      <c r="E5561" s="40" t="s">
        <v>6</v>
      </c>
      <c r="F5561" s="109">
        <v>200000</v>
      </c>
      <c r="G5561" s="46"/>
      <c r="H5561" s="46">
        <f>IFERROR(TRANSACTIONS!$F5561+TRANSACTIONS!$G5561,"")</f>
        <v>200000</v>
      </c>
      <c r="I5561" s="40" t="s">
        <v>41</v>
      </c>
    </row>
    <row r="5562" spans="1:9" x14ac:dyDescent="0.25">
      <c r="A5562" s="41">
        <v>45388.692877546295</v>
      </c>
      <c r="B5562" s="48">
        <f>IF(A5562&lt;&gt;"",DATE(YEAR(TRANSACTIONS!$A5562),MONTH(TRANSACTIONS!$A5562),DAY(TRANSACTIONS!$A5562)),"")</f>
        <v>45388</v>
      </c>
      <c r="D5562" s="42" t="s">
        <v>62</v>
      </c>
      <c r="E5562" s="40" t="s">
        <v>7</v>
      </c>
      <c r="F5562" s="109">
        <v>5000</v>
      </c>
      <c r="G5562" s="46"/>
      <c r="H5562" s="46">
        <f>IFERROR(TRANSACTIONS!$F5562+TRANSACTIONS!$G5562,"")</f>
        <v>5000</v>
      </c>
      <c r="I5562" s="40" t="s">
        <v>41</v>
      </c>
    </row>
    <row r="5563" spans="1:9" x14ac:dyDescent="0.25">
      <c r="A5563" s="41">
        <v>45388.692886226854</v>
      </c>
      <c r="B5563" s="48">
        <f>IF(A5563&lt;&gt;"",DATE(YEAR(TRANSACTIONS!$A5563),MONTH(TRANSACTIONS!$A5563),DAY(TRANSACTIONS!$A5563)),"")</f>
        <v>45388</v>
      </c>
      <c r="D5563" s="42" t="s">
        <v>62</v>
      </c>
      <c r="E5563" s="40" t="s">
        <v>7</v>
      </c>
      <c r="F5563" s="109">
        <v>5000</v>
      </c>
      <c r="G5563" s="46"/>
      <c r="H5563" s="46">
        <f>IFERROR(TRANSACTIONS!$F5563+TRANSACTIONS!$G5563,"")</f>
        <v>5000</v>
      </c>
      <c r="I5563" s="40" t="s">
        <v>41</v>
      </c>
    </row>
    <row r="5564" spans="1:9" x14ac:dyDescent="0.25">
      <c r="A5564" s="41">
        <v>45388.692894907406</v>
      </c>
      <c r="B5564" s="48">
        <f>IF(A5564&lt;&gt;"",DATE(YEAR(TRANSACTIONS!$A5564),MONTH(TRANSACTIONS!$A5564),DAY(TRANSACTIONS!$A5564)),"")</f>
        <v>45388</v>
      </c>
      <c r="D5564" s="42" t="s">
        <v>62</v>
      </c>
      <c r="E5564" s="40" t="s">
        <v>6</v>
      </c>
      <c r="F5564" s="109">
        <v>25000</v>
      </c>
      <c r="G5564" s="46"/>
      <c r="H5564" s="46">
        <f>IFERROR(TRANSACTIONS!$F5564+TRANSACTIONS!$G5564,"")</f>
        <v>25000</v>
      </c>
      <c r="I5564" s="40" t="s">
        <v>41</v>
      </c>
    </row>
    <row r="5565" spans="1:9" x14ac:dyDescent="0.25">
      <c r="A5565" s="41">
        <v>45388.694793518516</v>
      </c>
      <c r="B5565" s="48">
        <f>IF(A5565&lt;&gt;"",DATE(YEAR(TRANSACTIONS!$A5565),MONTH(TRANSACTIONS!$A5565),DAY(TRANSACTIONS!$A5565)),"")</f>
        <v>45388</v>
      </c>
      <c r="D5565" s="42" t="s">
        <v>62</v>
      </c>
      <c r="E5565" s="40" t="s">
        <v>7</v>
      </c>
      <c r="F5565" s="109">
        <v>25000</v>
      </c>
      <c r="G5565" s="46"/>
      <c r="H5565" s="46">
        <f>IFERROR(TRANSACTIONS!$F5565+TRANSACTIONS!$G5565,"")</f>
        <v>25000</v>
      </c>
      <c r="I5565" s="40" t="s">
        <v>41</v>
      </c>
    </row>
    <row r="5566" spans="1:9" x14ac:dyDescent="0.25">
      <c r="A5566" s="41">
        <v>45388.696863773148</v>
      </c>
      <c r="B5566" s="48">
        <f>IF(A5566&lt;&gt;"",DATE(YEAR(TRANSACTIONS!$A5566),MONTH(TRANSACTIONS!$A5566),DAY(TRANSACTIONS!$A5566)),"")</f>
        <v>45388</v>
      </c>
      <c r="D5566" s="42" t="s">
        <v>62</v>
      </c>
      <c r="E5566" s="40" t="s">
        <v>6</v>
      </c>
      <c r="F5566" s="109">
        <v>20000</v>
      </c>
      <c r="G5566" s="46"/>
      <c r="H5566" s="46">
        <f>IFERROR(TRANSACTIONS!$F5566+TRANSACTIONS!$G5566,"")</f>
        <v>20000</v>
      </c>
      <c r="I5566" s="40" t="s">
        <v>41</v>
      </c>
    </row>
    <row r="5567" spans="1:9" x14ac:dyDescent="0.25">
      <c r="A5567" s="41">
        <v>45388.696888888888</v>
      </c>
      <c r="B5567" s="48">
        <f>IF(A5567&lt;&gt;"",DATE(YEAR(TRANSACTIONS!$A5567),MONTH(TRANSACTIONS!$A5567),DAY(TRANSACTIONS!$A5567)),"")</f>
        <v>45388</v>
      </c>
      <c r="D5567" s="42" t="s">
        <v>62</v>
      </c>
      <c r="E5567" s="40" t="s">
        <v>6</v>
      </c>
      <c r="F5567" s="109">
        <v>2000</v>
      </c>
      <c r="G5567" s="46"/>
      <c r="H5567" s="46">
        <f>IFERROR(TRANSACTIONS!$F5567+TRANSACTIONS!$G5567,"")</f>
        <v>2000</v>
      </c>
      <c r="I5567" s="40" t="s">
        <v>41</v>
      </c>
    </row>
    <row r="5568" spans="1:9" x14ac:dyDescent="0.25">
      <c r="A5568" s="41">
        <v>45388.696872453707</v>
      </c>
      <c r="B5568" s="48">
        <f>IF(A5568&lt;&gt;"",DATE(YEAR(TRANSACTIONS!$A5568),MONTH(TRANSACTIONS!$A5568),DAY(TRANSACTIONS!$A5568)),"")</f>
        <v>45388</v>
      </c>
      <c r="D5568" s="42" t="s">
        <v>62</v>
      </c>
      <c r="E5568" s="40" t="s">
        <v>6</v>
      </c>
      <c r="F5568" s="109">
        <v>10000</v>
      </c>
      <c r="G5568" s="46"/>
      <c r="H5568" s="46">
        <f>IFERROR(TRANSACTIONS!$F5568+TRANSACTIONS!$G5568,"")</f>
        <v>10000</v>
      </c>
      <c r="I5568" s="40" t="s">
        <v>41</v>
      </c>
    </row>
    <row r="5569" spans="1:9" x14ac:dyDescent="0.25">
      <c r="A5569" s="41">
        <v>45388.696897916663</v>
      </c>
      <c r="B5569" s="48">
        <f>IF(A5569&lt;&gt;"",DATE(YEAR(TRANSACTIONS!$A5569),MONTH(TRANSACTIONS!$A5569),DAY(TRANSACTIONS!$A5569)),"")</f>
        <v>45388</v>
      </c>
      <c r="D5569" s="42" t="s">
        <v>62</v>
      </c>
      <c r="E5569" s="40" t="s">
        <v>6</v>
      </c>
      <c r="F5569" s="109">
        <v>130000</v>
      </c>
      <c r="G5569" s="46"/>
      <c r="H5569" s="46">
        <f>IFERROR(TRANSACTIONS!$F5569+TRANSACTIONS!$G5569,"")</f>
        <v>130000</v>
      </c>
      <c r="I5569" s="40" t="s">
        <v>41</v>
      </c>
    </row>
    <row r="5570" spans="1:9" x14ac:dyDescent="0.25">
      <c r="A5570" s="41">
        <v>45388.696909606479</v>
      </c>
      <c r="B5570" s="48">
        <f>IF(A5570&lt;&gt;"",DATE(YEAR(TRANSACTIONS!$A5570),MONTH(TRANSACTIONS!$A5570),DAY(TRANSACTIONS!$A5570)),"")</f>
        <v>45388</v>
      </c>
      <c r="D5570" s="42" t="s">
        <v>62</v>
      </c>
      <c r="E5570" s="40" t="s">
        <v>6</v>
      </c>
      <c r="F5570" s="109">
        <v>50500</v>
      </c>
      <c r="G5570" s="46"/>
      <c r="H5570" s="46">
        <f>IFERROR(TRANSACTIONS!$F5570+TRANSACTIONS!$G5570,"")</f>
        <v>50500</v>
      </c>
      <c r="I5570" s="40" t="s">
        <v>41</v>
      </c>
    </row>
    <row r="5571" spans="1:9" x14ac:dyDescent="0.25">
      <c r="A5571" s="41">
        <v>45388.696923379626</v>
      </c>
      <c r="B5571" s="48">
        <f>IF(A5571&lt;&gt;"",DATE(YEAR(TRANSACTIONS!$A5571),MONTH(TRANSACTIONS!$A5571),DAY(TRANSACTIONS!$A5571)),"")</f>
        <v>45388</v>
      </c>
      <c r="D5571" s="42" t="s">
        <v>62</v>
      </c>
      <c r="E5571" s="40" t="s">
        <v>6</v>
      </c>
      <c r="F5571" s="109">
        <v>10000</v>
      </c>
      <c r="G5571" s="46"/>
      <c r="H5571" s="46">
        <f>IFERROR(TRANSACTIONS!$F5571+TRANSACTIONS!$G5571,"")</f>
        <v>10000</v>
      </c>
      <c r="I5571" s="40" t="s">
        <v>41</v>
      </c>
    </row>
    <row r="5572" spans="1:9" x14ac:dyDescent="0.25">
      <c r="A5572" s="41">
        <v>45388.696940740738</v>
      </c>
      <c r="B5572" s="48">
        <f>IF(A5572&lt;&gt;"",DATE(YEAR(TRANSACTIONS!$A5572),MONTH(TRANSACTIONS!$A5572),DAY(TRANSACTIONS!$A5572)),"")</f>
        <v>45388</v>
      </c>
      <c r="D5572" s="42" t="s">
        <v>62</v>
      </c>
      <c r="E5572" s="40" t="s">
        <v>6</v>
      </c>
      <c r="F5572" s="109">
        <v>80000</v>
      </c>
      <c r="G5572" s="46"/>
      <c r="H5572" s="46">
        <f>IFERROR(TRANSACTIONS!$F5572+TRANSACTIONS!$G5572,"")</f>
        <v>80000</v>
      </c>
      <c r="I5572" s="40" t="s">
        <v>41</v>
      </c>
    </row>
    <row r="5573" spans="1:9" x14ac:dyDescent="0.25">
      <c r="A5573" s="41">
        <v>45388.696950925929</v>
      </c>
      <c r="B5573" s="48">
        <f>IF(A5573&lt;&gt;"",DATE(YEAR(TRANSACTIONS!$A5573),MONTH(TRANSACTIONS!$A5573),DAY(TRANSACTIONS!$A5573)),"")</f>
        <v>45388</v>
      </c>
      <c r="D5573" s="42" t="s">
        <v>62</v>
      </c>
      <c r="E5573" s="40" t="s">
        <v>7</v>
      </c>
      <c r="F5573" s="109">
        <v>15000</v>
      </c>
      <c r="G5573" s="46"/>
      <c r="H5573" s="46">
        <f>IFERROR(TRANSACTIONS!$F5573+TRANSACTIONS!$G5573,"")</f>
        <v>15000</v>
      </c>
      <c r="I5573" s="40" t="s">
        <v>41</v>
      </c>
    </row>
    <row r="5574" spans="1:9" x14ac:dyDescent="0.25">
      <c r="A5574" s="41">
        <v>45388.698500925922</v>
      </c>
      <c r="B5574" s="48">
        <f>IF(A5574&lt;&gt;"",DATE(YEAR(TRANSACTIONS!$A5574),MONTH(TRANSACTIONS!$A5574),DAY(TRANSACTIONS!$A5574)),"")</f>
        <v>45388</v>
      </c>
      <c r="D5574" s="42" t="s">
        <v>62</v>
      </c>
      <c r="E5574" s="40" t="s">
        <v>7</v>
      </c>
      <c r="F5574" s="109">
        <v>10000</v>
      </c>
      <c r="G5574" s="46"/>
      <c r="H5574" s="46">
        <f>IFERROR(TRANSACTIONS!$F5574+TRANSACTIONS!$G5574,"")</f>
        <v>10000</v>
      </c>
      <c r="I5574" s="40" t="s">
        <v>41</v>
      </c>
    </row>
    <row r="5575" spans="1:9" x14ac:dyDescent="0.25">
      <c r="A5575" s="41">
        <v>45388.744913657407</v>
      </c>
      <c r="B5575" s="48">
        <f>IF(A5575&lt;&gt;"",DATE(YEAR(TRANSACTIONS!$A5575),MONTH(TRANSACTIONS!$A5575),DAY(TRANSACTIONS!$A5575)),"")</f>
        <v>45388</v>
      </c>
      <c r="D5575" s="42" t="s">
        <v>62</v>
      </c>
      <c r="E5575" s="40" t="s">
        <v>7</v>
      </c>
      <c r="F5575" s="109">
        <v>14500</v>
      </c>
      <c r="G5575" s="46"/>
      <c r="H5575" s="46">
        <f>IFERROR(TRANSACTIONS!$F5575+TRANSACTIONS!$G5575,"")</f>
        <v>14500</v>
      </c>
      <c r="I5575" s="40" t="s">
        <v>41</v>
      </c>
    </row>
    <row r="5576" spans="1:9" x14ac:dyDescent="0.25">
      <c r="A5576" s="41">
        <v>45388.744917245371</v>
      </c>
      <c r="B5576" s="48">
        <f>IF(A5576&lt;&gt;"",DATE(YEAR(TRANSACTIONS!$A5576),MONTH(TRANSACTIONS!$A5576),DAY(TRANSACTIONS!$A5576)),"")</f>
        <v>45388</v>
      </c>
      <c r="D5576" s="42" t="s">
        <v>62</v>
      </c>
      <c r="E5576" s="40" t="s">
        <v>6</v>
      </c>
      <c r="F5576" s="109">
        <v>50000</v>
      </c>
      <c r="G5576" s="46"/>
      <c r="H5576" s="46">
        <f>IFERROR(TRANSACTIONS!$F5576+TRANSACTIONS!$G5576,"")</f>
        <v>50000</v>
      </c>
      <c r="I5576" s="40" t="s">
        <v>41</v>
      </c>
    </row>
    <row r="5577" spans="1:9" x14ac:dyDescent="0.25">
      <c r="A5577" s="41">
        <v>45388.744965046295</v>
      </c>
      <c r="B5577" s="48">
        <f>IF(A5577&lt;&gt;"",DATE(YEAR(TRANSACTIONS!$A5577),MONTH(TRANSACTIONS!$A5577),DAY(TRANSACTIONS!$A5577)),"")</f>
        <v>45388</v>
      </c>
      <c r="D5577" s="42" t="s">
        <v>62</v>
      </c>
      <c r="E5577" s="40" t="s">
        <v>6</v>
      </c>
      <c r="F5577" s="109">
        <v>40000</v>
      </c>
      <c r="G5577" s="46"/>
      <c r="H5577" s="46">
        <f>IFERROR(TRANSACTIONS!$F5577+TRANSACTIONS!$G5577,"")</f>
        <v>40000</v>
      </c>
      <c r="I5577" s="110" t="s">
        <v>41</v>
      </c>
    </row>
    <row r="5578" spans="1:9" x14ac:dyDescent="0.25">
      <c r="A5578" s="41">
        <v>45388.744972685185</v>
      </c>
      <c r="B5578" s="48">
        <f>IF(A5578&lt;&gt;"",DATE(YEAR(TRANSACTIONS!$A5578),MONTH(TRANSACTIONS!$A5578),DAY(TRANSACTIONS!$A5578)),"")</f>
        <v>45388</v>
      </c>
      <c r="D5578" s="42" t="s">
        <v>62</v>
      </c>
      <c r="E5578" s="40" t="s">
        <v>6</v>
      </c>
      <c r="F5578" s="109">
        <v>10000</v>
      </c>
      <c r="G5578" s="46"/>
      <c r="H5578" s="46">
        <f>IFERROR(TRANSACTIONS!$F5578+TRANSACTIONS!$G5578,"")</f>
        <v>10000</v>
      </c>
      <c r="I5578" s="40" t="s">
        <v>41</v>
      </c>
    </row>
    <row r="5579" spans="1:9" x14ac:dyDescent="0.25">
      <c r="A5579" s="41">
        <v>45388.74498009259</v>
      </c>
      <c r="B5579" s="48">
        <f>IF(A5579&lt;&gt;"",DATE(YEAR(TRANSACTIONS!$A5579),MONTH(TRANSACTIONS!$A5579),DAY(TRANSACTIONS!$A5579)),"")</f>
        <v>45388</v>
      </c>
      <c r="D5579" s="42" t="s">
        <v>62</v>
      </c>
      <c r="E5579" s="40" t="s">
        <v>7</v>
      </c>
      <c r="F5579" s="109">
        <v>1000</v>
      </c>
      <c r="G5579" s="46"/>
      <c r="H5579" s="46">
        <f>IFERROR(TRANSACTIONS!$F5579+TRANSACTIONS!$G5579,"")</f>
        <v>1000</v>
      </c>
      <c r="I5579" s="40" t="s">
        <v>41</v>
      </c>
    </row>
    <row r="5580" spans="1:9" x14ac:dyDescent="0.25">
      <c r="A5580" s="41">
        <v>45388.744987268517</v>
      </c>
      <c r="B5580" s="48">
        <f>IF(A5580&lt;&gt;"",DATE(YEAR(TRANSACTIONS!$A5580),MONTH(TRANSACTIONS!$A5580),DAY(TRANSACTIONS!$A5580)),"")</f>
        <v>45388</v>
      </c>
      <c r="D5580" s="42" t="s">
        <v>62</v>
      </c>
      <c r="E5580" s="40" t="s">
        <v>7</v>
      </c>
      <c r="F5580" s="109">
        <v>5000</v>
      </c>
      <c r="G5580" s="46"/>
      <c r="H5580" s="46">
        <f>IFERROR(TRANSACTIONS!$F5580+TRANSACTIONS!$G5580,"")</f>
        <v>5000</v>
      </c>
      <c r="I5580" s="40" t="s">
        <v>41</v>
      </c>
    </row>
    <row r="5581" spans="1:9" x14ac:dyDescent="0.25">
      <c r="A5581" s="71">
        <v>45388.744994560184</v>
      </c>
      <c r="B5581" s="73">
        <f>IF(A5581&lt;&gt;"",DATE(YEAR(TRANSACTIONS!$A5581),MONTH(TRANSACTIONS!$A5581),DAY(TRANSACTIONS!$A5581)),"")</f>
        <v>45388</v>
      </c>
      <c r="C5581" s="121"/>
      <c r="D5581" s="72" t="s">
        <v>62</v>
      </c>
      <c r="E5581" s="76" t="s">
        <v>6</v>
      </c>
      <c r="F5581" s="159">
        <v>100000</v>
      </c>
      <c r="G5581" s="75"/>
      <c r="H5581" s="75">
        <f>IFERROR(TRANSACTIONS!$F5581+TRANSACTIONS!$G5581,"")</f>
        <v>100000</v>
      </c>
      <c r="I5581" s="76" t="s">
        <v>41</v>
      </c>
    </row>
    <row r="5582" spans="1:9" x14ac:dyDescent="0.25">
      <c r="A5582" s="41"/>
      <c r="D5582" s="42"/>
      <c r="F5582" s="109"/>
      <c r="G5582" s="46"/>
      <c r="I5582" s="40" t="s">
        <v>41</v>
      </c>
    </row>
    <row r="5583" spans="1:9" x14ac:dyDescent="0.25">
      <c r="A5583" s="41">
        <v>45389.489039351851</v>
      </c>
      <c r="D5583" s="42" t="s">
        <v>79</v>
      </c>
      <c r="E5583" s="40" t="s">
        <v>80</v>
      </c>
      <c r="F5583" s="109">
        <v>1000</v>
      </c>
      <c r="G5583" s="46"/>
      <c r="I5583" s="40" t="s">
        <v>41</v>
      </c>
    </row>
    <row r="5584" spans="1:9" x14ac:dyDescent="0.25">
      <c r="A5584" s="41"/>
      <c r="D5584" s="42"/>
      <c r="F5584" s="109"/>
      <c r="G5584" s="46"/>
      <c r="I5584" s="40" t="s">
        <v>41</v>
      </c>
    </row>
    <row r="5585" spans="1:9" x14ac:dyDescent="0.25">
      <c r="A5585" s="41"/>
      <c r="D5585" s="42"/>
      <c r="F5585" s="109"/>
      <c r="G5585" s="46"/>
      <c r="I5585" s="40" t="s">
        <v>41</v>
      </c>
    </row>
    <row r="5586" spans="1:9" x14ac:dyDescent="0.25">
      <c r="A5586" s="41"/>
      <c r="D5586" s="42"/>
      <c r="F5586" s="109"/>
      <c r="G5586" s="46"/>
      <c r="I5586" s="40" t="s">
        <v>41</v>
      </c>
    </row>
    <row r="5587" spans="1:9" x14ac:dyDescent="0.25">
      <c r="A5587" s="41"/>
      <c r="D5587" s="42"/>
      <c r="F5587" s="109"/>
      <c r="G5587" s="46"/>
      <c r="I5587" s="40" t="s">
        <v>41</v>
      </c>
    </row>
    <row r="5588" spans="1:9" x14ac:dyDescent="0.25">
      <c r="A5588" s="41"/>
      <c r="D5588" s="42"/>
      <c r="F5588" s="109"/>
      <c r="G5588" s="46"/>
      <c r="I5588" s="40" t="s">
        <v>41</v>
      </c>
    </row>
    <row r="5589" spans="1:9" x14ac:dyDescent="0.25">
      <c r="A5589" s="41"/>
      <c r="D5589" s="42"/>
      <c r="F5589" s="109"/>
      <c r="G5589" s="46"/>
      <c r="I5589" s="40" t="s">
        <v>41</v>
      </c>
    </row>
    <row r="5590" spans="1:9" x14ac:dyDescent="0.25">
      <c r="A5590" s="41"/>
      <c r="D5590" s="42"/>
      <c r="F5590" s="109"/>
      <c r="G5590" s="46"/>
      <c r="I5590" s="40" t="s">
        <v>41</v>
      </c>
    </row>
    <row r="5591" spans="1:9" x14ac:dyDescent="0.25">
      <c r="A5591" s="41"/>
      <c r="D5591" s="42"/>
      <c r="F5591" s="109"/>
      <c r="G5591" s="46"/>
      <c r="I5591" s="40" t="s">
        <v>41</v>
      </c>
    </row>
    <row r="5592" spans="1:9" x14ac:dyDescent="0.25">
      <c r="A5592" s="41"/>
      <c r="D5592" s="42"/>
      <c r="F5592" s="109"/>
      <c r="G5592" s="46"/>
      <c r="I5592" s="40" t="s">
        <v>41</v>
      </c>
    </row>
    <row r="5593" spans="1:9" x14ac:dyDescent="0.25">
      <c r="A5593" s="41"/>
      <c r="D5593" s="42"/>
      <c r="F5593" s="109"/>
      <c r="G5593" s="46"/>
      <c r="I5593" s="40" t="s">
        <v>41</v>
      </c>
    </row>
    <row r="5594" spans="1:9" x14ac:dyDescent="0.25">
      <c r="A5594" s="41"/>
      <c r="D5594" s="42"/>
      <c r="F5594" s="109"/>
      <c r="G5594" s="46"/>
      <c r="I5594" s="40" t="s">
        <v>41</v>
      </c>
    </row>
    <row r="5595" spans="1:9" x14ac:dyDescent="0.25">
      <c r="A5595" s="41"/>
      <c r="D5595" s="42"/>
      <c r="F5595" s="109"/>
      <c r="G5595" s="46"/>
      <c r="I5595" s="40" t="s">
        <v>41</v>
      </c>
    </row>
    <row r="5596" spans="1:9" x14ac:dyDescent="0.25">
      <c r="A5596" s="41"/>
      <c r="D5596" s="42"/>
      <c r="F5596" s="109"/>
      <c r="G5596" s="46"/>
      <c r="I5596" s="40" t="s">
        <v>41</v>
      </c>
    </row>
    <row r="5597" spans="1:9" x14ac:dyDescent="0.25">
      <c r="A5597" s="41"/>
      <c r="D5597" s="42"/>
      <c r="F5597" s="109"/>
      <c r="G5597" s="46"/>
      <c r="I5597" s="40" t="s">
        <v>41</v>
      </c>
    </row>
    <row r="5598" spans="1:9" x14ac:dyDescent="0.25">
      <c r="A5598" s="41"/>
      <c r="D5598" s="42"/>
      <c r="F5598" s="109"/>
      <c r="G5598" s="46"/>
      <c r="I5598" s="40" t="s">
        <v>41</v>
      </c>
    </row>
    <row r="5599" spans="1:9" x14ac:dyDescent="0.25">
      <c r="A5599" s="41"/>
      <c r="D5599" s="42"/>
      <c r="F5599" s="109"/>
      <c r="G5599" s="46"/>
      <c r="I5599" s="40" t="s">
        <v>41</v>
      </c>
    </row>
    <row r="5600" spans="1:9" x14ac:dyDescent="0.25">
      <c r="A5600" s="41"/>
      <c r="D5600" s="42"/>
      <c r="F5600" s="109"/>
      <c r="G5600" s="46"/>
      <c r="I5600" s="40" t="s">
        <v>41</v>
      </c>
    </row>
    <row r="5601" spans="1:9" x14ac:dyDescent="0.25">
      <c r="A5601" s="41"/>
      <c r="D5601" s="42"/>
      <c r="F5601" s="109"/>
      <c r="G5601" s="46"/>
      <c r="I5601" s="40" t="s">
        <v>41</v>
      </c>
    </row>
    <row r="5602" spans="1:9" x14ac:dyDescent="0.25">
      <c r="A5602" s="41"/>
      <c r="D5602" s="42"/>
      <c r="F5602" s="109"/>
      <c r="G5602" s="46"/>
      <c r="I5602" s="40" t="s">
        <v>41</v>
      </c>
    </row>
    <row r="5603" spans="1:9" x14ac:dyDescent="0.25">
      <c r="A5603" s="41"/>
      <c r="D5603" s="42"/>
      <c r="F5603" s="109"/>
      <c r="G5603" s="46"/>
      <c r="I5603" s="40" t="s">
        <v>41</v>
      </c>
    </row>
    <row r="5604" spans="1:9" x14ac:dyDescent="0.25">
      <c r="A5604" s="41"/>
      <c r="D5604" s="42"/>
      <c r="F5604" s="109"/>
      <c r="G5604" s="46"/>
      <c r="I5604" s="40" t="s">
        <v>41</v>
      </c>
    </row>
    <row r="5605" spans="1:9" x14ac:dyDescent="0.25">
      <c r="A5605" s="41"/>
      <c r="D5605" s="42"/>
      <c r="F5605" s="109"/>
      <c r="G5605" s="46"/>
      <c r="I5605" s="40" t="s">
        <v>41</v>
      </c>
    </row>
    <row r="5606" spans="1:9" x14ac:dyDescent="0.25">
      <c r="A5606" s="41"/>
      <c r="D5606" s="42"/>
      <c r="F5606" s="109"/>
      <c r="G5606" s="46"/>
      <c r="I5606" s="40" t="s">
        <v>41</v>
      </c>
    </row>
    <row r="5607" spans="1:9" x14ac:dyDescent="0.25">
      <c r="A5607" s="41"/>
      <c r="D5607" s="42"/>
      <c r="F5607" s="109"/>
      <c r="G5607" s="46"/>
      <c r="I5607" s="40" t="s">
        <v>41</v>
      </c>
    </row>
    <row r="5608" spans="1:9" x14ac:dyDescent="0.25">
      <c r="A5608" s="41"/>
      <c r="D5608" s="42"/>
      <c r="F5608" s="109"/>
      <c r="G5608" s="46"/>
      <c r="I5608" s="40" t="s">
        <v>41</v>
      </c>
    </row>
    <row r="5609" spans="1:9" x14ac:dyDescent="0.25">
      <c r="A5609" s="41"/>
      <c r="D5609" s="42"/>
      <c r="F5609" s="109"/>
      <c r="G5609" s="46"/>
      <c r="I5609" s="40" t="s">
        <v>41</v>
      </c>
    </row>
    <row r="5610" spans="1:9" x14ac:dyDescent="0.25">
      <c r="A5610" s="41"/>
      <c r="D5610" s="42"/>
      <c r="F5610" s="109"/>
      <c r="G5610" s="46"/>
      <c r="I5610" s="40" t="s">
        <v>41</v>
      </c>
    </row>
    <row r="5611" spans="1:9" x14ac:dyDescent="0.25">
      <c r="A5611" s="41"/>
      <c r="D5611" s="42"/>
      <c r="F5611" s="109"/>
      <c r="G5611" s="46"/>
      <c r="I5611" s="40" t="s">
        <v>41</v>
      </c>
    </row>
    <row r="5612" spans="1:9" x14ac:dyDescent="0.25">
      <c r="A5612" s="41"/>
      <c r="D5612" s="42"/>
      <c r="F5612" s="109"/>
      <c r="G5612" s="46"/>
      <c r="I5612" s="40" t="s">
        <v>41</v>
      </c>
    </row>
    <row r="5613" spans="1:9" x14ac:dyDescent="0.25">
      <c r="A5613" s="41"/>
      <c r="D5613" s="42"/>
      <c r="F5613" s="109"/>
      <c r="G5613" s="46"/>
      <c r="I5613" s="40" t="s">
        <v>41</v>
      </c>
    </row>
    <row r="5614" spans="1:9" x14ac:dyDescent="0.25">
      <c r="A5614" s="41"/>
      <c r="D5614" s="42"/>
      <c r="F5614" s="109"/>
      <c r="G5614" s="46"/>
      <c r="I5614" s="40" t="s">
        <v>41</v>
      </c>
    </row>
    <row r="5615" spans="1:9" x14ac:dyDescent="0.25">
      <c r="A5615" s="41"/>
      <c r="D5615" s="42"/>
      <c r="F5615" s="109"/>
      <c r="G5615" s="46"/>
    </row>
    <row r="5616" spans="1:9" x14ac:dyDescent="0.25">
      <c r="A5616" s="41"/>
      <c r="D5616" s="42"/>
      <c r="F5616" s="109"/>
      <c r="G5616" s="46"/>
    </row>
    <row r="5617" spans="1:7" x14ac:dyDescent="0.25">
      <c r="A5617" s="41"/>
      <c r="D5617" s="42"/>
      <c r="F5617" s="109"/>
      <c r="G5617" s="46"/>
    </row>
    <row r="5618" spans="1:7" x14ac:dyDescent="0.25">
      <c r="A5618" s="41"/>
      <c r="D5618" s="42"/>
      <c r="F5618" s="109"/>
      <c r="G5618" s="46"/>
    </row>
    <row r="5619" spans="1:7" x14ac:dyDescent="0.25">
      <c r="A5619" s="41"/>
      <c r="D5619" s="42"/>
      <c r="F5619" s="109"/>
      <c r="G5619" s="46"/>
    </row>
    <row r="5620" spans="1:7" x14ac:dyDescent="0.25">
      <c r="A5620" s="41"/>
      <c r="D5620" s="42"/>
      <c r="F5620" s="109"/>
      <c r="G5620" s="46"/>
    </row>
    <row r="5621" spans="1:7" x14ac:dyDescent="0.25">
      <c r="A5621" s="41"/>
      <c r="D5621" s="42"/>
      <c r="F5621" s="109"/>
      <c r="G5621" s="46"/>
    </row>
    <row r="5622" spans="1:7" x14ac:dyDescent="0.25">
      <c r="A5622" s="41"/>
      <c r="D5622" s="42"/>
      <c r="F5622" s="109"/>
      <c r="G5622" s="46"/>
    </row>
    <row r="5623" spans="1:7" x14ac:dyDescent="0.25">
      <c r="A5623" s="41"/>
      <c r="D5623" s="42"/>
      <c r="F5623" s="109"/>
      <c r="G5623" s="46"/>
    </row>
    <row r="5624" spans="1:7" x14ac:dyDescent="0.25">
      <c r="A5624" s="41"/>
      <c r="D5624" s="42"/>
      <c r="F5624" s="109"/>
      <c r="G5624" s="46"/>
    </row>
    <row r="5625" spans="1:7" x14ac:dyDescent="0.25">
      <c r="A5625" s="41"/>
      <c r="D5625" s="42"/>
      <c r="F5625" s="109"/>
      <c r="G5625" s="46"/>
    </row>
    <row r="5626" spans="1:7" x14ac:dyDescent="0.25">
      <c r="A5626" s="41"/>
      <c r="D5626" s="42"/>
      <c r="F5626" s="109"/>
      <c r="G5626" s="46"/>
    </row>
    <row r="5627" spans="1:7" x14ac:dyDescent="0.25">
      <c r="A5627" s="41"/>
      <c r="D5627" s="42"/>
      <c r="F5627" s="109"/>
      <c r="G5627" s="46"/>
    </row>
    <row r="5628" spans="1:7" x14ac:dyDescent="0.25">
      <c r="A5628" s="41"/>
      <c r="D5628" s="42"/>
      <c r="F5628" s="109"/>
      <c r="G5628" s="46"/>
    </row>
    <row r="5629" spans="1:7" x14ac:dyDescent="0.25">
      <c r="A5629" s="41"/>
      <c r="D5629" s="42"/>
      <c r="F5629" s="109"/>
      <c r="G5629" s="46"/>
    </row>
    <row r="5630" spans="1:7" x14ac:dyDescent="0.25">
      <c r="A5630" s="41"/>
      <c r="D5630" s="42"/>
      <c r="F5630" s="109"/>
      <c r="G5630" s="46"/>
    </row>
    <row r="5631" spans="1:7" x14ac:dyDescent="0.25">
      <c r="A5631" s="41"/>
      <c r="D5631" s="42"/>
      <c r="F5631" s="109"/>
      <c r="G5631" s="46"/>
    </row>
    <row r="5632" spans="1:7" x14ac:dyDescent="0.25">
      <c r="A5632" s="41"/>
      <c r="D5632" s="42"/>
      <c r="F5632" s="109"/>
      <c r="G5632" s="46"/>
    </row>
    <row r="5633" spans="1:7" x14ac:dyDescent="0.25">
      <c r="A5633" s="41"/>
      <c r="D5633" s="42"/>
      <c r="F5633" s="109"/>
      <c r="G5633" s="46"/>
    </row>
    <row r="5634" spans="1:7" x14ac:dyDescent="0.25">
      <c r="A5634" s="41"/>
      <c r="D5634" s="42"/>
      <c r="F5634" s="109"/>
      <c r="G5634" s="46"/>
    </row>
    <row r="5635" spans="1:7" x14ac:dyDescent="0.25">
      <c r="A5635" s="41"/>
      <c r="D5635" s="42"/>
      <c r="F5635" s="109"/>
      <c r="G5635" s="46"/>
    </row>
    <row r="5636" spans="1:7" x14ac:dyDescent="0.25">
      <c r="A5636" s="41"/>
      <c r="D5636" s="42"/>
      <c r="F5636" s="109"/>
      <c r="G5636" s="46"/>
    </row>
    <row r="5637" spans="1:7" x14ac:dyDescent="0.25">
      <c r="A5637" s="41"/>
      <c r="D5637" s="42"/>
      <c r="F5637" s="109"/>
      <c r="G5637" s="46"/>
    </row>
    <row r="5638" spans="1:7" x14ac:dyDescent="0.25">
      <c r="A5638" s="41"/>
      <c r="D5638" s="42"/>
      <c r="F5638" s="109"/>
      <c r="G5638" s="46"/>
    </row>
    <row r="5639" spans="1:7" x14ac:dyDescent="0.25">
      <c r="A5639" s="41"/>
      <c r="D5639" s="42"/>
      <c r="F5639" s="109"/>
      <c r="G5639" s="46"/>
    </row>
    <row r="5640" spans="1:7" x14ac:dyDescent="0.25">
      <c r="A5640" s="41"/>
      <c r="D5640" s="42"/>
      <c r="F5640" s="109"/>
      <c r="G5640" s="46"/>
    </row>
    <row r="5641" spans="1:7" x14ac:dyDescent="0.25">
      <c r="A5641" s="41"/>
      <c r="D5641" s="42"/>
      <c r="F5641" s="109"/>
      <c r="G5641" s="46"/>
    </row>
    <row r="5642" spans="1:7" x14ac:dyDescent="0.25">
      <c r="A5642" s="41"/>
      <c r="D5642" s="42"/>
      <c r="F5642" s="109"/>
      <c r="G5642" s="46"/>
    </row>
    <row r="5643" spans="1:7" x14ac:dyDescent="0.25">
      <c r="A5643" s="41"/>
      <c r="D5643" s="42"/>
      <c r="F5643" s="109"/>
      <c r="G5643" s="46"/>
    </row>
    <row r="5644" spans="1:7" x14ac:dyDescent="0.25">
      <c r="A5644" s="41"/>
      <c r="D5644" s="42"/>
      <c r="F5644" s="109"/>
      <c r="G5644" s="46"/>
    </row>
    <row r="5645" spans="1:7" x14ac:dyDescent="0.25">
      <c r="D5645" s="42"/>
      <c r="F5645" s="109"/>
      <c r="G5645" s="46"/>
    </row>
    <row r="5646" spans="1:7" x14ac:dyDescent="0.25">
      <c r="D5646" s="42"/>
      <c r="F5646" s="109"/>
      <c r="G5646" s="46"/>
    </row>
    <row r="5647" spans="1:7" x14ac:dyDescent="0.25">
      <c r="D5647" s="42"/>
      <c r="F5647" s="109"/>
      <c r="G5647" s="46"/>
    </row>
    <row r="5648" spans="1:7" x14ac:dyDescent="0.25">
      <c r="D5648" s="42"/>
      <c r="F5648" s="109"/>
      <c r="G5648" s="46"/>
    </row>
    <row r="5649" spans="4:7" x14ac:dyDescent="0.25">
      <c r="D5649" s="42"/>
      <c r="F5649" s="109"/>
      <c r="G5649" s="46"/>
    </row>
    <row r="5650" spans="4:7" x14ac:dyDescent="0.25">
      <c r="D5650" s="42"/>
      <c r="F5650" s="109"/>
      <c r="G5650" s="46"/>
    </row>
    <row r="5651" spans="4:7" x14ac:dyDescent="0.25">
      <c r="D5651" s="42"/>
      <c r="F5651" s="109"/>
      <c r="G5651" s="46"/>
    </row>
    <row r="5652" spans="4:7" x14ac:dyDescent="0.25">
      <c r="D5652" s="42"/>
      <c r="F5652" s="109"/>
      <c r="G5652" s="46"/>
    </row>
    <row r="5653" spans="4:7" x14ac:dyDescent="0.25">
      <c r="D5653" s="42"/>
      <c r="F5653" s="109"/>
      <c r="G5653" s="46"/>
    </row>
    <row r="5654" spans="4:7" x14ac:dyDescent="0.25">
      <c r="D5654" s="42"/>
      <c r="F5654" s="109"/>
      <c r="G5654" s="46"/>
    </row>
    <row r="5655" spans="4:7" x14ac:dyDescent="0.25">
      <c r="D5655" s="42"/>
      <c r="F5655" s="109"/>
      <c r="G5655" s="46"/>
    </row>
    <row r="5656" spans="4:7" x14ac:dyDescent="0.25">
      <c r="D5656" s="42"/>
      <c r="F5656" s="109"/>
      <c r="G5656" s="46"/>
    </row>
    <row r="5657" spans="4:7" x14ac:dyDescent="0.25">
      <c r="D5657" s="42"/>
      <c r="F5657" s="109"/>
      <c r="G5657" s="46"/>
    </row>
    <row r="5658" spans="4:7" x14ac:dyDescent="0.25">
      <c r="D5658" s="42"/>
      <c r="F5658" s="109"/>
      <c r="G5658" s="46"/>
    </row>
    <row r="5659" spans="4:7" x14ac:dyDescent="0.25">
      <c r="D5659" s="42"/>
      <c r="F5659" s="109"/>
      <c r="G5659" s="46"/>
    </row>
    <row r="5660" spans="4:7" x14ac:dyDescent="0.25">
      <c r="D5660" s="42"/>
      <c r="F5660" s="109"/>
      <c r="G5660" s="46"/>
    </row>
    <row r="5661" spans="4:7" x14ac:dyDescent="0.25">
      <c r="D5661" s="42"/>
      <c r="F5661" s="109"/>
      <c r="G5661" s="46"/>
    </row>
    <row r="5662" spans="4:7" x14ac:dyDescent="0.25">
      <c r="D5662" s="42"/>
      <c r="F5662" s="109"/>
      <c r="G5662" s="46"/>
    </row>
    <row r="5663" spans="4:7" x14ac:dyDescent="0.25">
      <c r="D5663" s="42"/>
      <c r="F5663" s="109"/>
      <c r="G5663" s="46"/>
    </row>
    <row r="5664" spans="4:7" x14ac:dyDescent="0.25">
      <c r="D5664" s="42"/>
      <c r="F5664" s="109"/>
      <c r="G5664" s="46"/>
    </row>
    <row r="5665" spans="4:7" x14ac:dyDescent="0.25">
      <c r="D5665" s="42"/>
      <c r="F5665" s="109"/>
      <c r="G5665" s="46"/>
    </row>
    <row r="5666" spans="4:7" x14ac:dyDescent="0.25">
      <c r="D5666" s="42"/>
      <c r="F5666" s="109"/>
      <c r="G5666" s="46"/>
    </row>
    <row r="5667" spans="4:7" x14ac:dyDescent="0.25">
      <c r="D5667" s="42"/>
      <c r="F5667" s="109"/>
      <c r="G5667" s="46"/>
    </row>
    <row r="5668" spans="4:7" x14ac:dyDescent="0.25">
      <c r="D5668" s="42"/>
      <c r="F5668" s="109"/>
      <c r="G5668" s="46"/>
    </row>
    <row r="5669" spans="4:7" x14ac:dyDescent="0.25">
      <c r="D5669" s="42"/>
      <c r="F5669" s="109"/>
      <c r="G5669" s="46"/>
    </row>
    <row r="5670" spans="4:7" x14ac:dyDescent="0.25">
      <c r="D5670" s="42"/>
      <c r="F5670" s="109"/>
      <c r="G5670" s="46"/>
    </row>
    <row r="5671" spans="4:7" x14ac:dyDescent="0.25">
      <c r="D5671" s="42"/>
      <c r="F5671" s="109"/>
      <c r="G5671" s="46"/>
    </row>
    <row r="5672" spans="4:7" x14ac:dyDescent="0.25">
      <c r="D5672" s="42"/>
      <c r="F5672" s="109"/>
      <c r="G5672" s="46"/>
    </row>
    <row r="5673" spans="4:7" x14ac:dyDescent="0.25">
      <c r="D5673" s="42"/>
      <c r="F5673" s="109"/>
      <c r="G5673" s="46"/>
    </row>
    <row r="5674" spans="4:7" x14ac:dyDescent="0.25">
      <c r="D5674" s="42"/>
      <c r="F5674" s="109"/>
      <c r="G5674" s="46"/>
    </row>
    <row r="5675" spans="4:7" x14ac:dyDescent="0.25">
      <c r="D5675" s="42"/>
      <c r="F5675" s="109"/>
      <c r="G5675" s="46"/>
    </row>
    <row r="5676" spans="4:7" x14ac:dyDescent="0.25">
      <c r="D5676" s="42"/>
      <c r="F5676" s="109"/>
      <c r="G5676" s="46"/>
    </row>
    <row r="5677" spans="4:7" x14ac:dyDescent="0.25">
      <c r="D5677" s="42"/>
      <c r="F5677" s="109"/>
      <c r="G5677" s="46"/>
    </row>
    <row r="5678" spans="4:7" x14ac:dyDescent="0.25">
      <c r="D5678" s="42"/>
      <c r="F5678" s="109"/>
      <c r="G5678" s="46"/>
    </row>
    <row r="5679" spans="4:7" x14ac:dyDescent="0.25">
      <c r="D5679" s="42"/>
      <c r="F5679" s="109"/>
      <c r="G5679" s="46"/>
    </row>
    <row r="5680" spans="4:7" x14ac:dyDescent="0.25">
      <c r="D5680" s="42"/>
      <c r="F5680" s="109"/>
      <c r="G5680" s="46"/>
    </row>
    <row r="5681" spans="4:7" x14ac:dyDescent="0.25">
      <c r="D5681" s="42"/>
      <c r="F5681" s="109"/>
      <c r="G5681" s="46"/>
    </row>
    <row r="5682" spans="4:7" x14ac:dyDescent="0.25">
      <c r="D5682" s="42"/>
      <c r="F5682" s="109"/>
      <c r="G5682" s="46"/>
    </row>
    <row r="5683" spans="4:7" x14ac:dyDescent="0.25">
      <c r="D5683" s="42"/>
      <c r="F5683" s="109"/>
      <c r="G5683" s="46"/>
    </row>
    <row r="5684" spans="4:7" x14ac:dyDescent="0.25">
      <c r="D5684" s="42"/>
      <c r="F5684" s="109"/>
      <c r="G5684" s="46"/>
    </row>
    <row r="5685" spans="4:7" x14ac:dyDescent="0.25">
      <c r="D5685" s="42"/>
      <c r="F5685" s="109"/>
      <c r="G5685" s="46"/>
    </row>
    <row r="5686" spans="4:7" x14ac:dyDescent="0.25">
      <c r="D5686" s="42"/>
      <c r="F5686" s="109"/>
      <c r="G5686" s="46"/>
    </row>
    <row r="5687" spans="4:7" x14ac:dyDescent="0.25">
      <c r="D5687" s="42"/>
      <c r="F5687" s="109"/>
      <c r="G5687" s="46"/>
    </row>
    <row r="5688" spans="4:7" x14ac:dyDescent="0.25">
      <c r="D5688" s="42"/>
      <c r="F5688" s="109"/>
      <c r="G5688" s="46"/>
    </row>
    <row r="5689" spans="4:7" x14ac:dyDescent="0.25">
      <c r="D5689" s="42"/>
      <c r="F5689" s="109"/>
      <c r="G5689" s="46"/>
    </row>
    <row r="5690" spans="4:7" x14ac:dyDescent="0.25">
      <c r="D5690" s="42"/>
      <c r="F5690" s="109"/>
      <c r="G5690" s="46"/>
    </row>
    <row r="5691" spans="4:7" x14ac:dyDescent="0.25">
      <c r="D5691" s="42"/>
      <c r="F5691" s="109"/>
      <c r="G5691" s="46"/>
    </row>
    <row r="5692" spans="4:7" x14ac:dyDescent="0.25">
      <c r="D5692" s="42"/>
      <c r="F5692" s="109"/>
      <c r="G5692" s="46"/>
    </row>
    <row r="5693" spans="4:7" x14ac:dyDescent="0.25">
      <c r="D5693" s="42"/>
      <c r="F5693" s="109"/>
      <c r="G5693" s="46"/>
    </row>
    <row r="5694" spans="4:7" x14ac:dyDescent="0.25">
      <c r="D5694" s="42"/>
      <c r="F5694" s="109"/>
      <c r="G5694" s="46"/>
    </row>
    <row r="5695" spans="4:7" x14ac:dyDescent="0.25">
      <c r="D5695" s="42"/>
      <c r="F5695" s="109"/>
      <c r="G5695" s="46"/>
    </row>
    <row r="5696" spans="4:7" x14ac:dyDescent="0.25">
      <c r="D5696" s="42"/>
      <c r="F5696" s="109"/>
      <c r="G5696" s="46"/>
    </row>
    <row r="5697" spans="4:7" x14ac:dyDescent="0.25">
      <c r="D5697" s="42"/>
      <c r="F5697" s="109"/>
      <c r="G5697" s="46"/>
    </row>
    <row r="5698" spans="4:7" x14ac:dyDescent="0.25">
      <c r="D5698" s="42"/>
      <c r="F5698" s="109"/>
      <c r="G5698" s="46"/>
    </row>
    <row r="5699" spans="4:7" x14ac:dyDescent="0.25">
      <c r="D5699" s="42"/>
      <c r="F5699" s="109"/>
      <c r="G5699" s="46"/>
    </row>
    <row r="5700" spans="4:7" x14ac:dyDescent="0.25">
      <c r="D5700" s="42"/>
      <c r="F5700" s="109"/>
      <c r="G5700" s="46"/>
    </row>
    <row r="5701" spans="4:7" x14ac:dyDescent="0.25">
      <c r="D5701" s="42"/>
      <c r="F5701" s="109"/>
      <c r="G5701" s="46"/>
    </row>
    <row r="5702" spans="4:7" x14ac:dyDescent="0.25">
      <c r="D5702" s="42"/>
      <c r="F5702" s="109"/>
      <c r="G5702" s="46"/>
    </row>
    <row r="5703" spans="4:7" x14ac:dyDescent="0.25">
      <c r="D5703" s="42"/>
      <c r="F5703" s="109"/>
      <c r="G5703" s="46"/>
    </row>
    <row r="5704" spans="4:7" x14ac:dyDescent="0.25">
      <c r="D5704" s="42"/>
      <c r="F5704" s="109"/>
      <c r="G5704" s="46"/>
    </row>
    <row r="5705" spans="4:7" x14ac:dyDescent="0.25">
      <c r="D5705" s="42"/>
      <c r="F5705" s="109"/>
      <c r="G5705" s="46"/>
    </row>
    <row r="5706" spans="4:7" x14ac:dyDescent="0.25">
      <c r="D5706" s="42"/>
      <c r="F5706" s="109"/>
      <c r="G5706" s="46"/>
    </row>
    <row r="5707" spans="4:7" x14ac:dyDescent="0.25">
      <c r="D5707" s="42"/>
      <c r="F5707" s="109"/>
      <c r="G5707" s="46"/>
    </row>
    <row r="5708" spans="4:7" x14ac:dyDescent="0.25">
      <c r="D5708" s="42"/>
      <c r="F5708" s="109"/>
      <c r="G5708" s="46"/>
    </row>
    <row r="5709" spans="4:7" x14ac:dyDescent="0.25">
      <c r="D5709" s="42"/>
      <c r="F5709" s="109"/>
      <c r="G5709" s="46"/>
    </row>
    <row r="5710" spans="4:7" x14ac:dyDescent="0.25">
      <c r="D5710" s="42"/>
      <c r="F5710" s="109"/>
      <c r="G5710" s="46"/>
    </row>
    <row r="5711" spans="4:7" x14ac:dyDescent="0.25">
      <c r="D5711" s="42"/>
      <c r="F5711" s="109"/>
      <c r="G5711" s="46"/>
    </row>
    <row r="5712" spans="4:7" x14ac:dyDescent="0.25">
      <c r="D5712" s="42"/>
      <c r="F5712" s="109"/>
      <c r="G5712" s="46"/>
    </row>
    <row r="5713" spans="4:7" x14ac:dyDescent="0.25">
      <c r="D5713" s="42"/>
      <c r="F5713" s="109"/>
      <c r="G5713" s="46"/>
    </row>
    <row r="5714" spans="4:7" x14ac:dyDescent="0.25">
      <c r="D5714" s="42"/>
      <c r="F5714" s="109"/>
      <c r="G5714" s="46"/>
    </row>
    <row r="5715" spans="4:7" x14ac:dyDescent="0.25">
      <c r="D5715" s="42"/>
      <c r="F5715" s="109"/>
      <c r="G5715" s="46"/>
    </row>
    <row r="5716" spans="4:7" x14ac:dyDescent="0.25">
      <c r="D5716" s="42"/>
      <c r="F5716" s="109"/>
      <c r="G5716" s="46"/>
    </row>
    <row r="5717" spans="4:7" x14ac:dyDescent="0.25">
      <c r="D5717" s="42"/>
      <c r="F5717" s="109"/>
      <c r="G5717" s="46"/>
    </row>
    <row r="5718" spans="4:7" x14ac:dyDescent="0.25">
      <c r="D5718" s="42"/>
      <c r="F5718" s="109"/>
      <c r="G5718" s="46"/>
    </row>
    <row r="5719" spans="4:7" x14ac:dyDescent="0.25">
      <c r="D5719" s="42"/>
      <c r="F5719" s="109"/>
      <c r="G5719" s="46"/>
    </row>
    <row r="5720" spans="4:7" x14ac:dyDescent="0.25">
      <c r="D5720" s="42"/>
      <c r="F5720" s="109"/>
      <c r="G5720" s="46"/>
    </row>
    <row r="5721" spans="4:7" x14ac:dyDescent="0.25">
      <c r="D5721" s="42"/>
      <c r="F5721" s="109"/>
      <c r="G5721" s="46"/>
    </row>
    <row r="5722" spans="4:7" x14ac:dyDescent="0.25">
      <c r="D5722" s="42"/>
      <c r="F5722" s="109"/>
      <c r="G5722" s="46"/>
    </row>
    <row r="5723" spans="4:7" x14ac:dyDescent="0.25">
      <c r="D5723" s="42"/>
      <c r="F5723" s="109"/>
      <c r="G5723" s="46"/>
    </row>
    <row r="5724" spans="4:7" x14ac:dyDescent="0.25">
      <c r="D5724" s="42"/>
      <c r="F5724" s="109"/>
      <c r="G5724" s="46"/>
    </row>
    <row r="5725" spans="4:7" x14ac:dyDescent="0.25">
      <c r="D5725" s="42"/>
      <c r="F5725" s="109"/>
      <c r="G5725" s="46"/>
    </row>
    <row r="5726" spans="4:7" x14ac:dyDescent="0.25">
      <c r="D5726" s="42"/>
      <c r="F5726" s="109"/>
      <c r="G5726" s="46"/>
    </row>
    <row r="5727" spans="4:7" x14ac:dyDescent="0.25">
      <c r="D5727" s="42"/>
      <c r="F5727" s="109"/>
      <c r="G5727" s="46"/>
    </row>
    <row r="5728" spans="4:7" x14ac:dyDescent="0.25">
      <c r="D5728" s="42"/>
      <c r="F5728" s="109"/>
      <c r="G5728" s="46"/>
    </row>
    <row r="5729" spans="4:7" x14ac:dyDescent="0.25">
      <c r="D5729" s="42"/>
      <c r="F5729" s="109"/>
      <c r="G5729" s="46"/>
    </row>
    <row r="5730" spans="4:7" x14ac:dyDescent="0.25">
      <c r="D5730" s="42"/>
      <c r="F5730" s="109"/>
      <c r="G5730" s="46"/>
    </row>
    <row r="5731" spans="4:7" x14ac:dyDescent="0.25">
      <c r="D5731" s="42"/>
      <c r="F5731" s="109"/>
      <c r="G5731" s="46"/>
    </row>
    <row r="5732" spans="4:7" x14ac:dyDescent="0.25">
      <c r="D5732" s="42"/>
      <c r="F5732" s="109"/>
      <c r="G5732" s="46"/>
    </row>
    <row r="5733" spans="4:7" x14ac:dyDescent="0.25">
      <c r="D5733" s="42"/>
      <c r="F5733" s="109"/>
      <c r="G5733" s="46"/>
    </row>
    <row r="5734" spans="4:7" x14ac:dyDescent="0.25">
      <c r="D5734" s="42"/>
      <c r="F5734" s="109"/>
      <c r="G5734" s="46"/>
    </row>
    <row r="5735" spans="4:7" x14ac:dyDescent="0.25">
      <c r="D5735" s="42"/>
      <c r="F5735" s="109"/>
      <c r="G5735" s="46"/>
    </row>
    <row r="5736" spans="4:7" x14ac:dyDescent="0.25">
      <c r="D5736" s="42"/>
      <c r="F5736" s="109"/>
      <c r="G5736" s="46"/>
    </row>
    <row r="5737" spans="4:7" x14ac:dyDescent="0.25">
      <c r="D5737" s="42"/>
      <c r="F5737" s="109"/>
      <c r="G5737" s="46"/>
    </row>
    <row r="5738" spans="4:7" x14ac:dyDescent="0.25">
      <c r="D5738" s="42"/>
      <c r="F5738" s="109"/>
      <c r="G5738" s="46"/>
    </row>
    <row r="5739" spans="4:7" x14ac:dyDescent="0.25">
      <c r="D5739" s="42"/>
      <c r="F5739" s="109"/>
      <c r="G5739" s="46"/>
    </row>
    <row r="5740" spans="4:7" x14ac:dyDescent="0.25">
      <c r="D5740" s="42"/>
      <c r="F5740" s="109"/>
      <c r="G5740" s="46"/>
    </row>
    <row r="5741" spans="4:7" x14ac:dyDescent="0.25">
      <c r="D5741" s="42"/>
      <c r="F5741" s="109"/>
      <c r="G5741" s="46"/>
    </row>
    <row r="5742" spans="4:7" x14ac:dyDescent="0.25">
      <c r="D5742" s="42"/>
      <c r="F5742" s="109"/>
      <c r="G5742" s="46"/>
    </row>
    <row r="5743" spans="4:7" x14ac:dyDescent="0.25">
      <c r="D5743" s="42"/>
      <c r="F5743" s="109"/>
      <c r="G5743" s="46"/>
    </row>
    <row r="5744" spans="4:7" x14ac:dyDescent="0.25">
      <c r="D5744" s="42"/>
      <c r="F5744" s="109"/>
      <c r="G5744" s="46"/>
    </row>
    <row r="5745" spans="4:7" x14ac:dyDescent="0.25">
      <c r="D5745" s="42"/>
      <c r="F5745" s="109"/>
      <c r="G5745" s="46"/>
    </row>
    <row r="5746" spans="4:7" x14ac:dyDescent="0.25">
      <c r="D5746" s="42"/>
      <c r="F5746" s="109"/>
      <c r="G5746" s="46"/>
    </row>
    <row r="5747" spans="4:7" x14ac:dyDescent="0.25">
      <c r="D5747" s="42"/>
      <c r="F5747" s="109"/>
      <c r="G5747" s="46"/>
    </row>
    <row r="5748" spans="4:7" x14ac:dyDescent="0.25">
      <c r="D5748" s="42"/>
      <c r="F5748" s="109"/>
      <c r="G5748" s="46"/>
    </row>
    <row r="5749" spans="4:7" x14ac:dyDescent="0.25">
      <c r="D5749" s="42"/>
      <c r="F5749" s="109"/>
      <c r="G5749" s="46"/>
    </row>
    <row r="5750" spans="4:7" x14ac:dyDescent="0.25">
      <c r="D5750" s="42"/>
      <c r="F5750" s="109"/>
      <c r="G5750" s="46"/>
    </row>
    <row r="5751" spans="4:7" x14ac:dyDescent="0.25">
      <c r="D5751" s="42"/>
      <c r="F5751" s="109"/>
      <c r="G5751" s="46"/>
    </row>
    <row r="5752" spans="4:7" x14ac:dyDescent="0.25">
      <c r="D5752" s="42"/>
      <c r="F5752" s="109"/>
      <c r="G5752" s="46"/>
    </row>
    <row r="5753" spans="4:7" x14ac:dyDescent="0.25">
      <c r="D5753" s="42"/>
      <c r="F5753" s="109"/>
      <c r="G5753" s="46"/>
    </row>
    <row r="5754" spans="4:7" x14ac:dyDescent="0.25">
      <c r="D5754" s="42"/>
      <c r="F5754" s="109"/>
      <c r="G5754" s="46"/>
    </row>
    <row r="5755" spans="4:7" x14ac:dyDescent="0.25">
      <c r="D5755" s="42"/>
      <c r="F5755" s="109"/>
      <c r="G5755" s="46"/>
    </row>
    <row r="5756" spans="4:7" x14ac:dyDescent="0.25">
      <c r="D5756" s="42"/>
      <c r="F5756" s="109"/>
      <c r="G5756" s="46"/>
    </row>
    <row r="5757" spans="4:7" x14ac:dyDescent="0.25">
      <c r="D5757" s="42"/>
      <c r="F5757" s="109"/>
      <c r="G5757" s="46"/>
    </row>
    <row r="5758" spans="4:7" x14ac:dyDescent="0.25">
      <c r="D5758" s="42"/>
      <c r="F5758" s="109"/>
      <c r="G5758" s="46"/>
    </row>
    <row r="5759" spans="4:7" x14ac:dyDescent="0.25">
      <c r="D5759" s="42"/>
      <c r="F5759" s="109"/>
      <c r="G5759" s="46"/>
    </row>
    <row r="5760" spans="4:7" x14ac:dyDescent="0.25">
      <c r="D5760" s="42"/>
      <c r="F5760" s="109"/>
      <c r="G5760" s="46"/>
    </row>
    <row r="5761" spans="4:7" x14ac:dyDescent="0.25">
      <c r="D5761" s="42"/>
      <c r="F5761" s="109"/>
      <c r="G5761" s="46"/>
    </row>
    <row r="5762" spans="4:7" x14ac:dyDescent="0.25">
      <c r="D5762" s="42"/>
      <c r="F5762" s="109"/>
      <c r="G5762" s="46"/>
    </row>
    <row r="5763" spans="4:7" x14ac:dyDescent="0.25">
      <c r="D5763" s="42"/>
      <c r="F5763" s="109"/>
      <c r="G5763" s="46"/>
    </row>
    <row r="5764" spans="4:7" x14ac:dyDescent="0.25">
      <c r="D5764" s="42"/>
      <c r="F5764" s="109"/>
      <c r="G5764" s="46"/>
    </row>
    <row r="5765" spans="4:7" x14ac:dyDescent="0.25">
      <c r="D5765" s="42"/>
      <c r="F5765" s="109"/>
      <c r="G5765" s="46"/>
    </row>
    <row r="5766" spans="4:7" x14ac:dyDescent="0.25">
      <c r="D5766" s="42"/>
      <c r="F5766" s="109"/>
      <c r="G5766" s="46"/>
    </row>
    <row r="5767" spans="4:7" x14ac:dyDescent="0.25">
      <c r="D5767" s="42"/>
      <c r="F5767" s="109"/>
      <c r="G5767" s="46"/>
    </row>
    <row r="5768" spans="4:7" x14ac:dyDescent="0.25">
      <c r="D5768" s="42"/>
      <c r="F5768" s="109"/>
      <c r="G5768" s="46"/>
    </row>
    <row r="5769" spans="4:7" x14ac:dyDescent="0.25">
      <c r="D5769" s="42"/>
      <c r="F5769" s="109"/>
      <c r="G5769" s="46"/>
    </row>
    <row r="5770" spans="4:7" x14ac:dyDescent="0.25">
      <c r="D5770" s="42"/>
      <c r="F5770" s="109"/>
      <c r="G5770" s="46"/>
    </row>
    <row r="5771" spans="4:7" x14ac:dyDescent="0.25">
      <c r="D5771" s="42"/>
      <c r="F5771" s="109"/>
      <c r="G5771" s="46"/>
    </row>
    <row r="5772" spans="4:7" x14ac:dyDescent="0.25">
      <c r="D5772" s="42"/>
      <c r="F5772" s="109"/>
      <c r="G5772" s="46"/>
    </row>
    <row r="5773" spans="4:7" x14ac:dyDescent="0.25">
      <c r="D5773" s="42"/>
      <c r="F5773" s="109"/>
      <c r="G5773" s="46"/>
    </row>
    <row r="5774" spans="4:7" x14ac:dyDescent="0.25">
      <c r="D5774" s="42"/>
      <c r="F5774" s="109"/>
      <c r="G5774" s="46"/>
    </row>
    <row r="5775" spans="4:7" x14ac:dyDescent="0.25">
      <c r="D5775" s="42"/>
      <c r="F5775" s="109"/>
      <c r="G5775" s="46"/>
    </row>
    <row r="5776" spans="4:7" x14ac:dyDescent="0.25">
      <c r="D5776" s="42"/>
      <c r="F5776" s="109"/>
      <c r="G5776" s="46"/>
    </row>
    <row r="5777" spans="4:7" x14ac:dyDescent="0.25">
      <c r="D5777" s="42"/>
      <c r="F5777" s="109"/>
      <c r="G5777" s="46"/>
    </row>
    <row r="5778" spans="4:7" x14ac:dyDescent="0.25">
      <c r="D5778" s="42"/>
      <c r="F5778" s="109"/>
      <c r="G5778" s="46"/>
    </row>
    <row r="5779" spans="4:7" x14ac:dyDescent="0.25">
      <c r="D5779" s="42"/>
      <c r="F5779" s="109"/>
      <c r="G5779" s="46"/>
    </row>
    <row r="5780" spans="4:7" x14ac:dyDescent="0.25">
      <c r="D5780" s="42"/>
      <c r="F5780" s="109"/>
      <c r="G5780" s="46"/>
    </row>
    <row r="5781" spans="4:7" x14ac:dyDescent="0.25">
      <c r="D5781" s="42"/>
      <c r="F5781" s="109"/>
      <c r="G5781" s="46"/>
    </row>
    <row r="5782" spans="4:7" x14ac:dyDescent="0.25">
      <c r="D5782" s="42"/>
      <c r="F5782" s="109"/>
      <c r="G5782" s="46"/>
    </row>
    <row r="5783" spans="4:7" x14ac:dyDescent="0.25">
      <c r="D5783" s="42"/>
      <c r="F5783" s="109"/>
      <c r="G5783" s="46"/>
    </row>
    <row r="5784" spans="4:7" x14ac:dyDescent="0.25">
      <c r="D5784" s="42"/>
      <c r="G5784" s="46"/>
    </row>
    <row r="5785" spans="4:7" x14ac:dyDescent="0.25">
      <c r="D5785" s="42"/>
      <c r="G5785" s="46"/>
    </row>
    <row r="5786" spans="4:7" x14ac:dyDescent="0.25">
      <c r="D5786" s="42"/>
      <c r="G5786" s="46"/>
    </row>
    <row r="5787" spans="4:7" x14ac:dyDescent="0.25">
      <c r="D5787" s="42"/>
      <c r="G5787" s="46"/>
    </row>
    <row r="5788" spans="4:7" x14ac:dyDescent="0.25">
      <c r="D5788" s="42"/>
      <c r="G5788" s="46"/>
    </row>
    <row r="5789" spans="4:7" x14ac:dyDescent="0.25">
      <c r="D5789" s="42"/>
      <c r="G5789" s="46"/>
    </row>
    <row r="5790" spans="4:7" x14ac:dyDescent="0.25">
      <c r="D5790" s="42"/>
      <c r="G5790" s="46"/>
    </row>
    <row r="5791" spans="4:7" x14ac:dyDescent="0.25">
      <c r="D5791" s="42"/>
      <c r="G5791" s="46"/>
    </row>
    <row r="5792" spans="4:7" x14ac:dyDescent="0.25">
      <c r="D5792" s="42"/>
      <c r="G5792" s="46"/>
    </row>
    <row r="5793" spans="4:7" x14ac:dyDescent="0.25">
      <c r="D5793" s="42"/>
      <c r="G5793" s="46"/>
    </row>
    <row r="5794" spans="4:7" x14ac:dyDescent="0.25">
      <c r="D5794" s="42"/>
      <c r="G5794" s="46"/>
    </row>
    <row r="5795" spans="4:7" x14ac:dyDescent="0.25">
      <c r="D5795" s="42"/>
      <c r="G5795" s="46"/>
    </row>
    <row r="5796" spans="4:7" x14ac:dyDescent="0.25">
      <c r="D5796" s="42"/>
      <c r="G5796" s="46"/>
    </row>
    <row r="5797" spans="4:7" x14ac:dyDescent="0.25">
      <c r="D5797" s="42"/>
      <c r="G5797" s="46"/>
    </row>
    <row r="5798" spans="4:7" x14ac:dyDescent="0.25">
      <c r="D5798" s="42"/>
      <c r="G5798" s="46"/>
    </row>
    <row r="5799" spans="4:7" x14ac:dyDescent="0.25">
      <c r="D5799" s="42"/>
      <c r="G5799" s="46"/>
    </row>
    <row r="5800" spans="4:7" x14ac:dyDescent="0.25">
      <c r="D5800" s="42"/>
      <c r="G5800" s="46"/>
    </row>
    <row r="5801" spans="4:7" x14ac:dyDescent="0.25">
      <c r="D5801" s="42"/>
      <c r="G5801" s="46"/>
    </row>
    <row r="5802" spans="4:7" x14ac:dyDescent="0.25">
      <c r="D5802" s="42"/>
      <c r="G5802" s="46"/>
    </row>
    <row r="5803" spans="4:7" x14ac:dyDescent="0.25">
      <c r="D5803" s="42"/>
      <c r="G5803" s="46"/>
    </row>
    <row r="5804" spans="4:7" x14ac:dyDescent="0.25">
      <c r="D5804" s="42"/>
      <c r="G5804" s="46"/>
    </row>
    <row r="5805" spans="4:7" x14ac:dyDescent="0.25">
      <c r="D5805" s="42"/>
      <c r="G5805" s="46"/>
    </row>
    <row r="5806" spans="4:7" x14ac:dyDescent="0.25">
      <c r="D5806" s="42"/>
      <c r="G5806" s="46"/>
    </row>
    <row r="5807" spans="4:7" x14ac:dyDescent="0.25">
      <c r="D5807" s="42"/>
      <c r="G5807" s="46"/>
    </row>
    <row r="5808" spans="4:7" x14ac:dyDescent="0.25">
      <c r="D5808" s="42"/>
      <c r="G5808" s="46"/>
    </row>
    <row r="5809" spans="4:7" x14ac:dyDescent="0.25">
      <c r="D5809" s="42"/>
      <c r="G5809" s="46"/>
    </row>
    <row r="5810" spans="4:7" x14ac:dyDescent="0.25">
      <c r="D5810" s="42"/>
      <c r="G5810" s="46"/>
    </row>
    <row r="5811" spans="4:7" x14ac:dyDescent="0.25">
      <c r="D5811" s="42"/>
      <c r="G5811" s="46"/>
    </row>
    <row r="5812" spans="4:7" x14ac:dyDescent="0.25">
      <c r="D5812" s="42"/>
      <c r="G5812" s="46"/>
    </row>
    <row r="5813" spans="4:7" x14ac:dyDescent="0.25">
      <c r="D5813" s="42"/>
      <c r="G5813" s="46"/>
    </row>
    <row r="5814" spans="4:7" x14ac:dyDescent="0.25">
      <c r="D5814" s="42"/>
      <c r="G5814" s="46"/>
    </row>
    <row r="5815" spans="4:7" x14ac:dyDescent="0.25">
      <c r="D5815" s="42"/>
      <c r="G5815" s="46"/>
    </row>
    <row r="5816" spans="4:7" x14ac:dyDescent="0.25">
      <c r="D5816" s="42"/>
      <c r="G5816" s="46"/>
    </row>
    <row r="5817" spans="4:7" x14ac:dyDescent="0.25">
      <c r="D5817" s="42"/>
      <c r="G5817" s="46"/>
    </row>
    <row r="5818" spans="4:7" x14ac:dyDescent="0.25">
      <c r="D5818" s="42"/>
      <c r="G5818" s="46"/>
    </row>
    <row r="5819" spans="4:7" x14ac:dyDescent="0.25">
      <c r="D5819" s="42"/>
      <c r="G5819" s="46"/>
    </row>
    <row r="5820" spans="4:7" x14ac:dyDescent="0.25">
      <c r="D5820" s="42"/>
      <c r="G5820" s="46"/>
    </row>
    <row r="5821" spans="4:7" x14ac:dyDescent="0.25">
      <c r="D5821" s="42"/>
      <c r="G5821" s="46"/>
    </row>
    <row r="5822" spans="4:7" x14ac:dyDescent="0.25">
      <c r="D5822" s="42"/>
      <c r="G5822" s="46"/>
    </row>
    <row r="5823" spans="4:7" x14ac:dyDescent="0.25">
      <c r="D5823" s="42"/>
      <c r="G5823" s="46"/>
    </row>
    <row r="5824" spans="4:7" x14ac:dyDescent="0.25">
      <c r="D5824" s="42"/>
      <c r="G5824" s="46"/>
    </row>
    <row r="5825" spans="4:7" x14ac:dyDescent="0.25">
      <c r="D5825" s="42"/>
      <c r="G5825" s="46"/>
    </row>
    <row r="5826" spans="4:7" x14ac:dyDescent="0.25">
      <c r="D5826" s="42"/>
      <c r="G5826" s="46"/>
    </row>
    <row r="5827" spans="4:7" x14ac:dyDescent="0.25">
      <c r="D5827" s="42"/>
      <c r="G5827" s="46"/>
    </row>
    <row r="5828" spans="4:7" x14ac:dyDescent="0.25">
      <c r="D5828" s="42"/>
      <c r="G5828" s="46"/>
    </row>
    <row r="5829" spans="4:7" x14ac:dyDescent="0.25">
      <c r="D5829" s="42"/>
      <c r="G5829" s="46"/>
    </row>
    <row r="5830" spans="4:7" x14ac:dyDescent="0.25">
      <c r="D5830" s="42"/>
      <c r="G5830" s="46"/>
    </row>
    <row r="5831" spans="4:7" x14ac:dyDescent="0.25">
      <c r="D5831" s="42"/>
      <c r="G5831" s="46"/>
    </row>
    <row r="5832" spans="4:7" x14ac:dyDescent="0.25">
      <c r="D5832" s="42"/>
      <c r="G5832" s="46"/>
    </row>
    <row r="5833" spans="4:7" x14ac:dyDescent="0.25">
      <c r="D5833" s="42"/>
      <c r="G5833" s="46"/>
    </row>
    <row r="5834" spans="4:7" x14ac:dyDescent="0.25">
      <c r="D5834" s="42"/>
      <c r="G5834" s="46"/>
    </row>
    <row r="5835" spans="4:7" x14ac:dyDescent="0.25">
      <c r="D5835" s="42"/>
      <c r="G5835" s="46"/>
    </row>
    <row r="5836" spans="4:7" x14ac:dyDescent="0.25">
      <c r="D5836" s="42"/>
      <c r="G5836" s="46"/>
    </row>
    <row r="5837" spans="4:7" x14ac:dyDescent="0.25">
      <c r="D5837" s="42"/>
      <c r="G5837" s="46"/>
    </row>
    <row r="5838" spans="4:7" x14ac:dyDescent="0.25">
      <c r="D5838" s="42"/>
      <c r="G5838" s="46"/>
    </row>
    <row r="5839" spans="4:7" x14ac:dyDescent="0.25">
      <c r="D5839" s="42"/>
      <c r="G5839" s="46"/>
    </row>
    <row r="5840" spans="4:7" x14ac:dyDescent="0.25">
      <c r="D5840" s="42"/>
      <c r="G5840" s="46"/>
    </row>
    <row r="5841" spans="4:7" x14ac:dyDescent="0.25">
      <c r="D5841" s="42"/>
      <c r="G5841" s="46"/>
    </row>
    <row r="5842" spans="4:7" x14ac:dyDescent="0.25">
      <c r="D5842" s="42"/>
      <c r="G5842" s="46"/>
    </row>
    <row r="5843" spans="4:7" x14ac:dyDescent="0.25">
      <c r="D5843" s="42"/>
      <c r="G5843" s="46"/>
    </row>
    <row r="5844" spans="4:7" x14ac:dyDescent="0.25">
      <c r="D5844" s="42"/>
      <c r="G5844" s="46"/>
    </row>
    <row r="5845" spans="4:7" x14ac:dyDescent="0.25">
      <c r="D5845" s="42"/>
      <c r="G5845" s="46"/>
    </row>
    <row r="5846" spans="4:7" x14ac:dyDescent="0.25">
      <c r="D5846" s="42"/>
      <c r="G5846" s="46"/>
    </row>
    <row r="5847" spans="4:7" x14ac:dyDescent="0.25">
      <c r="D5847" s="42"/>
      <c r="G5847" s="46"/>
    </row>
    <row r="5848" spans="4:7" x14ac:dyDescent="0.25">
      <c r="D5848" s="42"/>
      <c r="G5848" s="46"/>
    </row>
    <row r="5849" spans="4:7" x14ac:dyDescent="0.25">
      <c r="D5849" s="42"/>
      <c r="G5849" s="46"/>
    </row>
    <row r="5850" spans="4:7" x14ac:dyDescent="0.25">
      <c r="D5850" s="42"/>
      <c r="G5850" s="46"/>
    </row>
    <row r="5851" spans="4:7" x14ac:dyDescent="0.25">
      <c r="D5851" s="42"/>
      <c r="G5851" s="46"/>
    </row>
    <row r="5852" spans="4:7" x14ac:dyDescent="0.25">
      <c r="D5852" s="42"/>
      <c r="G5852" s="46"/>
    </row>
    <row r="5853" spans="4:7" x14ac:dyDescent="0.25">
      <c r="D5853" s="42"/>
      <c r="G5853" s="46"/>
    </row>
    <row r="5854" spans="4:7" x14ac:dyDescent="0.25">
      <c r="D5854" s="42"/>
      <c r="G5854" s="46"/>
    </row>
    <row r="5855" spans="4:7" x14ac:dyDescent="0.25">
      <c r="D5855" s="42"/>
      <c r="G5855" s="46"/>
    </row>
    <row r="5856" spans="4:7" x14ac:dyDescent="0.25">
      <c r="D5856" s="42"/>
      <c r="G5856" s="46"/>
    </row>
    <row r="5857" spans="4:7" x14ac:dyDescent="0.25">
      <c r="D5857" s="42"/>
      <c r="G5857" s="46"/>
    </row>
    <row r="5858" spans="4:7" x14ac:dyDescent="0.25">
      <c r="D5858" s="42"/>
      <c r="G5858" s="46"/>
    </row>
    <row r="5859" spans="4:7" x14ac:dyDescent="0.25">
      <c r="D5859" s="42"/>
      <c r="G5859" s="46"/>
    </row>
    <row r="5860" spans="4:7" x14ac:dyDescent="0.25">
      <c r="D5860" s="42"/>
      <c r="G5860" s="46"/>
    </row>
    <row r="5861" spans="4:7" x14ac:dyDescent="0.25">
      <c r="D5861" s="42"/>
      <c r="G5861" s="46"/>
    </row>
    <row r="5862" spans="4:7" x14ac:dyDescent="0.25">
      <c r="D5862" s="42"/>
      <c r="G5862" s="46"/>
    </row>
    <row r="5863" spans="4:7" x14ac:dyDescent="0.25">
      <c r="D5863" s="42"/>
      <c r="G5863" s="46"/>
    </row>
    <row r="5864" spans="4:7" x14ac:dyDescent="0.25">
      <c r="D5864" s="42"/>
      <c r="G5864" s="46"/>
    </row>
    <row r="5865" spans="4:7" x14ac:dyDescent="0.25">
      <c r="D5865" s="42"/>
      <c r="G5865" s="46"/>
    </row>
    <row r="5866" spans="4:7" x14ac:dyDescent="0.25">
      <c r="D5866" s="42"/>
      <c r="G5866" s="46"/>
    </row>
    <row r="5867" spans="4:7" x14ac:dyDescent="0.25">
      <c r="D5867" s="42"/>
      <c r="G5867" s="46"/>
    </row>
    <row r="5868" spans="4:7" x14ac:dyDescent="0.25">
      <c r="D5868" s="42"/>
      <c r="G5868" s="46"/>
    </row>
    <row r="5869" spans="4:7" x14ac:dyDescent="0.25">
      <c r="D5869" s="42"/>
      <c r="G5869" s="46"/>
    </row>
    <row r="5870" spans="4:7" x14ac:dyDescent="0.25">
      <c r="D5870" s="42"/>
      <c r="G5870" s="46"/>
    </row>
    <row r="5871" spans="4:7" x14ac:dyDescent="0.25">
      <c r="D5871" s="42"/>
      <c r="G5871" s="46"/>
    </row>
    <row r="5872" spans="4:7" x14ac:dyDescent="0.25">
      <c r="D5872" s="42"/>
      <c r="G5872" s="46"/>
    </row>
    <row r="5873" spans="4:7" x14ac:dyDescent="0.25">
      <c r="D5873" s="42"/>
      <c r="G5873" s="46"/>
    </row>
    <row r="5874" spans="4:7" x14ac:dyDescent="0.25">
      <c r="D5874" s="42"/>
      <c r="G5874" s="46"/>
    </row>
    <row r="5875" spans="4:7" x14ac:dyDescent="0.25">
      <c r="D5875" s="42"/>
      <c r="G5875" s="46"/>
    </row>
    <row r="5876" spans="4:7" x14ac:dyDescent="0.25">
      <c r="D5876" s="42"/>
      <c r="G5876" s="46"/>
    </row>
    <row r="5877" spans="4:7" x14ac:dyDescent="0.25">
      <c r="D5877" s="42"/>
      <c r="G5877" s="46"/>
    </row>
    <row r="5878" spans="4:7" x14ac:dyDescent="0.25">
      <c r="D5878" s="42"/>
      <c r="G5878" s="46"/>
    </row>
    <row r="5879" spans="4:7" x14ac:dyDescent="0.25">
      <c r="D5879" s="42"/>
      <c r="G5879" s="46"/>
    </row>
    <row r="5880" spans="4:7" x14ac:dyDescent="0.25">
      <c r="D5880" s="42"/>
      <c r="G5880" s="46"/>
    </row>
    <row r="5881" spans="4:7" x14ac:dyDescent="0.25">
      <c r="D5881" s="42"/>
      <c r="G5881" s="46"/>
    </row>
    <row r="5882" spans="4:7" x14ac:dyDescent="0.25">
      <c r="D5882" s="42"/>
      <c r="G5882" s="46"/>
    </row>
    <row r="5883" spans="4:7" x14ac:dyDescent="0.25">
      <c r="D5883" s="42"/>
      <c r="G5883" s="46"/>
    </row>
    <row r="5884" spans="4:7" x14ac:dyDescent="0.25">
      <c r="D5884" s="42"/>
      <c r="G5884" s="46"/>
    </row>
    <row r="5885" spans="4:7" x14ac:dyDescent="0.25">
      <c r="D5885" s="42"/>
      <c r="G5885" s="46"/>
    </row>
    <row r="5886" spans="4:7" x14ac:dyDescent="0.25">
      <c r="D5886" s="42"/>
      <c r="G5886" s="46"/>
    </row>
    <row r="5887" spans="4:7" x14ac:dyDescent="0.25">
      <c r="D5887" s="42"/>
      <c r="G5887" s="46"/>
    </row>
    <row r="5888" spans="4:7" x14ac:dyDescent="0.25">
      <c r="D5888" s="42"/>
      <c r="G5888" s="46"/>
    </row>
    <row r="5889" spans="4:7" x14ac:dyDescent="0.25">
      <c r="D5889" s="42"/>
      <c r="G5889" s="46"/>
    </row>
    <row r="5890" spans="4:7" x14ac:dyDescent="0.25">
      <c r="D5890" s="42"/>
      <c r="G5890" s="46"/>
    </row>
    <row r="5891" spans="4:7" x14ac:dyDescent="0.25">
      <c r="D5891" s="42"/>
      <c r="G5891" s="46"/>
    </row>
    <row r="5892" spans="4:7" x14ac:dyDescent="0.25">
      <c r="D5892" s="42"/>
      <c r="G5892" s="46"/>
    </row>
    <row r="5893" spans="4:7" x14ac:dyDescent="0.25">
      <c r="D5893" s="42"/>
      <c r="G5893" s="46"/>
    </row>
    <row r="5894" spans="4:7" x14ac:dyDescent="0.25">
      <c r="D5894" s="42"/>
      <c r="G5894" s="46"/>
    </row>
    <row r="5895" spans="4:7" x14ac:dyDescent="0.25">
      <c r="D5895" s="42"/>
      <c r="G5895" s="46"/>
    </row>
    <row r="5896" spans="4:7" x14ac:dyDescent="0.25">
      <c r="D5896" s="42"/>
      <c r="G5896" s="46"/>
    </row>
    <row r="5897" spans="4:7" x14ac:dyDescent="0.25">
      <c r="D5897" s="42"/>
      <c r="G5897" s="46"/>
    </row>
    <row r="5898" spans="4:7" x14ac:dyDescent="0.25">
      <c r="D5898" s="42"/>
      <c r="G5898" s="46"/>
    </row>
    <row r="5899" spans="4:7" x14ac:dyDescent="0.25">
      <c r="D5899" s="42"/>
      <c r="G5899" s="46"/>
    </row>
    <row r="5900" spans="4:7" x14ac:dyDescent="0.25">
      <c r="D5900" s="42"/>
      <c r="G5900" s="46"/>
    </row>
    <row r="5901" spans="4:7" x14ac:dyDescent="0.25">
      <c r="D5901" s="42"/>
      <c r="G5901" s="46"/>
    </row>
    <row r="5902" spans="4:7" x14ac:dyDescent="0.25">
      <c r="D5902" s="42"/>
      <c r="G5902" s="46"/>
    </row>
    <row r="5903" spans="4:7" x14ac:dyDescent="0.25">
      <c r="D5903" s="42"/>
      <c r="G5903" s="46"/>
    </row>
    <row r="5904" spans="4:7" x14ac:dyDescent="0.25">
      <c r="D5904" s="42"/>
      <c r="G5904" s="46"/>
    </row>
    <row r="5905" spans="4:7" x14ac:dyDescent="0.25">
      <c r="D5905" s="42"/>
      <c r="G5905" s="46"/>
    </row>
    <row r="5906" spans="4:7" x14ac:dyDescent="0.25">
      <c r="D5906" s="42"/>
      <c r="G5906" s="46"/>
    </row>
    <row r="5907" spans="4:7" x14ac:dyDescent="0.25">
      <c r="D5907" s="42"/>
      <c r="G5907" s="46"/>
    </row>
    <row r="5908" spans="4:7" x14ac:dyDescent="0.25">
      <c r="D5908" s="42"/>
      <c r="G5908" s="46"/>
    </row>
    <row r="5909" spans="4:7" x14ac:dyDescent="0.25">
      <c r="D5909" s="42"/>
      <c r="G5909" s="46"/>
    </row>
    <row r="5910" spans="4:7" x14ac:dyDescent="0.25">
      <c r="D5910" s="42"/>
      <c r="G5910" s="46"/>
    </row>
    <row r="5911" spans="4:7" x14ac:dyDescent="0.25">
      <c r="D5911" s="42"/>
      <c r="G5911" s="46"/>
    </row>
    <row r="5912" spans="4:7" x14ac:dyDescent="0.25">
      <c r="D5912" s="42"/>
      <c r="G5912" s="46"/>
    </row>
    <row r="5913" spans="4:7" x14ac:dyDescent="0.25">
      <c r="D5913" s="42"/>
      <c r="G5913" s="46"/>
    </row>
    <row r="5914" spans="4:7" x14ac:dyDescent="0.25">
      <c r="D5914" s="42"/>
      <c r="G5914" s="46"/>
    </row>
    <row r="5915" spans="4:7" x14ac:dyDescent="0.25">
      <c r="D5915" s="42"/>
      <c r="G5915" s="46"/>
    </row>
    <row r="5916" spans="4:7" x14ac:dyDescent="0.25">
      <c r="D5916" s="42"/>
      <c r="G5916" s="46"/>
    </row>
    <row r="5917" spans="4:7" x14ac:dyDescent="0.25">
      <c r="D5917" s="42"/>
      <c r="G5917" s="46"/>
    </row>
    <row r="5918" spans="4:7" x14ac:dyDescent="0.25">
      <c r="D5918" s="42"/>
      <c r="G5918" s="46"/>
    </row>
    <row r="5919" spans="4:7" x14ac:dyDescent="0.25">
      <c r="D5919" s="42"/>
      <c r="G5919" s="46"/>
    </row>
    <row r="5920" spans="4:7" x14ac:dyDescent="0.25">
      <c r="D5920" s="42"/>
      <c r="G5920" s="46"/>
    </row>
    <row r="5921" spans="4:7" x14ac:dyDescent="0.25">
      <c r="D5921" s="42"/>
      <c r="G5921" s="46"/>
    </row>
    <row r="5922" spans="4:7" x14ac:dyDescent="0.25">
      <c r="D5922" s="42"/>
      <c r="G5922" s="46"/>
    </row>
    <row r="5923" spans="4:7" x14ac:dyDescent="0.25">
      <c r="D5923" s="42"/>
      <c r="G5923" s="46"/>
    </row>
    <row r="5924" spans="4:7" x14ac:dyDescent="0.25">
      <c r="D5924" s="42"/>
      <c r="G5924" s="46"/>
    </row>
    <row r="5925" spans="4:7" x14ac:dyDescent="0.25">
      <c r="D5925" s="42"/>
      <c r="G5925" s="46"/>
    </row>
    <row r="5926" spans="4:7" x14ac:dyDescent="0.25">
      <c r="D5926" s="42"/>
      <c r="G5926" s="46"/>
    </row>
    <row r="5927" spans="4:7" x14ac:dyDescent="0.25">
      <c r="D5927" s="42"/>
      <c r="G5927" s="46"/>
    </row>
    <row r="5928" spans="4:7" x14ac:dyDescent="0.25">
      <c r="D5928" s="42"/>
      <c r="G5928" s="46"/>
    </row>
    <row r="5929" spans="4:7" x14ac:dyDescent="0.25">
      <c r="D5929" s="42"/>
      <c r="G5929" s="46"/>
    </row>
    <row r="5930" spans="4:7" x14ac:dyDescent="0.25">
      <c r="D5930" s="42"/>
      <c r="G5930" s="46"/>
    </row>
    <row r="5931" spans="4:7" x14ac:dyDescent="0.25">
      <c r="D5931" s="42"/>
      <c r="G5931" s="46"/>
    </row>
    <row r="5932" spans="4:7" x14ac:dyDescent="0.25">
      <c r="D5932" s="42"/>
      <c r="G5932" s="46"/>
    </row>
    <row r="5933" spans="4:7" x14ac:dyDescent="0.25">
      <c r="D5933" s="42"/>
      <c r="G5933" s="46"/>
    </row>
    <row r="5934" spans="4:7" x14ac:dyDescent="0.25">
      <c r="D5934" s="42"/>
      <c r="G5934" s="46"/>
    </row>
    <row r="5935" spans="4:7" x14ac:dyDescent="0.25">
      <c r="D5935" s="42"/>
      <c r="G5935" s="46"/>
    </row>
    <row r="5936" spans="4:7" x14ac:dyDescent="0.25">
      <c r="D5936" s="42"/>
      <c r="G5936" s="46"/>
    </row>
    <row r="5937" spans="4:7" x14ac:dyDescent="0.25">
      <c r="D5937" s="42"/>
      <c r="G5937" s="46"/>
    </row>
    <row r="5938" spans="4:7" x14ac:dyDescent="0.25">
      <c r="D5938" s="42"/>
      <c r="G5938" s="46"/>
    </row>
    <row r="5939" spans="4:7" x14ac:dyDescent="0.25">
      <c r="D5939" s="42"/>
      <c r="G5939" s="46"/>
    </row>
    <row r="5940" spans="4:7" x14ac:dyDescent="0.25">
      <c r="D5940" s="42"/>
      <c r="G5940" s="46"/>
    </row>
    <row r="5941" spans="4:7" x14ac:dyDescent="0.25">
      <c r="D5941" s="42"/>
      <c r="G5941" s="46"/>
    </row>
    <row r="5942" spans="4:7" x14ac:dyDescent="0.25">
      <c r="D5942" s="42"/>
      <c r="G5942" s="46"/>
    </row>
    <row r="5943" spans="4:7" x14ac:dyDescent="0.25">
      <c r="D5943" s="42"/>
      <c r="G5943" s="46"/>
    </row>
    <row r="5944" spans="4:7" x14ac:dyDescent="0.25">
      <c r="D5944" s="42"/>
      <c r="G5944" s="46"/>
    </row>
    <row r="5945" spans="4:7" x14ac:dyDescent="0.25">
      <c r="D5945" s="42"/>
      <c r="G5945" s="46"/>
    </row>
    <row r="5946" spans="4:7" x14ac:dyDescent="0.25">
      <c r="D5946" s="42"/>
      <c r="G5946" s="46"/>
    </row>
    <row r="5947" spans="4:7" x14ac:dyDescent="0.25">
      <c r="D5947" s="42"/>
      <c r="G5947" s="46"/>
    </row>
    <row r="5948" spans="4:7" x14ac:dyDescent="0.25">
      <c r="D5948" s="42"/>
      <c r="G5948" s="46"/>
    </row>
    <row r="5949" spans="4:7" x14ac:dyDescent="0.25">
      <c r="D5949" s="42"/>
      <c r="G5949" s="46"/>
    </row>
    <row r="5950" spans="4:7" x14ac:dyDescent="0.25">
      <c r="D5950" s="42"/>
      <c r="G5950" s="46"/>
    </row>
    <row r="5951" spans="4:7" x14ac:dyDescent="0.25">
      <c r="D5951" s="42"/>
      <c r="G5951" s="46"/>
    </row>
    <row r="5952" spans="4:7" x14ac:dyDescent="0.25">
      <c r="D5952" s="42"/>
      <c r="G5952" s="46"/>
    </row>
    <row r="5953" spans="4:7" x14ac:dyDescent="0.25">
      <c r="D5953" s="42"/>
      <c r="G5953" s="46"/>
    </row>
    <row r="5954" spans="4:7" x14ac:dyDescent="0.25">
      <c r="D5954" s="42"/>
      <c r="G5954" s="46"/>
    </row>
    <row r="5955" spans="4:7" x14ac:dyDescent="0.25">
      <c r="D5955" s="42"/>
      <c r="G5955" s="46"/>
    </row>
    <row r="5956" spans="4:7" x14ac:dyDescent="0.25">
      <c r="D5956" s="42"/>
      <c r="G5956" s="46"/>
    </row>
    <row r="5957" spans="4:7" x14ac:dyDescent="0.25">
      <c r="D5957" s="42"/>
      <c r="G5957" s="46"/>
    </row>
    <row r="5958" spans="4:7" x14ac:dyDescent="0.25">
      <c r="D5958" s="42"/>
      <c r="G5958" s="46"/>
    </row>
    <row r="5959" spans="4:7" x14ac:dyDescent="0.25">
      <c r="D5959" s="42"/>
      <c r="G5959" s="46"/>
    </row>
    <row r="5960" spans="4:7" x14ac:dyDescent="0.25">
      <c r="D5960" s="42"/>
      <c r="G5960" s="46"/>
    </row>
    <row r="5961" spans="4:7" x14ac:dyDescent="0.25">
      <c r="D5961" s="42"/>
      <c r="G5961" s="46"/>
    </row>
    <row r="5962" spans="4:7" x14ac:dyDescent="0.25">
      <c r="D5962" s="42"/>
      <c r="G5962" s="46"/>
    </row>
    <row r="5963" spans="4:7" x14ac:dyDescent="0.25">
      <c r="D5963" s="42"/>
      <c r="G5963" s="46"/>
    </row>
    <row r="5964" spans="4:7" x14ac:dyDescent="0.25">
      <c r="D5964" s="42"/>
      <c r="G5964" s="46"/>
    </row>
    <row r="5965" spans="4:7" x14ac:dyDescent="0.25">
      <c r="D5965" s="42"/>
      <c r="G5965" s="46"/>
    </row>
    <row r="5966" spans="4:7" x14ac:dyDescent="0.25">
      <c r="D5966" s="42"/>
      <c r="G5966" s="46"/>
    </row>
    <row r="5967" spans="4:7" x14ac:dyDescent="0.25">
      <c r="D5967" s="42"/>
      <c r="G5967" s="46"/>
    </row>
    <row r="5968" spans="4:7" x14ac:dyDescent="0.25">
      <c r="D5968" s="42"/>
      <c r="G5968" s="46"/>
    </row>
    <row r="5969" spans="4:7" x14ac:dyDescent="0.25">
      <c r="D5969" s="42"/>
      <c r="G5969" s="46"/>
    </row>
    <row r="5970" spans="4:7" x14ac:dyDescent="0.25">
      <c r="D5970" s="42"/>
      <c r="G5970" s="46"/>
    </row>
    <row r="5971" spans="4:7" x14ac:dyDescent="0.25">
      <c r="D5971" s="42"/>
      <c r="G5971" s="46"/>
    </row>
    <row r="5972" spans="4:7" x14ac:dyDescent="0.25">
      <c r="D5972" s="42"/>
      <c r="G5972" s="46"/>
    </row>
    <row r="5973" spans="4:7" x14ac:dyDescent="0.25">
      <c r="D5973" s="42"/>
      <c r="G5973" s="46"/>
    </row>
    <row r="5974" spans="4:7" x14ac:dyDescent="0.25">
      <c r="D5974" s="42"/>
      <c r="G5974" s="46"/>
    </row>
    <row r="5975" spans="4:7" x14ac:dyDescent="0.25">
      <c r="D5975" s="42"/>
      <c r="G5975" s="46"/>
    </row>
    <row r="5976" spans="4:7" x14ac:dyDescent="0.25">
      <c r="D5976" s="42"/>
      <c r="G5976" s="46"/>
    </row>
    <row r="5977" spans="4:7" x14ac:dyDescent="0.25">
      <c r="D5977" s="42"/>
      <c r="G5977" s="46"/>
    </row>
    <row r="5978" spans="4:7" x14ac:dyDescent="0.25">
      <c r="D5978" s="42"/>
      <c r="G5978" s="46"/>
    </row>
    <row r="5979" spans="4:7" x14ac:dyDescent="0.25">
      <c r="D5979" s="42"/>
      <c r="G5979" s="46"/>
    </row>
    <row r="5980" spans="4:7" x14ac:dyDescent="0.25">
      <c r="D5980" s="42"/>
      <c r="G5980" s="46"/>
    </row>
    <row r="5981" spans="4:7" x14ac:dyDescent="0.25">
      <c r="D5981" s="42"/>
      <c r="G5981" s="46"/>
    </row>
    <row r="5982" spans="4:7" x14ac:dyDescent="0.25">
      <c r="D5982" s="42"/>
      <c r="G5982" s="46"/>
    </row>
    <row r="5983" spans="4:7" x14ac:dyDescent="0.25">
      <c r="D5983" s="42"/>
      <c r="G5983" s="46"/>
    </row>
    <row r="5984" spans="4:7" x14ac:dyDescent="0.25">
      <c r="D5984" s="42"/>
      <c r="G5984" s="46"/>
    </row>
    <row r="5985" spans="4:7" x14ac:dyDescent="0.25">
      <c r="D5985" s="42"/>
      <c r="G5985" s="46"/>
    </row>
    <row r="5986" spans="4:7" x14ac:dyDescent="0.25">
      <c r="D5986" s="42"/>
      <c r="G5986" s="46"/>
    </row>
    <row r="5987" spans="4:7" x14ac:dyDescent="0.25">
      <c r="D5987" s="42"/>
      <c r="G5987" s="46"/>
    </row>
    <row r="5988" spans="4:7" x14ac:dyDescent="0.25">
      <c r="D5988" s="42"/>
      <c r="G5988" s="46"/>
    </row>
    <row r="5989" spans="4:7" x14ac:dyDescent="0.25">
      <c r="D5989" s="42"/>
      <c r="G5989" s="46"/>
    </row>
    <row r="5990" spans="4:7" x14ac:dyDescent="0.25">
      <c r="D5990" s="42"/>
      <c r="G5990" s="46"/>
    </row>
    <row r="5991" spans="4:7" x14ac:dyDescent="0.25">
      <c r="D5991" s="42"/>
      <c r="G5991" s="46"/>
    </row>
    <row r="5992" spans="4:7" x14ac:dyDescent="0.25">
      <c r="D5992" s="42"/>
      <c r="G5992" s="46"/>
    </row>
    <row r="5993" spans="4:7" x14ac:dyDescent="0.25">
      <c r="D5993" s="42"/>
      <c r="G5993" s="46"/>
    </row>
    <row r="5994" spans="4:7" x14ac:dyDescent="0.25">
      <c r="D5994" s="42"/>
      <c r="G5994" s="46"/>
    </row>
    <row r="5995" spans="4:7" x14ac:dyDescent="0.25">
      <c r="D5995" s="42"/>
      <c r="G5995" s="46"/>
    </row>
    <row r="5996" spans="4:7" x14ac:dyDescent="0.25">
      <c r="D5996" s="42"/>
      <c r="G5996" s="46"/>
    </row>
    <row r="5997" spans="4:7" x14ac:dyDescent="0.25">
      <c r="D5997" s="42"/>
      <c r="G5997" s="46"/>
    </row>
    <row r="5998" spans="4:7" x14ac:dyDescent="0.25">
      <c r="D5998" s="42"/>
      <c r="G5998" s="46"/>
    </row>
    <row r="5999" spans="4:7" x14ac:dyDescent="0.25">
      <c r="D5999" s="42"/>
      <c r="G5999" s="46"/>
    </row>
    <row r="6000" spans="4:7" x14ac:dyDescent="0.25">
      <c r="D6000" s="42"/>
      <c r="G6000" s="46"/>
    </row>
    <row r="6001" spans="4:7" x14ac:dyDescent="0.25">
      <c r="D6001" s="42"/>
      <c r="G6001" s="46"/>
    </row>
    <row r="6002" spans="4:7" x14ac:dyDescent="0.25">
      <c r="D6002" s="42"/>
      <c r="G6002" s="46"/>
    </row>
    <row r="6003" spans="4:7" x14ac:dyDescent="0.25">
      <c r="D6003" s="42"/>
      <c r="G6003" s="46"/>
    </row>
    <row r="6004" spans="4:7" x14ac:dyDescent="0.25">
      <c r="D6004" s="42"/>
      <c r="G6004" s="46"/>
    </row>
    <row r="6005" spans="4:7" x14ac:dyDescent="0.25">
      <c r="D6005" s="42"/>
      <c r="G6005" s="46"/>
    </row>
    <row r="6006" spans="4:7" x14ac:dyDescent="0.25">
      <c r="D6006" s="42"/>
      <c r="G6006" s="46"/>
    </row>
    <row r="6007" spans="4:7" x14ac:dyDescent="0.25">
      <c r="D6007" s="42"/>
      <c r="G6007" s="46"/>
    </row>
    <row r="6008" spans="4:7" x14ac:dyDescent="0.25">
      <c r="D6008" s="42"/>
      <c r="G6008" s="46"/>
    </row>
    <row r="6009" spans="4:7" x14ac:dyDescent="0.25">
      <c r="D6009" s="42"/>
      <c r="G6009" s="46"/>
    </row>
    <row r="6010" spans="4:7" x14ac:dyDescent="0.25">
      <c r="D6010" s="42"/>
      <c r="G6010" s="46"/>
    </row>
    <row r="6011" spans="4:7" x14ac:dyDescent="0.25">
      <c r="D6011" s="42"/>
      <c r="G6011" s="46"/>
    </row>
    <row r="6012" spans="4:7" x14ac:dyDescent="0.25">
      <c r="D6012" s="42"/>
      <c r="G6012" s="46"/>
    </row>
    <row r="6013" spans="4:7" x14ac:dyDescent="0.25">
      <c r="D6013" s="42"/>
      <c r="G6013" s="46"/>
    </row>
    <row r="6014" spans="4:7" x14ac:dyDescent="0.25">
      <c r="D6014" s="42"/>
      <c r="G6014" s="46"/>
    </row>
    <row r="6015" spans="4:7" x14ac:dyDescent="0.25">
      <c r="D6015" s="42"/>
      <c r="G6015" s="46"/>
    </row>
    <row r="6016" spans="4:7" x14ac:dyDescent="0.25">
      <c r="D6016" s="42"/>
      <c r="G6016" s="46"/>
    </row>
    <row r="6017" spans="4:7" x14ac:dyDescent="0.25">
      <c r="D6017" s="42"/>
      <c r="G6017" s="46"/>
    </row>
    <row r="6018" spans="4:7" x14ac:dyDescent="0.25">
      <c r="D6018" s="42"/>
      <c r="G6018" s="46"/>
    </row>
    <row r="6019" spans="4:7" x14ac:dyDescent="0.25">
      <c r="D6019" s="42"/>
      <c r="G6019" s="46"/>
    </row>
    <row r="6020" spans="4:7" x14ac:dyDescent="0.25">
      <c r="D6020" s="42"/>
      <c r="G6020" s="46"/>
    </row>
    <row r="6021" spans="4:7" x14ac:dyDescent="0.25">
      <c r="D6021" s="42"/>
      <c r="G6021" s="46"/>
    </row>
    <row r="6022" spans="4:7" x14ac:dyDescent="0.25">
      <c r="D6022" s="42"/>
      <c r="G6022" s="46"/>
    </row>
    <row r="6023" spans="4:7" x14ac:dyDescent="0.25">
      <c r="D6023" s="42"/>
      <c r="G6023" s="46"/>
    </row>
    <row r="6024" spans="4:7" x14ac:dyDescent="0.25">
      <c r="D6024" s="42"/>
      <c r="G6024" s="46"/>
    </row>
    <row r="6025" spans="4:7" x14ac:dyDescent="0.25">
      <c r="D6025" s="42"/>
      <c r="G6025" s="46"/>
    </row>
    <row r="6026" spans="4:7" x14ac:dyDescent="0.25">
      <c r="D6026" s="42"/>
      <c r="G6026" s="46"/>
    </row>
    <row r="6027" spans="4:7" x14ac:dyDescent="0.25">
      <c r="D6027" s="42"/>
      <c r="G6027" s="46"/>
    </row>
    <row r="6028" spans="4:7" x14ac:dyDescent="0.25">
      <c r="D6028" s="42"/>
      <c r="G6028" s="46"/>
    </row>
    <row r="6029" spans="4:7" x14ac:dyDescent="0.25">
      <c r="D6029" s="42"/>
      <c r="G6029" s="46"/>
    </row>
    <row r="6030" spans="4:7" x14ac:dyDescent="0.25">
      <c r="D6030" s="42"/>
      <c r="G6030" s="46"/>
    </row>
    <row r="6031" spans="4:7" x14ac:dyDescent="0.25">
      <c r="D6031" s="42"/>
      <c r="G6031" s="46"/>
    </row>
    <row r="6032" spans="4:7" x14ac:dyDescent="0.25">
      <c r="D6032" s="42"/>
      <c r="G6032" s="46"/>
    </row>
    <row r="6033" spans="4:7" x14ac:dyDescent="0.25">
      <c r="D6033" s="42"/>
      <c r="G6033" s="46"/>
    </row>
    <row r="6034" spans="4:7" x14ac:dyDescent="0.25">
      <c r="D6034" s="42"/>
      <c r="G6034" s="46"/>
    </row>
    <row r="6035" spans="4:7" x14ac:dyDescent="0.25">
      <c r="D6035" s="42"/>
      <c r="G6035" s="46"/>
    </row>
    <row r="6036" spans="4:7" x14ac:dyDescent="0.25">
      <c r="D6036" s="42"/>
      <c r="G6036" s="46"/>
    </row>
    <row r="6037" spans="4:7" x14ac:dyDescent="0.25">
      <c r="D6037" s="42"/>
      <c r="G6037" s="46"/>
    </row>
    <row r="6038" spans="4:7" x14ac:dyDescent="0.25">
      <c r="D6038" s="42"/>
      <c r="G6038" s="46"/>
    </row>
    <row r="6039" spans="4:7" x14ac:dyDescent="0.25">
      <c r="D6039" s="42"/>
      <c r="G6039" s="46"/>
    </row>
    <row r="6040" spans="4:7" x14ac:dyDescent="0.25">
      <c r="D6040" s="42"/>
      <c r="G6040" s="46"/>
    </row>
    <row r="6041" spans="4:7" x14ac:dyDescent="0.25">
      <c r="D6041" s="42"/>
      <c r="G6041" s="46"/>
    </row>
    <row r="6042" spans="4:7" x14ac:dyDescent="0.25">
      <c r="D6042" s="42"/>
      <c r="G6042" s="46"/>
    </row>
    <row r="6043" spans="4:7" x14ac:dyDescent="0.25">
      <c r="D6043" s="42"/>
      <c r="G6043" s="46"/>
    </row>
    <row r="6044" spans="4:7" x14ac:dyDescent="0.25">
      <c r="D6044" s="42"/>
      <c r="G6044" s="46"/>
    </row>
    <row r="6045" spans="4:7" x14ac:dyDescent="0.25">
      <c r="D6045" s="42"/>
      <c r="G6045" s="46"/>
    </row>
    <row r="6046" spans="4:7" x14ac:dyDescent="0.25">
      <c r="D6046" s="42"/>
      <c r="G6046" s="46"/>
    </row>
    <row r="6047" spans="4:7" x14ac:dyDescent="0.25">
      <c r="D6047" s="42"/>
      <c r="G6047" s="46"/>
    </row>
    <row r="6048" spans="4:7" x14ac:dyDescent="0.25">
      <c r="D6048" s="42"/>
      <c r="G6048" s="46"/>
    </row>
    <row r="6049" spans="4:7" x14ac:dyDescent="0.25">
      <c r="D6049" s="42"/>
      <c r="G6049" s="46"/>
    </row>
    <row r="6050" spans="4:7" x14ac:dyDescent="0.25">
      <c r="D6050" s="42"/>
      <c r="G6050" s="46"/>
    </row>
    <row r="6051" spans="4:7" x14ac:dyDescent="0.25">
      <c r="D6051" s="42"/>
      <c r="G6051" s="46"/>
    </row>
    <row r="6052" spans="4:7" x14ac:dyDescent="0.25">
      <c r="D6052" s="42"/>
      <c r="G6052" s="46"/>
    </row>
    <row r="6053" spans="4:7" x14ac:dyDescent="0.25">
      <c r="D6053" s="42"/>
      <c r="G6053" s="46"/>
    </row>
    <row r="6054" spans="4:7" x14ac:dyDescent="0.25">
      <c r="D6054" s="42"/>
      <c r="G6054" s="46"/>
    </row>
    <row r="6055" spans="4:7" x14ac:dyDescent="0.25">
      <c r="D6055" s="42"/>
      <c r="G6055" s="46"/>
    </row>
    <row r="6056" spans="4:7" x14ac:dyDescent="0.25">
      <c r="D6056" s="42"/>
      <c r="G6056" s="46"/>
    </row>
    <row r="6057" spans="4:7" x14ac:dyDescent="0.25">
      <c r="D6057" s="42"/>
      <c r="G6057" s="46"/>
    </row>
    <row r="6058" spans="4:7" x14ac:dyDescent="0.25">
      <c r="D6058" s="42"/>
      <c r="G6058" s="46"/>
    </row>
    <row r="6059" spans="4:7" x14ac:dyDescent="0.25">
      <c r="D6059" s="42"/>
      <c r="G6059" s="46"/>
    </row>
    <row r="6060" spans="4:7" x14ac:dyDescent="0.25">
      <c r="D6060" s="42"/>
      <c r="G6060" s="46"/>
    </row>
    <row r="6061" spans="4:7" x14ac:dyDescent="0.25">
      <c r="D6061" s="42"/>
      <c r="G6061" s="46"/>
    </row>
    <row r="6062" spans="4:7" x14ac:dyDescent="0.25">
      <c r="D6062" s="42"/>
      <c r="G6062" s="46"/>
    </row>
    <row r="6063" spans="4:7" x14ac:dyDescent="0.25">
      <c r="D6063" s="42"/>
      <c r="G6063" s="46"/>
    </row>
    <row r="6064" spans="4:7" x14ac:dyDescent="0.25">
      <c r="D6064" s="42"/>
      <c r="G6064" s="46"/>
    </row>
    <row r="6065" spans="4:7" x14ac:dyDescent="0.25">
      <c r="D6065" s="42"/>
      <c r="G6065" s="46"/>
    </row>
    <row r="6066" spans="4:7" x14ac:dyDescent="0.25">
      <c r="D6066" s="42"/>
      <c r="G6066" s="46"/>
    </row>
    <row r="6067" spans="4:7" x14ac:dyDescent="0.25">
      <c r="D6067" s="42"/>
      <c r="G6067" s="46"/>
    </row>
    <row r="6068" spans="4:7" x14ac:dyDescent="0.25">
      <c r="D6068" s="42"/>
      <c r="G6068" s="46"/>
    </row>
    <row r="6069" spans="4:7" x14ac:dyDescent="0.25">
      <c r="D6069" s="42"/>
      <c r="G6069" s="46"/>
    </row>
    <row r="6070" spans="4:7" x14ac:dyDescent="0.25">
      <c r="D6070" s="42"/>
      <c r="G6070" s="46"/>
    </row>
    <row r="6071" spans="4:7" x14ac:dyDescent="0.25">
      <c r="D6071" s="42"/>
      <c r="G6071" s="46"/>
    </row>
    <row r="6072" spans="4:7" x14ac:dyDescent="0.25">
      <c r="D6072" s="42"/>
      <c r="G6072" s="46"/>
    </row>
    <row r="6073" spans="4:7" x14ac:dyDescent="0.25">
      <c r="D6073" s="42"/>
      <c r="G6073" s="46"/>
    </row>
    <row r="6074" spans="4:7" x14ac:dyDescent="0.25">
      <c r="D6074" s="42"/>
      <c r="G6074" s="46"/>
    </row>
    <row r="6075" spans="4:7" x14ac:dyDescent="0.25">
      <c r="D6075" s="42"/>
      <c r="G6075" s="46"/>
    </row>
    <row r="6076" spans="4:7" x14ac:dyDescent="0.25">
      <c r="D6076" s="42"/>
      <c r="G6076" s="46"/>
    </row>
    <row r="6077" spans="4:7" x14ac:dyDescent="0.25">
      <c r="D6077" s="42"/>
      <c r="G6077" s="46"/>
    </row>
    <row r="6078" spans="4:7" x14ac:dyDescent="0.25">
      <c r="D6078" s="42"/>
      <c r="G6078" s="46"/>
    </row>
    <row r="6079" spans="4:7" x14ac:dyDescent="0.25">
      <c r="D6079" s="42"/>
      <c r="G6079" s="46"/>
    </row>
    <row r="6080" spans="4:7" x14ac:dyDescent="0.25">
      <c r="D6080" s="42"/>
      <c r="G6080" s="46"/>
    </row>
    <row r="6081" spans="4:7" x14ac:dyDescent="0.25">
      <c r="D6081" s="42"/>
      <c r="G6081" s="46"/>
    </row>
    <row r="6082" spans="4:7" x14ac:dyDescent="0.25">
      <c r="D6082" s="42"/>
      <c r="G6082" s="46"/>
    </row>
    <row r="6083" spans="4:7" x14ac:dyDescent="0.25">
      <c r="D6083" s="42"/>
      <c r="G6083" s="46"/>
    </row>
    <row r="6084" spans="4:7" x14ac:dyDescent="0.25">
      <c r="D6084" s="42"/>
      <c r="G6084" s="46"/>
    </row>
    <row r="6085" spans="4:7" x14ac:dyDescent="0.25">
      <c r="D6085" s="42"/>
      <c r="G6085" s="46"/>
    </row>
    <row r="6086" spans="4:7" x14ac:dyDescent="0.25">
      <c r="D6086" s="42"/>
      <c r="G6086" s="46"/>
    </row>
    <row r="6087" spans="4:7" x14ac:dyDescent="0.25">
      <c r="D6087" s="42"/>
      <c r="G6087" s="46"/>
    </row>
    <row r="6088" spans="4:7" x14ac:dyDescent="0.25">
      <c r="D6088" s="42"/>
      <c r="G6088" s="46"/>
    </row>
    <row r="6089" spans="4:7" x14ac:dyDescent="0.25">
      <c r="D6089" s="42"/>
      <c r="G6089" s="46"/>
    </row>
    <row r="6090" spans="4:7" x14ac:dyDescent="0.25">
      <c r="D6090" s="42"/>
      <c r="G6090" s="46"/>
    </row>
    <row r="6091" spans="4:7" x14ac:dyDescent="0.25">
      <c r="D6091" s="42"/>
      <c r="G6091" s="46"/>
    </row>
    <row r="6092" spans="4:7" x14ac:dyDescent="0.25">
      <c r="D6092" s="42"/>
      <c r="G6092" s="46"/>
    </row>
    <row r="6093" spans="4:7" x14ac:dyDescent="0.25">
      <c r="D6093" s="42"/>
      <c r="G6093" s="46"/>
    </row>
    <row r="6094" spans="4:7" x14ac:dyDescent="0.25">
      <c r="D6094" s="42"/>
      <c r="G6094" s="46"/>
    </row>
    <row r="6095" spans="4:7" x14ac:dyDescent="0.25">
      <c r="D6095" s="42"/>
      <c r="G6095" s="46"/>
    </row>
    <row r="6096" spans="4:7" x14ac:dyDescent="0.25">
      <c r="D6096" s="42"/>
      <c r="G6096" s="46"/>
    </row>
    <row r="6097" spans="4:7" x14ac:dyDescent="0.25">
      <c r="D6097" s="42"/>
      <c r="G6097" s="46"/>
    </row>
    <row r="6098" spans="4:7" x14ac:dyDescent="0.25">
      <c r="D6098" s="42"/>
      <c r="G6098" s="46"/>
    </row>
    <row r="6099" spans="4:7" x14ac:dyDescent="0.25">
      <c r="D6099" s="42"/>
      <c r="G6099" s="46"/>
    </row>
    <row r="6100" spans="4:7" x14ac:dyDescent="0.25">
      <c r="D6100" s="42"/>
      <c r="G6100" s="46"/>
    </row>
    <row r="6101" spans="4:7" x14ac:dyDescent="0.25">
      <c r="D6101" s="42"/>
      <c r="G6101" s="46"/>
    </row>
    <row r="6102" spans="4:7" x14ac:dyDescent="0.25">
      <c r="D6102" s="42"/>
      <c r="G6102" s="46"/>
    </row>
    <row r="6103" spans="4:7" x14ac:dyDescent="0.25">
      <c r="D6103" s="42"/>
      <c r="G6103" s="46"/>
    </row>
    <row r="6104" spans="4:7" x14ac:dyDescent="0.25">
      <c r="D6104" s="42"/>
      <c r="G6104" s="46"/>
    </row>
    <row r="6105" spans="4:7" x14ac:dyDescent="0.25">
      <c r="D6105" s="42"/>
      <c r="G6105" s="46"/>
    </row>
    <row r="6106" spans="4:7" x14ac:dyDescent="0.25">
      <c r="D6106" s="42"/>
      <c r="G6106" s="46"/>
    </row>
    <row r="6107" spans="4:7" x14ac:dyDescent="0.25">
      <c r="D6107" s="42"/>
      <c r="G6107" s="46"/>
    </row>
    <row r="6108" spans="4:7" x14ac:dyDescent="0.25">
      <c r="D6108" s="42"/>
      <c r="G6108" s="46"/>
    </row>
    <row r="6109" spans="4:7" x14ac:dyDescent="0.25">
      <c r="D6109" s="42"/>
      <c r="G6109" s="46"/>
    </row>
    <row r="6110" spans="4:7" x14ac:dyDescent="0.25">
      <c r="D6110" s="42"/>
      <c r="G6110" s="46"/>
    </row>
    <row r="6111" spans="4:7" x14ac:dyDescent="0.25">
      <c r="D6111" s="42"/>
      <c r="G6111" s="46"/>
    </row>
    <row r="6112" spans="4:7" x14ac:dyDescent="0.25">
      <c r="D6112" s="42"/>
      <c r="G6112" s="46"/>
    </row>
    <row r="6113" spans="4:7" x14ac:dyDescent="0.25">
      <c r="D6113" s="42"/>
      <c r="G6113" s="46"/>
    </row>
    <row r="6114" spans="4:7" x14ac:dyDescent="0.25">
      <c r="D6114" s="42"/>
      <c r="G6114" s="46"/>
    </row>
    <row r="6115" spans="4:7" x14ac:dyDescent="0.25">
      <c r="D6115" s="42"/>
      <c r="G6115" s="46"/>
    </row>
    <row r="6116" spans="4:7" x14ac:dyDescent="0.25">
      <c r="D6116" s="42"/>
      <c r="G6116" s="46"/>
    </row>
    <row r="6117" spans="4:7" x14ac:dyDescent="0.25">
      <c r="D6117" s="42"/>
      <c r="G6117" s="46"/>
    </row>
    <row r="6118" spans="4:7" x14ac:dyDescent="0.25">
      <c r="D6118" s="42"/>
      <c r="G6118" s="46"/>
    </row>
    <row r="6119" spans="4:7" x14ac:dyDescent="0.25">
      <c r="D6119" s="42"/>
      <c r="G6119" s="46"/>
    </row>
    <row r="6120" spans="4:7" x14ac:dyDescent="0.25">
      <c r="D6120" s="42"/>
      <c r="G6120" s="46"/>
    </row>
    <row r="6121" spans="4:7" x14ac:dyDescent="0.25">
      <c r="D6121" s="42"/>
      <c r="G6121" s="46"/>
    </row>
    <row r="6122" spans="4:7" x14ac:dyDescent="0.25">
      <c r="D6122" s="42"/>
      <c r="G6122" s="46"/>
    </row>
    <row r="6123" spans="4:7" x14ac:dyDescent="0.25">
      <c r="D6123" s="42"/>
      <c r="G6123" s="46"/>
    </row>
    <row r="6124" spans="4:7" x14ac:dyDescent="0.25">
      <c r="D6124" s="42"/>
      <c r="G6124" s="46"/>
    </row>
    <row r="6125" spans="4:7" x14ac:dyDescent="0.25">
      <c r="D6125" s="42"/>
      <c r="G6125" s="46"/>
    </row>
    <row r="6126" spans="4:7" x14ac:dyDescent="0.25">
      <c r="D6126" s="42"/>
      <c r="G6126" s="46"/>
    </row>
    <row r="6127" spans="4:7" x14ac:dyDescent="0.25">
      <c r="D6127" s="42"/>
      <c r="G6127" s="46"/>
    </row>
    <row r="6128" spans="4:7" x14ac:dyDescent="0.25">
      <c r="D6128" s="42"/>
      <c r="G6128" s="46"/>
    </row>
    <row r="6129" spans="4:7" x14ac:dyDescent="0.25">
      <c r="D6129" s="42"/>
      <c r="G6129" s="46"/>
    </row>
    <row r="6130" spans="4:7" x14ac:dyDescent="0.25">
      <c r="D6130" s="42"/>
      <c r="G6130" s="46"/>
    </row>
    <row r="6131" spans="4:7" x14ac:dyDescent="0.25">
      <c r="D6131" s="42"/>
      <c r="G6131" s="46"/>
    </row>
    <row r="6132" spans="4:7" x14ac:dyDescent="0.25">
      <c r="D6132" s="42"/>
      <c r="G6132" s="46"/>
    </row>
    <row r="6133" spans="4:7" x14ac:dyDescent="0.25">
      <c r="D6133" s="42"/>
      <c r="G6133" s="46"/>
    </row>
    <row r="6134" spans="4:7" x14ac:dyDescent="0.25">
      <c r="D6134" s="42"/>
      <c r="G6134" s="46"/>
    </row>
    <row r="6135" spans="4:7" x14ac:dyDescent="0.25">
      <c r="D6135" s="42"/>
      <c r="G6135" s="46"/>
    </row>
    <row r="6136" spans="4:7" x14ac:dyDescent="0.25">
      <c r="D6136" s="42"/>
      <c r="G6136" s="46"/>
    </row>
    <row r="6137" spans="4:7" x14ac:dyDescent="0.25">
      <c r="D6137" s="42"/>
      <c r="G6137" s="46"/>
    </row>
    <row r="6138" spans="4:7" x14ac:dyDescent="0.25">
      <c r="D6138" s="42"/>
      <c r="G6138" s="46"/>
    </row>
    <row r="6139" spans="4:7" x14ac:dyDescent="0.25">
      <c r="D6139" s="42"/>
      <c r="G6139" s="46"/>
    </row>
    <row r="6140" spans="4:7" x14ac:dyDescent="0.25">
      <c r="D6140" s="42"/>
      <c r="G6140" s="46"/>
    </row>
    <row r="6141" spans="4:7" x14ac:dyDescent="0.25">
      <c r="D6141" s="42"/>
      <c r="G6141" s="46"/>
    </row>
    <row r="6142" spans="4:7" x14ac:dyDescent="0.25">
      <c r="D6142" s="42"/>
      <c r="G6142" s="46"/>
    </row>
    <row r="6143" spans="4:7" x14ac:dyDescent="0.25">
      <c r="D6143" s="42"/>
      <c r="G6143" s="46"/>
    </row>
    <row r="6144" spans="4:7" x14ac:dyDescent="0.25">
      <c r="D6144" s="42"/>
      <c r="G6144" s="46"/>
    </row>
    <row r="6145" spans="4:7" x14ac:dyDescent="0.25">
      <c r="D6145" s="42"/>
      <c r="G6145" s="46"/>
    </row>
    <row r="6146" spans="4:7" x14ac:dyDescent="0.25">
      <c r="D6146" s="42"/>
      <c r="G6146" s="46"/>
    </row>
    <row r="6147" spans="4:7" x14ac:dyDescent="0.25">
      <c r="D6147" s="42"/>
      <c r="G6147" s="46"/>
    </row>
    <row r="6148" spans="4:7" x14ac:dyDescent="0.25">
      <c r="D6148" s="42"/>
      <c r="G6148" s="46"/>
    </row>
    <row r="6149" spans="4:7" x14ac:dyDescent="0.25">
      <c r="D6149" s="42"/>
      <c r="G6149" s="46"/>
    </row>
    <row r="6150" spans="4:7" x14ac:dyDescent="0.25">
      <c r="D6150" s="42"/>
      <c r="G6150" s="46"/>
    </row>
    <row r="6151" spans="4:7" x14ac:dyDescent="0.25">
      <c r="D6151" s="42"/>
      <c r="G6151" s="46"/>
    </row>
    <row r="6152" spans="4:7" x14ac:dyDescent="0.25">
      <c r="D6152" s="42"/>
      <c r="G6152" s="46"/>
    </row>
    <row r="6153" spans="4:7" x14ac:dyDescent="0.25">
      <c r="D6153" s="42"/>
      <c r="G6153" s="46"/>
    </row>
    <row r="6154" spans="4:7" x14ac:dyDescent="0.25">
      <c r="D6154" s="42"/>
      <c r="G6154" s="46"/>
    </row>
    <row r="6155" spans="4:7" x14ac:dyDescent="0.25">
      <c r="D6155" s="42"/>
      <c r="G6155" s="46"/>
    </row>
    <row r="6156" spans="4:7" x14ac:dyDescent="0.25">
      <c r="D6156" s="42"/>
      <c r="G6156" s="46"/>
    </row>
    <row r="6157" spans="4:7" x14ac:dyDescent="0.25">
      <c r="D6157" s="42"/>
      <c r="G6157" s="46"/>
    </row>
    <row r="6158" spans="4:7" x14ac:dyDescent="0.25">
      <c r="D6158" s="42"/>
      <c r="G6158" s="46"/>
    </row>
    <row r="6159" spans="4:7" x14ac:dyDescent="0.25">
      <c r="D6159" s="42"/>
      <c r="G6159" s="46"/>
    </row>
    <row r="6160" spans="4:7" x14ac:dyDescent="0.25">
      <c r="D6160" s="42"/>
      <c r="G6160" s="46"/>
    </row>
    <row r="6161" spans="4:7" x14ac:dyDescent="0.25">
      <c r="D6161" s="42"/>
      <c r="G6161" s="46"/>
    </row>
    <row r="6162" spans="4:7" x14ac:dyDescent="0.25">
      <c r="D6162" s="42"/>
      <c r="G6162" s="46"/>
    </row>
    <row r="6163" spans="4:7" x14ac:dyDescent="0.25">
      <c r="D6163" s="42"/>
      <c r="G6163" s="46"/>
    </row>
    <row r="6164" spans="4:7" x14ac:dyDescent="0.25">
      <c r="D6164" s="42"/>
      <c r="G6164" s="46"/>
    </row>
    <row r="6165" spans="4:7" x14ac:dyDescent="0.25">
      <c r="D6165" s="42"/>
      <c r="G6165" s="46"/>
    </row>
    <row r="6166" spans="4:7" x14ac:dyDescent="0.25">
      <c r="D6166" s="42"/>
      <c r="G6166" s="46"/>
    </row>
    <row r="6167" spans="4:7" x14ac:dyDescent="0.25">
      <c r="D6167" s="42"/>
      <c r="G6167" s="46"/>
    </row>
    <row r="6168" spans="4:7" x14ac:dyDescent="0.25">
      <c r="D6168" s="42"/>
      <c r="G6168" s="46"/>
    </row>
    <row r="6169" spans="4:7" x14ac:dyDescent="0.25">
      <c r="D6169" s="42"/>
      <c r="G6169" s="46"/>
    </row>
    <row r="6170" spans="4:7" x14ac:dyDescent="0.25">
      <c r="D6170" s="42"/>
      <c r="G6170" s="46"/>
    </row>
    <row r="6171" spans="4:7" x14ac:dyDescent="0.25">
      <c r="D6171" s="42"/>
      <c r="G6171" s="46"/>
    </row>
    <row r="6172" spans="4:7" x14ac:dyDescent="0.25">
      <c r="D6172" s="42"/>
      <c r="G6172" s="46"/>
    </row>
    <row r="6173" spans="4:7" x14ac:dyDescent="0.25">
      <c r="D6173" s="42"/>
      <c r="G6173" s="46"/>
    </row>
    <row r="6174" spans="4:7" x14ac:dyDescent="0.25">
      <c r="G6174" s="46"/>
    </row>
    <row r="6175" spans="4:7" x14ac:dyDescent="0.25">
      <c r="G6175" s="46"/>
    </row>
    <row r="6176" spans="4:7" x14ac:dyDescent="0.25">
      <c r="G6176" s="46"/>
    </row>
    <row r="6177" spans="7:7" x14ac:dyDescent="0.25">
      <c r="G6177" s="46"/>
    </row>
    <row r="6178" spans="7:7" x14ac:dyDescent="0.25">
      <c r="G6178" s="46"/>
    </row>
    <row r="6179" spans="7:7" x14ac:dyDescent="0.25">
      <c r="G6179" s="46"/>
    </row>
    <row r="6180" spans="7:7" x14ac:dyDescent="0.25">
      <c r="G6180" s="46"/>
    </row>
    <row r="6181" spans="7:7" x14ac:dyDescent="0.25">
      <c r="G6181" s="46"/>
    </row>
    <row r="6182" spans="7:7" x14ac:dyDescent="0.25">
      <c r="G6182" s="46"/>
    </row>
    <row r="6183" spans="7:7" x14ac:dyDescent="0.25">
      <c r="G6183" s="46"/>
    </row>
    <row r="6184" spans="7:7" x14ac:dyDescent="0.25">
      <c r="G6184" s="46"/>
    </row>
    <row r="6185" spans="7:7" x14ac:dyDescent="0.25">
      <c r="G6185" s="46"/>
    </row>
    <row r="6186" spans="7:7" x14ac:dyDescent="0.25">
      <c r="G6186" s="46"/>
    </row>
    <row r="6187" spans="7:7" x14ac:dyDescent="0.25">
      <c r="G6187" s="46"/>
    </row>
    <row r="6188" spans="7:7" x14ac:dyDescent="0.25">
      <c r="G6188" s="46"/>
    </row>
    <row r="6189" spans="7:7" x14ac:dyDescent="0.25">
      <c r="G6189" s="46"/>
    </row>
    <row r="6190" spans="7:7" x14ac:dyDescent="0.25">
      <c r="G6190" s="46"/>
    </row>
    <row r="6191" spans="7:7" x14ac:dyDescent="0.25">
      <c r="G6191" s="46"/>
    </row>
    <row r="6192" spans="7:7" x14ac:dyDescent="0.25">
      <c r="G6192" s="46"/>
    </row>
    <row r="6193" spans="7:7" x14ac:dyDescent="0.25">
      <c r="G6193" s="46"/>
    </row>
    <row r="6194" spans="7:7" x14ac:dyDescent="0.25">
      <c r="G6194" s="46"/>
    </row>
    <row r="6195" spans="7:7" x14ac:dyDescent="0.25">
      <c r="G6195" s="46"/>
    </row>
    <row r="6196" spans="7:7" x14ac:dyDescent="0.25">
      <c r="G6196" s="46"/>
    </row>
    <row r="6197" spans="7:7" x14ac:dyDescent="0.25">
      <c r="G6197" s="46"/>
    </row>
    <row r="6198" spans="7:7" x14ac:dyDescent="0.25">
      <c r="G6198" s="46"/>
    </row>
    <row r="6199" spans="7:7" x14ac:dyDescent="0.25">
      <c r="G6199" s="46"/>
    </row>
    <row r="6200" spans="7:7" x14ac:dyDescent="0.25">
      <c r="G6200" s="46"/>
    </row>
    <row r="6201" spans="7:7" x14ac:dyDescent="0.25">
      <c r="G6201" s="46"/>
    </row>
    <row r="6202" spans="7:7" x14ac:dyDescent="0.25">
      <c r="G6202" s="46"/>
    </row>
    <row r="6203" spans="7:7" x14ac:dyDescent="0.25">
      <c r="G6203" s="46"/>
    </row>
    <row r="6204" spans="7:7" x14ac:dyDescent="0.25">
      <c r="G6204" s="46"/>
    </row>
    <row r="6205" spans="7:7" x14ac:dyDescent="0.25">
      <c r="G6205" s="46"/>
    </row>
    <row r="6206" spans="7:7" x14ac:dyDescent="0.25">
      <c r="G6206" s="46"/>
    </row>
    <row r="6207" spans="7:7" x14ac:dyDescent="0.25">
      <c r="G6207" s="46"/>
    </row>
    <row r="6208" spans="7:7" x14ac:dyDescent="0.25">
      <c r="G6208" s="46"/>
    </row>
    <row r="6209" spans="7:7" x14ac:dyDescent="0.25">
      <c r="G6209" s="46"/>
    </row>
    <row r="6210" spans="7:7" x14ac:dyDescent="0.25">
      <c r="G6210" s="46"/>
    </row>
    <row r="6211" spans="7:7" x14ac:dyDescent="0.25">
      <c r="G6211" s="46"/>
    </row>
    <row r="6212" spans="7:7" x14ac:dyDescent="0.25">
      <c r="G6212" s="46"/>
    </row>
    <row r="6213" spans="7:7" x14ac:dyDescent="0.25">
      <c r="G6213" s="46"/>
    </row>
    <row r="6214" spans="7:7" x14ac:dyDescent="0.25">
      <c r="G6214" s="46"/>
    </row>
    <row r="6215" spans="7:7" x14ac:dyDescent="0.25">
      <c r="G6215" s="46"/>
    </row>
    <row r="6216" spans="7:7" x14ac:dyDescent="0.25">
      <c r="G6216" s="46"/>
    </row>
    <row r="6217" spans="7:7" x14ac:dyDescent="0.25">
      <c r="G6217" s="46"/>
    </row>
    <row r="6218" spans="7:7" x14ac:dyDescent="0.25">
      <c r="G6218" s="46"/>
    </row>
    <row r="6219" spans="7:7" x14ac:dyDescent="0.25">
      <c r="G6219" s="46"/>
    </row>
    <row r="6220" spans="7:7" x14ac:dyDescent="0.25">
      <c r="G6220" s="46"/>
    </row>
    <row r="6221" spans="7:7" x14ac:dyDescent="0.25">
      <c r="G6221" s="46"/>
    </row>
    <row r="6222" spans="7:7" x14ac:dyDescent="0.25">
      <c r="G6222" s="46"/>
    </row>
    <row r="6223" spans="7:7" x14ac:dyDescent="0.25">
      <c r="G6223" s="46"/>
    </row>
    <row r="6224" spans="7:7" x14ac:dyDescent="0.25">
      <c r="G6224" s="46"/>
    </row>
    <row r="6225" spans="7:7" x14ac:dyDescent="0.25">
      <c r="G6225" s="46"/>
    </row>
    <row r="6226" spans="7:7" x14ac:dyDescent="0.25">
      <c r="G6226" s="46"/>
    </row>
    <row r="6227" spans="7:7" x14ac:dyDescent="0.25">
      <c r="G6227" s="46"/>
    </row>
    <row r="6228" spans="7:7" x14ac:dyDescent="0.25">
      <c r="G6228" s="46"/>
    </row>
    <row r="6229" spans="7:7" x14ac:dyDescent="0.25">
      <c r="G6229" s="46"/>
    </row>
    <row r="6230" spans="7:7" x14ac:dyDescent="0.25">
      <c r="G6230" s="46"/>
    </row>
    <row r="6231" spans="7:7" x14ac:dyDescent="0.25">
      <c r="G6231" s="46"/>
    </row>
    <row r="6232" spans="7:7" x14ac:dyDescent="0.25">
      <c r="G6232" s="46"/>
    </row>
    <row r="6233" spans="7:7" x14ac:dyDescent="0.25">
      <c r="G6233" s="46"/>
    </row>
    <row r="6234" spans="7:7" x14ac:dyDescent="0.25">
      <c r="G6234" s="46"/>
    </row>
    <row r="6235" spans="7:7" x14ac:dyDescent="0.25">
      <c r="G6235" s="46"/>
    </row>
    <row r="6236" spans="7:7" x14ac:dyDescent="0.25">
      <c r="G6236" s="46"/>
    </row>
    <row r="6237" spans="7:7" x14ac:dyDescent="0.25">
      <c r="G6237" s="46"/>
    </row>
    <row r="6238" spans="7:7" x14ac:dyDescent="0.25">
      <c r="G6238" s="46"/>
    </row>
    <row r="6239" spans="7:7" x14ac:dyDescent="0.25">
      <c r="G6239" s="46"/>
    </row>
    <row r="6240" spans="7:7" x14ac:dyDescent="0.25">
      <c r="G6240" s="46"/>
    </row>
    <row r="6241" spans="7:7" x14ac:dyDescent="0.25">
      <c r="G6241" s="46"/>
    </row>
    <row r="6242" spans="7:7" x14ac:dyDescent="0.25">
      <c r="G6242" s="46"/>
    </row>
    <row r="6243" spans="7:7" x14ac:dyDescent="0.25">
      <c r="G6243" s="46"/>
    </row>
    <row r="6244" spans="7:7" x14ac:dyDescent="0.25">
      <c r="G6244" s="46"/>
    </row>
    <row r="6245" spans="7:7" x14ac:dyDescent="0.25">
      <c r="G6245" s="46"/>
    </row>
    <row r="6246" spans="7:7" x14ac:dyDescent="0.25">
      <c r="G6246" s="46"/>
    </row>
    <row r="6247" spans="7:7" x14ac:dyDescent="0.25">
      <c r="G6247" s="46"/>
    </row>
    <row r="6248" spans="7:7" x14ac:dyDescent="0.25">
      <c r="G6248" s="46"/>
    </row>
    <row r="6249" spans="7:7" x14ac:dyDescent="0.25">
      <c r="G6249" s="46"/>
    </row>
    <row r="6250" spans="7:7" x14ac:dyDescent="0.25">
      <c r="G6250" s="46"/>
    </row>
    <row r="6251" spans="7:7" x14ac:dyDescent="0.25">
      <c r="G6251" s="46"/>
    </row>
    <row r="6252" spans="7:7" x14ac:dyDescent="0.25">
      <c r="G6252" s="46"/>
    </row>
    <row r="6253" spans="7:7" x14ac:dyDescent="0.25">
      <c r="G6253" s="46"/>
    </row>
    <row r="6254" spans="7:7" x14ac:dyDescent="0.25">
      <c r="G6254" s="46"/>
    </row>
    <row r="6255" spans="7:7" x14ac:dyDescent="0.25">
      <c r="G6255" s="46"/>
    </row>
  </sheetData>
  <sheetProtection algorithmName="SHA-512" hashValue="tMzSZdSLWYD+pOVWKxB7x27C3XQykpL4o00o31wj4h5y51gtoJb2/+sekDM6rc1bQsvvujJe2qq27Sb2tanKRw==" saltValue="YkTv/vpP9sgjr7MZg0Jg1Q==" spinCount="100000" sheet="1" objects="1" scenarios="1" formatCells="0" formatColumns="0" formatRows="0" insertColumns="0" insertRows="0" insertHyperlinks="0" selectLockedCells="1" sort="0" autoFilter="0" pivotTables="0"/>
  <autoFilter ref="A2:J851" xr:uid="{00000000-0009-0000-0000-000002000000}">
    <filterColumn colId="3">
      <filters>
        <filter val="WARI"/>
      </filters>
    </filterColumn>
  </autoFilter>
  <customSheetViews>
    <customSheetView guid="{BCC8C31E-1C8F-4ACF-A3F3-919D68FF9211}" scale="104" showPageBreaks="1" filter="1" showAutoFilter="1" hiddenRows="1" topLeftCell="A3114">
      <selection activeCell="F3126" sqref="F3126"/>
      <pageMargins left="0.7" right="0.7" top="0.75" bottom="0.75" header="0.3" footer="0.3"/>
      <pageSetup paperSize="9" orientation="landscape" verticalDpi="4294967295" r:id="rId1"/>
      <autoFilter ref="A2:J851" xr:uid="{00000000-0000-0000-0000-000000000000}">
        <filterColumn colId="3">
          <filters>
            <filter val="WARI"/>
          </filters>
        </filterColumn>
      </autoFilter>
    </customSheetView>
    <customSheetView guid="{A1A8A1DE-D657-4788-8CB1-6D107BB1DEC3}" scale="104" filter="1" showAutoFilter="1" hiddenRows="1" topLeftCell="A4603">
      <selection activeCell="A4449" sqref="A4449"/>
      <pageMargins left="0.7" right="0.7" top="0.75" bottom="0.75" header="0.3" footer="0.3"/>
      <pageSetup paperSize="9" orientation="landscape" verticalDpi="4294967295" r:id="rId2"/>
      <autoFilter ref="A2:J851" xr:uid="{00000000-0000-0000-0000-000000000000}">
        <filterColumn colId="3">
          <filters>
            <filter val="WARI"/>
          </filters>
        </filterColumn>
      </autoFilter>
    </customSheetView>
  </customSheetViews>
  <dataValidations count="1">
    <dataValidation type="list" allowBlank="1" showInputMessage="1" showErrorMessage="1" sqref="J8" xr:uid="{00000000-0002-0000-0200-000000000000}">
      <formula1>$A$13:$A$24</formula1>
    </dataValidation>
  </dataValidations>
  <pageMargins left="0.7" right="0.7" top="0.75" bottom="0.75" header="0.3" footer="0.3"/>
  <pageSetup paperSize="9" orientation="landscape" verticalDpi="4294967295"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1000000}">
          <x14:formula1>
            <xm:f>RAPPORTS!$DF$5:$DF$6</xm:f>
          </x14:formula1>
          <xm:sqref>I7:I11 I22:I29 I32:I33 I35 I37:I851</xm:sqref>
        </x14:dataValidation>
        <x14:dataValidation type="list" allowBlank="1" showInputMessage="1" showErrorMessage="1" xr:uid="{00000000-0002-0000-0200-000002000000}">
          <x14:formula1>
            <xm:f>RAPPORTS!$DF$5:$DF$7</xm:f>
          </x14:formula1>
          <xm:sqref>I3:I6 I12:I21 I30:I31 I34 I36 I852:I2428</xm:sqref>
        </x14:dataValidation>
        <x14:dataValidation type="list" allowBlank="1" showInputMessage="1" showErrorMessage="1" xr:uid="{00000000-0002-0000-0200-000003000000}">
          <x14:formula1>
            <xm:f>RAPPORTS!$DF$4</xm:f>
          </x14:formula1>
          <xm:sqref>A3435:A4708 A4710:A5030 A5032:A5644 A3:A912 E3127 A914:A3126 A3128:A3433</xm:sqref>
        </x14:dataValidation>
        <x14:dataValidation type="list" allowBlank="1" showInputMessage="1" showErrorMessage="1" xr:uid="{00000000-0002-0000-0200-000004000000}">
          <x14:formula1>
            <xm:f>RAPPORTS!$D$9:$G$9</xm:f>
          </x14:formula1>
          <xm:sqref>F1002:F1277 F3110:F3120 E3116:E3831 E3833:E4594 E4596:E5249 E1278:E1622 E1624:E3104 E3:E967 E969:E992</xm:sqref>
        </x14:dataValidation>
        <x14:dataValidation type="list" allowBlank="1" showInputMessage="1" showErrorMessage="1" xr:uid="{00000000-0002-0000-0200-000005000000}">
          <x14:formula1>
            <xm:f>RAPPORTS!$A$13:$A$25</xm:f>
          </x14:formula1>
          <xm:sqref>E1002:E1277 D5499:D6173 D1269:D2397 D2399:D5497 D3:D967 D969:D992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3"/>
  <sheetViews>
    <sheetView topLeftCell="FV38" workbookViewId="0">
      <selection activeCell="FW133" sqref="FW133"/>
    </sheetView>
  </sheetViews>
  <sheetFormatPr baseColWidth="10" defaultRowHeight="15" x14ac:dyDescent="0.25"/>
  <sheetData>
    <row r="23" ht="27.75" customHeight="1" x14ac:dyDescent="0.25"/>
  </sheetData>
  <customSheetViews>
    <customSheetView guid="{BCC8C31E-1C8F-4ACF-A3F3-919D68FF9211}" topLeftCell="FV110">
      <selection activeCell="FW133" sqref="FW133"/>
      <pageMargins left="0.7" right="0.7" top="0.75" bottom="0.75" header="0.3" footer="0.3"/>
    </customSheetView>
    <customSheetView guid="{A1A8A1DE-D657-4788-8CB1-6D107BB1DEC3}" topLeftCell="FV110">
      <selection activeCell="FW133" sqref="FW13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5006"/>
  <sheetViews>
    <sheetView workbookViewId="0">
      <selection activeCell="G16" sqref="G16"/>
    </sheetView>
  </sheetViews>
  <sheetFormatPr baseColWidth="10" defaultRowHeight="15" x14ac:dyDescent="0.25"/>
  <sheetData>
    <row r="5006" spans="5:5" x14ac:dyDescent="0.25">
      <c r="E5006">
        <f ca="1">E5006:E5031</f>
        <v>0</v>
      </c>
    </row>
  </sheetData>
  <customSheetViews>
    <customSheetView guid="{BCC8C31E-1C8F-4ACF-A3F3-919D68FF9211}" state="hidden">
      <selection activeCell="G16" sqref="G16"/>
      <pageMargins left="0.7" right="0.7" top="0.75" bottom="0.75" header="0.3" footer="0.3"/>
    </customSheetView>
    <customSheetView guid="{A1A8A1DE-D657-4788-8CB1-6D107BB1DEC3}" state="hidden">
      <selection activeCell="G16" sqref="G16"/>
      <pageMargins left="0.7" right="0.7" top="0.75" bottom="0.75" header="0.3" footer="0.3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EC96C-DC7F-4B13-BEFE-CA3F861E1BC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Feuil3</vt:lpstr>
      <vt:lpstr>Feuil7</vt:lpstr>
      <vt:lpstr>Feuil6</vt:lpstr>
      <vt:lpstr>Feuil4</vt:lpstr>
      <vt:lpstr>Feuil1</vt:lpstr>
      <vt:lpstr>RAPPORTS</vt:lpstr>
      <vt:lpstr>TRANSACTIONS</vt:lpstr>
      <vt:lpstr>Feuil2</vt:lpstr>
      <vt:lpstr>Feuil5</vt:lpstr>
      <vt:lpstr>FRAIS_D_ENVOI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U2102</dc:creator>
  <cp:lastModifiedBy>pc</cp:lastModifiedBy>
  <cp:lastPrinted>2022-10-31T12:24:23Z</cp:lastPrinted>
  <dcterms:created xsi:type="dcterms:W3CDTF">2017-04-15T11:10:36Z</dcterms:created>
  <dcterms:modified xsi:type="dcterms:W3CDTF">2024-04-08T18:20:15Z</dcterms:modified>
</cp:coreProperties>
</file>